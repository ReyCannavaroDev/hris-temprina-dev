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.24 MAPPING KARAH" sheetId="1" r:id="rId5"/>
    <sheet state="visible" name="10.24 MAPPING TWL" sheetId="2" r:id="rId6"/>
    <sheet state="visible" name="10.24 MAPPING PACK BEKASI" sheetId="3" r:id="rId7"/>
    <sheet state="visible" name="10.24 MAPPING SHOPPINGBAG" sheetId="4" r:id="rId8"/>
    <sheet state="visible" name="2025. RESUME PLAN" sheetId="5" r:id="rId9"/>
    <sheet state="visible" name="KRY 2024" sheetId="6" r:id="rId10"/>
    <sheet state="visible" name="MAPPING ALL CABANG" sheetId="7" r:id="rId11"/>
    <sheet state="visible" name="GAMBARAN KRY" sheetId="8" r:id="rId12"/>
    <sheet state="visible" name="RESUME PLAN" sheetId="9" r:id="rId13"/>
    <sheet state="visible" name="MAPPING KARAH" sheetId="10" r:id="rId14"/>
    <sheet state="visible" name="MAPPING PACK BEKASI" sheetId="11" r:id="rId15"/>
    <sheet state="visible" name="MAPPING SHOPPINGBAG" sheetId="12" r:id="rId16"/>
    <sheet state="visible" name="MAPPING TEMAPACK" sheetId="13" r:id="rId17"/>
    <sheet state="visible" name="MAPPING TWL" sheetId="14" r:id="rId18"/>
    <sheet state="visible" name="SDM PACK KARAH 2024" sheetId="15" r:id="rId19"/>
    <sheet state="visible" name="SDM PACK BKS 2024" sheetId="16" r:id="rId20"/>
    <sheet state="visible" name="SDM SHOPPINGBAG 2024" sheetId="17" r:id="rId21"/>
    <sheet state="visible" name="SDM TEMAPACK 2024" sheetId="18" r:id="rId22"/>
    <sheet state="visible" name="SDM TWL 2024" sheetId="19" r:id="rId23"/>
    <sheet state="visible" name="STRUKTUR SBU PACKAGING" sheetId="20" r:id="rId24"/>
    <sheet state="visible" name="STRUKTUR PACK KARAH" sheetId="21" r:id="rId25"/>
    <sheet state="visible" name="STRUKTUR PACK BEKASI" sheetId="22" r:id="rId26"/>
    <sheet state="visible" name="STRUKTUR SHOPPINGBAG" sheetId="23" r:id="rId27"/>
    <sheet state="visible" name="STRUKTUR TWL" sheetId="24" r:id="rId2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ID#AAABXhvzgwk
hrd temprinamlg    (2024-10-18 03:55:25)
Karyawan Tetap</t>
      </text>
    </comment>
    <comment authorId="0" ref="F5">
      <text>
        <t xml:space="preserve">======
ID#AAABXhvzgwo
hrd temprinamlg    (2024-10-18 03:55:33)
Karyawan Kontrak</t>
      </text>
    </comment>
    <comment authorId="0" ref="G5">
      <text>
        <t xml:space="preserve">======
ID#AAABXhvzgws
hrd temprinamlg    (2024-10-18 03:55:59)
Operator, Admin, Umum, Security, Driver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8">
      <text>
        <t xml:space="preserve">OFF
======</t>
      </text>
    </comment>
    <comment authorId="0" ref="D66">
      <text>
        <t xml:space="preserve">PLANNING
======</t>
      </text>
    </comment>
    <comment authorId="0" ref="L37">
      <text>
        <t xml:space="preserve">AKAN JOIN PER TANGGAL 15 APRIL 2024
======</t>
      </text>
    </comment>
    <comment authorId="0" ref="M38">
      <text>
        <t xml:space="preserve">daffa, rizqa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60">
      <text>
        <t xml:space="preserve">1 OP MALAM
6 HELPER 2 LONG SHIFT
======</t>
      </text>
    </comment>
    <comment authorId="0" ref="D30">
      <text>
        <t xml:space="preserve">GABUNG DENGAN PACK BEKASI
======</t>
      </text>
    </comment>
    <comment authorId="0" ref="G16">
      <text>
        <t xml:space="preserve">SOVIA
======</t>
      </text>
    </comment>
    <comment authorId="0" ref="D28">
      <text>
        <t xml:space="preserve">GABUNG DENGAN PACK BEKASI
======</t>
      </text>
    </comment>
    <comment authorId="0" ref="G63">
      <text>
        <t xml:space="preserve">OP 4
HELPER 6
======</t>
      </text>
    </comment>
    <comment authorId="0" ref="H64">
      <text>
        <t xml:space="preserve">BORONGAN
======</t>
      </text>
    </comment>
    <comment authorId="0" ref="G62">
      <text>
        <t xml:space="preserve">OP 1
HELPER 2
======</t>
      </text>
    </comment>
    <comment authorId="0" ref="G60">
      <text>
        <t xml:space="preserve">1 OP MALAM
6 HELPER 2 LONG SHIFT
======</t>
      </text>
    </comment>
    <comment authorId="0" ref="M63">
      <text>
        <t xml:space="preserve">OP 4
HELPER 6
======</t>
      </text>
    </comment>
    <comment authorId="0" ref="N64">
      <text>
        <t xml:space="preserve">BORONGAN
======</t>
      </text>
    </comment>
    <comment authorId="0" ref="M62">
      <text>
        <t xml:space="preserve">OP 1
HELPER 2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8">
      <text>
        <t xml:space="preserve">======
ID#AAABXk0oGKQ
hrd temprinamlg    (2024-10-20 04:21:29)
rata2 gaji*25hari*jumlah orang
------
ID#AAABXk0oGKU
hrd temprinamlg    (2024-10-20 04:21:54)
tanpa lembur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G38">
      <text>
        <t xml:space="preserve">======
ID#AAABGftwI5c
HRD    (2024-03-05 01:58:15)
Yang handle bagian ekspedisi double job dengan purchasing saat ini</t>
      </text>
    </comment>
    <comment authorId="0" ref="BG36">
      <text>
        <t xml:space="preserve">======
ID#AAABGftwI5U
HRD    (2024-03-05 01:58:15)
Belum ada staff penagihan khusus kaena karyawan sebelumnya dipindahkan ke bagian marketing. Sementara penagihan dibantu bagian marketing</t>
      </text>
    </comment>
    <comment authorId="0" ref="AJ169">
      <text>
        <t xml:space="preserve">======
ID#AAABGftwI5M
LAPTOP HRD    (2024-03-05 01:58:15)
ALDI</t>
      </text>
    </comment>
    <comment authorId="0" ref="AJ167">
      <text>
        <t xml:space="preserve">======
ID#AAABGftwI5Y
LAPTOP HRD    (2024-03-05 01:58:15)
EKO, MUSTOFA, AZIZ</t>
      </text>
    </comment>
    <comment authorId="0" ref="AJ166">
      <text>
        <t xml:space="preserve">======
ID#AAABGftwI5E
LAPTOP HRD    (2024-03-05 01:58:15)
MULYADI, RAPIKA, MUBARI</t>
      </text>
    </comment>
    <comment authorId="0" ref="AK166">
      <text>
        <t xml:space="preserve">======
ID#AAABGftwI5Q
LAPTOP HRD    (2024-03-05 01:58:15)
nanang</t>
      </text>
    </comment>
    <comment authorId="0" ref="AJ181">
      <text>
        <t xml:space="preserve">======
ID#AAABGftwI5g
LAPTOP HRD    (2024-03-05 01:58:15)
HAJRI, VIJAY, DWI, JANA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7">
      <text>
        <t xml:space="preserve">AKAN JOIN PER TANGGAL 15 APRIL 2024
======</t>
      </text>
    </comment>
    <comment authorId="0" ref="D66">
      <text>
        <t xml:space="preserve">OFF
======</t>
      </text>
    </comment>
    <comment authorId="0" ref="D64">
      <text>
        <t xml:space="preserve">PLANNING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9">
      <text>
        <t xml:space="preserve">GABUNG DENGAN PACK BEKASI
======</t>
      </text>
    </comment>
    <comment authorId="0" ref="D28">
      <text>
        <t xml:space="preserve">GABUNG DENGAN PACK BEKASI
======</t>
      </text>
    </comment>
    <comment authorId="0" ref="G62">
      <text>
        <t xml:space="preserve">5 MESIN
@ 4 ORANG
======</t>
      </text>
    </comment>
    <comment authorId="0" ref="G61">
      <text>
        <t xml:space="preserve">10 PAGI
5 SORE
======</t>
      </text>
    </comment>
    <comment authorId="0" ref="G60">
      <text>
        <t xml:space="preserve">OP 2
HELPER 5
======</t>
      </text>
    </comment>
    <comment authorId="0" ref="H61">
      <text>
        <t xml:space="preserve">BORONGAN
======</t>
      </text>
    </comment>
    <comment authorId="0" ref="G59">
      <text>
        <t xml:space="preserve">OP 1
HELPER 2
======</t>
      </text>
    </comment>
    <comment authorId="0" ref="G57">
      <text>
        <t xml:space="preserve">1 OP MALAM
6 HELPER 2 LONG SHIFT
======</t>
      </text>
    </comment>
    <comment authorId="0" ref="M62">
      <text>
        <t xml:space="preserve">5 MESIN
@ 4 ORANG
======</t>
      </text>
    </comment>
    <comment authorId="0" ref="M61">
      <text>
        <t xml:space="preserve">10 PAGI
5 SORE
======</t>
      </text>
    </comment>
    <comment authorId="0" ref="M60">
      <text>
        <t xml:space="preserve">OP 2
HELPER 5
======</t>
      </text>
    </comment>
    <comment authorId="0" ref="N61">
      <text>
        <t xml:space="preserve">BORONGAN
======</t>
      </text>
    </comment>
    <comment authorId="0" ref="M59">
      <text>
        <t xml:space="preserve">OP 1
HELPER 2
======</t>
      </text>
    </comment>
    <comment authorId="0" ref="F19">
      <text>
        <t xml:space="preserve">PENGAJUAN PENAMBAHAN UNTUK MARKETING RETAIL SHOP DAN TEMA
======</t>
      </text>
    </comment>
    <comment authorId="0" ref="M57">
      <text>
        <t xml:space="preserve">1 OP MALAM
6 HELPER 2 LONG SHIFT
======</t>
      </text>
    </comment>
  </commentList>
</comments>
</file>

<file path=xl/sharedStrings.xml><?xml version="1.0" encoding="utf-8"?>
<sst xmlns="http://schemas.openxmlformats.org/spreadsheetml/2006/main" count="7815" uniqueCount="1631">
  <si>
    <t xml:space="preserve"> </t>
  </si>
  <si>
    <t>DATA TAHUN 2025</t>
  </si>
  <si>
    <t>PACK KARAH</t>
  </si>
  <si>
    <t xml:space="preserve">TEMA WADAH LESTARI </t>
  </si>
  <si>
    <t>PACKAGING BEKASI</t>
  </si>
  <si>
    <t>DEPARTEMEN</t>
  </si>
  <si>
    <t>POSISI</t>
  </si>
  <si>
    <t>KEBUTUHAN</t>
  </si>
  <si>
    <t>EXISTING</t>
  </si>
  <si>
    <t>Tetap Fix</t>
  </si>
  <si>
    <t>Kontrak Fix</t>
  </si>
  <si>
    <t>SHOPPING BAG</t>
  </si>
  <si>
    <t>OS Fix</t>
  </si>
  <si>
    <t>OS Variabel</t>
  </si>
  <si>
    <t>TOTAL KEBUTUHAN (Jumlah)</t>
  </si>
  <si>
    <t>TOTAL KEBUTUHAN (Nominal)</t>
  </si>
  <si>
    <t>TOTAL EXISTING (Jumlah)</t>
  </si>
  <si>
    <t>TOTAL EXISTING (Nominal)</t>
  </si>
  <si>
    <t>Manager/BM/OM</t>
  </si>
  <si>
    <t>OM</t>
  </si>
  <si>
    <t>GM</t>
  </si>
  <si>
    <t>HRD UMUM</t>
  </si>
  <si>
    <t>KARU HRD</t>
  </si>
  <si>
    <t>KARU GA</t>
  </si>
  <si>
    <t xml:space="preserve">GA/UMUM : AREA KANTOR </t>
  </si>
  <si>
    <t>STAFF HRD</t>
  </si>
  <si>
    <t>GA/UMUM : AREA PRODUKSI</t>
  </si>
  <si>
    <t xml:space="preserve">GA/UMUM : AFVAL </t>
  </si>
  <si>
    <t>SECURITY</t>
  </si>
  <si>
    <t>PEMASARAN</t>
  </si>
  <si>
    <t>KADIV MARKETING</t>
  </si>
  <si>
    <t>MARKETING</t>
  </si>
  <si>
    <t>ADMIN MKT</t>
  </si>
  <si>
    <t>MARKETING SUPPORT</t>
  </si>
  <si>
    <t>IT</t>
  </si>
  <si>
    <t>STAFF IT</t>
  </si>
  <si>
    <t>ASMEN</t>
  </si>
  <si>
    <t>PPIC</t>
  </si>
  <si>
    <t>KADIV PPIC</t>
  </si>
  <si>
    <t>KARU PPIC</t>
  </si>
  <si>
    <t>KARU GUDANG</t>
  </si>
  <si>
    <t>STAFF PPIC</t>
  </si>
  <si>
    <t>STAFF GBB</t>
  </si>
  <si>
    <t>ADM PPIC</t>
  </si>
  <si>
    <t>STAFF GBJ</t>
  </si>
  <si>
    <t>EKSPEDISI - ADMIN EKSPEDISI</t>
  </si>
  <si>
    <t xml:space="preserve">EKSPEDISI - SOPIR/DRIVER </t>
  </si>
  <si>
    <t>EKSPEDISI - HELPER/LOADING</t>
  </si>
  <si>
    <t>MATERIAL HANDLING</t>
  </si>
  <si>
    <t>ACC &amp; FINANCE</t>
  </si>
  <si>
    <t>KADIV ACCOUNTING</t>
  </si>
  <si>
    <t>KEUANGAN KASIR</t>
  </si>
  <si>
    <t xml:space="preserve">KARU PIUTANG </t>
  </si>
  <si>
    <t>PEMBELIAN</t>
  </si>
  <si>
    <t>QC</t>
  </si>
  <si>
    <t>PENAGIHAN</t>
  </si>
  <si>
    <t>KADIV QC</t>
  </si>
  <si>
    <t>D&amp;D</t>
  </si>
  <si>
    <t>MUTASI KE MARKETING</t>
  </si>
  <si>
    <t>KADIV D&amp;D</t>
  </si>
  <si>
    <t>STAFF D&amp;D</t>
  </si>
  <si>
    <t>DOUBLE JOB DGN ADM. EKSPEDISI</t>
  </si>
  <si>
    <t>PRODUKSI</t>
  </si>
  <si>
    <t xml:space="preserve">PPIC </t>
  </si>
  <si>
    <t>KADIV/ WAKADIV PRODUKSI</t>
  </si>
  <si>
    <t>KARU/WAKARU PRODUKSI</t>
  </si>
  <si>
    <t>ADM PRODUKSI</t>
  </si>
  <si>
    <t>ADMIN PRODUKSI</t>
  </si>
  <si>
    <t>PRE PRESS (PROCESSOR GRAFMAC)</t>
  </si>
  <si>
    <t>MESIN POTONG 1</t>
  </si>
  <si>
    <t>PRE PRESS (PLATMAKER CTP AGFA)</t>
  </si>
  <si>
    <t>Shift 1,2,3</t>
  </si>
  <si>
    <t>PRE PRESS (DIGITAL PROOFING DF4408)</t>
  </si>
  <si>
    <t>MESIN POTONG 2</t>
  </si>
  <si>
    <t>PRE PRESS (PLOTTER SUPERSONIC)</t>
  </si>
  <si>
    <t>GBB - ADMIN GBB</t>
  </si>
  <si>
    <t>MESIN POTONG (POLAR 137EMC-MON)</t>
  </si>
  <si>
    <t>MESIN POTONG 3</t>
  </si>
  <si>
    <t>STAFF GUDANG SPAREPART</t>
  </si>
  <si>
    <t>CETAK SHEET (HEIDELBERGH)</t>
  </si>
  <si>
    <t>DIECUT 1 (JEIL)</t>
  </si>
  <si>
    <t>CETAK SHEET (KOENIG &amp; BAUER)</t>
  </si>
  <si>
    <t>DIECUT/PUNCH MACHINE (ETERNA)</t>
  </si>
  <si>
    <t>DIECUT 2 (RDC)</t>
  </si>
  <si>
    <t>DIECUT/PUNCH MACHINE (BRAUSSE)</t>
  </si>
  <si>
    <t>KOPEK DIE CUT 1/HITUNG LEMBAR</t>
  </si>
  <si>
    <t>VARNISH MACHINE (UV HOCK 1060)</t>
  </si>
  <si>
    <t>KOPEK DIE CUT 2/HITUNG LEMBAR</t>
  </si>
  <si>
    <t>KOPEK (WASTE STRIPPER MACHINE)</t>
  </si>
  <si>
    <t>SHEETER</t>
  </si>
  <si>
    <t>FOLDER GLUER (JINN YEU 1000)</t>
  </si>
  <si>
    <t>LAMINASI</t>
  </si>
  <si>
    <t>AUTO PACK 1</t>
  </si>
  <si>
    <t>FOLDER GLUER (JINN YEU 650)</t>
  </si>
  <si>
    <t>PACKING</t>
  </si>
  <si>
    <t>STAFF ACCOUNTING</t>
  </si>
  <si>
    <t>SORTIR</t>
  </si>
  <si>
    <t>KEUANGAN</t>
  </si>
  <si>
    <t>LAMINATING MACHINE (DLG-KGM)</t>
  </si>
  <si>
    <t>KASIR</t>
  </si>
  <si>
    <t>AUTO PACK 2</t>
  </si>
  <si>
    <t>LAMINATING MACHINE (HUAWEI FM1000)</t>
  </si>
  <si>
    <t>TIMBANG/HITUNG LEMBAR</t>
  </si>
  <si>
    <t>WINDOW PATCHING ZKT700B</t>
  </si>
  <si>
    <t>STAFF PIUTANG</t>
  </si>
  <si>
    <t>MESIN PLONG</t>
  </si>
  <si>
    <t>INVOICING</t>
  </si>
  <si>
    <t>KARU/WAKARU TEKNIK</t>
  </si>
  <si>
    <t>MEKANIK</t>
  </si>
  <si>
    <t>ELEKTRIK</t>
  </si>
  <si>
    <t>TOTAL SDM</t>
  </si>
  <si>
    <t>KARU QC</t>
  </si>
  <si>
    <t xml:space="preserve">ELEKTRIK </t>
  </si>
  <si>
    <t xml:space="preserve">TOTAL SDM </t>
  </si>
  <si>
    <t>KARU D&amp;D</t>
  </si>
  <si>
    <t>PRODUCT ENGINEERING</t>
  </si>
  <si>
    <t>selisih tetap kontrak</t>
  </si>
  <si>
    <t xml:space="preserve">Selisih </t>
  </si>
  <si>
    <t>MESIN POTONG NAGAI</t>
  </si>
  <si>
    <t>SQUARE BOTTOM 1 (FJ14)</t>
  </si>
  <si>
    <t xml:space="preserve">Penambahan Op. Die Cut 4 orang </t>
  </si>
  <si>
    <t>1 orang op. KBA</t>
  </si>
  <si>
    <t>SQUARE BOTTOM 2 (FJ13)</t>
  </si>
  <si>
    <t xml:space="preserve">Penambahan Tenaga Kopek 18 orang </t>
  </si>
  <si>
    <t>J08</t>
  </si>
  <si>
    <t>1 org op. Prepress</t>
  </si>
  <si>
    <t>2 jin yu</t>
  </si>
  <si>
    <t>J13</t>
  </si>
  <si>
    <t xml:space="preserve">Estimasi TKL 22 orang dengan gaji 60.000/orang </t>
  </si>
  <si>
    <t>RUIZI (SEWA)</t>
  </si>
  <si>
    <t>SLITING</t>
  </si>
  <si>
    <t>HANDLE (JUMLAH MESIN ADA 3)</t>
  </si>
  <si>
    <t>PACKING &amp; KUPAS</t>
  </si>
  <si>
    <t>SORTIR HANDLE</t>
  </si>
  <si>
    <t>operator</t>
  </si>
  <si>
    <t>TWIST ROOP</t>
  </si>
  <si>
    <t>FLEXO</t>
  </si>
  <si>
    <t>LABELING &amp; DELIVERY</t>
  </si>
  <si>
    <t>helper kopek</t>
  </si>
  <si>
    <t>TEKNIK</t>
  </si>
  <si>
    <t>KADIV/WAKADIV TEKNIK</t>
  </si>
  <si>
    <t>STAFF EKSPEDISI</t>
  </si>
  <si>
    <t>DATA TAHUN 2023</t>
  </si>
  <si>
    <t>TETAP</t>
  </si>
  <si>
    <t>SELISIH</t>
  </si>
  <si>
    <t>KONTRAK</t>
  </si>
  <si>
    <t>PHL</t>
  </si>
  <si>
    <t>TOTAL</t>
  </si>
  <si>
    <t>PERMOHONAN UNTUK MARKETING RETAIL (KONTRAK)</t>
  </si>
  <si>
    <t>JO MALANG</t>
  </si>
  <si>
    <t>BM</t>
  </si>
  <si>
    <t>UMUM</t>
  </si>
  <si>
    <t>SHP BAG</t>
  </si>
  <si>
    <t>N</t>
  </si>
  <si>
    <t>EKSPEDISI</t>
  </si>
  <si>
    <t>KADIV/STAFF ACC</t>
  </si>
  <si>
    <t>ADMIN PIUTANG</t>
  </si>
  <si>
    <t>PHL TETAP</t>
  </si>
  <si>
    <t>BUAT PISAU PUNCH</t>
  </si>
  <si>
    <t>PHL TIDAK TETAP</t>
  </si>
  <si>
    <t>TINTA MIXING</t>
  </si>
  <si>
    <t>MESIN POTONG NAGAI 1</t>
  </si>
  <si>
    <t>PRACETAK</t>
  </si>
  <si>
    <t>STAFF PRACETAK</t>
  </si>
  <si>
    <t>KARU SHEET</t>
  </si>
  <si>
    <t>KADIV PRODUKSI</t>
  </si>
  <si>
    <t>CETAK SHEET 1 (HEIDELBERGH CD 6)</t>
  </si>
  <si>
    <t>WAKADIV PRODUKSI</t>
  </si>
  <si>
    <t>KARU PRODUKSI</t>
  </si>
  <si>
    <t>PRE PRESS</t>
  </si>
  <si>
    <t>DIECUT (IJIMA/DEGEL/VARIMATRIX)</t>
  </si>
  <si>
    <t>PISAU PUNCH</t>
  </si>
  <si>
    <t>UV</t>
  </si>
  <si>
    <t>FOLDER GLUER (ETERNA/JIENYUE/GOOKJIE)</t>
  </si>
  <si>
    <t>CETAK SHEET 1</t>
  </si>
  <si>
    <t>CETAK SHEET 2</t>
  </si>
  <si>
    <t>LAMINATOR YI LEE TAIWAN ROC</t>
  </si>
  <si>
    <t>DIECUT 1 (degel)</t>
  </si>
  <si>
    <t>DIECUT 2</t>
  </si>
  <si>
    <t>KOPEK</t>
  </si>
  <si>
    <t>FOLDER GLUER 1</t>
  </si>
  <si>
    <t>SABLON</t>
  </si>
  <si>
    <t>FOLDER GLUER 2</t>
  </si>
  <si>
    <t>KUPAS</t>
  </si>
  <si>
    <t>WINDOW PATCHING</t>
  </si>
  <si>
    <t>HANDLE</t>
  </si>
  <si>
    <t>TIMBANG</t>
  </si>
  <si>
    <t>selisih</t>
  </si>
  <si>
    <t>KEBUTUHAN : STAFF KEUANGAN (KONTRAK), STAFF PIUTANG PHL - KONTRAK), OP LEM (PHL - KONTRAK)</t>
  </si>
  <si>
    <t>STAFF MARKETING</t>
  </si>
  <si>
    <t xml:space="preserve">BUAT PISAU </t>
  </si>
  <si>
    <t>KADIV TEKNIK</t>
  </si>
  <si>
    <t>KARU TEKNIK</t>
  </si>
  <si>
    <t>PREPARATION</t>
  </si>
  <si>
    <t>PACK BEKASI</t>
  </si>
  <si>
    <t>Plan</t>
  </si>
  <si>
    <t>Penambahan 1 karyawan untuk mesin CD 5</t>
  </si>
  <si>
    <t>Penambahan 1 karyawan untuk Kadiv Teknik</t>
  </si>
  <si>
    <t>Penambahan 3 HL mesin CD 5</t>
  </si>
  <si>
    <t>issue : omzet blm tercapai</t>
  </si>
  <si>
    <t>Penambahan 1 karyawan untuk purchasing</t>
  </si>
  <si>
    <t>Penambahan 1 karyawan untuk Piutang</t>
  </si>
  <si>
    <t>Penambahan 3 HL mesin Lem</t>
  </si>
  <si>
    <t>PEMETAAN SDM SBU PACKAGING</t>
  </si>
  <si>
    <t>PERIODE TAHUN 2025</t>
  </si>
  <si>
    <t>CABANG</t>
  </si>
  <si>
    <t>KEBUTUHAN SDM</t>
  </si>
  <si>
    <t>EXISTING SDM</t>
  </si>
  <si>
    <t xml:space="preserve">TETAP </t>
  </si>
  <si>
    <t>OS FIX</t>
  </si>
  <si>
    <t>OS VARIABEL</t>
  </si>
  <si>
    <t>JUMLAH</t>
  </si>
  <si>
    <t>KETERANGAN</t>
  </si>
  <si>
    <t>PACKAGING SURABAYA</t>
  </si>
  <si>
    <t>Page 8</t>
  </si>
  <si>
    <t>DATA KARYAWAN TMG - PACKAGING</t>
  </si>
  <si>
    <t>Status Karyawan</t>
  </si>
  <si>
    <t>AwalMasuk</t>
  </si>
  <si>
    <t>Awal/Periode</t>
  </si>
  <si>
    <t>Akhir/Sd</t>
  </si>
  <si>
    <t>TahunPengangkatan</t>
  </si>
  <si>
    <t>Op. KBA, QC, Prepress, Gluer</t>
  </si>
  <si>
    <t>Nama Pegawai</t>
  </si>
  <si>
    <t>No Registrasi</t>
  </si>
  <si>
    <t>Jabatan</t>
  </si>
  <si>
    <t>Level</t>
  </si>
  <si>
    <t>Departemen</t>
  </si>
  <si>
    <t>Cost Center</t>
  </si>
  <si>
    <t>AwalDiangkat</t>
  </si>
  <si>
    <t>TanggalLahir</t>
  </si>
  <si>
    <t>No</t>
  </si>
  <si>
    <t>NIP</t>
  </si>
  <si>
    <t>Status</t>
  </si>
  <si>
    <t>Pendidikan</t>
  </si>
  <si>
    <t>L/P</t>
  </si>
  <si>
    <t>0800773</t>
  </si>
  <si>
    <t>ERI SURYA WATI</t>
  </si>
  <si>
    <t>0108143</t>
  </si>
  <si>
    <t>Kadiv Accounting</t>
  </si>
  <si>
    <t>Kasi/Wakasi/Kadiv/W akadiv/Koordinator</t>
  </si>
  <si>
    <t>Accounting/Finan ce</t>
  </si>
  <si>
    <t>Akuntansi</t>
  </si>
  <si>
    <t>Tetap</t>
  </si>
  <si>
    <t>11-JAN-08</t>
  </si>
  <si>
    <t>01-JAN-12</t>
  </si>
  <si>
    <t>TK / 1</t>
  </si>
  <si>
    <t>S1</t>
  </si>
  <si>
    <t>P</t>
  </si>
  <si>
    <t>05-FEB-86</t>
  </si>
  <si>
    <t>RIANISKA_KARAH</t>
  </si>
  <si>
    <t>011900364</t>
  </si>
  <si>
    <t>Staff HRD</t>
  </si>
  <si>
    <t>Staff/Operator</t>
  </si>
  <si>
    <t>HRD &amp; Umum</t>
  </si>
  <si>
    <t>HRD</t>
  </si>
  <si>
    <t>01-JAN-19</t>
  </si>
  <si>
    <t>TK / 0</t>
  </si>
  <si>
    <t>L</t>
  </si>
  <si>
    <t>AHMAD ALAND ANANTA</t>
  </si>
  <si>
    <t>011700210</t>
  </si>
  <si>
    <t>Operational Manager</t>
  </si>
  <si>
    <t>Manager</t>
  </si>
  <si>
    <t>Manager/Branch Manager</t>
  </si>
  <si>
    <t>Branch Manager</t>
  </si>
  <si>
    <t>25-JUL-17</t>
  </si>
  <si>
    <t>K / 2</t>
  </si>
  <si>
    <t>MM</t>
  </si>
  <si>
    <t>03-NOV-92</t>
  </si>
  <si>
    <t>YISKA AVIYANTI</t>
  </si>
  <si>
    <t>011700181</t>
  </si>
  <si>
    <t>Kadiv Marketing</t>
  </si>
  <si>
    <t>Pemasaran</t>
  </si>
  <si>
    <t>05-JUN-17</t>
  </si>
  <si>
    <t>01-JUL-19</t>
  </si>
  <si>
    <t>TK / 2</t>
  </si>
  <si>
    <t>D3</t>
  </si>
  <si>
    <t>19-DEC-79</t>
  </si>
  <si>
    <t>SUPRIYATIN</t>
  </si>
  <si>
    <t>011900002</t>
  </si>
  <si>
    <t>Marketing</t>
  </si>
  <si>
    <t>01-SEP-20</t>
  </si>
  <si>
    <t>Mekanik, Marketing</t>
  </si>
  <si>
    <t>24-NOV-87</t>
  </si>
  <si>
    <t>YONGKI INDRA LESMANA</t>
  </si>
  <si>
    <t>012200015</t>
  </si>
  <si>
    <t>01-JAN-22</t>
  </si>
  <si>
    <t>04-JUN-92</t>
  </si>
  <si>
    <t>0600912</t>
  </si>
  <si>
    <t>JUMADI ADI WIJAYA</t>
  </si>
  <si>
    <t>Gudang Barang Jadi</t>
  </si>
  <si>
    <t>Product Planning Control</t>
  </si>
  <si>
    <t>Gudang B.Jadi</t>
  </si>
  <si>
    <t>26-JAN-06</t>
  </si>
  <si>
    <t>SMKN</t>
  </si>
  <si>
    <t>23-OCT-86</t>
  </si>
  <si>
    <t>INDRA VIRONIKE</t>
  </si>
  <si>
    <t>012100269</t>
  </si>
  <si>
    <t>Kadiv PPIC</t>
  </si>
  <si>
    <t>22-DEC-21</t>
  </si>
  <si>
    <t>01-JAN-23</t>
  </si>
  <si>
    <t>K / 3</t>
  </si>
  <si>
    <t>08-FEB-87</t>
  </si>
  <si>
    <t>0700609</t>
  </si>
  <si>
    <t>BUDI DWI SETIONO</t>
  </si>
  <si>
    <t>0107024</t>
  </si>
  <si>
    <t>Staff PPIC</t>
  </si>
  <si>
    <t>08-JAN-07</t>
  </si>
  <si>
    <t>01-JAN-10</t>
  </si>
  <si>
    <t>SHOPPINGBAG</t>
  </si>
  <si>
    <t>SMK-GF</t>
  </si>
  <si>
    <t>01-AUG-88</t>
  </si>
  <si>
    <t>WILDAN FIRMANSYAH</t>
  </si>
  <si>
    <t>012200016</t>
  </si>
  <si>
    <t>Desain Grafis</t>
  </si>
  <si>
    <t>Produksi</t>
  </si>
  <si>
    <t>Pra Cetak</t>
  </si>
  <si>
    <t>19-OCT-93</t>
  </si>
  <si>
    <t>FAJAR KRISWANTO</t>
  </si>
  <si>
    <t>012100031</t>
  </si>
  <si>
    <t>Finishing</t>
  </si>
  <si>
    <t>01-JAN-21</t>
  </si>
  <si>
    <t>01-JAN-24</t>
  </si>
  <si>
    <t>K / 1</t>
  </si>
  <si>
    <t>SMK</t>
  </si>
  <si>
    <t>10-MAR-88</t>
  </si>
  <si>
    <t>HENDRO BASUKI</t>
  </si>
  <si>
    <t>011500508</t>
  </si>
  <si>
    <t>22-JUL-15</t>
  </si>
  <si>
    <t>25-JUL-19</t>
  </si>
  <si>
    <t>Product Engineering, MKT, 2 operator, Kasir</t>
  </si>
  <si>
    <t>28-JUN-80</t>
  </si>
  <si>
    <t>HL60061</t>
  </si>
  <si>
    <t>IRFAN MAHMUDI</t>
  </si>
  <si>
    <t>20-JUN-05</t>
  </si>
  <si>
    <t>01-JUL-15</t>
  </si>
  <si>
    <t>18-JUL-85</t>
  </si>
  <si>
    <t>0700710</t>
  </si>
  <si>
    <t>MUKHAMAD FAHZRI</t>
  </si>
  <si>
    <t>13-DEC-07</t>
  </si>
  <si>
    <t>21-APR-88</t>
  </si>
  <si>
    <t>0801018</t>
  </si>
  <si>
    <t>HAFID ZAINUDIN</t>
  </si>
  <si>
    <t>0108213</t>
  </si>
  <si>
    <t>Karu Finishing</t>
  </si>
  <si>
    <t>Karu/Wakaru</t>
  </si>
  <si>
    <t>01-JAN-08</t>
  </si>
  <si>
    <t>01-JUN-14</t>
  </si>
  <si>
    <t>20-JAN-84</t>
  </si>
  <si>
    <t>TWL</t>
  </si>
  <si>
    <t>DIDIK SANTOSO</t>
  </si>
  <si>
    <t>011500320</t>
  </si>
  <si>
    <t>Karu Produksi</t>
  </si>
  <si>
    <t>Sheet</t>
  </si>
  <si>
    <t>25-MAY-15</t>
  </si>
  <si>
    <t>01-AUG-17</t>
  </si>
  <si>
    <t>06-FEB-78</t>
  </si>
  <si>
    <t>0500668</t>
  </si>
  <si>
    <t>AGUS SUPIADI</t>
  </si>
  <si>
    <t>Op. Cetak Sheet</t>
  </si>
  <si>
    <t>19-MAY-05</t>
  </si>
  <si>
    <t>01-JAN-11</t>
  </si>
  <si>
    <t>SLTA</t>
  </si>
  <si>
    <t>16-AUG-83</t>
  </si>
  <si>
    <t>KURNIAWAN HARIADI</t>
  </si>
  <si>
    <t>011500674</t>
  </si>
  <si>
    <t>Diajukan kry tetap 2 karyawan (PHL tambah 22 orang untuk mesin die cut baru)</t>
  </si>
  <si>
    <t>02-NOV-15</t>
  </si>
  <si>
    <t>03-APR-92</t>
  </si>
  <si>
    <t>RESIGN</t>
  </si>
  <si>
    <t>PUSPITA RIZKI ANDININGRUM</t>
  </si>
  <si>
    <t>012100032</t>
  </si>
  <si>
    <t>Staff D&amp;D</t>
  </si>
  <si>
    <t>02-JUN-94</t>
  </si>
  <si>
    <t>0500519</t>
  </si>
  <si>
    <t>DARYANTO</t>
  </si>
  <si>
    <t>Kadiv R&amp;D QC</t>
  </si>
  <si>
    <t>Q C</t>
  </si>
  <si>
    <t>15-DEC-05</t>
  </si>
  <si>
    <t>08-SEP-83</t>
  </si>
  <si>
    <t>0700719</t>
  </si>
  <si>
    <t>FERIK MURDIANTO</t>
  </si>
  <si>
    <t>TOTAL SBU PACKAGING</t>
  </si>
  <si>
    <t>Staff R&amp;D dan QC</t>
  </si>
  <si>
    <t>17-DEC-07</t>
  </si>
  <si>
    <t>13-NOV-87</t>
  </si>
  <si>
    <t>BIMAS IRVAN ADE PRASETIA</t>
  </si>
  <si>
    <t>011500499</t>
  </si>
  <si>
    <t>Elektrik</t>
  </si>
  <si>
    <t>Teknik</t>
  </si>
  <si>
    <t>11-DEC-94</t>
  </si>
  <si>
    <t>RACHMAD WAHYU ALAMSAH</t>
  </si>
  <si>
    <t>012100237</t>
  </si>
  <si>
    <t>Karu Elektrik</t>
  </si>
  <si>
    <t>01-AUG-21</t>
  </si>
  <si>
    <t>22-FEB-78</t>
  </si>
  <si>
    <t>0800680</t>
  </si>
  <si>
    <t>FEBRI SUGIARTO</t>
  </si>
  <si>
    <t>0108135</t>
  </si>
  <si>
    <t>Mekanik</t>
  </si>
  <si>
    <t>26-FEB-88</t>
  </si>
  <si>
    <t>0800917</t>
  </si>
  <si>
    <t>MUHAMMAD YUNUS</t>
  </si>
  <si>
    <t>0108154</t>
  </si>
  <si>
    <t>01-JAN-14</t>
  </si>
  <si>
    <t>21-NOV-87</t>
  </si>
  <si>
    <t>Jumlah</t>
  </si>
  <si>
    <t>25 Orang</t>
  </si>
  <si>
    <t>BIAYA GAJI PER BULAN SDM SBU PACKAGING</t>
  </si>
  <si>
    <t>EDI SUWIGNYO HASYIM</t>
  </si>
  <si>
    <t>012100170</t>
  </si>
  <si>
    <t>General Manager Packaging</t>
  </si>
  <si>
    <t>General Manager</t>
  </si>
  <si>
    <t>Kontrak pasca pensiun</t>
  </si>
  <si>
    <t>31-DEC-24</t>
  </si>
  <si>
    <t>SMU</t>
  </si>
  <si>
    <t>23-MAR-73</t>
  </si>
  <si>
    <t>STELLA GABRIELLE HARNAS</t>
  </si>
  <si>
    <t>012300202</t>
  </si>
  <si>
    <t>Kontrak 1</t>
  </si>
  <si>
    <t>18-DEC-23</t>
  </si>
  <si>
    <t>30-JUN-24</t>
  </si>
  <si>
    <t>04-MAY-91</t>
  </si>
  <si>
    <t>PRAMESWARI CHRISNAMURTI</t>
  </si>
  <si>
    <t>012300088</t>
  </si>
  <si>
    <t>Marketing Support</t>
  </si>
  <si>
    <t>Administrasi Pemasaran</t>
  </si>
  <si>
    <t>Kontrak 2</t>
  </si>
  <si>
    <t>01-JUL-23</t>
  </si>
  <si>
    <t>PLAN OMZET</t>
  </si>
  <si>
    <t>21-JUL-94</t>
  </si>
  <si>
    <t>EKO NUR KHAFID</t>
  </si>
  <si>
    <t>% BIAYA SDM KEBUTUHAN</t>
  </si>
  <si>
    <t>012300068</t>
  </si>
  <si>
    <t>Staff Purchasing</t>
  </si>
  <si>
    <t>Pembelian</t>
  </si>
  <si>
    <t>% BIAYA SDM EXISTING</t>
  </si>
  <si>
    <t>19-JUN-23</t>
  </si>
  <si>
    <t>04-APR-89</t>
  </si>
  <si>
    <t>GAJI T/K SAJA 2025</t>
  </si>
  <si>
    <t>ADI JAYA</t>
  </si>
  <si>
    <t>012300017</t>
  </si>
  <si>
    <t>THR 2025</t>
  </si>
  <si>
    <t>Gudang Bahan Baku</t>
  </si>
  <si>
    <t>BPJS (Perusahaan) 2025</t>
  </si>
  <si>
    <t>Gudang B.Baku</t>
  </si>
  <si>
    <t>01-APR-22</t>
  </si>
  <si>
    <t>Rawat Jalan 2025</t>
  </si>
  <si>
    <t>Rawat Inap 2025</t>
  </si>
  <si>
    <t>03-MAR-94</t>
  </si>
  <si>
    <t>JEFFRY PRASETYO</t>
  </si>
  <si>
    <t>012200029</t>
  </si>
  <si>
    <t>Kontrak 3</t>
  </si>
  <si>
    <t>16-FEB-22</t>
  </si>
  <si>
    <t>01-SEP-23</t>
  </si>
  <si>
    <t>31-AUG-24</t>
  </si>
  <si>
    <t>08-MAY-95</t>
  </si>
  <si>
    <t>SALVIAN ILHAM PRAYOGA</t>
  </si>
  <si>
    <t>012300039</t>
  </si>
  <si>
    <t>Per Bulan</t>
  </si>
  <si>
    <t>10-MAY-23</t>
  </si>
  <si>
    <t>29-OCT-92</t>
  </si>
  <si>
    <t>WAHYU SAPTO ADHI</t>
  </si>
  <si>
    <t>012100075</t>
  </si>
  <si>
    <t>Kontrak 4</t>
  </si>
  <si>
    <t>19-APR-21</t>
  </si>
  <si>
    <t>26-MAR-76</t>
  </si>
  <si>
    <t>Page 9</t>
  </si>
  <si>
    <t>ANDRIS WIDIASTANTO</t>
  </si>
  <si>
    <t>012100074</t>
  </si>
  <si>
    <t>12-APR-21</t>
  </si>
  <si>
    <t>29-NOV-94</t>
  </si>
  <si>
    <t>HAZYZUL HUDOYO</t>
  </si>
  <si>
    <t>012100233</t>
  </si>
  <si>
    <t>06-AUG-80</t>
  </si>
  <si>
    <t>BENI SASMITA</t>
  </si>
  <si>
    <t>012300026</t>
  </si>
  <si>
    <t>Kadiv Produksi</t>
  </si>
  <si>
    <t>01-MAR-23</t>
  </si>
  <si>
    <t>07-APR-86</t>
  </si>
  <si>
    <t>GAMA CHRISTIAWAN</t>
  </si>
  <si>
    <t>012200116</t>
  </si>
  <si>
    <t>01-AUG-22</t>
  </si>
  <si>
    <t>19-JUN-82</t>
  </si>
  <si>
    <t>ASEP HIDAYAT</t>
  </si>
  <si>
    <t>012300018</t>
  </si>
  <si>
    <t>DATA TAHUN 2024</t>
  </si>
  <si>
    <t>23-NOV-88</t>
  </si>
  <si>
    <t>KURNIADI</t>
  </si>
  <si>
    <t>012100235</t>
  </si>
  <si>
    <t>11-OCT-78</t>
  </si>
  <si>
    <t>HANAFI MIFTAKHUL ULUM</t>
  </si>
  <si>
    <t>012100253</t>
  </si>
  <si>
    <t>Staff QC</t>
  </si>
  <si>
    <t>01-OCT-21</t>
  </si>
  <si>
    <t>25-MAY-88</t>
  </si>
  <si>
    <t>JONI KURNIANTO</t>
  </si>
  <si>
    <t>012200088</t>
  </si>
  <si>
    <t>Kontrak 5</t>
  </si>
  <si>
    <t>27-JUN-76</t>
  </si>
  <si>
    <t>EKO WIDIYANTO</t>
  </si>
  <si>
    <t>011900336</t>
  </si>
  <si>
    <t>07-OCT-19</t>
  </si>
  <si>
    <t>D1</t>
  </si>
  <si>
    <t>18-JUN-85</t>
  </si>
  <si>
    <t>RIZAL ROSADI</t>
  </si>
  <si>
    <t>012400010</t>
  </si>
  <si>
    <t>Supervisor QC</t>
  </si>
  <si>
    <t>16-JAN-24</t>
  </si>
  <si>
    <t>K / 0</t>
  </si>
  <si>
    <t>TEMAPACK</t>
  </si>
  <si>
    <t>24-NOV-94</t>
  </si>
  <si>
    <t>18 Orang</t>
  </si>
  <si>
    <t>Page 11</t>
  </si>
  <si>
    <t>DATA KARYAWAN TMG - PACKAGING BEKASI</t>
  </si>
  <si>
    <t>PACKAGING KOMERSIAL (PACK KARAH + PACK BEKASI)</t>
  </si>
  <si>
    <t>AGUSTINA RIANI</t>
  </si>
  <si>
    <t>011300955</t>
  </si>
  <si>
    <t>Karu GA</t>
  </si>
  <si>
    <t>Umum</t>
  </si>
  <si>
    <t>01-JUL-13</t>
  </si>
  <si>
    <t>SHOPPINGBAG &amp; TEMAPACK</t>
  </si>
  <si>
    <t>25-AUG-83</t>
  </si>
  <si>
    <t>RIANISKA PACK BEKASI</t>
  </si>
  <si>
    <t>012300095</t>
  </si>
  <si>
    <t>Staff HC</t>
  </si>
  <si>
    <t>SBU PACKAGING</t>
  </si>
  <si>
    <t>FRANS DWI SAPUTRA ATMANAGARA</t>
  </si>
  <si>
    <t>011700323</t>
  </si>
  <si>
    <t>Assisten Manager</t>
  </si>
  <si>
    <t>Manager Produksi</t>
  </si>
  <si>
    <t>01-NOV-17</t>
  </si>
  <si>
    <t>14-NOV-94</t>
  </si>
  <si>
    <t>ABDUL RODJAK</t>
  </si>
  <si>
    <t>011800143</t>
  </si>
  <si>
    <t>Staff Admin Marketing</t>
  </si>
  <si>
    <t>01-MAY-18</t>
  </si>
  <si>
    <t>12-SEP-77</t>
  </si>
  <si>
    <t>SUNARTO</t>
  </si>
  <si>
    <t>011301386</t>
  </si>
  <si>
    <t>01-DEC-13</t>
  </si>
  <si>
    <t>01-JAN-16</t>
  </si>
  <si>
    <t>SMA</t>
  </si>
  <si>
    <t>28-JUN-94</t>
  </si>
  <si>
    <t>0901275</t>
  </si>
  <si>
    <t>LUKMAN</t>
  </si>
  <si>
    <t>010803290</t>
  </si>
  <si>
    <t>Ekspedisi</t>
  </si>
  <si>
    <t>01-JAN-09</t>
  </si>
  <si>
    <t>01-JAN-15</t>
  </si>
  <si>
    <t>27-JUL-90</t>
  </si>
  <si>
    <t>NOVERTA ARIA CHANDRA</t>
  </si>
  <si>
    <t>011800170</t>
  </si>
  <si>
    <t>Karu Pracetak &amp; DD</t>
  </si>
  <si>
    <t>11-JUL-87</t>
  </si>
  <si>
    <t>PAMBUDI</t>
  </si>
  <si>
    <t>011800131</t>
  </si>
  <si>
    <t>11-JAN-77</t>
  </si>
  <si>
    <t>HENDRI</t>
  </si>
  <si>
    <t>011800126</t>
  </si>
  <si>
    <t>Operator Finishing</t>
  </si>
  <si>
    <t>12-MAR-85</t>
  </si>
  <si>
    <t>KAMALUDIN</t>
  </si>
  <si>
    <t>011800117</t>
  </si>
  <si>
    <t>01-JAN-20</t>
  </si>
  <si>
    <t>STM</t>
  </si>
  <si>
    <t>14-APR-77</t>
  </si>
  <si>
    <t>KARDISA</t>
  </si>
  <si>
    <t>011800130</t>
  </si>
  <si>
    <t>SMP</t>
  </si>
  <si>
    <t>08-AUG-80</t>
  </si>
  <si>
    <t>ROMI MAHA RISKY</t>
  </si>
  <si>
    <t>011800158</t>
  </si>
  <si>
    <t>04-JAN-95</t>
  </si>
  <si>
    <t>WIWIK SAPARDI</t>
  </si>
  <si>
    <t>011800169</t>
  </si>
  <si>
    <t>27-SEP-82</t>
  </si>
  <si>
    <t>AGUNG SETIAJI</t>
  </si>
  <si>
    <t>011800174</t>
  </si>
  <si>
    <t>Operator Sheet</t>
  </si>
  <si>
    <t>19-DEC-77</t>
  </si>
  <si>
    <t>0500423</t>
  </si>
  <si>
    <t>TEGUH SANTOSO</t>
  </si>
  <si>
    <t>20-DEC-04</t>
  </si>
  <si>
    <t>01-JAN-07</t>
  </si>
  <si>
    <t>14-MAR-85</t>
  </si>
  <si>
    <t>0500425</t>
  </si>
  <si>
    <t>ROCHMAN</t>
  </si>
  <si>
    <t>Karu QC</t>
  </si>
  <si>
    <t>05-MAY-85</t>
  </si>
  <si>
    <t>SAMTO</t>
  </si>
  <si>
    <t>011800137</t>
  </si>
  <si>
    <t>28-DEC-70</t>
  </si>
  <si>
    <t>SUGENG PRIYONO</t>
  </si>
  <si>
    <t>011800122</t>
  </si>
  <si>
    <t>Quality Control</t>
  </si>
  <si>
    <t>29-MAY-71</t>
  </si>
  <si>
    <t>HARYADI BIN ASMAWI</t>
  </si>
  <si>
    <t>011800119</t>
  </si>
  <si>
    <t>08-NOV-72</t>
  </si>
  <si>
    <t>TIRSON PARDOSI</t>
  </si>
  <si>
    <t>011800157</t>
  </si>
  <si>
    <t>Kadiv Teknik</t>
  </si>
  <si>
    <t>28-JUL-80</t>
  </si>
  <si>
    <t>20 Orang</t>
  </si>
  <si>
    <t>FATHIA RAHMANIA DINUL PUTRI</t>
  </si>
  <si>
    <t>012300201</t>
  </si>
  <si>
    <t>01-DEC-23</t>
  </si>
  <si>
    <t>29-SEP-97</t>
  </si>
  <si>
    <t>ANGGORO PUTUT SUSILO</t>
  </si>
  <si>
    <t>012000011</t>
  </si>
  <si>
    <t>06-JAN-20</t>
  </si>
  <si>
    <t>28-JUN-87</t>
  </si>
  <si>
    <t>DIAN TAMARA WANTANIA</t>
  </si>
  <si>
    <t>012100013</t>
  </si>
  <si>
    <t>17-OCT-65</t>
  </si>
  <si>
    <t>GHEA GIOVANNI LIANTO</t>
  </si>
  <si>
    <t>012200108</t>
  </si>
  <si>
    <t>01-JUL-22</t>
  </si>
  <si>
    <t>28-AUG-91</t>
  </si>
  <si>
    <t>HERU CAHYONO</t>
  </si>
  <si>
    <t>012300015</t>
  </si>
  <si>
    <t>Staff Gudang Bahan Baku</t>
  </si>
  <si>
    <t>-</t>
  </si>
  <si>
    <t>11-JAN-23</t>
  </si>
  <si>
    <t>31-MAR-24</t>
  </si>
  <si>
    <t>11-JAN-92</t>
  </si>
  <si>
    <t>MOCHAMMAD SYAIFUL UBAIDI</t>
  </si>
  <si>
    <t>012100217</t>
  </si>
  <si>
    <t>Staff Gudang Sparepart</t>
  </si>
  <si>
    <t>WARTOYO</t>
  </si>
  <si>
    <t>012100262</t>
  </si>
  <si>
    <t>01-NOV-21</t>
  </si>
  <si>
    <t>26-OCT-90</t>
  </si>
  <si>
    <t>MUNARI</t>
  </si>
  <si>
    <t>012100218</t>
  </si>
  <si>
    <t>02-AUG-76</t>
  </si>
  <si>
    <t>AGUNG TRI HARTANTO</t>
  </si>
  <si>
    <t>012100258</t>
  </si>
  <si>
    <t>21-OCT-21</t>
  </si>
  <si>
    <t>08-AUG-86</t>
  </si>
  <si>
    <t>BENI ADAM</t>
  </si>
  <si>
    <t>012000017</t>
  </si>
  <si>
    <t>14-SEP-93</t>
  </si>
  <si>
    <t>EDI SISWANTO</t>
  </si>
  <si>
    <t>012100054</t>
  </si>
  <si>
    <t>01-FEB-21</t>
  </si>
  <si>
    <t>11-JUN-83</t>
  </si>
  <si>
    <t>MAMAN KURNIAWAN</t>
  </si>
  <si>
    <t>012000029</t>
  </si>
  <si>
    <t>24-FEB-95</t>
  </si>
  <si>
    <t>MUHAMMAD FADLI</t>
  </si>
  <si>
    <t>012300011</t>
  </si>
  <si>
    <t>09-JAN-23</t>
  </si>
  <si>
    <t>21-OCT-96</t>
  </si>
  <si>
    <t>ANSHORI AHMAD</t>
  </si>
  <si>
    <t>012300022</t>
  </si>
  <si>
    <t>Staff Pracetak &amp; DD</t>
  </si>
  <si>
    <t>20-JAN-23</t>
  </si>
  <si>
    <t>12-AUG-00</t>
  </si>
  <si>
    <t>Page 12</t>
  </si>
  <si>
    <t>FAIZAN</t>
  </si>
  <si>
    <t>MOCHAMMAD RIZKI GRATA DWIUTOMO</t>
  </si>
  <si>
    <t>012200030</t>
  </si>
  <si>
    <t>18-FEB-22</t>
  </si>
  <si>
    <t>06-FEB-99</t>
  </si>
  <si>
    <t>15 Orang</t>
  </si>
  <si>
    <t>Page 13</t>
  </si>
  <si>
    <t>DATA KARYAWAN TMG - TEMAPACK</t>
  </si>
  <si>
    <t>RESUME JUMLAH TENAGA KERJA 2025</t>
  </si>
  <si>
    <t xml:space="preserve">KEBUTUHAN VS EXISTING </t>
  </si>
  <si>
    <t>Cabang</t>
  </si>
  <si>
    <t>Kebutuhan tetap/kontrak</t>
  </si>
  <si>
    <t>Kebutuhan os</t>
  </si>
  <si>
    <t>WIJI MURNIATI</t>
  </si>
  <si>
    <t>011401620</t>
  </si>
  <si>
    <t>Total kebutuhan Keseluruhan</t>
  </si>
  <si>
    <t>Keuangan</t>
  </si>
  <si>
    <t>01-JUL-14</t>
  </si>
  <si>
    <t>Existing tetap/kontrak</t>
  </si>
  <si>
    <t>10-APR-83</t>
  </si>
  <si>
    <t>Existing os</t>
  </si>
  <si>
    <t>0900898</t>
  </si>
  <si>
    <t>FEBRIANA GURNING</t>
  </si>
  <si>
    <t>010902178</t>
  </si>
  <si>
    <t>Kasir</t>
  </si>
  <si>
    <t>Total existing keseluruhan</t>
  </si>
  <si>
    <t>01-SEP-09</t>
  </si>
  <si>
    <t>23-FEB-83</t>
  </si>
  <si>
    <t>Rasio kebutuhan/existing karyawan</t>
  </si>
  <si>
    <t>AGUSTINA RIANI TEMAPACK</t>
  </si>
  <si>
    <t>Rasio kebutuhan/existing os</t>
  </si>
  <si>
    <t>012100118</t>
  </si>
  <si>
    <t>04-APR-21</t>
  </si>
  <si>
    <t>DEVIASI</t>
  </si>
  <si>
    <t>RIANISKA_TEMAPACK</t>
  </si>
  <si>
    <t>012200048</t>
  </si>
  <si>
    <t>Jenis Kelamin</t>
  </si>
  <si>
    <t>0800826</t>
  </si>
  <si>
    <t>IMAM MUHAJIR</t>
  </si>
  <si>
    <t>010802841</t>
  </si>
  <si>
    <t>Marketing Temapack</t>
  </si>
  <si>
    <t>24-JUN-08</t>
  </si>
  <si>
    <t>Jumlah All</t>
  </si>
  <si>
    <t>28-OCT-89</t>
  </si>
  <si>
    <t>Rasio All</t>
  </si>
  <si>
    <t>SUHARNO</t>
  </si>
  <si>
    <t>011200869</t>
  </si>
  <si>
    <t>Packaging Surabaya</t>
  </si>
  <si>
    <t>19-MAR-12</t>
  </si>
  <si>
    <t>08-NOV-85</t>
  </si>
  <si>
    <t>ROBY ANDRIANTO</t>
  </si>
  <si>
    <t>011900330</t>
  </si>
  <si>
    <t>Karu PPIC</t>
  </si>
  <si>
    <t>01-AUG-19</t>
  </si>
  <si>
    <t>7 Orang</t>
  </si>
  <si>
    <t>ANGGIT KRISMANTO</t>
  </si>
  <si>
    <t>012100003</t>
  </si>
  <si>
    <t>20-AUG-98</t>
  </si>
  <si>
    <t>PRODUKSI TEMAPACK</t>
  </si>
  <si>
    <t>012400012</t>
  </si>
  <si>
    <t>Operator Flexo</t>
  </si>
  <si>
    <t>Packaging</t>
  </si>
  <si>
    <t>2 Orang</t>
  </si>
  <si>
    <t>Laki laki</t>
  </si>
  <si>
    <t>Page 16</t>
  </si>
  <si>
    <t>DATA KARYAWAN TMG - SHOPPINGBAG - BKS</t>
  </si>
  <si>
    <t>Perempuan</t>
  </si>
  <si>
    <t>Total</t>
  </si>
  <si>
    <t>AGUSTINA RIANI SHOPINGBAG</t>
  </si>
  <si>
    <t>012100263</t>
  </si>
  <si>
    <t>Staff Hrd</t>
  </si>
  <si>
    <t>RIANISKA SHOPINGBAG</t>
  </si>
  <si>
    <t>012300096</t>
  </si>
  <si>
    <t>MOH. SYAIFUDDIN ROSYADI</t>
  </si>
  <si>
    <t>Pack Surabaya</t>
  </si>
  <si>
    <t>012100239</t>
  </si>
  <si>
    <t>Manager Shopping Bag</t>
  </si>
  <si>
    <t>24-MAR-79</t>
  </si>
  <si>
    <t>Packaging Bekasi</t>
  </si>
  <si>
    <t>FEBRI SUSANTO</t>
  </si>
  <si>
    <t>011800145</t>
  </si>
  <si>
    <t>Admin Marketing</t>
  </si>
  <si>
    <t>14-FEB-89</t>
  </si>
  <si>
    <t>LINTANG WIDJANARKO</t>
  </si>
  <si>
    <t>012100143</t>
  </si>
  <si>
    <t>12-JUL-21</t>
  </si>
  <si>
    <t>08-FEB-94</t>
  </si>
  <si>
    <t>ok</t>
  </si>
  <si>
    <t>ANDRE SHOPBAG BEKASI</t>
  </si>
  <si>
    <t>012300205</t>
  </si>
  <si>
    <t>Staff Gudang Barang Jadi</t>
  </si>
  <si>
    <t>Pack Bekasi</t>
  </si>
  <si>
    <t>MUHAMMAD FADHIL</t>
  </si>
  <si>
    <t>Shoppingbag</t>
  </si>
  <si>
    <t>011100835</t>
  </si>
  <si>
    <t>21-SEP-11</t>
  </si>
  <si>
    <t>17-JAN-91</t>
  </si>
  <si>
    <t>MUHAMMAD FADHIL shp bag</t>
  </si>
  <si>
    <t>012300137</t>
  </si>
  <si>
    <t>Shopping bag</t>
  </si>
  <si>
    <t>0800862</t>
  </si>
  <si>
    <t>KRISWANTO</t>
  </si>
  <si>
    <t>010900037</t>
  </si>
  <si>
    <t>Op. Mesin Flexo</t>
  </si>
  <si>
    <t>11-NOV-08</t>
  </si>
  <si>
    <t>05-DEC-90</t>
  </si>
  <si>
    <t xml:space="preserve">TWL </t>
  </si>
  <si>
    <t>NOVAN PUTRA FERDIANSYAH</t>
  </si>
  <si>
    <t>Temapack</t>
  </si>
  <si>
    <t>011900323</t>
  </si>
  <si>
    <t>23-NOV-87</t>
  </si>
  <si>
    <t xml:space="preserve">BIAYA SDM </t>
  </si>
  <si>
    <t>Kebutuhan Fix cost karyawan</t>
  </si>
  <si>
    <t>Kebutuhan Fix cost OS</t>
  </si>
  <si>
    <t>Total Kebutuhan Biaya</t>
  </si>
  <si>
    <t>Existing Fix Cost Karyawan</t>
  </si>
  <si>
    <t>Existing Fix Cost PHL</t>
  </si>
  <si>
    <t>Total Biaya Existing</t>
  </si>
  <si>
    <t>rasio fix cost karyawan</t>
  </si>
  <si>
    <t>rasio fix cost OS</t>
  </si>
  <si>
    <t>Omset/bulan</t>
  </si>
  <si>
    <t>Biaya/Omset</t>
  </si>
  <si>
    <t>DANU PRASETYO</t>
  </si>
  <si>
    <t>011400428</t>
  </si>
  <si>
    <t>Op. Mesin Folding</t>
  </si>
  <si>
    <t>02-JAN-14</t>
  </si>
  <si>
    <t>15-NOV-95</t>
  </si>
  <si>
    <t>0801271</t>
  </si>
  <si>
    <t>FERDIANSYAH</t>
  </si>
  <si>
    <t>0508163</t>
  </si>
  <si>
    <t>Op. Mesin Handle</t>
  </si>
  <si>
    <t>01-FEB-08</t>
  </si>
  <si>
    <t>17-DEC-88</t>
  </si>
  <si>
    <t>0400939</t>
  </si>
  <si>
    <t>ZAENAL ABIDIN</t>
  </si>
  <si>
    <t>0508150</t>
  </si>
  <si>
    <t>23-MAR-04</t>
  </si>
  <si>
    <t>23-SEP-84</t>
  </si>
  <si>
    <t>MUBARI</t>
  </si>
  <si>
    <t>011900351</t>
  </si>
  <si>
    <t>11-NOV-19</t>
  </si>
  <si>
    <t>MA</t>
  </si>
  <si>
    <t>11-MAR-88</t>
  </si>
  <si>
    <t>DIAN ALAMANDA</t>
  </si>
  <si>
    <t>011600831</t>
  </si>
  <si>
    <t>Pracetak &amp; DND Shopping Bag</t>
  </si>
  <si>
    <t>14-OCT-16</t>
  </si>
  <si>
    <t>07-MAY-78</t>
  </si>
  <si>
    <t>0500239</t>
  </si>
  <si>
    <t>WAHYU HIDAYAT</t>
  </si>
  <si>
    <t>Wakadiv Produksi</t>
  </si>
  <si>
    <t>01-JAN-02</t>
  </si>
  <si>
    <t>01-JAN-05</t>
  </si>
  <si>
    <t>14-FEB-83</t>
  </si>
  <si>
    <t>SIGIT PRIYO ADHI</t>
  </si>
  <si>
    <t>012000091</t>
  </si>
  <si>
    <t>S2</t>
  </si>
  <si>
    <t>06-NOV-88</t>
  </si>
  <si>
    <t>D2</t>
  </si>
  <si>
    <t>0500431</t>
  </si>
  <si>
    <t>MOCHAMAD SHOCHEB</t>
  </si>
  <si>
    <t>SD</t>
  </si>
  <si>
    <t>23-DEC-03</t>
  </si>
  <si>
    <t>01-JAN-06</t>
  </si>
  <si>
    <t>24-SEP-81</t>
  </si>
  <si>
    <t>RIAMA ELFRIEDE TINAMBUNAN</t>
  </si>
  <si>
    <t>012200092</t>
  </si>
  <si>
    <t>01-MAY-22</t>
  </si>
  <si>
    <t>27-AUG-96</t>
  </si>
  <si>
    <t>IRENA WINDRIA PRAMADITA</t>
  </si>
  <si>
    <t>012000239</t>
  </si>
  <si>
    <t>12-OCT-20</t>
  </si>
  <si>
    <t>16-JUN-94</t>
  </si>
  <si>
    <t>JOVANKA INKA LUDYA PANGALILA</t>
  </si>
  <si>
    <t>012200171</t>
  </si>
  <si>
    <t>12-DEC-22</t>
  </si>
  <si>
    <t>23-JUN-96</t>
  </si>
  <si>
    <t>ANDRE PRAYOGO WICAKSONO</t>
  </si>
  <si>
    <t>012100001</t>
  </si>
  <si>
    <t>01-AUG-90</t>
  </si>
  <si>
    <t>AAN EFENDI</t>
  </si>
  <si>
    <t>012100213</t>
  </si>
  <si>
    <t>Karu Produksi Shopping Bag</t>
  </si>
  <si>
    <t>20-AUG-79</t>
  </si>
  <si>
    <t>ALFIAN NUR FAUZAN</t>
  </si>
  <si>
    <t>012300191</t>
  </si>
  <si>
    <t>01-NOV-23</t>
  </si>
  <si>
    <t>31-OCT-24</t>
  </si>
  <si>
    <t>01-OCT-01</t>
  </si>
  <si>
    <t>ANANG FATUR</t>
  </si>
  <si>
    <t>011900324</t>
  </si>
  <si>
    <t>06-AUG-19</t>
  </si>
  <si>
    <t>18-FEB-97</t>
  </si>
  <si>
    <t>DWI APRIZAL</t>
  </si>
  <si>
    <t>012200174</t>
  </si>
  <si>
    <t>19-DEC-22</t>
  </si>
  <si>
    <t>%</t>
  </si>
  <si>
    <t>01-APR-01</t>
  </si>
  <si>
    <t>HAJRIYADIN</t>
  </si>
  <si>
    <t>012100162</t>
  </si>
  <si>
    <t>01-SEP-21</t>
  </si>
  <si>
    <t>02-APR-98</t>
  </si>
  <si>
    <t>RYAN HERDIANSYAH</t>
  </si>
  <si>
    <t>012200114</t>
  </si>
  <si>
    <t>22-OCT-01</t>
  </si>
  <si>
    <t>TAUFIK HIDAYAT</t>
  </si>
  <si>
    <t>012300188</t>
  </si>
  <si>
    <t>01-OCT-23</t>
  </si>
  <si>
    <t>30-SEP-24</t>
  </si>
  <si>
    <t>27-APR-00</t>
  </si>
  <si>
    <t>VIJAY MAULANA</t>
  </si>
  <si>
    <t>012200103</t>
  </si>
  <si>
    <t>05-FEB-95</t>
  </si>
  <si>
    <t>AZIZ BUSTOMI</t>
  </si>
  <si>
    <t>012200105</t>
  </si>
  <si>
    <t>16-MAY-97</t>
  </si>
  <si>
    <t>MULYADI</t>
  </si>
  <si>
    <t>012100049</t>
  </si>
  <si>
    <t>25-JAN-21</t>
  </si>
  <si>
    <t>02-APR-95</t>
  </si>
  <si>
    <t>MUSTOPA</t>
  </si>
  <si>
    <t>012200104</t>
  </si>
  <si>
    <t>10-SEP-94</t>
  </si>
  <si>
    <t xml:space="preserve">JUMLAH DATA OS SBU PACKAGING AKTIF </t>
  </si>
  <si>
    <t>Page 17</t>
  </si>
  <si>
    <t>SYAHRUL YUSLIYANTORO</t>
  </si>
  <si>
    <t>012300204</t>
  </si>
  <si>
    <t>29-MAY-92</t>
  </si>
  <si>
    <t>ALDI HERDIANSAH</t>
  </si>
  <si>
    <t>012100104</t>
  </si>
  <si>
    <t>Op. Mesin Sheeter</t>
  </si>
  <si>
    <t>Umur</t>
  </si>
  <si>
    <t>17-MAY-21</t>
  </si>
  <si>
    <t xml:space="preserve">Rentang Usia </t>
  </si>
  <si>
    <t>11-APR-00</t>
  </si>
  <si>
    <t>AHMAD RAPIKA</t>
  </si>
  <si>
    <t>012100153</t>
  </si>
  <si>
    <t>Op. Mesin Twist Rope</t>
  </si>
  <si>
    <t>21-JUL-21</t>
  </si>
  <si>
    <t>14-OCT-94</t>
  </si>
  <si>
    <t>Page 18</t>
  </si>
  <si>
    <t>DATA KARYAWAN PT. TEMA WADAH LESTARI</t>
  </si>
  <si>
    <t>Area</t>
  </si>
  <si>
    <t>&lt; 21 th</t>
  </si>
  <si>
    <t>21-30 th</t>
  </si>
  <si>
    <t>31-40 th</t>
  </si>
  <si>
    <t>41-50 th</t>
  </si>
  <si>
    <t>&gt; 50 th</t>
  </si>
  <si>
    <t>TOTAL SBU PACK</t>
  </si>
  <si>
    <t>GITHA PARAMITA KUMALASANTI</t>
  </si>
  <si>
    <t>011402649</t>
  </si>
  <si>
    <t>Kadiv Accounting TWL</t>
  </si>
  <si>
    <t>22-DEC-14</t>
  </si>
  <si>
    <t>01-JAN-17</t>
  </si>
  <si>
    <t>24-JAN-93</t>
  </si>
  <si>
    <t>LIA KURNIAWATI</t>
  </si>
  <si>
    <t>011300134</t>
  </si>
  <si>
    <t>Karu Piutang TWL</t>
  </si>
  <si>
    <t>TOTAL SDM KARYAWAN &amp; PHL S/D FEBRUARI 2024</t>
  </si>
  <si>
    <t>Piutang</t>
  </si>
  <si>
    <t>13-FEB-13</t>
  </si>
  <si>
    <t>19-JUN-84</t>
  </si>
  <si>
    <t>OS</t>
  </si>
  <si>
    <t>ANI KUMALASARI</t>
  </si>
  <si>
    <t>011100766</t>
  </si>
  <si>
    <t>Staff Keuangan &amp; Kasir TWL</t>
  </si>
  <si>
    <t>05-SEP-11</t>
  </si>
  <si>
    <t>15-FEB-85</t>
  </si>
  <si>
    <t>ARIS MARTONO</t>
  </si>
  <si>
    <t>012200041</t>
  </si>
  <si>
    <t>Direktur Tema Wadah Lestari</t>
  </si>
  <si>
    <t>Direksi</t>
  </si>
  <si>
    <t>17-MAR-82</t>
  </si>
  <si>
    <t>HASTARI AJENG MUKTI RAHAYU</t>
  </si>
  <si>
    <t>011900001</t>
  </si>
  <si>
    <t>Karu HC TWL</t>
  </si>
  <si>
    <t>25-FEB-96</t>
  </si>
  <si>
    <t>0801032</t>
  </si>
  <si>
    <t>DIAN DWI CAHYONO</t>
  </si>
  <si>
    <t>0608309</t>
  </si>
  <si>
    <t>Wakaru GA TWL</t>
  </si>
  <si>
    <t>12-JUN-08</t>
  </si>
  <si>
    <t>01-APR-13</t>
  </si>
  <si>
    <t>28-APR-84</t>
  </si>
  <si>
    <t>CHOIRUL ALAM</t>
  </si>
  <si>
    <t>012100169</t>
  </si>
  <si>
    <t>Kadiv Marketing TWL</t>
  </si>
  <si>
    <t>08-FEB-79</t>
  </si>
  <si>
    <t>DERRY ANDI FIRMANSYAH</t>
  </si>
  <si>
    <t>011100061</t>
  </si>
  <si>
    <t>Marketing TWL</t>
  </si>
  <si>
    <t>21-NOV-89</t>
  </si>
  <si>
    <t>FIKRI NUR SULAIMAN</t>
  </si>
  <si>
    <t>011201285</t>
  </si>
  <si>
    <t>01-JUL-12</t>
  </si>
  <si>
    <t>01-JAN-18</t>
  </si>
  <si>
    <t>04-APR-91</t>
  </si>
  <si>
    <t>MUCHAMAD YASEH</t>
  </si>
  <si>
    <t>011100656</t>
  </si>
  <si>
    <t>UPDATE 10/03/2022</t>
  </si>
  <si>
    <t>JUMLAH SDM KARYAWAN SBU PACKAGING</t>
  </si>
  <si>
    <t>01-MAY-11</t>
  </si>
  <si>
    <t>22-OCT-87</t>
  </si>
  <si>
    <t>YOYOK KURNIA AGUNG</t>
  </si>
  <si>
    <t>011000956</t>
  </si>
  <si>
    <t>Penambahan 1 karyawan mesin CD 5 &amp; 1 posisi Kadiv Teknik</t>
  </si>
  <si>
    <t>01-AUG-10</t>
  </si>
  <si>
    <t xml:space="preserve">Penambahan 1 karyawan purchasing  &amp; 1 karyawan piutang </t>
  </si>
  <si>
    <t>25-JAN-86</t>
  </si>
  <si>
    <t>0500258</t>
  </si>
  <si>
    <t>HERI SISWANTO</t>
  </si>
  <si>
    <t>Karu Gudang TWL</t>
  </si>
  <si>
    <t>13-DEC-01</t>
  </si>
  <si>
    <t>Penambahan  1 Leader Marketing &amp; 1 karyawan  design</t>
  </si>
  <si>
    <t>14-JUN-82</t>
  </si>
  <si>
    <t>HL64459</t>
  </si>
  <si>
    <t>SETIYO UTOMO</t>
  </si>
  <si>
    <t>011100666</t>
  </si>
  <si>
    <t>Karu PPIC TWL</t>
  </si>
  <si>
    <t>01-NOV-10</t>
  </si>
  <si>
    <t>15-JUN-92</t>
  </si>
  <si>
    <t>HL65199</t>
  </si>
  <si>
    <t>HASAN FAUZI</t>
  </si>
  <si>
    <t>011300503</t>
  </si>
  <si>
    <t>NO</t>
  </si>
  <si>
    <t>Staff Gudang TWL</t>
  </si>
  <si>
    <t xml:space="preserve">JUMLAH DATA KBM SBU PACKAGING AKTIF </t>
  </si>
  <si>
    <t>25-APR-13</t>
  </si>
  <si>
    <t>24-FEB-85</t>
  </si>
  <si>
    <t>KIKI MARIYA</t>
  </si>
  <si>
    <t>012100012</t>
  </si>
  <si>
    <t>Administrasi Ekspedisi TWL</t>
  </si>
  <si>
    <t>23-AUG-92</t>
  </si>
  <si>
    <t>HL64448</t>
  </si>
  <si>
    <t>Penambahan 2 HL mesin Lem</t>
  </si>
  <si>
    <t>CANDRA NUR FIDIYANTO</t>
  </si>
  <si>
    <t>011100701</t>
  </si>
  <si>
    <t>Karu Produksi TWL</t>
  </si>
  <si>
    <t>Web</t>
  </si>
  <si>
    <t>Staff</t>
  </si>
  <si>
    <t>Wakaru</t>
  </si>
  <si>
    <t>28-APR-92</t>
  </si>
  <si>
    <t>Karu</t>
  </si>
  <si>
    <t>Wakadiv</t>
  </si>
  <si>
    <t>Kadiv</t>
  </si>
  <si>
    <t>Asmen</t>
  </si>
  <si>
    <t>Penambahan 2 HL mesin Molding J08 Line 1</t>
  </si>
  <si>
    <t>MOCH CHOIRUR RIJAL</t>
  </si>
  <si>
    <t>011300597</t>
  </si>
  <si>
    <t>01-MAY-13</t>
  </si>
  <si>
    <t>30-DEC-94</t>
  </si>
  <si>
    <t>SAHRONI KUSUMA WARDANI</t>
  </si>
  <si>
    <t>011100667</t>
  </si>
  <si>
    <t>Operator Laminasi TWL</t>
  </si>
  <si>
    <t>TOTAL SDM KARYAWAN &amp; PHL S/D MARET 2022</t>
  </si>
  <si>
    <t>KBM</t>
  </si>
  <si>
    <t>16-JAN-92</t>
  </si>
  <si>
    <t>HL64578</t>
  </si>
  <si>
    <t>IMAM MUSAFANI</t>
  </si>
  <si>
    <t>011100834</t>
  </si>
  <si>
    <t>Operator Potong TWL</t>
  </si>
  <si>
    <t>01-OCT-11</t>
  </si>
  <si>
    <t>28-DEC-87</t>
  </si>
  <si>
    <t>HL65198</t>
  </si>
  <si>
    <t>ACHMAD ARIF VIYANTO</t>
  </si>
  <si>
    <t>011300585</t>
  </si>
  <si>
    <t>Wakaru Produksi TWL</t>
  </si>
  <si>
    <t>18-MAR-95</t>
  </si>
  <si>
    <t>ANDIKA YULI PRASETYA</t>
  </si>
  <si>
    <t>011300587</t>
  </si>
  <si>
    <t>02-JUL-95</t>
  </si>
  <si>
    <t>0901001</t>
  </si>
  <si>
    <t>SASMINTO WIJAYADI</t>
  </si>
  <si>
    <t>010901565</t>
  </si>
  <si>
    <t>Staff QC TWL</t>
  </si>
  <si>
    <t>01-JUL-09</t>
  </si>
  <si>
    <t>02-JUN-83</t>
  </si>
  <si>
    <t>0801033</t>
  </si>
  <si>
    <t>EKO BAYU ARIFFIANTO</t>
  </si>
  <si>
    <t>010800354</t>
  </si>
  <si>
    <t>Karu Teknik</t>
  </si>
  <si>
    <t>28-JUL-08</t>
  </si>
  <si>
    <t>18-MAR-90</t>
  </si>
  <si>
    <t>JAHROWI</t>
  </si>
  <si>
    <t>011100668</t>
  </si>
  <si>
    <t>Mekanik TWL</t>
  </si>
  <si>
    <t>05-APR-91</t>
  </si>
  <si>
    <t>24 Orang</t>
  </si>
  <si>
    <t>MUHAMAD ARFAN FADILAH</t>
  </si>
  <si>
    <t>012200163</t>
  </si>
  <si>
    <t>IT TWL</t>
  </si>
  <si>
    <t>Information Technology</t>
  </si>
  <si>
    <t>14-NOV-22</t>
  </si>
  <si>
    <t>08-JUN-97</t>
  </si>
  <si>
    <t>RIDWAN EKA BAHTIAR</t>
  </si>
  <si>
    <t>012100171</t>
  </si>
  <si>
    <t>Kadiv Protek TWL</t>
  </si>
  <si>
    <t>13-OCT-75</t>
  </si>
  <si>
    <t>EDWIN YOGASWARA</t>
  </si>
  <si>
    <t>012300004</t>
  </si>
  <si>
    <t>Operator Autopack TWL</t>
  </si>
  <si>
    <t>25-MAY-94</t>
  </si>
  <si>
    <t>MOCHAMAD YAYANG IQBAL MAULANA</t>
  </si>
  <si>
    <t>012400003</t>
  </si>
  <si>
    <t>24-DEC-98</t>
  </si>
  <si>
    <t>4 Orang</t>
  </si>
  <si>
    <t>PERIODE TAHUN 2024</t>
  </si>
  <si>
    <t>Penambahan 2 QC OS, 1 Marketing</t>
  </si>
  <si>
    <t>Penambahan staff accounting, IT (Kontrak) &amp; Staff Piutang (OS)</t>
  </si>
  <si>
    <t>Penambahan 2 Marketing Retail (masing-masing 1 untuk shopbag dan TMP)</t>
  </si>
  <si>
    <t>1 Level Staff, 2 Level PHL</t>
  </si>
  <si>
    <t>Level Staff</t>
  </si>
  <si>
    <t>2 Level Staff, 1 Level PHL</t>
  </si>
  <si>
    <t>CATATAN :</t>
  </si>
  <si>
    <t>*) Biaya Gaji Kebutuhan SDM ditambahkan sesuai hitungan berikut :</t>
  </si>
  <si>
    <t>- Staff/Operator</t>
  </si>
  <si>
    <t>= UMK Daerah</t>
  </si>
  <si>
    <t>- Karu/Wakaru</t>
  </si>
  <si>
    <t>= 25% + UMK Daerah</t>
  </si>
  <si>
    <t>- Kadiv/Wakadiv</t>
  </si>
  <si>
    <t>= 50% + UMK Daerah</t>
  </si>
  <si>
    <t>- Asst. Mng./ Manager</t>
  </si>
  <si>
    <t>= 75% + UMK Daerah</t>
  </si>
  <si>
    <t>RESUME JUMLAH TENAGA KERJA 2024</t>
  </si>
  <si>
    <t>LAMINATING MACHINE (HUAWEI  FM1000)</t>
  </si>
  <si>
    <t>KEBUTUHAN : STAFF IT, STAFF ACCOUNTING (KONTRAK) &amp; STAFF PIUTANG (OS)</t>
  </si>
  <si>
    <t>CETAK SHEET 1 (HEIDELBERGH)</t>
  </si>
  <si>
    <t>CETAK SHEET 2 (KOEIG &amp; BAUER)</t>
  </si>
  <si>
    <t>DIECUT 1 (ETERNA)</t>
  </si>
  <si>
    <t>DIECUT 2 (BRAUSSE)/(JINYEU)</t>
  </si>
  <si>
    <t>IJIMA &amp; DEGEL</t>
  </si>
  <si>
    <t>VARIMATRIX</t>
  </si>
  <si>
    <t>SELISIH SDM</t>
  </si>
  <si>
    <t>FOLDER GLUER 1 (JK1000)</t>
  </si>
  <si>
    <t>ADMIN MARKETING</t>
  </si>
  <si>
    <t>FOLDER GLUER 2 (JK650)</t>
  </si>
  <si>
    <t>GA/UMUM</t>
  </si>
  <si>
    <t>UMUM - DRIVER</t>
  </si>
  <si>
    <t>UMUM - KEBERSIHAN</t>
  </si>
  <si>
    <t>J08 SHOPBAG</t>
  </si>
  <si>
    <t>RUIZI</t>
  </si>
  <si>
    <t>JOKO SUSENO</t>
  </si>
  <si>
    <t>HL</t>
  </si>
  <si>
    <t>ERMI RACHMAWATI</t>
  </si>
  <si>
    <t>CHOIRUL ANAM</t>
  </si>
  <si>
    <t>OPERATOR LAMINATING</t>
  </si>
  <si>
    <t>SULAMI</t>
  </si>
  <si>
    <t>DEDDI ARIFIN</t>
  </si>
  <si>
    <t>OPERATOR JK 650</t>
  </si>
  <si>
    <t>MAT SUKIR</t>
  </si>
  <si>
    <t>OPERATOR MSN POTONG</t>
  </si>
  <si>
    <t>FERIE NUNUK WINARSIH</t>
  </si>
  <si>
    <t>MUCHAMAD KHOIRUL RIDAYAT</t>
  </si>
  <si>
    <t>NAWATI</t>
  </si>
  <si>
    <t>PUJI ASTUTI</t>
  </si>
  <si>
    <t>REKAWATI</t>
  </si>
  <si>
    <t>SITI NGAISAH</t>
  </si>
  <si>
    <t>Penambahan 1 karyawan untuk Leader Marketing</t>
  </si>
  <si>
    <t>ATIKA SETIYAWATI</t>
  </si>
  <si>
    <t>Penambahan 1 karyawan untuk Design</t>
  </si>
  <si>
    <t>ROGIYAH</t>
  </si>
  <si>
    <t>Penambahan 2 HL mesin Molding</t>
  </si>
  <si>
    <t>DENIS OKTO SYAILENDRA</t>
  </si>
  <si>
    <t>OPERATOR MSN PLONG</t>
  </si>
  <si>
    <t>SULVIAH ANGGRAINI</t>
  </si>
  <si>
    <t>MUHAMMAD KEMAL SURALAGA</t>
  </si>
  <si>
    <t>HELPER MSN CETAK KBA</t>
  </si>
  <si>
    <t>MOHAMMAD DIDIK KURNIAWAN</t>
  </si>
  <si>
    <t>RIKY HERMAWAN</t>
  </si>
  <si>
    <t>PRIA BAGUS HERMANTO</t>
  </si>
  <si>
    <t>CHOIRUL HIDAYAT</t>
  </si>
  <si>
    <t>HELPER JK 650</t>
  </si>
  <si>
    <t>ANANG NUR CHOLIS</t>
  </si>
  <si>
    <t>SULISTIONO</t>
  </si>
  <si>
    <t>SUWARTO</t>
  </si>
  <si>
    <t>AYANK REHANDY</t>
  </si>
  <si>
    <t>HELPER LAMINATING</t>
  </si>
  <si>
    <t>AJI HENDRA WIJAYA</t>
  </si>
  <si>
    <t>SUMEDI</t>
  </si>
  <si>
    <t>OPERATOR MSN CETAK KBA</t>
  </si>
  <si>
    <t>AMANDA SAGITA CANDRA</t>
  </si>
  <si>
    <t>IMAM SUBEKHI</t>
  </si>
  <si>
    <t xml:space="preserve">OPERATOR MSN PLONG </t>
  </si>
  <si>
    <t>RIZKY RIYANTO</t>
  </si>
  <si>
    <t>RAHMAN ALIYAN NASHIR</t>
  </si>
  <si>
    <t>HELPER MSN POTONG</t>
  </si>
  <si>
    <t>MOH. ADI</t>
  </si>
  <si>
    <t>DAVID RIFKY FERDINAND</t>
  </si>
  <si>
    <t>MUHAMAT FANDIKA PUTRA</t>
  </si>
  <si>
    <t>AFIFAH SISKA PUSPITA SARI</t>
  </si>
  <si>
    <t>SEVIA YUSSINTA SARI</t>
  </si>
  <si>
    <t>ADMIN PPIC</t>
  </si>
  <si>
    <t>AHMAD HADI WIJAYA</t>
  </si>
  <si>
    <t>ROCHMAD AMIR</t>
  </si>
  <si>
    <t>‌MOCHAMMAD DANNI PRIANTO</t>
  </si>
  <si>
    <t>‌RIYAN DWI SUSAMTO</t>
  </si>
  <si>
    <t>WINARNO</t>
  </si>
  <si>
    <t>FEBRIANTO</t>
  </si>
  <si>
    <t>M. DWI HARIANTO</t>
  </si>
  <si>
    <t>AGUS SUTONO</t>
  </si>
  <si>
    <t>WAIMUN</t>
  </si>
  <si>
    <t>ANDIKA NUR PRASETYO</t>
  </si>
  <si>
    <t>PRE-PRESS</t>
  </si>
  <si>
    <t>DIMAS UMAR FEBRIYANTO</t>
  </si>
  <si>
    <t>SEFIRA ADELIA PUTRI</t>
  </si>
  <si>
    <t>NANDA AFIED PRAKOSO</t>
  </si>
  <si>
    <t>WIWIN APRILIANSYAH</t>
  </si>
  <si>
    <t>NOVITA PUJI RISWATI</t>
  </si>
  <si>
    <t>MUJIBUR ROCHMAN</t>
  </si>
  <si>
    <t>LUNETTA WAFI TIA MUDJIANTO</t>
  </si>
  <si>
    <t>RIRIN ISMIATI</t>
  </si>
  <si>
    <t>MUHAMMAD ILYAS JAKARIA</t>
  </si>
  <si>
    <t>MOCHMAD EKKY OKTAFIANSYAH</t>
  </si>
  <si>
    <t>TRI WULAN ANGGRAINI</t>
  </si>
  <si>
    <t>LUVENNA WAFA TIA MUDJIANTO</t>
  </si>
  <si>
    <t>MARISKA BELLA LORENZA</t>
  </si>
  <si>
    <t>ROSITA AMALIYAH</t>
  </si>
  <si>
    <t>BRAHIM</t>
  </si>
  <si>
    <t>ADMIN GUDANG</t>
  </si>
  <si>
    <t>ILHAM INDRAWAN RAHMATULLOH</t>
  </si>
  <si>
    <t>DHEA SALSHABILA</t>
  </si>
  <si>
    <t>MOCH ARIES IRWANSYAH</t>
  </si>
  <si>
    <t>MOHAMAD ADITYA FIRMANSYAH</t>
  </si>
  <si>
    <t>YAHYA EKO SAPUTRA</t>
  </si>
  <si>
    <t>NADHILA AGUSTINA</t>
  </si>
  <si>
    <t>ADMIN KEUANGAN/KASIR</t>
  </si>
  <si>
    <t>DENDY DAMARA</t>
  </si>
  <si>
    <t>SUGITO</t>
  </si>
  <si>
    <t>TIARA DELLA</t>
  </si>
  <si>
    <t>ARIF RAHMAT HERLAMBANG</t>
  </si>
  <si>
    <t>GUDANG/BONGKAR MUAT</t>
  </si>
  <si>
    <t>GUDANG BONGKAR MUAT</t>
  </si>
  <si>
    <t>HADI MULYONO</t>
  </si>
  <si>
    <t>MISBAHUL ULUM</t>
  </si>
  <si>
    <t>OPERATOR MSN CETAK HEIDEL</t>
  </si>
  <si>
    <t>ANGGA NUR YAHYA</t>
  </si>
  <si>
    <t>ILA ALMAY</t>
  </si>
  <si>
    <t>M RATMOYO</t>
  </si>
  <si>
    <t>RENIA CHRISTINE</t>
  </si>
  <si>
    <t>FERDI ANTONI PUTRA</t>
  </si>
  <si>
    <t>AGUNG FIRMANSYAH</t>
  </si>
  <si>
    <t>NOFYAN HAFI SAPUTRO</t>
  </si>
  <si>
    <t>M. ARIF WAHYU</t>
  </si>
  <si>
    <t>DICKY KURNIAWAN</t>
  </si>
  <si>
    <t>NURYATIM</t>
  </si>
  <si>
    <t>DAVID PUTRA</t>
  </si>
  <si>
    <t>FARI INDRIANTO</t>
  </si>
  <si>
    <t>RAMDAN MAHDA VICKYA</t>
  </si>
  <si>
    <t>FINISHING MANUAL</t>
  </si>
  <si>
    <t>AYU NURSETYA INDRASARI</t>
  </si>
  <si>
    <t>SHOFIYAH ISTIBSYAROH</t>
  </si>
  <si>
    <t>OKIE ADITYA ARRACHMAN</t>
  </si>
  <si>
    <t>SITI MAISAROH</t>
  </si>
  <si>
    <t>NURUL AFIFAH</t>
  </si>
  <si>
    <t>RIZKI ANGGRAINI NUR ROHMA</t>
  </si>
  <si>
    <t>LUTFIYAH ARRUM SAKINAH</t>
  </si>
  <si>
    <t>NOER RISMANDHA FEBRIANTI</t>
  </si>
  <si>
    <t>TRIMURTI IMANI AYUNDA UTAMA</t>
  </si>
  <si>
    <t>SITI SOLICHA</t>
  </si>
  <si>
    <t>SYAKILLA WIDYA WATI</t>
  </si>
  <si>
    <t>IRA LESTARI</t>
  </si>
  <si>
    <t>PUJI EVI</t>
  </si>
  <si>
    <t>CHERYL TIARA EVELINA</t>
  </si>
  <si>
    <t>DETIK INDRIANINGSIH</t>
  </si>
  <si>
    <t>DINDA DIVA AMANDA</t>
  </si>
  <si>
    <t>TANIA RADINA PINGKY</t>
  </si>
  <si>
    <t>ZALWA SAVINA</t>
  </si>
  <si>
    <t>YOSIA MARGARETA</t>
  </si>
  <si>
    <t>ANGGRAENI NOVITA PUTRI</t>
  </si>
  <si>
    <t>LILA FADILA</t>
  </si>
  <si>
    <t>SULALAH</t>
  </si>
  <si>
    <t>SEPTIAN ARGA</t>
  </si>
  <si>
    <t>INDAH SAMROTUL ILMIA</t>
  </si>
  <si>
    <t>LULUK ZUBAEDAH</t>
  </si>
  <si>
    <t>NINDYA OKKY</t>
  </si>
  <si>
    <t>HELDA RUSMA LESMANA</t>
  </si>
  <si>
    <t>NURUL KARTIKA</t>
  </si>
  <si>
    <t>NIDA USAADAH</t>
  </si>
  <si>
    <t>YOGA SURIA PUTRA</t>
  </si>
  <si>
    <t>SHERLY FITRIANA DEWI</t>
  </si>
  <si>
    <t>YULIANA RISKAWATI</t>
  </si>
  <si>
    <t>OLLIVIA RETA A</t>
  </si>
  <si>
    <t>REINANDA OCTAVIANI</t>
  </si>
  <si>
    <t>NOVIA ANGGIRA</t>
  </si>
  <si>
    <t>ARIATI</t>
  </si>
  <si>
    <t>SAFITRI BUDI HERMAWAN</t>
  </si>
  <si>
    <t>PUTRI AMELIA</t>
  </si>
  <si>
    <t>AISYAH NURIL</t>
  </si>
  <si>
    <t>AKHIR SEPTIANI</t>
  </si>
  <si>
    <t>NURUL FATIMAH</t>
  </si>
  <si>
    <t>STATUS KARYAWAN</t>
  </si>
  <si>
    <t>K.KPP</t>
  </si>
  <si>
    <t>K.T</t>
  </si>
  <si>
    <t>K.K</t>
  </si>
  <si>
    <t>LAMINATING 1 (WINDOW)</t>
  </si>
  <si>
    <t>LAMINATING 2 (HUAWEI)</t>
  </si>
  <si>
    <t>Anton Hartono</t>
  </si>
  <si>
    <t>DND</t>
  </si>
  <si>
    <t>Uca Casmita</t>
  </si>
  <si>
    <t>OP Mesin Cetak</t>
  </si>
  <si>
    <t>Engken Faturahman</t>
  </si>
  <si>
    <t>Ass. OP Mesin Cetak</t>
  </si>
  <si>
    <t>Ari Dewantara</t>
  </si>
  <si>
    <t>Helper Cetak</t>
  </si>
  <si>
    <t>Refti Mulia Ahmad</t>
  </si>
  <si>
    <t>Muh. Chaerul Basyari</t>
  </si>
  <si>
    <t>Abdul Rojak</t>
  </si>
  <si>
    <t>Op Degel,Ijima</t>
  </si>
  <si>
    <t>Muh. Shergi</t>
  </si>
  <si>
    <t>Helper Varimatrix</t>
  </si>
  <si>
    <t>Arpi Syaipulloh</t>
  </si>
  <si>
    <t>Helper Mc Laminator</t>
  </si>
  <si>
    <t>Amar Zamakhasyari</t>
  </si>
  <si>
    <t>Dedi Hasman</t>
  </si>
  <si>
    <t>OP Mesin Laminator</t>
  </si>
  <si>
    <t>Reza Pahlevy</t>
  </si>
  <si>
    <t>Helper  Mesin Laminator</t>
  </si>
  <si>
    <t>Sultan Bahrudin</t>
  </si>
  <si>
    <t>Sularto</t>
  </si>
  <si>
    <t>Ramdhan Nurhakim</t>
  </si>
  <si>
    <t>Ramadhan Nurachmat</t>
  </si>
  <si>
    <t>Budi Mugi</t>
  </si>
  <si>
    <t>OP UV Varnish</t>
  </si>
  <si>
    <t>Erwin Santoso</t>
  </si>
  <si>
    <t>OP Mc Potong</t>
  </si>
  <si>
    <t>Ahmad Suryaman</t>
  </si>
  <si>
    <t>Helper Mc Sheeter</t>
  </si>
  <si>
    <t>Zaenal Abidin</t>
  </si>
  <si>
    <t>Roger Antonius Daeli</t>
  </si>
  <si>
    <t>Kupas</t>
  </si>
  <si>
    <t>Iskandar</t>
  </si>
  <si>
    <t>Mario Irwanto</t>
  </si>
  <si>
    <t>Wisnu Kurniawan</t>
  </si>
  <si>
    <t>Rangga Lesmana</t>
  </si>
  <si>
    <t>Irfan Budi Setiawan</t>
  </si>
  <si>
    <t>Kholifarurozi Zulfahmi</t>
  </si>
  <si>
    <t>Rahmat Hidayat</t>
  </si>
  <si>
    <t>Adam Bukhori Muslim</t>
  </si>
  <si>
    <t>Wahyu Eko</t>
  </si>
  <si>
    <t>Moh.Rizky</t>
  </si>
  <si>
    <t>Abdillah Ikram</t>
  </si>
  <si>
    <t>Dodi Rohadi</t>
  </si>
  <si>
    <t>OP Mesin Lem</t>
  </si>
  <si>
    <t>Ateng</t>
  </si>
  <si>
    <t>Padillah Ilham Abdullah</t>
  </si>
  <si>
    <t>Helper MC Lem</t>
  </si>
  <si>
    <t>Muh.Roihan Fahmi</t>
  </si>
  <si>
    <t>Muh Roihan Fahri</t>
  </si>
  <si>
    <t>Astuty Adha</t>
  </si>
  <si>
    <t>Selsilia Maharani</t>
  </si>
  <si>
    <t>Pratiwi Nurhidayah</t>
  </si>
  <si>
    <t>Putri Rosa</t>
  </si>
  <si>
    <t>Faradilla</t>
  </si>
  <si>
    <t>Tasya aulia</t>
  </si>
  <si>
    <t>Dini Dwi</t>
  </si>
  <si>
    <t>Farida Puspita sari</t>
  </si>
  <si>
    <t>Haida Farida</t>
  </si>
  <si>
    <t>Salsabila aulia</t>
  </si>
  <si>
    <t>Rizka Rachman</t>
  </si>
  <si>
    <t>Regita Putri</t>
  </si>
  <si>
    <t>Ani Suryani</t>
  </si>
  <si>
    <t>Leader Sortir</t>
  </si>
  <si>
    <t>Ruci Tamara</t>
  </si>
  <si>
    <t>Nuridah</t>
  </si>
  <si>
    <t>Nina Susilawati</t>
  </si>
  <si>
    <t>Sortir</t>
  </si>
  <si>
    <t>Nuni Oktaviani</t>
  </si>
  <si>
    <t>Farah Faradila</t>
  </si>
  <si>
    <t>Tiananda Erlita Pratiwi</t>
  </si>
  <si>
    <t>Cindy Sintia Dewi</t>
  </si>
  <si>
    <t>Yuniarti Rosmalia</t>
  </si>
  <si>
    <t>Fatimah Fadiatu</t>
  </si>
  <si>
    <t>Reva Juliana</t>
  </si>
  <si>
    <t>Andini Agustin</t>
  </si>
  <si>
    <t>Siti Rahayu Ananda</t>
  </si>
  <si>
    <t>Keke sagita Rahayu</t>
  </si>
  <si>
    <t>Ita Usanti</t>
  </si>
  <si>
    <t>Sunarti</t>
  </si>
  <si>
    <t>Nuriyah</t>
  </si>
  <si>
    <t>Dinda Sefira</t>
  </si>
  <si>
    <t>Wanti Farida</t>
  </si>
  <si>
    <t>Novi Fitria</t>
  </si>
  <si>
    <t>Nurdiah</t>
  </si>
  <si>
    <t>Megga Trianna Abdullah</t>
  </si>
  <si>
    <t>Dewi Ade Novitasari</t>
  </si>
  <si>
    <t>Meisya prihatini</t>
  </si>
  <si>
    <t>Lisvia Zahra D</t>
  </si>
  <si>
    <t>Maulida Utami</t>
  </si>
  <si>
    <t>Hanifah</t>
  </si>
  <si>
    <t>Wagiyem</t>
  </si>
  <si>
    <t>QC Cetak</t>
  </si>
  <si>
    <t>Wijiyanti</t>
  </si>
  <si>
    <t>QC Finishing</t>
  </si>
  <si>
    <t>Rina</t>
  </si>
  <si>
    <t>Silvi Putri</t>
  </si>
  <si>
    <t>Rini Defriani</t>
  </si>
  <si>
    <t>Siti Jubaedah</t>
  </si>
  <si>
    <t>Labeling &amp; Delivery</t>
  </si>
  <si>
    <t>Sendi Yogo Pangestu</t>
  </si>
  <si>
    <t>Material Handling</t>
  </si>
  <si>
    <t>Cecep Juliansyah</t>
  </si>
  <si>
    <t>Didik Hermawan</t>
  </si>
  <si>
    <t>Shegy Juliandri</t>
  </si>
  <si>
    <t>Setyo Budi</t>
  </si>
  <si>
    <t>Yanto</t>
  </si>
  <si>
    <t>Muh. Ihsan Kamil</t>
  </si>
  <si>
    <t>Verlan Bramasta</t>
  </si>
  <si>
    <t>Yusnia Siti Syarifa</t>
  </si>
  <si>
    <t>Admin Produksi</t>
  </si>
  <si>
    <t>Nova Elysah</t>
  </si>
  <si>
    <t>Admin Purchasing</t>
  </si>
  <si>
    <t>Putri Mayeska</t>
  </si>
  <si>
    <t>Admin Ekspedisi</t>
  </si>
  <si>
    <t>Annizalya Hayyu Rahmawati</t>
  </si>
  <si>
    <t>Admin  Keuangan</t>
  </si>
  <si>
    <t>Destiana Watik Ekasari</t>
  </si>
  <si>
    <t>Daffa</t>
  </si>
  <si>
    <t>Acc Support</t>
  </si>
  <si>
    <t>Sukarya</t>
  </si>
  <si>
    <t>Hendri S</t>
  </si>
  <si>
    <t>Lucky</t>
  </si>
  <si>
    <t>Bima Eka manggala Putra</t>
  </si>
  <si>
    <t>Sandy Prasetya Nugraha</t>
  </si>
  <si>
    <t>Hendrik</t>
  </si>
  <si>
    <t>Security</t>
  </si>
  <si>
    <t>Indri Agustin</t>
  </si>
  <si>
    <t>ANSHORI AHMAD FAIZAN</t>
  </si>
  <si>
    <t>Ilham Hoeri</t>
  </si>
  <si>
    <t>Op. Sheeter</t>
  </si>
  <si>
    <t>Dicky</t>
  </si>
  <si>
    <t>Dede hidayat</t>
  </si>
  <si>
    <t>Op. Potong</t>
  </si>
  <si>
    <t>Fitriyani</t>
  </si>
  <si>
    <t>Helper MC FJ13</t>
  </si>
  <si>
    <t>Ismail Syaiful</t>
  </si>
  <si>
    <t>Chadra Wibawa</t>
  </si>
  <si>
    <t>Rendy Syaputra</t>
  </si>
  <si>
    <t>Dinda Primaya</t>
  </si>
  <si>
    <t>Siti</t>
  </si>
  <si>
    <t>Desy Thalia</t>
  </si>
  <si>
    <t>Helper MC FJ 14</t>
  </si>
  <si>
    <t>Suhendar</t>
  </si>
  <si>
    <t>Nuraini</t>
  </si>
  <si>
    <t>Dimas saputra</t>
  </si>
  <si>
    <t>Helper MC FJ 13</t>
  </si>
  <si>
    <t>Dwi Rama Anugrah putra</t>
  </si>
  <si>
    <t>Angga Alfiyaner</t>
  </si>
  <si>
    <t>Fadlan Aldiansyah</t>
  </si>
  <si>
    <t>Yandi Achmad F</t>
  </si>
  <si>
    <t>Iqbal Dwi Apriansyah</t>
  </si>
  <si>
    <t>Andri Setiyawan</t>
  </si>
  <si>
    <t>Serly Rama Sari</t>
  </si>
  <si>
    <t>Helper Mesin J08.T</t>
  </si>
  <si>
    <t>Melissa Iskarlina</t>
  </si>
  <si>
    <t>Helper Mesin J13</t>
  </si>
  <si>
    <t>Ujang Heri Nurdiansyah</t>
  </si>
  <si>
    <t>Helper Mesin Jo8 1</t>
  </si>
  <si>
    <t>Op. Handle</t>
  </si>
  <si>
    <t>Wildan Febriansyah</t>
  </si>
  <si>
    <t>Sigit Marwanto</t>
  </si>
  <si>
    <t>Evi Suryati</t>
  </si>
  <si>
    <t>Sortir Handle</t>
  </si>
  <si>
    <t>Ririn Syarifah</t>
  </si>
  <si>
    <t>Aulia Husna Wahyudi</t>
  </si>
  <si>
    <t>Helper Mesin Jo8 2</t>
  </si>
  <si>
    <t>Putri Liani</t>
  </si>
  <si>
    <t>Riri Wahyuni</t>
  </si>
  <si>
    <t>Rima Sari y</t>
  </si>
  <si>
    <t>Nasih Saputri</t>
  </si>
  <si>
    <t>Siti Zahroh</t>
  </si>
  <si>
    <t>Tasya</t>
  </si>
  <si>
    <t>Nurjanah</t>
  </si>
  <si>
    <t>Riani Agustin</t>
  </si>
  <si>
    <t>Aulia Ismi Azizah</t>
  </si>
  <si>
    <t>Mutia Nur Kamilah</t>
  </si>
  <si>
    <t>Habibah Nur wahyuni</t>
  </si>
  <si>
    <t>Siti Rahayu</t>
  </si>
  <si>
    <t>Dwi Yuniarti</t>
  </si>
  <si>
    <t>Umi Hani</t>
  </si>
  <si>
    <t>Soffy Fadelia Putri</t>
  </si>
  <si>
    <t>DwiYanti Agustina</t>
  </si>
  <si>
    <t>Fadillah Izha</t>
  </si>
  <si>
    <t>Helper Handle</t>
  </si>
  <si>
    <t>Sarmansyah</t>
  </si>
  <si>
    <t>Iin Saputra</t>
  </si>
  <si>
    <t>Ali farhan</t>
  </si>
  <si>
    <t>Fahmi Suprapto</t>
  </si>
  <si>
    <t>Ramzi Al haidar</t>
  </si>
  <si>
    <t>Dudih Jenal A</t>
  </si>
  <si>
    <t>Packing</t>
  </si>
  <si>
    <t>Dini Sulistiani</t>
  </si>
  <si>
    <t>Egga Trafella</t>
  </si>
  <si>
    <t>Engger Bingor Wicaksono</t>
  </si>
  <si>
    <t>Muh.Rizki Suryadi</t>
  </si>
  <si>
    <t>Abu Khoibar</t>
  </si>
  <si>
    <t>Ifan Nurdiansyah</t>
  </si>
  <si>
    <t>Fajar Anugrah</t>
  </si>
  <si>
    <t>Imamul Kharomi</t>
  </si>
  <si>
    <t>Dicky Herdiansyah</t>
  </si>
  <si>
    <t>Helper Flexo</t>
  </si>
  <si>
    <t>M,Rizaldi</t>
  </si>
  <si>
    <t>Erlangga Sucipto</t>
  </si>
  <si>
    <t>Amar</t>
  </si>
  <si>
    <t>Op. Twist Rope</t>
  </si>
  <si>
    <t>Suryadi</t>
  </si>
  <si>
    <t>Lukman Abidin</t>
  </si>
  <si>
    <t>Ari Habib Madiam</t>
  </si>
  <si>
    <t>MC Slitting</t>
  </si>
  <si>
    <t>Siti Sarah Amanda</t>
  </si>
  <si>
    <t>Dwi Purwanti</t>
  </si>
  <si>
    <t>Anisah Marini</t>
  </si>
  <si>
    <t>Onah Onasih</t>
  </si>
  <si>
    <t>Delivery</t>
  </si>
  <si>
    <t>Jovi Agustian</t>
  </si>
  <si>
    <t>Helper Flexo Tema</t>
  </si>
  <si>
    <t>Yudi Handoko</t>
  </si>
  <si>
    <t>Novita Dewi Pratiwi</t>
  </si>
  <si>
    <t>Gudang</t>
  </si>
  <si>
    <t>Fuad Bachtiar</t>
  </si>
  <si>
    <t>Desma Damayanti</t>
  </si>
  <si>
    <t>Admin PPIC</t>
  </si>
  <si>
    <t>Indi Maulani</t>
  </si>
  <si>
    <t>Admin Support Mkt</t>
  </si>
  <si>
    <t>Puput Amaliah</t>
  </si>
  <si>
    <t>Admin Support Keuangan</t>
  </si>
  <si>
    <t>Ratna Kamelia L</t>
  </si>
  <si>
    <t>Waluyo</t>
  </si>
  <si>
    <t>Subur</t>
  </si>
  <si>
    <t>M.Yazid</t>
  </si>
  <si>
    <t>Hafiz Gufron</t>
  </si>
  <si>
    <t>Rizky Putra Pratama</t>
  </si>
  <si>
    <t>Nur Ikhsan</t>
  </si>
  <si>
    <t>Ajouan Herlangga</t>
  </si>
  <si>
    <t>Helper Mesin Jo8  1</t>
  </si>
  <si>
    <t>Rizki Hidayat</t>
  </si>
  <si>
    <t>Saipullah</t>
  </si>
  <si>
    <t>Bintang Mahardika</t>
  </si>
  <si>
    <t>Amran Evhandra S</t>
  </si>
  <si>
    <t>Jesen Abi Fasya</t>
  </si>
  <si>
    <t>Helper Mesin Jo8  2</t>
  </si>
  <si>
    <t>Eqi Syahrudin</t>
  </si>
  <si>
    <t>Ahmad</t>
  </si>
  <si>
    <t>Johan Damar Yoga</t>
  </si>
  <si>
    <t>Rizky Fadilah</t>
  </si>
  <si>
    <t>Yogi Pangestu</t>
  </si>
  <si>
    <t>Tri Hartanto</t>
  </si>
  <si>
    <t>INJANA DWI PALUPI</t>
  </si>
  <si>
    <t>ADMIN</t>
  </si>
  <si>
    <t>MOH FACHRU ARINDRA</t>
  </si>
  <si>
    <t>RAKA PUTRA WIBOWO</t>
  </si>
  <si>
    <t>SABELA ADNATA PUTRI</t>
  </si>
  <si>
    <t>M SURANI</t>
  </si>
  <si>
    <t>SOPIR EKSPEDISI</t>
  </si>
  <si>
    <t>MOCH SODIK</t>
  </si>
  <si>
    <t>TRI YUDI SLAMET</t>
  </si>
  <si>
    <t>ASEP FRANS SETIADI</t>
  </si>
  <si>
    <t>HELPER EKSPEDISI</t>
  </si>
  <si>
    <t>MOCHAMAD FATIKHUL FAVIAN JIVANI</t>
  </si>
  <si>
    <t>NICO DWI EFENDI</t>
  </si>
  <si>
    <t>PURDIYANTO</t>
  </si>
  <si>
    <t>SUBANDI</t>
  </si>
  <si>
    <t>AGUS SURYONO</t>
  </si>
  <si>
    <t>SATPAM</t>
  </si>
  <si>
    <t>BUKHORI</t>
  </si>
  <si>
    <t>HARIADI</t>
  </si>
  <si>
    <t>IMAM MUKLIS</t>
  </si>
  <si>
    <t>LUKAS FERYANDRI</t>
  </si>
  <si>
    <t>NOVAN BAHRUDIN</t>
  </si>
  <si>
    <t>TOTOM WAHYU UTOMO</t>
  </si>
  <si>
    <t>BANGUN SURYADI</t>
  </si>
  <si>
    <t>MUJIB</t>
  </si>
  <si>
    <t>RUDIANTO</t>
  </si>
  <si>
    <t>AAN ROZAKTA ANGGA P</t>
  </si>
  <si>
    <t>OPERATOR SHEETER</t>
  </si>
  <si>
    <t>ADITYA CAHYA PANDU ANJASMARA</t>
  </si>
  <si>
    <t>HELPER KOPEK</t>
  </si>
  <si>
    <t>AHMAD NURKHAMIM</t>
  </si>
  <si>
    <t>OPERATOR POLAR</t>
  </si>
  <si>
    <t>AHMAD ZAINI</t>
  </si>
  <si>
    <t>OPERATOR AUTOPACK</t>
  </si>
  <si>
    <t>ALDANI KURNIA RAHMAN</t>
  </si>
  <si>
    <t>ALDIAN BOBY MULYONO</t>
  </si>
  <si>
    <t>ALFAN TAUFIK</t>
  </si>
  <si>
    <t>BAGUS WAHYU MUNTOHARI</t>
  </si>
  <si>
    <t>OPERATOR SAMIR</t>
  </si>
  <si>
    <t>BAKHUR SETIAWAN</t>
  </si>
  <si>
    <t>BHIMA</t>
  </si>
  <si>
    <t>HELPER AUTOPACK</t>
  </si>
  <si>
    <t>BIMBIM SATRIO RAMADHAN</t>
  </si>
  <si>
    <t>BINTANG ALFA DINATA</t>
  </si>
  <si>
    <t>OPERATOR LAMINASI</t>
  </si>
  <si>
    <t>BINTANG ALFITO DINOFA</t>
  </si>
  <si>
    <t>BISRI MUSTOFA</t>
  </si>
  <si>
    <t>HELPER TIMBANG</t>
  </si>
  <si>
    <t>DAFFA PUTRA NUR FERDIANSYAH</t>
  </si>
  <si>
    <t>DANIEL SIH JANUAR</t>
  </si>
  <si>
    <t>DENI SAPUTRA</t>
  </si>
  <si>
    <t>DERIS YULIANTO</t>
  </si>
  <si>
    <t>DIAN NUR FADILA</t>
  </si>
  <si>
    <t>EGA ALI BAGAS PUTRA</t>
  </si>
  <si>
    <t>OPERATOR DIE CUT</t>
  </si>
  <si>
    <t>EKO SUGIONO</t>
  </si>
  <si>
    <t>FADOLI ALFAN FARID</t>
  </si>
  <si>
    <t>FATUR ARDIANSYAH</t>
  </si>
  <si>
    <t>FILLAH AQIL MUCHLIS</t>
  </si>
  <si>
    <t>GABRIEL ULIBA</t>
  </si>
  <si>
    <t>GALIH SUHENDRI</t>
  </si>
  <si>
    <t>GALUH SUHENDRO</t>
  </si>
  <si>
    <t>HABIB YASHILUN NAJAH IYAYA</t>
  </si>
  <si>
    <t>HADI PURWANTO</t>
  </si>
  <si>
    <t>HENDRICH ADAM PRASETYA</t>
  </si>
  <si>
    <t>INDAH KURNIAWATI</t>
  </si>
  <si>
    <t>IRFAN NUDIN</t>
  </si>
  <si>
    <t>KHARISMA NUR HIDAYAH</t>
  </si>
  <si>
    <t>LUCKY FIRMANSYAH</t>
  </si>
  <si>
    <t>LUKI DWI ARDIANTO</t>
  </si>
  <si>
    <t>M. KHOIRUDIN NUR CAHYO</t>
  </si>
  <si>
    <t>MELLISA SAVITRI</t>
  </si>
  <si>
    <t>MISLAHUDIN</t>
  </si>
  <si>
    <t>MOCHAMAD AMIRUDIN</t>
  </si>
  <si>
    <t>MOCHAMAD ANGGER MACHOBILLAH</t>
  </si>
  <si>
    <t>MOCHAMAD SYAIFUL</t>
  </si>
  <si>
    <t>MOCHAMMAD DENI SAPUTRA</t>
  </si>
  <si>
    <t>MOH ULIL ALBAB</t>
  </si>
  <si>
    <t>MOHAMMAD BAYU PRATAMA</t>
  </si>
  <si>
    <t>MOHAMMAD ALDI RAMADHANI</t>
  </si>
  <si>
    <t>MOHAMMAD FAWAS ROESDIYANSAH</t>
  </si>
  <si>
    <t>MUHAMMAD ALI MUSYAHIDIN</t>
  </si>
  <si>
    <t>MUHAMAD RIO SAPUTRA</t>
  </si>
  <si>
    <t>MUHAMMAD ARIF</t>
  </si>
  <si>
    <t>OLGA KIKI KUSUMANINGATI</t>
  </si>
  <si>
    <t>RENALDI EKO WIJAYA</t>
  </si>
  <si>
    <t>REVIANANDA AGUSTA YP</t>
  </si>
  <si>
    <t>RIKI FARA SANDI</t>
  </si>
  <si>
    <t>RINA KURNIASARI</t>
  </si>
  <si>
    <t>RIZKI SEPTIAN HADI</t>
  </si>
  <si>
    <t>ROHMA YUNITASARI</t>
  </si>
  <si>
    <t>RUMANI</t>
  </si>
  <si>
    <t>RYAN DWI CAHYONO</t>
  </si>
  <si>
    <t>SAIFUL ANWAR</t>
  </si>
  <si>
    <t>SAIFUL JINAN ARROSID</t>
  </si>
  <si>
    <t>SOFYAN</t>
  </si>
  <si>
    <t>SULISTYONO</t>
  </si>
  <si>
    <t>SUROSO WAHYUDI</t>
  </si>
  <si>
    <t>SYAHRUL QOMARUDIN</t>
  </si>
  <si>
    <t>TATA DEA ADIDHARMA</t>
  </si>
  <si>
    <t>TRIYO ANDRIAN NUR NANDIKA</t>
  </si>
  <si>
    <t>ULFI ARDIYANI HIDAYAH</t>
  </si>
  <si>
    <t>UTAMI LEANIDA</t>
  </si>
  <si>
    <t>VIKI AHMAD MAULANA</t>
  </si>
  <si>
    <t>WANTO</t>
  </si>
  <si>
    <t>WARTINI</t>
  </si>
  <si>
    <t>WIDA NURJANAH</t>
  </si>
  <si>
    <t>YAHYA ADI SUBAKTI</t>
  </si>
  <si>
    <t>YUDHA RAHMAN</t>
  </si>
  <si>
    <t>PHL BARU</t>
  </si>
  <si>
    <t>K.KPP (Kontrak Pasca Pensiun)</t>
  </si>
  <si>
    <t>K.T (Karyawan  Tetap)</t>
  </si>
  <si>
    <t xml:space="preserve">K.K (Karyawan Kontrak) </t>
  </si>
  <si>
    <t>HL (Harian Lepas)</t>
  </si>
  <si>
    <t xml:space="preserve">STRUKTUR PACKAGING KARAH </t>
  </si>
  <si>
    <t>KETERANGAN :</t>
  </si>
  <si>
    <t>KARYAWAN MELEKAT DICABANG LAIN</t>
  </si>
  <si>
    <t>KARYAWAN TETAP</t>
  </si>
  <si>
    <t>KARYAWAN KONTRAK</t>
  </si>
  <si>
    <t>KARYAWAN HL</t>
  </si>
  <si>
    <t>KONTRAK PASCA PENSIUN</t>
  </si>
  <si>
    <t>TOTAL KARYAWAN</t>
  </si>
  <si>
    <t>PEKERJA HARIAN LEPAS</t>
  </si>
  <si>
    <t>TOTAL KESELURUHAN</t>
  </si>
  <si>
    <t>KARYAWAN PASCA PENSIUN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</si>
</sst>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-421]dd\ mmmm\ yyyy"/>
    <numFmt numFmtId="165" formatCode="_-* #,##0_-;\-* #,##0_-;_-* &quot;-&quot;??_-;_-@"/>
    <numFmt numFmtId="166" formatCode="#,###_);\(#,###\)"/>
    <numFmt numFmtId="167" formatCode="0_ "/>
    <numFmt numFmtId="168" formatCode="_(* #,##0_);_(* \(#,##0\);_(* &quot;-&quot;??_);_(@_)"/>
    <numFmt numFmtId="169" formatCode="dd\-mmm\-yy"/>
    <numFmt numFmtId="170" formatCode="dd\-mmmm\-yy"/>
    <numFmt numFmtId="171" formatCode="d\-mmmm\-yy"/>
  </numFmts>
  <fonts count="27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/>
    <font>
      <b/>
      <sz val="12.0"/>
      <color rgb="FF000000"/>
      <name val="Calibri"/>
    </font>
    <font>
      <b/>
      <sz val="12.0"/>
      <color rgb="FFFF0000"/>
      <name val="Calibri"/>
    </font>
    <font>
      <sz val="12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sz val="10.0"/>
      <color theme="1"/>
      <name val="Times New Roman"/>
    </font>
    <font>
      <color theme="1"/>
      <name val="Calibri"/>
      <scheme val="minor"/>
    </font>
    <font>
      <sz val="10.0"/>
      <color theme="1"/>
      <name val="Arial"/>
    </font>
    <font>
      <b/>
      <sz val="11.0"/>
      <color rgb="FF000000"/>
      <name val="Calibri"/>
    </font>
    <font>
      <sz val="8.0"/>
      <color theme="1"/>
      <name val="Times New Roman"/>
    </font>
    <font>
      <b/>
      <sz val="8.0"/>
      <color theme="1"/>
      <name val="Times New Roman"/>
    </font>
    <font>
      <sz val="8.0"/>
      <color rgb="FF000000"/>
      <name val="Times New Roman"/>
    </font>
    <font>
      <b/>
      <sz val="10.0"/>
      <color theme="1"/>
      <name val="Times New Roman"/>
    </font>
    <font>
      <sz val="11.0"/>
      <color rgb="FF000000"/>
      <name val="Calibri"/>
    </font>
    <font>
      <sz val="10.0"/>
      <color rgb="FF000000"/>
      <name val="Times New Roman"/>
    </font>
    <font>
      <b/>
      <sz val="10.0"/>
      <color theme="1"/>
      <name val="Calibri"/>
    </font>
    <font>
      <b/>
      <sz val="16.0"/>
      <color theme="1"/>
      <name val="Calibri"/>
    </font>
    <font>
      <sz val="11.0"/>
      <color theme="1"/>
      <name val="Times New Roman"/>
    </font>
    <font>
      <b/>
      <sz val="11.0"/>
      <color theme="1"/>
      <name val="Times New Roman"/>
    </font>
    <font>
      <b/>
      <sz val="16.0"/>
      <color rgb="FF000000"/>
      <name val="Calibri"/>
    </font>
    <font>
      <b/>
      <sz val="11.0"/>
      <color rgb="FF000000"/>
      <name val="Times New Roman"/>
    </font>
    <font>
      <sz val="11.0"/>
      <color rgb="FF000000"/>
      <name val="Times New Roman"/>
    </font>
  </fonts>
  <fills count="2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BD4B4"/>
        <bgColor rgb="FFFBD4B4"/>
      </patternFill>
    </fill>
    <fill>
      <patternFill patternType="solid">
        <fgColor rgb="FFFFF2CC"/>
        <bgColor rgb="FFFFF2CC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rgb="FFC8C8C8"/>
        <bgColor rgb="FFC8C8C8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DBEDF6"/>
        <bgColor rgb="FFDBEDF6"/>
      </patternFill>
    </fill>
    <fill>
      <patternFill patternType="solid">
        <fgColor rgb="FFCFE2F3"/>
        <bgColor rgb="FFCFE2F3"/>
      </patternFill>
    </fill>
    <fill>
      <patternFill patternType="solid">
        <fgColor rgb="FF9CC2E5"/>
        <bgColor rgb="FF9CC2E5"/>
      </patternFill>
    </fill>
    <fill>
      <patternFill patternType="solid">
        <fgColor rgb="FFFFD965"/>
        <bgColor rgb="FFFFD965"/>
      </patternFill>
    </fill>
    <fill>
      <patternFill patternType="solid">
        <fgColor rgb="FFC00000"/>
        <bgColor rgb="FFC00000"/>
      </patternFill>
    </fill>
    <fill>
      <patternFill patternType="solid">
        <fgColor rgb="FF9BC2E6"/>
        <bgColor rgb="FF9BC2E6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</fills>
  <borders count="3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top/>
      <bottom style="thin">
        <color rgb="FF000000"/>
      </bottom>
    </border>
    <border>
      <left/>
      <right/>
      <top/>
    </border>
    <border>
      <left/>
      <right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0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horizontal="center" vertical="center"/>
    </xf>
    <xf borderId="1" fillId="2" fontId="2" numFmtId="0" xfId="0" applyBorder="1" applyFill="1" applyFont="1"/>
    <xf borderId="1" fillId="2" fontId="1" numFmtId="0" xfId="0" applyBorder="1" applyFill="1" applyFont="1"/>
    <xf borderId="2" fillId="3" fontId="2" numFmtId="0" xfId="0" applyAlignment="1" applyBorder="1" applyFill="1" applyFont="1">
      <alignment horizontal="center"/>
    </xf>
    <xf borderId="2" fillId="4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4" fontId="2" numFmtId="0" xfId="0" applyAlignment="1" applyBorder="1" applyFill="1" applyFont="1">
      <alignment horizontal="center"/>
    </xf>
    <xf borderId="5" fillId="0" fontId="2" numFmtId="0" xfId="0" applyAlignment="1" applyBorder="1" applyFont="1">
      <alignment horizontal="center" vertical="center"/>
    </xf>
    <xf borderId="2" fillId="5" fontId="2" numFmtId="0" xfId="0" applyAlignment="1" applyBorder="1" applyFill="1" applyFont="1">
      <alignment horizontal="center"/>
    </xf>
    <xf borderId="6" fillId="0" fontId="2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4" fontId="2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center"/>
    </xf>
    <xf borderId="10" fillId="4" fontId="2" numFmtId="0" xfId="0" applyAlignment="1" applyBorder="1" applyFill="1" applyFont="1">
      <alignment horizontal="center" shrinkToFit="0" vertical="center" wrapText="1"/>
    </xf>
    <xf borderId="9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0" fillId="3" fontId="2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9" fillId="6" fontId="2" numFmtId="0" xfId="0" applyAlignment="1" applyBorder="1" applyFill="1" applyFont="1">
      <alignment horizontal="center" shrinkToFit="0" vertical="center" wrapText="1"/>
    </xf>
    <xf borderId="12" fillId="0" fontId="3" numFmtId="0" xfId="0" applyBorder="1" applyFont="1"/>
    <xf borderId="13" fillId="0" fontId="2" numFmtId="0" xfId="0" applyAlignment="1" applyBorder="1" applyFont="1">
      <alignment horizontal="left" vertical="center"/>
    </xf>
    <xf borderId="10" fillId="6" fontId="2" numFmtId="0" xfId="0" applyAlignment="1" applyBorder="1" applyFill="1" applyFont="1">
      <alignment horizontal="center" shrinkToFit="0" vertical="center" wrapText="1"/>
    </xf>
    <xf borderId="14" fillId="0" fontId="2" numFmtId="0" xfId="0" applyAlignment="1" applyBorder="1" applyFont="1">
      <alignment horizontal="left" vertical="center"/>
    </xf>
    <xf borderId="14" fillId="4" fontId="2" numFmtId="0" xfId="0" applyAlignment="1" applyBorder="1" applyFill="1" applyFont="1">
      <alignment horizontal="center" vertical="center"/>
    </xf>
    <xf borderId="9" fillId="5" fontId="2" numFmtId="0" xfId="0" applyAlignment="1" applyBorder="1" applyFill="1" applyFont="1">
      <alignment horizontal="center" shrinkToFit="0" vertical="center" wrapText="1"/>
    </xf>
    <xf borderId="14" fillId="0" fontId="4" numFmtId="0" xfId="0" applyAlignment="1" applyBorder="1" applyFont="1">
      <alignment horizontal="left"/>
    </xf>
    <xf borderId="4" fillId="0" fontId="4" numFmtId="0" xfId="0" applyAlignment="1" applyBorder="1" applyFont="1">
      <alignment horizontal="left"/>
    </xf>
    <xf borderId="15" fillId="3" fontId="4" numFmtId="0" xfId="0" applyAlignment="1" applyBorder="1" applyFill="1" applyFont="1">
      <alignment horizontal="center"/>
    </xf>
    <xf borderId="10" fillId="5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vertical="center"/>
    </xf>
    <xf borderId="16" fillId="0" fontId="2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/>
    </xf>
    <xf borderId="17" fillId="0" fontId="4" numFmtId="0" xfId="0" applyAlignment="1" applyBorder="1" applyFont="1">
      <alignment horizontal="left"/>
    </xf>
    <xf borderId="18" fillId="3" fontId="4" numFmtId="0" xfId="0" applyAlignment="1" applyBorder="1" applyFill="1" applyFont="1">
      <alignment horizontal="center"/>
    </xf>
    <xf borderId="14" fillId="6" fontId="2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left"/>
    </xf>
    <xf borderId="8" fillId="0" fontId="4" numFmtId="0" xfId="0" applyBorder="1" applyFont="1"/>
    <xf borderId="16" fillId="0" fontId="2" numFmtId="0" xfId="0" applyAlignment="1" applyBorder="1" applyFont="1">
      <alignment vertical="center"/>
    </xf>
    <xf borderId="14" fillId="5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/>
    </xf>
    <xf borderId="14" fillId="4" fontId="2" numFmtId="0" xfId="0" applyAlignment="1" applyBorder="1" applyFill="1" applyFont="1">
      <alignment horizontal="center"/>
    </xf>
    <xf borderId="10" fillId="0" fontId="4" numFmtId="0" xfId="0" applyBorder="1" applyFont="1"/>
    <xf borderId="12" fillId="0" fontId="4" numFmtId="0" xfId="0" applyBorder="1" applyFont="1"/>
    <xf borderId="14" fillId="4" fontId="5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left" vertical="center"/>
    </xf>
    <xf borderId="13" fillId="0" fontId="2" numFmtId="0" xfId="0" applyAlignment="1" applyBorder="1" applyFont="1">
      <alignment vertical="center"/>
    </xf>
    <xf borderId="10" fillId="4" fontId="2" numFmtId="0" xfId="0" applyAlignment="1" applyBorder="1" applyFill="1" applyFont="1">
      <alignment horizontal="center"/>
    </xf>
    <xf borderId="10" fillId="4" fontId="2" numFmtId="0" xfId="0" applyAlignment="1" applyBorder="1" applyFill="1" applyFont="1">
      <alignment horizontal="center" vertical="center"/>
    </xf>
    <xf borderId="1" fillId="7" fontId="1" numFmtId="0" xfId="0" applyBorder="1" applyFill="1" applyFont="1"/>
    <xf borderId="18" fillId="7" fontId="4" numFmtId="0" xfId="0" applyAlignment="1" applyBorder="1" applyFill="1" applyFont="1">
      <alignment horizontal="left"/>
    </xf>
    <xf borderId="2" fillId="0" fontId="4" numFmtId="0" xfId="0" applyAlignment="1" applyBorder="1" applyFont="1">
      <alignment horizontal="left"/>
    </xf>
    <xf borderId="14" fillId="7" fontId="2" numFmtId="0" xfId="0" applyAlignment="1" applyBorder="1" applyFill="1" applyFont="1">
      <alignment horizontal="left" vertical="center"/>
    </xf>
    <xf borderId="19" fillId="0" fontId="2" numFmtId="0" xfId="0" applyAlignment="1" applyBorder="1" applyFont="1">
      <alignment horizontal="left" vertical="center"/>
    </xf>
    <xf borderId="20" fillId="0" fontId="3" numFmtId="0" xfId="0" applyBorder="1" applyFont="1"/>
    <xf borderId="0" fillId="0" fontId="6" numFmtId="0" xfId="0" applyFont="1"/>
    <xf borderId="0" fillId="0" fontId="2" numFmtId="0" xfId="0" applyFont="1"/>
    <xf borderId="0" fillId="0" fontId="1" numFmtId="3" xfId="0" applyFont="1" applyNumberFormat="1"/>
    <xf borderId="0" fillId="0" fontId="1" numFmtId="4" xfId="0" applyFont="1" applyNumberFormat="1"/>
    <xf borderId="21" fillId="3" fontId="2" numFmtId="0" xfId="0" applyAlignment="1" applyBorder="1" applyFill="1" applyFont="1">
      <alignment horizontal="center"/>
    </xf>
    <xf borderId="14" fillId="5" fontId="2" numFmtId="0" xfId="0" applyAlignment="1" applyBorder="1" applyFill="1" applyFont="1">
      <alignment horizontal="center"/>
    </xf>
    <xf borderId="21" fillId="3" fontId="2" numFmtId="0" xfId="0" applyAlignment="1" applyBorder="1" applyFill="1" applyFont="1">
      <alignment horizontal="center" vertical="center"/>
    </xf>
    <xf borderId="10" fillId="3" fontId="2" numFmtId="0" xfId="0" applyAlignment="1" applyBorder="1" applyFill="1" applyFont="1">
      <alignment horizontal="center" vertical="center"/>
    </xf>
    <xf borderId="14" fillId="3" fontId="2" numFmtId="0" xfId="0" applyAlignment="1" applyBorder="1" applyFill="1" applyFont="1">
      <alignment horizontal="center" vertical="center"/>
    </xf>
    <xf borderId="0" fillId="0" fontId="1" numFmtId="9" xfId="0" applyFont="1" applyNumberFormat="1"/>
    <xf borderId="14" fillId="8" fontId="2" numFmtId="0" xfId="0" applyAlignment="1" applyBorder="1" applyFill="1" applyFont="1">
      <alignment horizontal="center"/>
    </xf>
    <xf borderId="2" fillId="8" fontId="2" numFmtId="0" xfId="0" applyAlignment="1" applyBorder="1" applyFill="1" applyFont="1">
      <alignment horizontal="center"/>
    </xf>
    <xf borderId="22" fillId="8" fontId="2" numFmtId="0" xfId="0" applyAlignment="1" applyBorder="1" applyFill="1" applyFont="1">
      <alignment horizontal="center"/>
    </xf>
    <xf borderId="1" fillId="8" fontId="2" numFmtId="0" xfId="0" applyAlignment="1" applyBorder="1" applyFill="1" applyFont="1">
      <alignment horizontal="center"/>
    </xf>
    <xf borderId="14" fillId="8" fontId="2" numFmtId="0" xfId="0" applyAlignment="1" applyBorder="1" applyFill="1" applyFont="1">
      <alignment horizontal="center" vertical="center"/>
    </xf>
    <xf borderId="10" fillId="8" fontId="2" numFmtId="0" xfId="0" applyAlignment="1" applyBorder="1" applyFill="1" applyFon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14" fillId="9" fontId="2" numFmtId="0" xfId="0" applyAlignment="1" applyBorder="1" applyFill="1" applyFont="1">
      <alignment horizontal="center" vertical="center"/>
    </xf>
    <xf borderId="14" fillId="6" fontId="2" numFmtId="0" xfId="0" applyAlignment="1" applyBorder="1" applyFill="1" applyFont="1">
      <alignment horizontal="center"/>
    </xf>
    <xf borderId="14" fillId="3" fontId="2" numFmtId="0" xfId="0" applyAlignment="1" applyBorder="1" applyFill="1" applyFont="1">
      <alignment horizontal="center"/>
    </xf>
    <xf borderId="10" fillId="6" fontId="2" numFmtId="0" xfId="0" applyAlignment="1" applyBorder="1" applyFill="1" applyFont="1">
      <alignment horizontal="center" vertical="center"/>
    </xf>
    <xf borderId="14" fillId="0" fontId="2" numFmtId="0" xfId="0" applyAlignment="1" applyBorder="1" applyFont="1">
      <alignment horizontal="left" shrinkToFit="0" vertical="center" wrapText="1"/>
    </xf>
    <xf borderId="14" fillId="2" fontId="2" numFmtId="0" xfId="0" applyAlignment="1" applyBorder="1" applyFill="1" applyFont="1">
      <alignment horizontal="center" vertical="center"/>
    </xf>
    <xf borderId="23" fillId="0" fontId="2" numFmtId="0" xfId="0" applyAlignment="1" applyBorder="1" applyFont="1">
      <alignment horizontal="left" vertical="center"/>
    </xf>
    <xf borderId="24" fillId="0" fontId="2" numFmtId="0" xfId="0" applyAlignment="1" applyBorder="1" applyFont="1">
      <alignment horizontal="left" vertical="center"/>
    </xf>
    <xf borderId="25" fillId="3" fontId="2" numFmtId="0" xfId="0" applyAlignment="1" applyBorder="1" applyFill="1" applyFont="1">
      <alignment horizontal="center" vertical="center"/>
    </xf>
    <xf borderId="10" fillId="5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0" fillId="0" fontId="1" numFmtId="165" xfId="0" applyFont="1" applyNumberFormat="1"/>
    <xf borderId="0" fillId="0" fontId="2" numFmtId="165" xfId="0" applyFont="1" applyNumberFormat="1"/>
    <xf borderId="0" fillId="0" fontId="7" numFmtId="0" xfId="0" applyFont="1"/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0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10" fillId="10" fontId="7" numFmtId="0" xfId="0" applyAlignment="1" applyBorder="1" applyFill="1" applyFont="1">
      <alignment horizontal="center" shrinkToFit="0" vertical="center" wrapText="1"/>
    </xf>
    <xf borderId="14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shrinkToFit="0" vertical="center" wrapText="1"/>
    </xf>
    <xf borderId="14" fillId="0" fontId="8" numFmtId="0" xfId="0" applyBorder="1" applyFont="1"/>
    <xf borderId="1" fillId="11" fontId="9" numFmtId="0" xfId="0" applyBorder="1" applyFill="1" applyFont="1"/>
    <xf borderId="14" fillId="0" fontId="8" numFmtId="166" xfId="0" applyAlignment="1" applyBorder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9" numFmtId="0" xfId="0" applyFont="1"/>
    <xf borderId="0" fillId="0" fontId="10" numFmtId="0" xfId="0" applyFont="1"/>
    <xf borderId="14" fillId="12" fontId="8" numFmtId="0" xfId="0" applyAlignment="1" applyBorder="1" applyFill="1" applyFont="1">
      <alignment horizontal="left"/>
    </xf>
    <xf borderId="0" fillId="0" fontId="10" numFmtId="167" xfId="0" applyAlignment="1" applyFont="1" applyNumberFormat="1">
      <alignment horizontal="right"/>
    </xf>
    <xf borderId="0" fillId="0" fontId="10" numFmtId="0" xfId="0" applyAlignment="1" applyFont="1">
      <alignment horizontal="left"/>
    </xf>
    <xf borderId="0" fillId="0" fontId="10" numFmtId="167" xfId="0" applyAlignment="1" applyFont="1" applyNumberFormat="1">
      <alignment horizontal="center"/>
    </xf>
    <xf borderId="1" fillId="11" fontId="10" numFmtId="167" xfId="0" applyAlignment="1" applyBorder="1" applyFill="1" applyFont="1" applyNumberFormat="1">
      <alignment horizontal="right"/>
    </xf>
    <xf borderId="1" fillId="11" fontId="10" numFmtId="167" xfId="0" applyAlignment="1" applyBorder="1" applyFill="1" applyFont="1" applyNumberFormat="1">
      <alignment horizontal="center"/>
    </xf>
    <xf borderId="1" fillId="11" fontId="10" numFmtId="0" xfId="0" applyAlignment="1" applyBorder="1" applyFill="1" applyFont="1">
      <alignment horizontal="left"/>
    </xf>
    <xf borderId="1" fillId="11" fontId="10" numFmtId="0" xfId="0" applyAlignment="1" applyBorder="1" applyFill="1" applyFont="1">
      <alignment horizontal="center"/>
    </xf>
    <xf borderId="14" fillId="12" fontId="8" numFmtId="166" xfId="0" applyAlignment="1" applyBorder="1" applyFill="1" applyFont="1" applyNumberFormat="1">
      <alignment horizontal="center"/>
    </xf>
    <xf borderId="1" fillId="11" fontId="10" numFmtId="0" xfId="0" applyBorder="1" applyFill="1" applyFont="1"/>
    <xf borderId="14" fillId="0" fontId="8" numFmtId="0" xfId="0" applyAlignment="1" applyBorder="1" applyFont="1">
      <alignment horizontal="left" vertical="center"/>
    </xf>
    <xf borderId="14" fillId="0" fontId="8" numFmtId="0" xfId="0" applyAlignment="1" applyBorder="1" applyFont="1">
      <alignment horizontal="center"/>
    </xf>
    <xf borderId="0" fillId="0" fontId="11" numFmtId="0" xfId="0" applyFont="1"/>
    <xf borderId="14" fillId="10" fontId="7" numFmtId="0" xfId="0" applyBorder="1" applyFill="1" applyFont="1"/>
    <xf borderId="14" fillId="10" fontId="7" numFmtId="166" xfId="0" applyAlignment="1" applyBorder="1" applyFill="1" applyFont="1" applyNumberFormat="1">
      <alignment horizontal="center"/>
    </xf>
    <xf borderId="14" fillId="12" fontId="8" numFmtId="0" xfId="0" applyAlignment="1" applyBorder="1" applyFill="1" applyFont="1">
      <alignment horizontal="center"/>
    </xf>
    <xf borderId="14" fillId="0" fontId="7" numFmtId="166" xfId="0" applyAlignment="1" applyBorder="1" applyFont="1" applyNumberFormat="1">
      <alignment horizontal="center"/>
    </xf>
    <xf borderId="0" fillId="0" fontId="12" numFmtId="0" xfId="0" applyAlignment="1" applyFont="1">
      <alignment horizontal="left" vertical="top"/>
    </xf>
    <xf borderId="10" fillId="10" fontId="7" numFmtId="0" xfId="0" applyAlignment="1" applyBorder="1" applyFill="1" applyFont="1">
      <alignment horizontal="center" vertical="center"/>
    </xf>
    <xf borderId="14" fillId="0" fontId="7" numFmtId="0" xfId="0" applyAlignment="1" applyBorder="1" applyFont="1">
      <alignment horizontal="center"/>
    </xf>
    <xf borderId="14" fillId="0" fontId="7" numFmtId="0" xfId="0" applyAlignment="1" applyBorder="1" applyFont="1">
      <alignment horizontal="center" shrinkToFit="0" wrapText="1"/>
    </xf>
    <xf borderId="14" fillId="0" fontId="13" numFmtId="0" xfId="0" applyAlignment="1" applyBorder="1" applyFont="1">
      <alignment vertical="center"/>
    </xf>
    <xf borderId="14" fillId="0" fontId="8" numFmtId="3" xfId="0" applyBorder="1" applyFont="1" applyNumberFormat="1"/>
    <xf borderId="14" fillId="0" fontId="8" numFmtId="10" xfId="0" applyBorder="1" applyFont="1" applyNumberFormat="1"/>
    <xf borderId="2" fillId="10" fontId="2" numFmtId="0" xfId="0" applyAlignment="1" applyBorder="1" applyFill="1" applyFont="1">
      <alignment horizontal="center"/>
    </xf>
    <xf borderId="14" fillId="0" fontId="8" numFmtId="168" xfId="0" applyBorder="1" applyFont="1" applyNumberFormat="1"/>
    <xf borderId="2" fillId="13" fontId="2" numFmtId="0" xfId="0" applyAlignment="1" applyBorder="1" applyFill="1" applyFont="1">
      <alignment horizontal="center"/>
    </xf>
    <xf borderId="1" fillId="14" fontId="9" numFmtId="0" xfId="0" applyBorder="1" applyFill="1" applyFont="1"/>
    <xf borderId="1" fillId="14" fontId="10" numFmtId="167" xfId="0" applyAlignment="1" applyBorder="1" applyFill="1" applyFont="1" applyNumberFormat="1">
      <alignment horizontal="right"/>
    </xf>
    <xf borderId="1" fillId="14" fontId="10" numFmtId="167" xfId="0" applyAlignment="1" applyBorder="1" applyFill="1" applyFont="1" applyNumberFormat="1">
      <alignment horizontal="center"/>
    </xf>
    <xf borderId="1" fillId="14" fontId="10" numFmtId="0" xfId="0" applyAlignment="1" applyBorder="1" applyFill="1" applyFont="1">
      <alignment horizontal="left"/>
    </xf>
    <xf borderId="1" fillId="14" fontId="10" numFmtId="0" xfId="0" applyAlignment="1" applyBorder="1" applyFill="1" applyFont="1">
      <alignment horizontal="center"/>
    </xf>
    <xf borderId="1" fillId="14" fontId="10" numFmtId="0" xfId="0" applyBorder="1" applyFill="1" applyFont="1"/>
    <xf borderId="14" fillId="0" fontId="12" numFmtId="168" xfId="0" applyAlignment="1" applyBorder="1" applyFont="1" applyNumberFormat="1">
      <alignment horizontal="left" vertical="top"/>
    </xf>
    <xf borderId="14" fillId="12" fontId="7" numFmtId="166" xfId="0" applyAlignment="1" applyBorder="1" applyFill="1" applyFont="1" applyNumberFormat="1">
      <alignment horizontal="center"/>
    </xf>
    <xf borderId="14" fillId="10" fontId="7" numFmtId="168" xfId="0" applyAlignment="1" applyBorder="1" applyFill="1" applyFont="1" applyNumberFormat="1">
      <alignment horizontal="center"/>
    </xf>
    <xf borderId="9" fillId="10" fontId="2" numFmtId="0" xfId="0" applyAlignment="1" applyBorder="1" applyFill="1" applyFont="1">
      <alignment horizontal="center" shrinkToFit="0" vertical="center" wrapText="1"/>
    </xf>
    <xf borderId="0" fillId="0" fontId="7" numFmtId="166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10" fillId="10" fontId="2" numFmtId="0" xfId="0" applyAlignment="1" applyBorder="1" applyFill="1" applyFont="1">
      <alignment horizontal="center" shrinkToFit="0" vertical="center" wrapText="1"/>
    </xf>
    <xf borderId="0" fillId="0" fontId="8" numFmtId="0" xfId="0" applyFont="1"/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10" fillId="10" fontId="7" numFmtId="1" xfId="0" applyAlignment="1" applyBorder="1" applyFill="1" applyFont="1" applyNumberFormat="1">
      <alignment horizontal="center" shrinkToFit="0" vertical="center" wrapText="1"/>
    </xf>
    <xf borderId="1" fillId="7" fontId="8" numFmtId="0" xfId="0" applyBorder="1" applyFill="1" applyFont="1"/>
    <xf borderId="2" fillId="10" fontId="7" numFmtId="0" xfId="0" applyAlignment="1" applyBorder="1" applyFill="1" applyFont="1">
      <alignment horizontal="center"/>
    </xf>
    <xf borderId="9" fillId="13" fontId="2" numFmtId="0" xfId="0" applyAlignment="1" applyBorder="1" applyFill="1" applyFont="1">
      <alignment horizontal="center" shrinkToFit="0" vertical="center" wrapText="1"/>
    </xf>
    <xf borderId="26" fillId="7" fontId="7" numFmtId="0" xfId="0" applyBorder="1" applyFill="1" applyFont="1"/>
    <xf borderId="14" fillId="10" fontId="7" numFmtId="0" xfId="0" applyAlignment="1" applyBorder="1" applyFill="1" applyFont="1">
      <alignment horizontal="center" vertical="center"/>
    </xf>
    <xf borderId="26" fillId="7" fontId="8" numFmtId="0" xfId="0" applyBorder="1" applyFill="1" applyFont="1"/>
    <xf borderId="14" fillId="0" fontId="8" numFmtId="0" xfId="0" applyAlignment="1" applyBorder="1" applyFont="1">
      <alignment vertical="center"/>
    </xf>
    <xf borderId="14" fillId="0" fontId="8" numFmtId="166" xfId="0" applyAlignment="1" applyBorder="1" applyFont="1" applyNumberFormat="1">
      <alignment vertical="center"/>
    </xf>
    <xf borderId="10" fillId="13" fontId="2" numFmtId="0" xfId="0" applyAlignment="1" applyBorder="1" applyFill="1" applyFont="1">
      <alignment horizontal="center" shrinkToFit="0" vertical="center" wrapText="1"/>
    </xf>
    <xf borderId="27" fillId="7" fontId="8" numFmtId="0" xfId="0" applyBorder="1" applyFill="1" applyFont="1"/>
    <xf borderId="28" fillId="15" fontId="7" numFmtId="0" xfId="0" applyAlignment="1" applyBorder="1" applyFill="1" applyFont="1">
      <alignment horizontal="center"/>
    </xf>
    <xf borderId="29" fillId="15" fontId="7" numFmtId="0" xfId="0" applyAlignment="1" applyBorder="1" applyFill="1" applyFont="1">
      <alignment horizontal="center"/>
    </xf>
    <xf borderId="30" fillId="0" fontId="3" numFmtId="0" xfId="0" applyBorder="1" applyFont="1"/>
    <xf borderId="14" fillId="0" fontId="8" numFmtId="9" xfId="0" applyAlignment="1" applyBorder="1" applyFont="1" applyNumberFormat="1">
      <alignment vertical="center"/>
    </xf>
    <xf borderId="31" fillId="0" fontId="3" numFmtId="0" xfId="0" applyBorder="1" applyFont="1"/>
    <xf borderId="18" fillId="15" fontId="7" numFmtId="0" xfId="0" applyAlignment="1" applyBorder="1" applyFill="1" applyFont="1">
      <alignment horizontal="center"/>
    </xf>
    <xf borderId="14" fillId="0" fontId="8" numFmtId="10" xfId="0" applyAlignment="1" applyBorder="1" applyFont="1" applyNumberFormat="1">
      <alignment vertical="center"/>
    </xf>
    <xf borderId="18" fillId="7" fontId="8" numFmtId="0" xfId="0" applyBorder="1" applyFill="1" applyFont="1"/>
    <xf borderId="18" fillId="7" fontId="8" numFmtId="0" xfId="0" applyAlignment="1" applyBorder="1" applyFill="1" applyFont="1">
      <alignment horizontal="center"/>
    </xf>
    <xf borderId="14" fillId="10" fontId="7" numFmtId="0" xfId="0" applyAlignment="1" applyBorder="1" applyFill="1" applyFont="1">
      <alignment vertical="center"/>
    </xf>
    <xf borderId="14" fillId="10" fontId="7" numFmtId="166" xfId="0" applyAlignment="1" applyBorder="1" applyFill="1" applyFont="1" applyNumberFormat="1">
      <alignment vertical="center"/>
    </xf>
    <xf borderId="14" fillId="10" fontId="7" numFmtId="9" xfId="0" applyAlignment="1" applyBorder="1" applyFill="1" applyFont="1" applyNumberFormat="1">
      <alignment vertical="center"/>
    </xf>
    <xf borderId="14" fillId="10" fontId="7" numFmtId="10" xfId="0" applyAlignment="1" applyBorder="1" applyFill="1" applyFont="1" applyNumberFormat="1">
      <alignment vertical="center"/>
    </xf>
    <xf borderId="18" fillId="15" fontId="7" numFmtId="0" xfId="0" applyBorder="1" applyFill="1" applyFont="1"/>
    <xf borderId="14" fillId="10" fontId="7" numFmtId="0" xfId="0" applyAlignment="1" applyBorder="1" applyFill="1" applyFont="1">
      <alignment horizontal="center" shrinkToFit="0" wrapText="1"/>
    </xf>
    <xf borderId="14" fillId="10" fontId="7" numFmtId="0" xfId="0" applyAlignment="1" applyBorder="1" applyFill="1" applyFont="1">
      <alignment horizontal="center"/>
    </xf>
    <xf borderId="1" fillId="7" fontId="7" numFmtId="0" xfId="0" applyAlignment="1" applyBorder="1" applyFill="1" applyFont="1">
      <alignment horizontal="center"/>
    </xf>
    <xf borderId="14" fillId="0" fontId="8" numFmtId="166" xfId="0" applyBorder="1" applyFont="1" applyNumberFormat="1"/>
    <xf borderId="26" fillId="7" fontId="8" numFmtId="10" xfId="0" applyAlignment="1" applyBorder="1" applyFill="1" applyFont="1" applyNumberFormat="1">
      <alignment horizontal="center"/>
    </xf>
    <xf borderId="29" fillId="15" fontId="7" numFmtId="0" xfId="0" applyBorder="1" applyFill="1" applyFont="1"/>
    <xf borderId="32" fillId="0" fontId="3" numFmtId="0" xfId="0" applyBorder="1" applyFont="1"/>
    <xf borderId="14" fillId="0" fontId="8" numFmtId="3" xfId="0" applyAlignment="1" applyBorder="1" applyFont="1" applyNumberFormat="1">
      <alignment horizontal="right"/>
    </xf>
    <xf borderId="14" fillId="10" fontId="2" numFmtId="0" xfId="0" applyAlignment="1" applyBorder="1" applyFill="1" applyFont="1">
      <alignment horizontal="center" vertical="center"/>
    </xf>
    <xf borderId="18" fillId="15" fontId="7" numFmtId="9" xfId="0" applyAlignment="1" applyBorder="1" applyFill="1" applyFont="1" applyNumberFormat="1">
      <alignment horizontal="center"/>
    </xf>
    <xf borderId="14" fillId="10" fontId="7" numFmtId="3" xfId="0" applyAlignment="1" applyBorder="1" applyFill="1" applyFont="1" applyNumberFormat="1">
      <alignment vertical="center"/>
    </xf>
    <xf borderId="14" fillId="13" fontId="2" numFmtId="0" xfId="0" applyAlignment="1" applyBorder="1" applyFill="1" applyFont="1">
      <alignment horizontal="center" vertical="center"/>
    </xf>
    <xf borderId="2" fillId="0" fontId="7" numFmtId="0" xfId="0" applyAlignment="1" applyBorder="1" applyFont="1">
      <alignment horizontal="center"/>
    </xf>
    <xf borderId="2" fillId="0" fontId="8" numFmtId="0" xfId="0" applyAlignment="1" applyBorder="1" applyFont="1">
      <alignment horizontal="left"/>
    </xf>
    <xf borderId="2" fillId="0" fontId="8" numFmtId="0" xfId="0" applyAlignment="1" applyBorder="1" applyFont="1">
      <alignment horizontal="center"/>
    </xf>
    <xf borderId="18" fillId="15" fontId="7" numFmtId="10" xfId="0" applyAlignment="1" applyBorder="1" applyFill="1" applyFont="1" applyNumberFormat="1">
      <alignment horizontal="center"/>
    </xf>
    <xf borderId="0" fillId="0" fontId="9" numFmtId="0" xfId="0" applyAlignment="1" applyFont="1">
      <alignment horizontal="left" vertical="center"/>
    </xf>
    <xf borderId="0" fillId="0" fontId="8" numFmtId="0" xfId="0" applyAlignment="1" applyFont="1">
      <alignment horizontal="left"/>
    </xf>
    <xf borderId="28" fillId="16" fontId="7" numFmtId="0" xfId="0" applyAlignment="1" applyBorder="1" applyFill="1" applyFont="1">
      <alignment horizontal="center"/>
    </xf>
    <xf borderId="29" fillId="16" fontId="7" numFmtId="0" xfId="0" applyAlignment="1" applyBorder="1" applyFill="1" applyFont="1">
      <alignment horizontal="center"/>
    </xf>
    <xf borderId="18" fillId="16" fontId="7" numFmtId="0" xfId="0" applyAlignment="1" applyBorder="1" applyFill="1" applyFont="1">
      <alignment horizontal="center"/>
    </xf>
    <xf borderId="18" fillId="7" fontId="7" numFmtId="0" xfId="0" applyBorder="1" applyFill="1" applyFont="1"/>
    <xf borderId="18" fillId="7" fontId="7" numFmtId="0" xfId="0" applyAlignment="1" applyBorder="1" applyFill="1" applyFont="1">
      <alignment horizontal="center"/>
    </xf>
    <xf borderId="18" fillId="16" fontId="8" numFmtId="0" xfId="0" applyBorder="1" applyFill="1" applyFont="1"/>
    <xf borderId="18" fillId="16" fontId="7" numFmtId="0" xfId="0" applyBorder="1" applyFill="1" applyFont="1"/>
    <xf borderId="18" fillId="16" fontId="7" numFmtId="10" xfId="0" applyAlignment="1" applyBorder="1" applyFill="1" applyFont="1" applyNumberFormat="1">
      <alignment horizontal="center"/>
    </xf>
    <xf borderId="1" fillId="7" fontId="8" numFmtId="9" xfId="0" applyBorder="1" applyFill="1" applyFont="1" applyNumberFormat="1"/>
    <xf borderId="0" fillId="0" fontId="7" numFmtId="0" xfId="0" applyAlignment="1" applyFont="1">
      <alignment horizontal="center" shrinkToFit="0" wrapText="1"/>
    </xf>
    <xf borderId="0" fillId="0" fontId="8" numFmtId="3" xfId="0" applyFont="1" applyNumberFormat="1"/>
    <xf borderId="0" fillId="0" fontId="8" numFmtId="10" xfId="0" applyFont="1" applyNumberFormat="1"/>
    <xf quotePrefix="1" borderId="0" fillId="0" fontId="8" numFmtId="0" xfId="0" applyFont="1"/>
    <xf borderId="14" fillId="10" fontId="2" numFmtId="0" xfId="0" applyAlignment="1" applyBorder="1" applyFill="1" applyFont="1">
      <alignment horizontal="center"/>
    </xf>
    <xf borderId="33" fillId="10" fontId="2" numFmtId="0" xfId="0" applyAlignment="1" applyBorder="1" applyFill="1" applyFont="1">
      <alignment horizontal="center" shrinkToFit="0" wrapText="1"/>
    </xf>
    <xf borderId="34" fillId="0" fontId="3" numFmtId="0" xfId="0" applyBorder="1" applyFont="1"/>
    <xf borderId="1" fillId="10" fontId="2" numFmtId="0" xfId="0" applyAlignment="1" applyBorder="1" applyFill="1" applyFont="1">
      <alignment horizontal="center" shrinkToFit="0" vertical="center" wrapText="1"/>
    </xf>
    <xf borderId="14" fillId="10" fontId="1" numFmtId="0" xfId="0" applyAlignment="1" applyBorder="1" applyFill="1" applyFont="1">
      <alignment horizontal="center" vertical="center"/>
    </xf>
    <xf borderId="1" fillId="10" fontId="2" numFmtId="0" xfId="0" applyAlignment="1" applyBorder="1" applyFill="1" applyFont="1">
      <alignment horizontal="center" vertical="center"/>
    </xf>
    <xf borderId="35" fillId="0" fontId="2" numFmtId="0" xfId="0" applyAlignment="1" applyBorder="1" applyFont="1">
      <alignment horizontal="left" vertical="center"/>
    </xf>
    <xf borderId="1" fillId="10" fontId="2" numFmtId="0" xfId="0" applyAlignment="1" applyBorder="1" applyFill="1" applyFont="1">
      <alignment horizontal="center"/>
    </xf>
    <xf borderId="10" fillId="10" fontId="2" numFmtId="0" xfId="0" applyAlignment="1" applyBorder="1" applyFill="1" applyFont="1">
      <alignment horizontal="center" vertical="center"/>
    </xf>
    <xf borderId="1" fillId="12" fontId="14" numFmtId="0" xfId="0" applyBorder="1" applyFill="1" applyFont="1"/>
    <xf borderId="2" fillId="12" fontId="15" numFmtId="0" xfId="0" applyAlignment="1" applyBorder="1" applyFill="1" applyFont="1">
      <alignment horizontal="center"/>
    </xf>
    <xf borderId="14" fillId="12" fontId="15" numFmtId="0" xfId="0" applyAlignment="1" applyBorder="1" applyFill="1" applyFont="1">
      <alignment horizontal="center"/>
    </xf>
    <xf borderId="10" fillId="12" fontId="15" numFmtId="0" xfId="0" applyAlignment="1" applyBorder="1" applyFill="1" applyFont="1">
      <alignment horizontal="left"/>
    </xf>
    <xf borderId="10" fillId="12" fontId="15" numFmtId="0" xfId="0" applyAlignment="1" applyBorder="1" applyFill="1" applyFont="1">
      <alignment horizontal="center"/>
    </xf>
    <xf borderId="14" fillId="12" fontId="15" numFmtId="0" xfId="0" applyBorder="1" applyFill="1" applyFont="1"/>
    <xf borderId="14" fillId="12" fontId="14" numFmtId="0" xfId="0" applyAlignment="1" applyBorder="1" applyFill="1" applyFont="1">
      <alignment horizontal="center"/>
    </xf>
    <xf borderId="14" fillId="12" fontId="14" numFmtId="0" xfId="0" applyAlignment="1" applyBorder="1" applyFill="1" applyFont="1">
      <alignment horizontal="left"/>
    </xf>
    <xf borderId="14" fillId="12" fontId="14" numFmtId="0" xfId="0" applyBorder="1" applyFill="1" applyFont="1"/>
    <xf borderId="14" fillId="12" fontId="14" numFmtId="167" xfId="0" applyAlignment="1" applyBorder="1" applyFill="1" applyFont="1" applyNumberFormat="1">
      <alignment horizontal="center"/>
    </xf>
    <xf borderId="14" fillId="12" fontId="14" numFmtId="167" xfId="0" applyAlignment="1" applyBorder="1" applyFill="1" applyFont="1" applyNumberFormat="1">
      <alignment horizontal="left"/>
    </xf>
    <xf borderId="1" fillId="12" fontId="14" numFmtId="0" xfId="0" applyAlignment="1" applyBorder="1" applyFill="1" applyFont="1">
      <alignment horizontal="center"/>
    </xf>
    <xf borderId="15" fillId="12" fontId="14" numFmtId="0" xfId="0" applyAlignment="1" applyBorder="1" applyFill="1" applyFont="1">
      <alignment horizontal="left"/>
    </xf>
    <xf borderId="21" fillId="12" fontId="14" numFmtId="0" xfId="0" applyAlignment="1" applyBorder="1" applyFill="1" applyFont="1">
      <alignment horizontal="left"/>
    </xf>
    <xf borderId="18" fillId="12" fontId="14" numFmtId="0" xfId="0" applyAlignment="1" applyBorder="1" applyFill="1" applyFont="1">
      <alignment horizontal="left"/>
    </xf>
    <xf borderId="14" fillId="12" fontId="16" numFmtId="0" xfId="0" applyBorder="1" applyFill="1" applyFont="1"/>
    <xf borderId="26" fillId="12" fontId="14" numFmtId="0" xfId="0" applyAlignment="1" applyBorder="1" applyFill="1" applyFont="1">
      <alignment horizontal="center"/>
    </xf>
    <xf borderId="1" fillId="12" fontId="16" numFmtId="0" xfId="0" applyBorder="1" applyFill="1" applyFont="1"/>
    <xf borderId="1" fillId="12" fontId="14" numFmtId="167" xfId="0" applyAlignment="1" applyBorder="1" applyFill="1" applyFont="1" applyNumberFormat="1">
      <alignment horizontal="center"/>
    </xf>
    <xf borderId="1" fillId="12" fontId="14" numFmtId="0" xfId="0" applyAlignment="1" applyBorder="1" applyFill="1" applyFont="1">
      <alignment horizontal="left"/>
    </xf>
    <xf borderId="14" fillId="12" fontId="14" numFmtId="9" xfId="0" applyBorder="1" applyFill="1" applyFont="1" applyNumberFormat="1"/>
    <xf borderId="14" fillId="12" fontId="14" numFmtId="10" xfId="0" applyBorder="1" applyFill="1" applyFont="1" applyNumberFormat="1"/>
    <xf borderId="1" fillId="11" fontId="8" numFmtId="0" xfId="0" applyBorder="1" applyFill="1" applyFont="1"/>
    <xf borderId="2" fillId="0" fontId="17" numFmtId="0" xfId="0" applyAlignment="1" applyBorder="1" applyFont="1">
      <alignment horizontal="center"/>
    </xf>
    <xf borderId="14" fillId="0" fontId="10" numFmtId="0" xfId="0" applyAlignment="1" applyBorder="1" applyFont="1">
      <alignment horizontal="center"/>
    </xf>
    <xf borderId="14" fillId="0" fontId="10" numFmtId="0" xfId="0" applyBorder="1" applyFont="1"/>
    <xf borderId="10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4" fillId="0" fontId="9" numFmtId="0" xfId="0" applyAlignment="1" applyBorder="1" applyFont="1">
      <alignment horizontal="center"/>
    </xf>
    <xf borderId="14" fillId="0" fontId="10" numFmtId="167" xfId="0" applyAlignment="1" applyBorder="1" applyFont="1" applyNumberFormat="1">
      <alignment horizontal="center"/>
    </xf>
    <xf borderId="14" fillId="0" fontId="10" numFmtId="0" xfId="0" applyAlignment="1" applyBorder="1" applyFont="1">
      <alignment horizontal="left"/>
    </xf>
    <xf borderId="14" fillId="0" fontId="10" numFmtId="169" xfId="0" applyAlignment="1" applyBorder="1" applyFont="1" applyNumberFormat="1">
      <alignment horizontal="center"/>
    </xf>
    <xf borderId="14" fillId="0" fontId="10" numFmtId="15" xfId="0" applyAlignment="1" applyBorder="1" applyFont="1" applyNumberFormat="1">
      <alignment horizontal="center"/>
    </xf>
    <xf borderId="14" fillId="0" fontId="10" numFmtId="170" xfId="0" applyAlignment="1" applyBorder="1" applyFont="1" applyNumberFormat="1">
      <alignment horizontal="center"/>
    </xf>
    <xf borderId="14" fillId="0" fontId="10" numFmtId="171" xfId="0" applyAlignment="1" applyBorder="1" applyFont="1" applyNumberFormat="1">
      <alignment horizontal="center"/>
    </xf>
    <xf borderId="14" fillId="0" fontId="8" numFmtId="0" xfId="0" applyAlignment="1" applyBorder="1" applyFont="1">
      <alignment horizontal="left"/>
    </xf>
    <xf borderId="10" fillId="0" fontId="10" numFmtId="0" xfId="0" applyAlignment="1" applyBorder="1" applyFont="1">
      <alignment horizontal="center"/>
    </xf>
    <xf borderId="0" fillId="0" fontId="10" numFmtId="169" xfId="0" applyAlignment="1" applyFont="1" applyNumberFormat="1">
      <alignment horizontal="center"/>
    </xf>
    <xf borderId="0" fillId="0" fontId="10" numFmtId="15" xfId="0" applyAlignment="1" applyFont="1" applyNumberFormat="1">
      <alignment horizontal="center"/>
    </xf>
    <xf borderId="0" fillId="0" fontId="10" numFmtId="170" xfId="0" applyAlignment="1" applyFont="1" applyNumberFormat="1">
      <alignment horizontal="center"/>
    </xf>
    <xf borderId="14" fillId="0" fontId="8" numFmtId="9" xfId="0" applyBorder="1" applyFont="1" applyNumberFormat="1"/>
    <xf borderId="0" fillId="0" fontId="10" numFmtId="171" xfId="0" applyAlignment="1" applyFont="1" applyNumberFormat="1">
      <alignment horizontal="center"/>
    </xf>
    <xf borderId="14" fillId="0" fontId="10" numFmtId="167" xfId="0" applyAlignment="1" applyBorder="1" applyFont="1" applyNumberFormat="1">
      <alignment horizontal="left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/>
    </xf>
    <xf borderId="14" fillId="0" fontId="9" numFmtId="0" xfId="0" applyBorder="1" applyFont="1"/>
    <xf borderId="14" fillId="0" fontId="9" numFmtId="0" xfId="0" applyAlignment="1" applyBorder="1" applyFont="1">
      <alignment horizontal="left"/>
    </xf>
    <xf borderId="36" fillId="0" fontId="1" numFmtId="0" xfId="0" applyBorder="1" applyFont="1"/>
    <xf borderId="14" fillId="0" fontId="18" numFmtId="0" xfId="0" applyBorder="1" applyFont="1"/>
    <xf borderId="14" fillId="0" fontId="18" numFmtId="0" xfId="0" applyAlignment="1" applyBorder="1" applyFont="1">
      <alignment horizontal="left"/>
    </xf>
    <xf borderId="0" fillId="0" fontId="17" numFmtId="0" xfId="0" applyAlignment="1" applyFont="1">
      <alignment horizontal="center"/>
    </xf>
    <xf borderId="1" fillId="12" fontId="10" numFmtId="0" xfId="0" applyBorder="1" applyFill="1" applyFont="1"/>
    <xf borderId="1" fillId="12" fontId="10" numFmtId="0" xfId="0" applyAlignment="1" applyBorder="1" applyFill="1" applyFont="1">
      <alignment horizontal="left"/>
    </xf>
    <xf borderId="33" fillId="12" fontId="10" numFmtId="0" xfId="0" applyAlignment="1" applyBorder="1" applyFill="1" applyFont="1">
      <alignment horizontal="center"/>
    </xf>
    <xf borderId="1" fillId="12" fontId="10" numFmtId="0" xfId="0" applyAlignment="1" applyBorder="1" applyFill="1" applyFont="1">
      <alignment horizontal="center"/>
    </xf>
    <xf borderId="14" fillId="12" fontId="10" numFmtId="0" xfId="0" applyAlignment="1" applyBorder="1" applyFill="1" applyFont="1">
      <alignment horizontal="center"/>
    </xf>
    <xf borderId="14" fillId="0" fontId="8" numFmtId="9" xfId="0" applyAlignment="1" applyBorder="1" applyFont="1" applyNumberFormat="1">
      <alignment horizontal="center"/>
    </xf>
    <xf borderId="14" fillId="12" fontId="10" numFmtId="0" xfId="0" applyAlignment="1" applyBorder="1" applyFill="1" applyFont="1">
      <alignment horizontal="left"/>
    </xf>
    <xf borderId="14" fillId="0" fontId="8" numFmtId="10" xfId="0" applyAlignment="1" applyBorder="1" applyFont="1" applyNumberFormat="1">
      <alignment horizontal="center"/>
    </xf>
    <xf borderId="14" fillId="12" fontId="10" numFmtId="167" xfId="0" applyAlignment="1" applyBorder="1" applyFill="1" applyFont="1" applyNumberFormat="1">
      <alignment horizontal="center"/>
    </xf>
    <xf borderId="0" fillId="0" fontId="1" numFmtId="0" xfId="0" applyAlignment="1" applyFont="1">
      <alignment horizontal="left"/>
    </xf>
    <xf borderId="14" fillId="12" fontId="10" numFmtId="0" xfId="0" applyAlignment="1" applyBorder="1" applyFill="1" applyFont="1">
      <alignment horizontal="left" vertical="center"/>
    </xf>
    <xf borderId="14" fillId="12" fontId="10" numFmtId="0" xfId="0" applyBorder="1" applyFill="1" applyFont="1"/>
    <xf borderId="14" fillId="0" fontId="10" numFmtId="0" xfId="0" applyAlignment="1" applyBorder="1" applyFont="1">
      <alignment horizontal="left" shrinkToFit="0" vertical="center" wrapText="1"/>
    </xf>
    <xf borderId="14" fillId="12" fontId="19" numFmtId="0" xfId="0" applyAlignment="1" applyBorder="1" applyFill="1" applyFont="1">
      <alignment horizontal="left" vertical="center"/>
    </xf>
    <xf borderId="14" fillId="12" fontId="19" numFmtId="0" xfId="0" applyAlignment="1" applyBorder="1" applyFill="1" applyFont="1">
      <alignment vertical="center"/>
    </xf>
    <xf borderId="14" fillId="12" fontId="19" numFmtId="0" xfId="0" applyAlignment="1" applyBorder="1" applyFill="1" applyFont="1">
      <alignment horizontal="left" shrinkToFit="0" vertical="center" wrapText="1"/>
    </xf>
    <xf borderId="14" fillId="0" fontId="20" numFmtId="0" xfId="0" applyAlignment="1" applyBorder="1" applyFont="1">
      <alignment horizontal="center" vertical="center"/>
    </xf>
    <xf borderId="14" fillId="0" fontId="20" numFmtId="0" xfId="0" applyAlignment="1" applyBorder="1" applyFont="1">
      <alignment horizontal="center"/>
    </xf>
    <xf borderId="14" fillId="0" fontId="17" numFmtId="0" xfId="0" applyAlignment="1" applyBorder="1" applyFont="1">
      <alignment horizontal="center"/>
    </xf>
    <xf borderId="14" fillId="0" fontId="9" numFmtId="0" xfId="0" applyAlignment="1" applyBorder="1" applyFont="1">
      <alignment horizontal="left" vertical="center"/>
    </xf>
    <xf borderId="14" fillId="0" fontId="9" numFmtId="9" xfId="0" applyAlignment="1" applyBorder="1" applyFont="1" applyNumberFormat="1">
      <alignment horizontal="center"/>
    </xf>
    <xf borderId="14" fillId="0" fontId="20" numFmtId="0" xfId="0" applyAlignment="1" applyBorder="1" applyFont="1">
      <alignment horizontal="left" vertical="center"/>
    </xf>
    <xf borderId="0" fillId="0" fontId="21" numFmtId="0" xfId="0" applyAlignment="1" applyFont="1">
      <alignment horizontal="center"/>
    </xf>
    <xf borderId="0" fillId="0" fontId="22" numFmtId="0" xfId="0" applyFont="1"/>
    <xf borderId="0" fillId="0" fontId="23" numFmtId="0" xfId="0" applyFont="1"/>
    <xf borderId="1" fillId="9" fontId="22" numFmtId="0" xfId="0" applyBorder="1" applyFill="1" applyFont="1"/>
    <xf borderId="1" fillId="17" fontId="22" numFmtId="0" xfId="0" applyBorder="1" applyFill="1" applyFont="1"/>
    <xf borderId="1" fillId="18" fontId="22" numFmtId="0" xfId="0" applyBorder="1" applyFill="1" applyFont="1"/>
    <xf borderId="1" fillId="19" fontId="8" numFmtId="0" xfId="0" applyBorder="1" applyFill="1" applyFont="1"/>
    <xf borderId="0" fillId="0" fontId="18" numFmtId="0" xfId="0" applyFont="1"/>
    <xf borderId="0" fillId="0" fontId="24" numFmtId="0" xfId="0" applyAlignment="1" applyFont="1">
      <alignment horizontal="center"/>
    </xf>
    <xf borderId="0" fillId="0" fontId="18" numFmtId="0" xfId="0" applyAlignment="1" applyFont="1">
      <alignment horizontal="left"/>
    </xf>
    <xf borderId="0" fillId="0" fontId="4" numFmtId="0" xfId="0" applyFont="1"/>
    <xf borderId="0" fillId="0" fontId="13" numFmtId="0" xfId="0" applyFont="1"/>
    <xf borderId="0" fillId="0" fontId="13" numFmtId="0" xfId="0" applyAlignment="1" applyFont="1">
      <alignment horizontal="right"/>
    </xf>
    <xf borderId="0" fillId="0" fontId="13" numFmtId="0" xfId="0" applyAlignment="1" applyFont="1">
      <alignment horizontal="center"/>
    </xf>
    <xf borderId="0" fillId="0" fontId="25" numFmtId="0" xfId="0" applyFont="1"/>
    <xf borderId="0" fillId="0" fontId="26" numFmtId="0" xfId="0" applyFont="1"/>
    <xf borderId="1" fillId="9" fontId="26" numFmtId="0" xfId="0" applyBorder="1" applyFill="1" applyFont="1"/>
    <xf borderId="1" fillId="20" fontId="26" numFmtId="0" xfId="0" applyBorder="1" applyFill="1" applyFont="1"/>
    <xf borderId="1" fillId="21" fontId="26" numFmtId="0" xfId="0" applyBorder="1" applyFill="1" applyFont="1"/>
    <xf borderId="1" fillId="22" fontId="18" numFmtId="0" xfId="0" applyBorder="1" applyFill="1" applyFont="1"/>
    <xf borderId="1" fillId="23" fontId="18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1182350" cy="146685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466725</xdr:colOff>
      <xdr:row>2</xdr:row>
      <xdr:rowOff>66675</xdr:rowOff>
    </xdr:from>
    <xdr:ext cx="1447800" cy="619125"/>
    <xdr:sp>
      <xdr:nvSpPr>
        <xdr:cNvPr id="3" name="Shape 3"/>
        <xdr:cNvSpPr/>
      </xdr:nvSpPr>
      <xdr:spPr>
        <a:xfrm>
          <a:off x="4636388" y="3484725"/>
          <a:ext cx="1419225" cy="590550"/>
        </a:xfrm>
        <a:prstGeom prst="rect">
          <a:avLst/>
        </a:prstGeom>
        <a:solidFill>
          <a:srgbClr val="FFD966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GM Packaging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Edi Suwignyo (K.KPP)</a:t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9</xdr:col>
      <xdr:colOff>466725</xdr:colOff>
      <xdr:row>7</xdr:row>
      <xdr:rowOff>57150</xdr:rowOff>
    </xdr:from>
    <xdr:ext cx="1447800" cy="619125"/>
    <xdr:sp>
      <xdr:nvSpPr>
        <xdr:cNvPr id="4" name="Shape 4"/>
        <xdr:cNvSpPr/>
      </xdr:nvSpPr>
      <xdr:spPr>
        <a:xfrm>
          <a:off x="4636388" y="3484725"/>
          <a:ext cx="1419225" cy="590550"/>
        </a:xfrm>
        <a:prstGeom prst="rect">
          <a:avLst/>
        </a:prstGeom>
        <a:solidFill>
          <a:srgbClr val="00B0F0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OM Packaging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Ahmad Aland A (T)</a:t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504825</xdr:colOff>
      <xdr:row>13</xdr:row>
      <xdr:rowOff>-9525</xdr:rowOff>
    </xdr:from>
    <xdr:ext cx="1047750" cy="514350"/>
    <xdr:sp>
      <xdr:nvSpPr>
        <xdr:cNvPr id="5" name="Shape 5"/>
        <xdr:cNvSpPr/>
      </xdr:nvSpPr>
      <xdr:spPr>
        <a:xfrm>
          <a:off x="4836413" y="3537113"/>
          <a:ext cx="1019175" cy="485775"/>
        </a:xfrm>
        <a:prstGeom prst="rect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Kadiv Acc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Eri Surya (T)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10</xdr:col>
      <xdr:colOff>238125</xdr:colOff>
      <xdr:row>13</xdr:row>
      <xdr:rowOff>-9525</xdr:rowOff>
    </xdr:from>
    <xdr:ext cx="1323975" cy="514350"/>
    <xdr:sp>
      <xdr:nvSpPr>
        <xdr:cNvPr id="6" name="Shape 6"/>
        <xdr:cNvSpPr/>
      </xdr:nvSpPr>
      <xdr:spPr>
        <a:xfrm>
          <a:off x="4698300" y="3537113"/>
          <a:ext cx="1295400" cy="485775"/>
        </a:xfrm>
        <a:prstGeom prst="rect">
          <a:avLst/>
        </a:prstGeom>
        <a:solidFill>
          <a:srgbClr val="FFD966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Kadiv Prod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Beni Sasmita (K)</a:t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209550</xdr:colOff>
      <xdr:row>21</xdr:row>
      <xdr:rowOff>123825</xdr:rowOff>
    </xdr:from>
    <xdr:ext cx="914400" cy="790575"/>
    <xdr:sp>
      <xdr:nvSpPr>
        <xdr:cNvPr id="7" name="Shape 7"/>
        <xdr:cNvSpPr/>
      </xdr:nvSpPr>
      <xdr:spPr>
        <a:xfrm>
          <a:off x="4903088" y="3399000"/>
          <a:ext cx="885825" cy="762000"/>
        </a:xfrm>
        <a:prstGeom prst="rect">
          <a:avLst/>
        </a:prstGeom>
        <a:solidFill>
          <a:srgbClr val="00B0F0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PPIC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Budi (T)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Ilyas (HL)</a:t>
          </a:r>
          <a:endParaRPr b="1" sz="1100">
            <a:solidFill>
              <a:srgbClr val="000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16</xdr:col>
      <xdr:colOff>104775</xdr:colOff>
      <xdr:row>17</xdr:row>
      <xdr:rowOff>-9525</xdr:rowOff>
    </xdr:from>
    <xdr:ext cx="962025" cy="514350"/>
    <xdr:sp>
      <xdr:nvSpPr>
        <xdr:cNvPr id="8" name="Shape 8"/>
        <xdr:cNvSpPr/>
      </xdr:nvSpPr>
      <xdr:spPr>
        <a:xfrm>
          <a:off x="4879275" y="3537113"/>
          <a:ext cx="933450" cy="485775"/>
        </a:xfrm>
        <a:prstGeom prst="rect">
          <a:avLst/>
        </a:prstGeom>
        <a:solidFill>
          <a:srgbClr val="FFD966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Karu Teknik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Rachmad (K)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21</xdr:row>
      <xdr:rowOff>142875</xdr:rowOff>
    </xdr:from>
    <xdr:ext cx="952500" cy="533400"/>
    <xdr:sp>
      <xdr:nvSpPr>
        <xdr:cNvPr id="9" name="Shape 9"/>
        <xdr:cNvSpPr/>
      </xdr:nvSpPr>
      <xdr:spPr>
        <a:xfrm>
          <a:off x="4884038" y="3527588"/>
          <a:ext cx="923925" cy="504825"/>
        </a:xfrm>
        <a:prstGeom prst="rect">
          <a:avLst/>
        </a:prstGeom>
        <a:solidFill>
          <a:srgbClr val="FFD966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Staff HRD</a:t>
          </a:r>
          <a:endParaRPr b="1" sz="1100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Stella (K)</a:t>
          </a:r>
          <a:endParaRPr sz="1400"/>
        </a:p>
      </xdr:txBody>
    </xdr:sp>
    <xdr:clientData fLocksWithSheet="0"/>
  </xdr:oneCellAnchor>
  <xdr:oneCellAnchor>
    <xdr:from>
      <xdr:col>1</xdr:col>
      <xdr:colOff>561975</xdr:colOff>
      <xdr:row>21</xdr:row>
      <xdr:rowOff>142875</xdr:rowOff>
    </xdr:from>
    <xdr:ext cx="1190625" cy="619125"/>
    <xdr:sp>
      <xdr:nvSpPr>
        <xdr:cNvPr id="10" name="Shape 10"/>
        <xdr:cNvSpPr/>
      </xdr:nvSpPr>
      <xdr:spPr>
        <a:xfrm>
          <a:off x="4764975" y="3484725"/>
          <a:ext cx="1162050" cy="590550"/>
        </a:xfrm>
        <a:prstGeom prst="rect">
          <a:avLst/>
        </a:prstGeom>
        <a:solidFill>
          <a:srgbClr val="FFD966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Purchasing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Eko N  Khafid (K)</a:t>
          </a:r>
          <a:endParaRPr sz="1400"/>
        </a:p>
      </xdr:txBody>
    </xdr:sp>
    <xdr:clientData fLocksWithSheet="0"/>
  </xdr:oneCellAnchor>
  <xdr:oneCellAnchor>
    <xdr:from>
      <xdr:col>4</xdr:col>
      <xdr:colOff>66675</xdr:colOff>
      <xdr:row>21</xdr:row>
      <xdr:rowOff>142875</xdr:rowOff>
    </xdr:from>
    <xdr:ext cx="1057275" cy="1076325"/>
    <xdr:sp>
      <xdr:nvSpPr>
        <xdr:cNvPr id="11" name="Shape 11"/>
        <xdr:cNvSpPr/>
      </xdr:nvSpPr>
      <xdr:spPr>
        <a:xfrm>
          <a:off x="4831650" y="3256125"/>
          <a:ext cx="1028700" cy="1047750"/>
        </a:xfrm>
        <a:prstGeom prst="rect">
          <a:avLst/>
        </a:prstGeom>
        <a:solidFill>
          <a:srgbClr val="00B0F0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Marketing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Supriatin (T)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Yongki (T)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Prameswari (K)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533400</xdr:colOff>
      <xdr:row>21</xdr:row>
      <xdr:rowOff>142875</xdr:rowOff>
    </xdr:from>
    <xdr:ext cx="857250" cy="714375"/>
    <xdr:sp>
      <xdr:nvSpPr>
        <xdr:cNvPr id="12" name="Shape 12"/>
        <xdr:cNvSpPr/>
      </xdr:nvSpPr>
      <xdr:spPr>
        <a:xfrm>
          <a:off x="4931663" y="3437100"/>
          <a:ext cx="828675" cy="685800"/>
        </a:xfrm>
        <a:prstGeom prst="rect">
          <a:avLst/>
        </a:prstGeom>
        <a:solidFill>
          <a:schemeClr val="accent2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Amanda (HL)</a:t>
          </a:r>
          <a:endParaRPr sz="1400"/>
        </a:p>
      </xdr:txBody>
    </xdr:sp>
    <xdr:clientData fLocksWithSheet="0"/>
  </xdr:oneCellAnchor>
  <xdr:oneCellAnchor>
    <xdr:from>
      <xdr:col>8</xdr:col>
      <xdr:colOff>533400</xdr:colOff>
      <xdr:row>22</xdr:row>
      <xdr:rowOff>-9525</xdr:rowOff>
    </xdr:from>
    <xdr:ext cx="781050" cy="590550"/>
    <xdr:sp>
      <xdr:nvSpPr>
        <xdr:cNvPr id="13" name="Shape 13"/>
        <xdr:cNvSpPr/>
      </xdr:nvSpPr>
      <xdr:spPr>
        <a:xfrm>
          <a:off x="4969763" y="3499013"/>
          <a:ext cx="752475" cy="561975"/>
        </a:xfrm>
        <a:prstGeom prst="rect">
          <a:avLst/>
        </a:prstGeom>
        <a:solidFill>
          <a:srgbClr val="FFFF00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Piutang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Irwin (T)</a:t>
          </a:r>
          <a:endParaRPr sz="1400"/>
        </a:p>
      </xdr:txBody>
    </xdr:sp>
    <xdr:clientData fLocksWithSheet="0"/>
  </xdr:oneCellAnchor>
  <xdr:oneCellAnchor>
    <xdr:from>
      <xdr:col>3</xdr:col>
      <xdr:colOff>47625</xdr:colOff>
      <xdr:row>29</xdr:row>
      <xdr:rowOff>-9525</xdr:rowOff>
    </xdr:from>
    <xdr:ext cx="1343025" cy="1085850"/>
    <xdr:sp>
      <xdr:nvSpPr>
        <xdr:cNvPr id="14" name="Shape 14"/>
        <xdr:cNvSpPr/>
      </xdr:nvSpPr>
      <xdr:spPr>
        <a:xfrm>
          <a:off x="4688775" y="3251363"/>
          <a:ext cx="1314450" cy="1057275"/>
        </a:xfrm>
        <a:prstGeom prst="rect">
          <a:avLst/>
        </a:prstGeom>
        <a:solidFill>
          <a:srgbClr val="9CC2E5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Pracetak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Wildan (T)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Jeffry (K)</a:t>
          </a:r>
          <a:endParaRPr b="1" sz="1100">
            <a:solidFill>
              <a:srgbClr val="000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Wahyu (K)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Salvian (K)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15</xdr:col>
      <xdr:colOff>161925</xdr:colOff>
      <xdr:row>21</xdr:row>
      <xdr:rowOff>142875</xdr:rowOff>
    </xdr:from>
    <xdr:ext cx="971550" cy="1323975"/>
    <xdr:sp>
      <xdr:nvSpPr>
        <xdr:cNvPr id="15" name="Shape 15"/>
        <xdr:cNvSpPr/>
      </xdr:nvSpPr>
      <xdr:spPr>
        <a:xfrm>
          <a:off x="4874513" y="3132300"/>
          <a:ext cx="942975" cy="1295400"/>
        </a:xfrm>
        <a:prstGeom prst="rect">
          <a:avLst/>
        </a:prstGeom>
        <a:solidFill>
          <a:srgbClr val="00B0F0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Mekanik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Yunus (T)</a:t>
          </a:r>
          <a:endParaRPr b="1" sz="1100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Febri (T)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Ratmoyo (HL)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Amir (HL)</a:t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17</xdr:col>
      <xdr:colOff>0</xdr:colOff>
      <xdr:row>21</xdr:row>
      <xdr:rowOff>142875</xdr:rowOff>
    </xdr:from>
    <xdr:ext cx="971550" cy="561975"/>
    <xdr:sp>
      <xdr:nvSpPr>
        <xdr:cNvPr id="16" name="Shape 16"/>
        <xdr:cNvSpPr/>
      </xdr:nvSpPr>
      <xdr:spPr>
        <a:xfrm>
          <a:off x="4874513" y="3513300"/>
          <a:ext cx="942975" cy="533400"/>
        </a:xfrm>
        <a:prstGeom prst="rect">
          <a:avLst/>
        </a:prstGeom>
        <a:solidFill>
          <a:srgbClr val="00B0F0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Elektrik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Bimas (T)</a:t>
          </a:r>
          <a:endParaRPr sz="1400"/>
        </a:p>
      </xdr:txBody>
    </xdr:sp>
    <xdr:clientData fLocksWithSheet="0"/>
  </xdr:oneCellAnchor>
  <xdr:oneCellAnchor>
    <xdr:from>
      <xdr:col>19</xdr:col>
      <xdr:colOff>28575</xdr:colOff>
      <xdr:row>13</xdr:row>
      <xdr:rowOff>-9525</xdr:rowOff>
    </xdr:from>
    <xdr:ext cx="1104900" cy="514350"/>
    <xdr:sp>
      <xdr:nvSpPr>
        <xdr:cNvPr id="17" name="Shape 17"/>
        <xdr:cNvSpPr/>
      </xdr:nvSpPr>
      <xdr:spPr>
        <a:xfrm>
          <a:off x="4807838" y="3537113"/>
          <a:ext cx="1076325" cy="485775"/>
        </a:xfrm>
        <a:prstGeom prst="rect">
          <a:avLst/>
        </a:prstGeom>
        <a:solidFill>
          <a:srgbClr val="00B0F0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Kadiv R&amp;D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Daryanto (T)</a:t>
          </a:r>
          <a:endParaRPr sz="1400"/>
        </a:p>
      </xdr:txBody>
    </xdr:sp>
    <xdr:clientData fLocksWithSheet="0"/>
  </xdr:oneCellAnchor>
  <xdr:oneCellAnchor>
    <xdr:from>
      <xdr:col>21</xdr:col>
      <xdr:colOff>114300</xdr:colOff>
      <xdr:row>22</xdr:row>
      <xdr:rowOff>0</xdr:rowOff>
    </xdr:from>
    <xdr:ext cx="1219200" cy="1133475"/>
    <xdr:sp>
      <xdr:nvSpPr>
        <xdr:cNvPr id="18" name="Shape 18"/>
        <xdr:cNvSpPr/>
      </xdr:nvSpPr>
      <xdr:spPr>
        <a:xfrm>
          <a:off x="4750688" y="3227550"/>
          <a:ext cx="1190625" cy="1104900"/>
        </a:xfrm>
        <a:prstGeom prst="rect">
          <a:avLst/>
        </a:prstGeom>
        <a:solidFill>
          <a:srgbClr val="FFD966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Staff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Ferik (T)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Joni K (K)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Hanafi (K)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Eko W (K)</a:t>
          </a:r>
          <a:endParaRPr sz="1100">
            <a:solidFill>
              <a:srgbClr val="BF9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571500</xdr:colOff>
      <xdr:row>15</xdr:row>
      <xdr:rowOff>85725</xdr:rowOff>
    </xdr:from>
    <xdr:ext cx="38100" cy="752475"/>
    <xdr:grpSp>
      <xdr:nvGrpSpPr>
        <xdr:cNvPr id="2" name="Shape 2"/>
        <xdr:cNvGrpSpPr/>
      </xdr:nvGrpSpPr>
      <xdr:grpSpPr>
        <a:xfrm>
          <a:off x="5326950" y="3403763"/>
          <a:ext cx="38100" cy="752475"/>
          <a:chOff x="5326950" y="3403763"/>
          <a:chExt cx="38100" cy="752475"/>
        </a:xfrm>
      </xdr:grpSpPr>
      <xdr:grpSp>
        <xdr:nvGrpSpPr>
          <xdr:cNvPr id="19" name="Shape 19"/>
          <xdr:cNvGrpSpPr/>
        </xdr:nvGrpSpPr>
        <xdr:grpSpPr>
          <a:xfrm>
            <a:off x="5326950" y="3403763"/>
            <a:ext cx="38100" cy="752475"/>
            <a:chOff x="5336325" y="3403763"/>
            <a:chExt cx="19200" cy="752400"/>
          </a:xfrm>
        </xdr:grpSpPr>
        <xdr:sp>
          <xdr:nvSpPr>
            <xdr:cNvPr id="20" name="Shape 20"/>
            <xdr:cNvSpPr/>
          </xdr:nvSpPr>
          <xdr:spPr>
            <a:xfrm>
              <a:off x="5336325" y="3403763"/>
              <a:ext cx="19200" cy="752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1" name="Shape 21"/>
            <xdr:cNvCxnSpPr>
              <a:stCxn id="22" idx="2"/>
            </xdr:cNvCxnSpPr>
          </xdr:nvCxnSpPr>
          <xdr:spPr>
            <a:xfrm flipH="1">
              <a:off x="5336325" y="3403763"/>
              <a:ext cx="19200" cy="752400"/>
            </a:xfrm>
            <a:prstGeom prst="straightConnector1">
              <a:avLst/>
            </a:prstGeom>
            <a:noFill/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5</xdr:col>
      <xdr:colOff>66675</xdr:colOff>
      <xdr:row>13</xdr:row>
      <xdr:rowOff>-9525</xdr:rowOff>
    </xdr:from>
    <xdr:ext cx="1028700" cy="533400"/>
    <xdr:sp>
      <xdr:nvSpPr>
        <xdr:cNvPr id="23" name="Shape 23"/>
        <xdr:cNvSpPr/>
      </xdr:nvSpPr>
      <xdr:spPr>
        <a:xfrm>
          <a:off x="4845938" y="3527588"/>
          <a:ext cx="1000125" cy="504825"/>
        </a:xfrm>
        <a:prstGeom prst="rect">
          <a:avLst/>
        </a:prstGeom>
        <a:solidFill>
          <a:srgbClr val="00B0F0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Kadiv Mkt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Yiska A (T)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5</xdr:col>
      <xdr:colOff>-9525</xdr:colOff>
      <xdr:row>19</xdr:row>
      <xdr:rowOff>19050</xdr:rowOff>
    </xdr:from>
    <xdr:ext cx="38100" cy="552450"/>
    <xdr:grpSp>
      <xdr:nvGrpSpPr>
        <xdr:cNvPr id="2" name="Shape 2"/>
        <xdr:cNvGrpSpPr/>
      </xdr:nvGrpSpPr>
      <xdr:grpSpPr>
        <a:xfrm>
          <a:off x="5326950" y="3503775"/>
          <a:ext cx="38100" cy="552450"/>
          <a:chOff x="5326950" y="3503775"/>
          <a:chExt cx="38100" cy="552450"/>
        </a:xfrm>
      </xdr:grpSpPr>
      <xdr:grpSp>
        <xdr:nvGrpSpPr>
          <xdr:cNvPr id="24" name="Shape 24"/>
          <xdr:cNvGrpSpPr/>
        </xdr:nvGrpSpPr>
        <xdr:grpSpPr>
          <a:xfrm>
            <a:off x="5326950" y="3503775"/>
            <a:ext cx="38100" cy="552450"/>
            <a:chOff x="5341238" y="3503775"/>
            <a:chExt cx="9600" cy="552600"/>
          </a:xfrm>
        </xdr:grpSpPr>
        <xdr:sp>
          <xdr:nvSpPr>
            <xdr:cNvPr id="20" name="Shape 20"/>
            <xdr:cNvSpPr/>
          </xdr:nvSpPr>
          <xdr:spPr>
            <a:xfrm>
              <a:off x="5341238" y="3503775"/>
              <a:ext cx="9600" cy="552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5" name="Shape 25"/>
            <xdr:cNvCxnSpPr>
              <a:endCxn id="11" idx="0"/>
            </xdr:cNvCxnSpPr>
          </xdr:nvCxnSpPr>
          <xdr:spPr>
            <a:xfrm>
              <a:off x="5341238" y="3503775"/>
              <a:ext cx="9600" cy="552600"/>
            </a:xfrm>
            <a:prstGeom prst="straightConnector1">
              <a:avLst/>
            </a:prstGeom>
            <a:noFill/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9</xdr:col>
      <xdr:colOff>495300</xdr:colOff>
      <xdr:row>16</xdr:row>
      <xdr:rowOff>85725</xdr:rowOff>
    </xdr:from>
    <xdr:ext cx="2000250" cy="504825"/>
    <xdr:sp>
      <xdr:nvSpPr>
        <xdr:cNvPr id="26" name="Shape 26"/>
        <xdr:cNvSpPr/>
      </xdr:nvSpPr>
      <xdr:spPr>
        <a:xfrm>
          <a:off x="4360163" y="3541875"/>
          <a:ext cx="1971675" cy="476250"/>
        </a:xfrm>
        <a:prstGeom prst="rect">
          <a:avLst/>
        </a:prstGeom>
        <a:solidFill>
          <a:srgbClr val="00B0F0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Karu/ Wakaru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Hafid (T)/Didik S (T)/Gama (K)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21</xdr:col>
      <xdr:colOff>161925</xdr:colOff>
      <xdr:row>13</xdr:row>
      <xdr:rowOff>-9525</xdr:rowOff>
    </xdr:from>
    <xdr:ext cx="1095375" cy="552450"/>
    <xdr:sp>
      <xdr:nvSpPr>
        <xdr:cNvPr id="27" name="Shape 27"/>
        <xdr:cNvSpPr/>
      </xdr:nvSpPr>
      <xdr:spPr>
        <a:xfrm>
          <a:off x="4812600" y="3518063"/>
          <a:ext cx="1066800" cy="523875"/>
        </a:xfrm>
        <a:prstGeom prst="rect">
          <a:avLst/>
        </a:prstGeom>
        <a:solidFill>
          <a:srgbClr val="FFD966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Kadiv QC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Rizal R (K)</a:t>
          </a:r>
          <a:endParaRPr sz="1400"/>
        </a:p>
      </xdr:txBody>
    </xdr:sp>
    <xdr:clientData fLocksWithSheet="0"/>
  </xdr:oneCellAnchor>
  <xdr:oneCellAnchor>
    <xdr:from>
      <xdr:col>22</xdr:col>
      <xdr:colOff>123825</xdr:colOff>
      <xdr:row>15</xdr:row>
      <xdr:rowOff>104775</xdr:rowOff>
    </xdr:from>
    <xdr:ext cx="38100" cy="1323975"/>
    <xdr:grpSp>
      <xdr:nvGrpSpPr>
        <xdr:cNvPr id="2" name="Shape 2"/>
        <xdr:cNvGrpSpPr/>
      </xdr:nvGrpSpPr>
      <xdr:grpSpPr>
        <a:xfrm>
          <a:off x="5326950" y="3118013"/>
          <a:ext cx="38100" cy="1323975"/>
          <a:chOff x="5326950" y="3118013"/>
          <a:chExt cx="38100" cy="1323975"/>
        </a:xfrm>
      </xdr:grpSpPr>
      <xdr:grpSp>
        <xdr:nvGrpSpPr>
          <xdr:cNvPr id="28" name="Shape 28"/>
          <xdr:cNvGrpSpPr/>
        </xdr:nvGrpSpPr>
        <xdr:grpSpPr>
          <a:xfrm>
            <a:off x="5326950" y="3118013"/>
            <a:ext cx="38100" cy="1323975"/>
            <a:chOff x="5336475" y="3118013"/>
            <a:chExt cx="19200" cy="1323900"/>
          </a:xfrm>
        </xdr:grpSpPr>
        <xdr:sp>
          <xdr:nvSpPr>
            <xdr:cNvPr id="20" name="Shape 20"/>
            <xdr:cNvSpPr/>
          </xdr:nvSpPr>
          <xdr:spPr>
            <a:xfrm>
              <a:off x="5336475" y="3118013"/>
              <a:ext cx="19200" cy="1323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9" name="Shape 29"/>
            <xdr:cNvCxnSpPr>
              <a:stCxn id="30" idx="2"/>
              <a:endCxn id="18" idx="0"/>
            </xdr:cNvCxnSpPr>
          </xdr:nvCxnSpPr>
          <xdr:spPr>
            <a:xfrm>
              <a:off x="5336475" y="3118013"/>
              <a:ext cx="19200" cy="1323900"/>
            </a:xfrm>
            <a:prstGeom prst="straightConnector1">
              <a:avLst/>
            </a:prstGeom>
            <a:noFill/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13</xdr:col>
      <xdr:colOff>142875</xdr:colOff>
      <xdr:row>12</xdr:row>
      <xdr:rowOff>152400</xdr:rowOff>
    </xdr:from>
    <xdr:ext cx="1019175" cy="533400"/>
    <xdr:sp>
      <xdr:nvSpPr>
        <xdr:cNvPr id="31" name="Shape 31"/>
        <xdr:cNvSpPr/>
      </xdr:nvSpPr>
      <xdr:spPr>
        <a:xfrm>
          <a:off x="4850700" y="3527588"/>
          <a:ext cx="990600" cy="504825"/>
        </a:xfrm>
        <a:prstGeom prst="rect">
          <a:avLst/>
        </a:prstGeom>
        <a:solidFill>
          <a:srgbClr val="00B0F0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Kadiv PPIC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Indra V (T)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19</xdr:col>
      <xdr:colOff>104775</xdr:colOff>
      <xdr:row>21</xdr:row>
      <xdr:rowOff>142875</xdr:rowOff>
    </xdr:from>
    <xdr:ext cx="971550" cy="628650"/>
    <xdr:sp>
      <xdr:nvSpPr>
        <xdr:cNvPr id="32" name="Shape 32"/>
        <xdr:cNvSpPr/>
      </xdr:nvSpPr>
      <xdr:spPr>
        <a:xfrm>
          <a:off x="4874513" y="3479963"/>
          <a:ext cx="942975" cy="600075"/>
        </a:xfrm>
        <a:prstGeom prst="rect">
          <a:avLst/>
        </a:prstGeom>
        <a:solidFill>
          <a:srgbClr val="00B0F0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Staff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Puspita R (T)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7</xdr:col>
      <xdr:colOff>304800</xdr:colOff>
      <xdr:row>22</xdr:row>
      <xdr:rowOff>-19050</xdr:rowOff>
    </xdr:from>
    <xdr:ext cx="800100" cy="733425"/>
    <xdr:sp>
      <xdr:nvSpPr>
        <xdr:cNvPr id="33" name="Shape 33"/>
        <xdr:cNvSpPr/>
      </xdr:nvSpPr>
      <xdr:spPr>
        <a:xfrm>
          <a:off x="4960238" y="3427575"/>
          <a:ext cx="771525" cy="704850"/>
        </a:xfrm>
        <a:prstGeom prst="rect">
          <a:avLst/>
        </a:prstGeom>
        <a:solidFill>
          <a:schemeClr val="accent2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Kasir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Nadhila (HL)</a:t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114300</xdr:colOff>
      <xdr:row>15</xdr:row>
      <xdr:rowOff>66675</xdr:rowOff>
    </xdr:from>
    <xdr:ext cx="342900" cy="1343025"/>
    <xdr:grpSp>
      <xdr:nvGrpSpPr>
        <xdr:cNvPr id="2" name="Shape 2"/>
        <xdr:cNvGrpSpPr/>
      </xdr:nvGrpSpPr>
      <xdr:grpSpPr>
        <a:xfrm>
          <a:off x="5174550" y="1033583"/>
          <a:ext cx="342900" cy="5492835"/>
          <a:chOff x="5174550" y="1033583"/>
          <a:chExt cx="342900" cy="5492835"/>
        </a:xfrm>
      </xdr:grpSpPr>
      <xdr:grpSp>
        <xdr:nvGrpSpPr>
          <xdr:cNvPr id="34" name="Shape 34"/>
          <xdr:cNvGrpSpPr/>
        </xdr:nvGrpSpPr>
        <xdr:grpSpPr>
          <a:xfrm>
            <a:off x="5174550" y="1033583"/>
            <a:ext cx="342900" cy="5492835"/>
            <a:chOff x="4684126" y="3118013"/>
            <a:chExt cx="1323900" cy="1323900"/>
          </a:xfrm>
        </xdr:grpSpPr>
        <xdr:sp>
          <xdr:nvSpPr>
            <xdr:cNvPr id="20" name="Shape 20"/>
            <xdr:cNvSpPr/>
          </xdr:nvSpPr>
          <xdr:spPr>
            <a:xfrm>
              <a:off x="4684126" y="3618113"/>
              <a:ext cx="1323900" cy="323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5" name="Shape 35"/>
            <xdr:cNvCxnSpPr>
              <a:stCxn id="5" idx="2"/>
              <a:endCxn id="36" idx="0"/>
            </xdr:cNvCxnSpPr>
          </xdr:nvCxnSpPr>
          <xdr:spPr>
            <a:xfrm rot="5400000">
              <a:off x="4684126" y="3618113"/>
              <a:ext cx="1323900" cy="323700"/>
            </a:xfrm>
            <a:prstGeom prst="bentConnector3">
              <a:avLst>
                <a:gd fmla="val 52067" name="adj1"/>
              </a:avLst>
            </a:prstGeom>
            <a:noFill/>
            <a:ln cap="flat" cmpd="sng" w="1905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8</xdr:col>
      <xdr:colOff>438150</xdr:colOff>
      <xdr:row>15</xdr:row>
      <xdr:rowOff>66675</xdr:rowOff>
    </xdr:from>
    <xdr:ext cx="485775" cy="1352550"/>
    <xdr:grpSp>
      <xdr:nvGrpSpPr>
        <xdr:cNvPr id="2" name="Shape 2"/>
        <xdr:cNvGrpSpPr/>
      </xdr:nvGrpSpPr>
      <xdr:grpSpPr>
        <a:xfrm>
          <a:off x="5103113" y="1848096"/>
          <a:ext cx="485775" cy="3863808"/>
          <a:chOff x="5103113" y="1848096"/>
          <a:chExt cx="485775" cy="3863808"/>
        </a:xfrm>
      </xdr:grpSpPr>
      <xdr:grpSp>
        <xdr:nvGrpSpPr>
          <xdr:cNvPr id="37" name="Shape 37"/>
          <xdr:cNvGrpSpPr/>
        </xdr:nvGrpSpPr>
        <xdr:grpSpPr>
          <a:xfrm>
            <a:off x="5103113" y="1848096"/>
            <a:ext cx="485775" cy="3863808"/>
            <a:chOff x="4679288" y="3113251"/>
            <a:chExt cx="1333500" cy="1333500"/>
          </a:xfrm>
        </xdr:grpSpPr>
        <xdr:sp>
          <xdr:nvSpPr>
            <xdr:cNvPr id="20" name="Shape 20"/>
            <xdr:cNvSpPr/>
          </xdr:nvSpPr>
          <xdr:spPr>
            <a:xfrm>
              <a:off x="4679288" y="3546601"/>
              <a:ext cx="1333500" cy="466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8" name="Shape 38"/>
            <xdr:cNvCxnSpPr>
              <a:stCxn id="5" idx="2"/>
              <a:endCxn id="13" idx="0"/>
            </xdr:cNvCxnSpPr>
          </xdr:nvCxnSpPr>
          <xdr:spPr>
            <a:xfrm flipH="1" rot="-5400000">
              <a:off x="4679288" y="3546601"/>
              <a:ext cx="1333500" cy="466800"/>
            </a:xfrm>
            <a:prstGeom prst="bentConnector3">
              <a:avLst>
                <a:gd fmla="val 52816" name="adj1"/>
              </a:avLst>
            </a:prstGeom>
            <a:noFill/>
            <a:ln cap="flat" cmpd="sng" w="1905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11</xdr:col>
      <xdr:colOff>571500</xdr:colOff>
      <xdr:row>28</xdr:row>
      <xdr:rowOff>76200</xdr:rowOff>
    </xdr:from>
    <xdr:ext cx="38100" cy="371475"/>
    <xdr:grpSp>
      <xdr:nvGrpSpPr>
        <xdr:cNvPr id="2" name="Shape 2"/>
        <xdr:cNvGrpSpPr/>
      </xdr:nvGrpSpPr>
      <xdr:grpSpPr>
        <a:xfrm>
          <a:off x="5326950" y="3594263"/>
          <a:ext cx="38100" cy="371475"/>
          <a:chOff x="5326950" y="3594263"/>
          <a:chExt cx="38100" cy="371475"/>
        </a:xfrm>
      </xdr:grpSpPr>
      <xdr:grpSp>
        <xdr:nvGrpSpPr>
          <xdr:cNvPr id="39" name="Shape 39"/>
          <xdr:cNvGrpSpPr/>
        </xdr:nvGrpSpPr>
        <xdr:grpSpPr>
          <a:xfrm>
            <a:off x="5326950" y="3594263"/>
            <a:ext cx="38100" cy="371475"/>
            <a:chOff x="5336475" y="3594263"/>
            <a:chExt cx="19050" cy="371475"/>
          </a:xfrm>
        </xdr:grpSpPr>
        <xdr:sp>
          <xdr:nvSpPr>
            <xdr:cNvPr id="20" name="Shape 20"/>
            <xdr:cNvSpPr/>
          </xdr:nvSpPr>
          <xdr:spPr>
            <a:xfrm>
              <a:off x="5336475" y="3594263"/>
              <a:ext cx="190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0" name="Shape 40"/>
            <xdr:cNvCxnSpPr/>
          </xdr:nvCxnSpPr>
          <xdr:spPr>
            <a:xfrm>
              <a:off x="5336475" y="3594263"/>
              <a:ext cx="19050" cy="371475"/>
            </a:xfrm>
            <a:prstGeom prst="straightConnector1">
              <a:avLst/>
            </a:prstGeom>
            <a:noFill/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11</xdr:col>
      <xdr:colOff>104775</xdr:colOff>
      <xdr:row>30</xdr:row>
      <xdr:rowOff>0</xdr:rowOff>
    </xdr:from>
    <xdr:ext cx="981075" cy="733425"/>
    <xdr:sp>
      <xdr:nvSpPr>
        <xdr:cNvPr id="41" name="Shape 41"/>
        <xdr:cNvSpPr/>
      </xdr:nvSpPr>
      <xdr:spPr>
        <a:xfrm>
          <a:off x="4869750" y="3427575"/>
          <a:ext cx="952500" cy="704850"/>
        </a:xfrm>
        <a:prstGeom prst="rect">
          <a:avLst/>
        </a:prstGeom>
        <a:solidFill>
          <a:srgbClr val="FFD966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GBB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Adi Jaya (K)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Ibrahim (HL)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14</xdr:col>
      <xdr:colOff>552450</xdr:colOff>
      <xdr:row>30</xdr:row>
      <xdr:rowOff>0</xdr:rowOff>
    </xdr:from>
    <xdr:ext cx="962025" cy="542925"/>
    <xdr:sp>
      <xdr:nvSpPr>
        <xdr:cNvPr id="42" name="Shape 42"/>
        <xdr:cNvSpPr/>
      </xdr:nvSpPr>
      <xdr:spPr>
        <a:xfrm>
          <a:off x="4879275" y="3522825"/>
          <a:ext cx="933450" cy="514350"/>
        </a:xfrm>
        <a:prstGeom prst="rect">
          <a:avLst/>
        </a:prstGeom>
        <a:solidFill>
          <a:schemeClr val="accent2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Admin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Sevia (HL)</a:t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-19050</xdr:colOff>
      <xdr:row>29</xdr:row>
      <xdr:rowOff>-9525</xdr:rowOff>
    </xdr:from>
    <xdr:ext cx="1343025" cy="971550"/>
    <xdr:sp>
      <xdr:nvSpPr>
        <xdr:cNvPr id="43" name="Shape 43"/>
        <xdr:cNvSpPr/>
      </xdr:nvSpPr>
      <xdr:spPr>
        <a:xfrm>
          <a:off x="4688775" y="3308513"/>
          <a:ext cx="1314450" cy="942975"/>
        </a:xfrm>
        <a:prstGeom prst="rect">
          <a:avLst/>
        </a:prstGeom>
        <a:solidFill>
          <a:srgbClr val="FFD966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Cetak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Agus Supiadi(T)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Asep Hidayat (K)</a:t>
          </a:r>
          <a:endParaRPr b="1" sz="1100">
            <a:solidFill>
              <a:srgbClr val="000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Kurniadi (K.KPP)</a:t>
          </a:r>
          <a:endParaRPr b="1" sz="1100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8</xdr:col>
      <xdr:colOff>428625</xdr:colOff>
      <xdr:row>29</xdr:row>
      <xdr:rowOff>-9525</xdr:rowOff>
    </xdr:from>
    <xdr:ext cx="1352550" cy="1533525"/>
    <xdr:sp>
      <xdr:nvSpPr>
        <xdr:cNvPr id="44" name="Shape 44"/>
        <xdr:cNvSpPr/>
      </xdr:nvSpPr>
      <xdr:spPr>
        <a:xfrm>
          <a:off x="4684013" y="3027525"/>
          <a:ext cx="1323975" cy="1504950"/>
        </a:xfrm>
        <a:prstGeom prst="rect">
          <a:avLst/>
        </a:prstGeom>
        <a:solidFill>
          <a:srgbClr val="00B0F0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Finishing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Fajar (T)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Hendro (T)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Irfan M (T)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 Fahzri (T)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Andris (K)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Hazyzul (K.KPP)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chemeClr val="dk1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13</xdr:col>
      <xdr:colOff>152400</xdr:colOff>
      <xdr:row>30</xdr:row>
      <xdr:rowOff>-9525</xdr:rowOff>
    </xdr:from>
    <xdr:ext cx="981075" cy="542925"/>
    <xdr:sp>
      <xdr:nvSpPr>
        <xdr:cNvPr id="45" name="Shape 45"/>
        <xdr:cNvSpPr/>
      </xdr:nvSpPr>
      <xdr:spPr>
        <a:xfrm>
          <a:off x="4869750" y="3522825"/>
          <a:ext cx="952500" cy="514350"/>
        </a:xfrm>
        <a:prstGeom prst="rect">
          <a:avLst/>
        </a:prstGeom>
        <a:solidFill>
          <a:srgbClr val="00B0F0"/>
        </a:solidFill>
        <a:ln cap="flat" cmpd="sng" w="2857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GBJ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Jumadi (T)</a:t>
          </a:r>
          <a:endParaRPr sz="14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658975" cy="89439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2</xdr:row>
      <xdr:rowOff>180975</xdr:rowOff>
    </xdr:from>
    <xdr:ext cx="17325975" cy="8963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7887950" cy="10429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6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7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 outlineLevelCol="2"/>
  <cols>
    <col customWidth="1" hidden="1" min="1" max="2" width="5.29"/>
    <col customWidth="1" min="3" max="3" width="27.29"/>
    <col customWidth="1" min="4" max="4" width="41.86"/>
    <col customWidth="1" min="5" max="8" width="10.14"/>
    <col customWidth="1" min="9" max="10" width="14.43"/>
    <col customWidth="1" min="11" max="14" width="10.14"/>
    <col customWidth="1" min="15" max="16" width="14.4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2"/>
      <c r="N2" s="2"/>
      <c r="O2" s="2"/>
      <c r="P2" s="1"/>
    </row>
    <row r="3">
      <c r="A3" s="1"/>
      <c r="B3" s="1"/>
      <c r="C3" s="3" t="s">
        <v>1</v>
      </c>
      <c r="D3" s="4"/>
      <c r="E3" s="5" t="s">
        <v>2</v>
      </c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>
      <c r="A4" s="1"/>
      <c r="B4" s="1"/>
      <c r="C4" s="10" t="s">
        <v>5</v>
      </c>
      <c r="D4" s="12" t="s">
        <v>6</v>
      </c>
      <c r="E4" s="5" t="s">
        <v>7</v>
      </c>
      <c r="F4" s="7"/>
      <c r="G4" s="7"/>
      <c r="H4" s="7"/>
      <c r="I4" s="7"/>
      <c r="J4" s="8"/>
      <c r="K4" s="5" t="s">
        <v>8</v>
      </c>
      <c r="L4" s="7"/>
      <c r="M4" s="7"/>
      <c r="N4" s="7"/>
      <c r="O4" s="7"/>
      <c r="P4" s="8"/>
    </row>
    <row r="5">
      <c r="A5" s="1"/>
      <c r="B5" s="1"/>
      <c r="C5" s="13"/>
      <c r="D5" s="14"/>
      <c r="E5" s="18" t="s">
        <v>9</v>
      </c>
      <c r="F5" s="18" t="s">
        <v>10</v>
      </c>
      <c r="G5" s="18" t="s">
        <v>12</v>
      </c>
      <c r="H5" s="18" t="s">
        <v>13</v>
      </c>
      <c r="I5" s="20" t="s">
        <v>14</v>
      </c>
      <c r="J5" s="20" t="s">
        <v>15</v>
      </c>
      <c r="K5" s="18" t="s">
        <v>9</v>
      </c>
      <c r="L5" s="18" t="s">
        <v>10</v>
      </c>
      <c r="M5" s="18" t="s">
        <v>12</v>
      </c>
      <c r="N5" s="18" t="s">
        <v>13</v>
      </c>
      <c r="O5" s="20" t="s">
        <v>16</v>
      </c>
      <c r="P5" s="20" t="s">
        <v>17</v>
      </c>
    </row>
    <row r="6">
      <c r="A6" s="1"/>
      <c r="B6" s="1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>
      <c r="A7" s="1"/>
      <c r="B7" s="1"/>
      <c r="C7" s="2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>
      <c r="A8" s="1"/>
      <c r="B8" s="1"/>
      <c r="C8" s="29" t="s">
        <v>20</v>
      </c>
      <c r="D8" s="30" t="s">
        <v>20</v>
      </c>
      <c r="E8" s="31"/>
      <c r="F8" s="31">
        <v>1.0</v>
      </c>
      <c r="G8" s="31"/>
      <c r="H8" s="31"/>
      <c r="I8" s="31">
        <f t="shared" ref="I8:I54" si="1">SUM(E8:H8)</f>
        <v>1</v>
      </c>
      <c r="J8" s="31"/>
      <c r="K8" s="31"/>
      <c r="L8" s="31">
        <v>1.0</v>
      </c>
      <c r="M8" s="31"/>
      <c r="N8" s="31"/>
      <c r="O8" s="31">
        <f t="shared" ref="O8:O54" si="2">SUM(K8:N8)</f>
        <v>1</v>
      </c>
      <c r="P8" s="31"/>
    </row>
    <row r="9">
      <c r="A9" s="1"/>
      <c r="B9" s="1"/>
      <c r="C9" s="35" t="s">
        <v>18</v>
      </c>
      <c r="D9" s="36" t="s">
        <v>19</v>
      </c>
      <c r="E9" s="37">
        <v>1.0</v>
      </c>
      <c r="F9" s="37"/>
      <c r="G9" s="37"/>
      <c r="H9" s="37"/>
      <c r="I9" s="31">
        <f t="shared" si="1"/>
        <v>1</v>
      </c>
      <c r="J9" s="37"/>
      <c r="K9" s="37">
        <v>1.0</v>
      </c>
      <c r="L9" s="37"/>
      <c r="M9" s="37"/>
      <c r="N9" s="37"/>
      <c r="O9" s="31">
        <f t="shared" si="2"/>
        <v>1</v>
      </c>
      <c r="P9" s="37"/>
    </row>
    <row r="10">
      <c r="A10" s="1"/>
      <c r="B10" s="1"/>
      <c r="C10" s="39"/>
      <c r="D10" s="36" t="s">
        <v>25</v>
      </c>
      <c r="E10" s="37"/>
      <c r="F10" s="37">
        <v>1.0</v>
      </c>
      <c r="G10" s="37"/>
      <c r="H10" s="37"/>
      <c r="I10" s="31">
        <f t="shared" si="1"/>
        <v>1</v>
      </c>
      <c r="J10" s="37"/>
      <c r="K10" s="37"/>
      <c r="L10" s="37">
        <v>1.0</v>
      </c>
      <c r="M10" s="37"/>
      <c r="N10" s="37"/>
      <c r="O10" s="31">
        <f t="shared" si="2"/>
        <v>1</v>
      </c>
      <c r="P10" s="37"/>
    </row>
    <row r="11">
      <c r="A11" s="1"/>
      <c r="B11" s="1"/>
      <c r="C11" s="14"/>
      <c r="D11" s="36" t="s">
        <v>26</v>
      </c>
      <c r="E11" s="37"/>
      <c r="F11" s="37"/>
      <c r="G11" s="37">
        <v>2.0</v>
      </c>
      <c r="H11" s="37"/>
      <c r="I11" s="31">
        <f t="shared" si="1"/>
        <v>2</v>
      </c>
      <c r="J11" s="37"/>
      <c r="K11" s="37"/>
      <c r="L11" s="37"/>
      <c r="M11" s="37">
        <v>1.0</v>
      </c>
      <c r="N11" s="37"/>
      <c r="O11" s="31">
        <f t="shared" si="2"/>
        <v>1</v>
      </c>
      <c r="P11" s="37"/>
    </row>
    <row r="12">
      <c r="A12" s="1"/>
      <c r="B12" s="1"/>
      <c r="C12" s="23"/>
      <c r="D12" s="36" t="s">
        <v>28</v>
      </c>
      <c r="E12" s="37"/>
      <c r="F12" s="37"/>
      <c r="G12" s="37">
        <v>2.0</v>
      </c>
      <c r="H12" s="37"/>
      <c r="I12" s="31">
        <f t="shared" si="1"/>
        <v>2</v>
      </c>
      <c r="J12" s="37"/>
      <c r="K12" s="37"/>
      <c r="L12" s="37"/>
      <c r="M12" s="37">
        <v>2.0</v>
      </c>
      <c r="N12" s="37"/>
      <c r="O12" s="31">
        <f t="shared" si="2"/>
        <v>2</v>
      </c>
      <c r="P12" s="37"/>
    </row>
    <row r="13">
      <c r="A13" s="1"/>
      <c r="B13" s="1"/>
      <c r="C13" s="39" t="s">
        <v>29</v>
      </c>
      <c r="D13" s="36" t="s">
        <v>30</v>
      </c>
      <c r="E13" s="37">
        <v>1.0</v>
      </c>
      <c r="F13" s="37"/>
      <c r="G13" s="37"/>
      <c r="H13" s="37"/>
      <c r="I13" s="31">
        <f t="shared" si="1"/>
        <v>1</v>
      </c>
      <c r="J13" s="37"/>
      <c r="K13" s="37">
        <v>1.0</v>
      </c>
      <c r="L13" s="37"/>
      <c r="M13" s="37"/>
      <c r="N13" s="37"/>
      <c r="O13" s="31">
        <f t="shared" si="2"/>
        <v>1</v>
      </c>
      <c r="P13" s="37"/>
    </row>
    <row r="14">
      <c r="A14" s="1"/>
      <c r="B14" s="1"/>
      <c r="C14" s="14"/>
      <c r="D14" s="36" t="s">
        <v>31</v>
      </c>
      <c r="E14" s="37">
        <v>2.0</v>
      </c>
      <c r="F14" s="37">
        <v>1.0</v>
      </c>
      <c r="G14" s="37"/>
      <c r="H14" s="37"/>
      <c r="I14" s="31">
        <f t="shared" si="1"/>
        <v>3</v>
      </c>
      <c r="J14" s="37"/>
      <c r="K14" s="37">
        <v>2.0</v>
      </c>
      <c r="L14" s="37">
        <v>1.0</v>
      </c>
      <c r="M14" s="37"/>
      <c r="N14" s="37"/>
      <c r="O14" s="31">
        <f t="shared" si="2"/>
        <v>3</v>
      </c>
      <c r="P14" s="37"/>
    </row>
    <row r="15">
      <c r="A15" s="1"/>
      <c r="B15" s="1"/>
      <c r="C15" s="14"/>
      <c r="D15" s="36" t="s">
        <v>32</v>
      </c>
      <c r="E15" s="37"/>
      <c r="F15" s="37"/>
      <c r="G15" s="37">
        <v>1.0</v>
      </c>
      <c r="H15" s="37"/>
      <c r="I15" s="31">
        <f t="shared" si="1"/>
        <v>1</v>
      </c>
      <c r="J15" s="37"/>
      <c r="K15" s="37"/>
      <c r="L15" s="37"/>
      <c r="M15" s="37">
        <v>1.0</v>
      </c>
      <c r="N15" s="37"/>
      <c r="O15" s="31">
        <f t="shared" si="2"/>
        <v>1</v>
      </c>
      <c r="P15" s="37"/>
    </row>
    <row r="16">
      <c r="A16" s="1"/>
      <c r="B16" s="1"/>
      <c r="C16" s="23"/>
      <c r="D16" s="36" t="s">
        <v>33</v>
      </c>
      <c r="E16" s="37"/>
      <c r="F16" s="37"/>
      <c r="G16" s="37"/>
      <c r="H16" s="37"/>
      <c r="I16" s="31">
        <f t="shared" si="1"/>
        <v>0</v>
      </c>
      <c r="J16" s="37"/>
      <c r="K16" s="37"/>
      <c r="L16" s="37"/>
      <c r="M16" s="37"/>
      <c r="N16" s="37"/>
      <c r="O16" s="31">
        <f t="shared" si="2"/>
        <v>0</v>
      </c>
      <c r="P16" s="37"/>
    </row>
    <row r="17">
      <c r="A17" s="1"/>
      <c r="B17" s="1"/>
      <c r="C17" s="40" t="s">
        <v>37</v>
      </c>
      <c r="D17" s="36" t="s">
        <v>38</v>
      </c>
      <c r="E17" s="37">
        <v>1.0</v>
      </c>
      <c r="F17" s="37"/>
      <c r="G17" s="37"/>
      <c r="H17" s="37"/>
      <c r="I17" s="31">
        <f t="shared" si="1"/>
        <v>1</v>
      </c>
      <c r="J17" s="37"/>
      <c r="K17" s="37">
        <v>1.0</v>
      </c>
      <c r="L17" s="37"/>
      <c r="M17" s="37"/>
      <c r="N17" s="37"/>
      <c r="O17" s="31">
        <f t="shared" si="2"/>
        <v>1</v>
      </c>
      <c r="P17" s="37"/>
    </row>
    <row r="18">
      <c r="A18" s="1"/>
      <c r="B18" s="1"/>
      <c r="C18" s="14"/>
      <c r="D18" s="36" t="s">
        <v>41</v>
      </c>
      <c r="E18" s="37"/>
      <c r="F18" s="37"/>
      <c r="G18" s="37"/>
      <c r="H18" s="37"/>
      <c r="I18" s="31">
        <f t="shared" si="1"/>
        <v>0</v>
      </c>
      <c r="J18" s="37"/>
      <c r="K18" s="37"/>
      <c r="L18" s="37"/>
      <c r="M18" s="37"/>
      <c r="N18" s="37"/>
      <c r="O18" s="31">
        <f t="shared" si="2"/>
        <v>0</v>
      </c>
      <c r="P18" s="37"/>
    </row>
    <row r="19">
      <c r="A19" s="1"/>
      <c r="B19" s="1"/>
      <c r="C19" s="14"/>
      <c r="D19" s="36" t="s">
        <v>43</v>
      </c>
      <c r="E19" s="37"/>
      <c r="F19" s="37"/>
      <c r="G19" s="37">
        <v>2.0</v>
      </c>
      <c r="H19" s="37"/>
      <c r="I19" s="31">
        <f t="shared" si="1"/>
        <v>2</v>
      </c>
      <c r="J19" s="37"/>
      <c r="K19" s="37"/>
      <c r="L19" s="37"/>
      <c r="M19" s="37">
        <v>2.0</v>
      </c>
      <c r="N19" s="37"/>
      <c r="O19" s="31">
        <f t="shared" si="2"/>
        <v>2</v>
      </c>
      <c r="P19" s="37"/>
    </row>
    <row r="20">
      <c r="A20" s="43"/>
      <c r="B20" s="43"/>
      <c r="C20" s="14"/>
      <c r="D20" s="36" t="s">
        <v>42</v>
      </c>
      <c r="E20" s="37"/>
      <c r="F20" s="37">
        <v>1.0</v>
      </c>
      <c r="G20" s="37">
        <v>2.0</v>
      </c>
      <c r="H20" s="37"/>
      <c r="I20" s="31">
        <f t="shared" si="1"/>
        <v>3</v>
      </c>
      <c r="J20" s="37"/>
      <c r="K20" s="37"/>
      <c r="L20" s="37">
        <v>1.0</v>
      </c>
      <c r="M20" s="37">
        <v>2.0</v>
      </c>
      <c r="N20" s="37"/>
      <c r="O20" s="31">
        <f t="shared" si="2"/>
        <v>3</v>
      </c>
      <c r="P20" s="37"/>
    </row>
    <row r="21" ht="15.75" customHeight="1">
      <c r="A21" s="1"/>
      <c r="B21" s="1"/>
      <c r="C21" s="14"/>
      <c r="D21" s="36" t="s">
        <v>44</v>
      </c>
      <c r="E21" s="37">
        <v>2.0</v>
      </c>
      <c r="F21" s="37"/>
      <c r="G21" s="37"/>
      <c r="H21" s="37"/>
      <c r="I21" s="31">
        <f t="shared" si="1"/>
        <v>2</v>
      </c>
      <c r="J21" s="37"/>
      <c r="K21" s="37">
        <v>2.0</v>
      </c>
      <c r="L21" s="37"/>
      <c r="M21" s="37"/>
      <c r="N21" s="37"/>
      <c r="O21" s="31">
        <f t="shared" si="2"/>
        <v>2</v>
      </c>
      <c r="P21" s="37"/>
    </row>
    <row r="22" ht="15.75" customHeight="1">
      <c r="A22" s="1"/>
      <c r="B22" s="1"/>
      <c r="C22" s="14"/>
      <c r="D22" s="36" t="s">
        <v>45</v>
      </c>
      <c r="E22" s="37"/>
      <c r="F22" s="37"/>
      <c r="G22" s="37">
        <v>4.0</v>
      </c>
      <c r="H22" s="37"/>
      <c r="I22" s="31">
        <f t="shared" si="1"/>
        <v>4</v>
      </c>
      <c r="J22" s="37"/>
      <c r="K22" s="37"/>
      <c r="L22" s="37"/>
      <c r="M22" s="37">
        <v>4.0</v>
      </c>
      <c r="N22" s="37"/>
      <c r="O22" s="31">
        <f t="shared" si="2"/>
        <v>4</v>
      </c>
      <c r="P22" s="37"/>
    </row>
    <row r="23" ht="15.75" customHeight="1">
      <c r="A23" s="1"/>
      <c r="B23" s="1"/>
      <c r="C23" s="23"/>
      <c r="D23" s="36" t="s">
        <v>48</v>
      </c>
      <c r="E23" s="37"/>
      <c r="F23" s="37"/>
      <c r="G23" s="37">
        <v>1.0</v>
      </c>
      <c r="H23" s="37"/>
      <c r="I23" s="31">
        <f t="shared" si="1"/>
        <v>1</v>
      </c>
      <c r="J23" s="37"/>
      <c r="K23" s="37"/>
      <c r="L23" s="37"/>
      <c r="M23" s="37">
        <v>1.0</v>
      </c>
      <c r="N23" s="37"/>
      <c r="O23" s="31">
        <f t="shared" si="2"/>
        <v>1</v>
      </c>
      <c r="P23" s="37"/>
    </row>
    <row r="24" ht="15.75" customHeight="1">
      <c r="A24" s="1"/>
      <c r="B24" s="1"/>
      <c r="C24" s="45" t="s">
        <v>49</v>
      </c>
      <c r="D24" s="36" t="s">
        <v>50</v>
      </c>
      <c r="E24" s="37">
        <v>1.0</v>
      </c>
      <c r="F24" s="37"/>
      <c r="G24" s="37"/>
      <c r="H24" s="37"/>
      <c r="I24" s="31">
        <f t="shared" si="1"/>
        <v>1</v>
      </c>
      <c r="J24" s="37"/>
      <c r="K24" s="37">
        <v>1.0</v>
      </c>
      <c r="L24" s="37"/>
      <c r="M24" s="37"/>
      <c r="N24" s="37"/>
      <c r="O24" s="31">
        <f t="shared" si="2"/>
        <v>1</v>
      </c>
      <c r="P24" s="37"/>
    </row>
    <row r="25" ht="15.75" customHeight="1">
      <c r="A25" s="1"/>
      <c r="B25" s="1"/>
      <c r="C25" s="23"/>
      <c r="D25" s="36" t="s">
        <v>51</v>
      </c>
      <c r="E25" s="37"/>
      <c r="F25" s="37"/>
      <c r="G25" s="37">
        <v>1.0</v>
      </c>
      <c r="H25" s="37"/>
      <c r="I25" s="31">
        <f t="shared" si="1"/>
        <v>1</v>
      </c>
      <c r="J25" s="37"/>
      <c r="K25" s="37"/>
      <c r="L25" s="37"/>
      <c r="M25" s="37">
        <v>1.0</v>
      </c>
      <c r="N25" s="37"/>
      <c r="O25" s="31">
        <f t="shared" si="2"/>
        <v>1</v>
      </c>
      <c r="P25" s="37"/>
    </row>
    <row r="26" ht="15.75" customHeight="1">
      <c r="A26" s="1"/>
      <c r="B26" s="1"/>
      <c r="C26" s="46" t="s">
        <v>53</v>
      </c>
      <c r="D26" s="36" t="s">
        <v>53</v>
      </c>
      <c r="E26" s="37"/>
      <c r="F26" s="37">
        <v>1.0</v>
      </c>
      <c r="G26" s="37"/>
      <c r="H26" s="37"/>
      <c r="I26" s="31">
        <f t="shared" si="1"/>
        <v>1</v>
      </c>
      <c r="J26" s="37"/>
      <c r="K26" s="37"/>
      <c r="L26" s="37">
        <v>1.0</v>
      </c>
      <c r="M26" s="37"/>
      <c r="N26" s="37"/>
      <c r="O26" s="31">
        <f t="shared" si="2"/>
        <v>1</v>
      </c>
      <c r="P26" s="37"/>
    </row>
    <row r="27" ht="15.75" customHeight="1">
      <c r="A27" s="1"/>
      <c r="B27" s="1"/>
      <c r="C27" s="39" t="s">
        <v>54</v>
      </c>
      <c r="D27" s="36" t="s">
        <v>56</v>
      </c>
      <c r="E27" s="37"/>
      <c r="F27" s="37">
        <v>1.0</v>
      </c>
      <c r="G27" s="37"/>
      <c r="H27" s="37"/>
      <c r="I27" s="31">
        <f t="shared" si="1"/>
        <v>1</v>
      </c>
      <c r="J27" s="37"/>
      <c r="K27" s="37"/>
      <c r="L27" s="37">
        <v>1.0</v>
      </c>
      <c r="M27" s="37"/>
      <c r="N27" s="37"/>
      <c r="O27" s="31">
        <f t="shared" si="2"/>
        <v>1</v>
      </c>
      <c r="P27" s="37"/>
    </row>
    <row r="28" ht="15.75" customHeight="1">
      <c r="A28" s="1"/>
      <c r="B28" s="1"/>
      <c r="C28" s="23"/>
      <c r="D28" s="36" t="s">
        <v>54</v>
      </c>
      <c r="E28" s="37">
        <v>1.0</v>
      </c>
      <c r="F28" s="37">
        <v>2.0</v>
      </c>
      <c r="G28" s="37">
        <v>4.0</v>
      </c>
      <c r="H28" s="37"/>
      <c r="I28" s="31">
        <f t="shared" si="1"/>
        <v>7</v>
      </c>
      <c r="J28" s="37"/>
      <c r="K28" s="37"/>
      <c r="L28" s="37">
        <v>2.0</v>
      </c>
      <c r="M28" s="37">
        <v>1.0</v>
      </c>
      <c r="N28" s="37"/>
      <c r="O28" s="31">
        <f t="shared" si="2"/>
        <v>3</v>
      </c>
      <c r="P28" s="37"/>
    </row>
    <row r="29" ht="15.75" customHeight="1">
      <c r="A29" s="1"/>
      <c r="B29" s="1"/>
      <c r="C29" s="39" t="s">
        <v>57</v>
      </c>
      <c r="D29" s="36" t="s">
        <v>59</v>
      </c>
      <c r="E29" s="37">
        <v>1.0</v>
      </c>
      <c r="F29" s="37"/>
      <c r="G29" s="37"/>
      <c r="H29" s="37"/>
      <c r="I29" s="31">
        <f t="shared" si="1"/>
        <v>1</v>
      </c>
      <c r="J29" s="37"/>
      <c r="K29" s="37">
        <v>1.0</v>
      </c>
      <c r="L29" s="37"/>
      <c r="M29" s="37"/>
      <c r="N29" s="37"/>
      <c r="O29" s="31">
        <f t="shared" si="2"/>
        <v>1</v>
      </c>
      <c r="P29" s="37"/>
    </row>
    <row r="30" ht="15.75" customHeight="1">
      <c r="A30" s="1"/>
      <c r="B30" s="1"/>
      <c r="C30" s="23"/>
      <c r="D30" s="36" t="s">
        <v>60</v>
      </c>
      <c r="E30" s="37">
        <v>2.0</v>
      </c>
      <c r="F30" s="37">
        <v>1.0</v>
      </c>
      <c r="G30" s="37"/>
      <c r="H30" s="37"/>
      <c r="I30" s="31">
        <f t="shared" si="1"/>
        <v>3</v>
      </c>
      <c r="J30" s="37"/>
      <c r="K30" s="37">
        <v>2.0</v>
      </c>
      <c r="L30" s="37">
        <v>1.0</v>
      </c>
      <c r="M30" s="37"/>
      <c r="N30" s="37"/>
      <c r="O30" s="31">
        <f t="shared" si="2"/>
        <v>3</v>
      </c>
      <c r="P30" s="37"/>
    </row>
    <row r="31" ht="15.75" customHeight="1">
      <c r="A31" s="1"/>
      <c r="B31" s="1"/>
      <c r="C31" s="39" t="s">
        <v>62</v>
      </c>
      <c r="D31" s="36" t="s">
        <v>64</v>
      </c>
      <c r="E31" s="37"/>
      <c r="F31" s="37">
        <v>1.0</v>
      </c>
      <c r="G31" s="37"/>
      <c r="H31" s="37"/>
      <c r="I31" s="31">
        <f t="shared" si="1"/>
        <v>1</v>
      </c>
      <c r="J31" s="37"/>
      <c r="K31" s="37"/>
      <c r="L31" s="37">
        <v>1.0</v>
      </c>
      <c r="M31" s="37"/>
      <c r="N31" s="37"/>
      <c r="O31" s="31">
        <f t="shared" si="2"/>
        <v>1</v>
      </c>
      <c r="P31" s="37"/>
    </row>
    <row r="32" ht="15.75" customHeight="1">
      <c r="A32" s="1"/>
      <c r="B32" s="1"/>
      <c r="C32" s="14"/>
      <c r="D32" s="36" t="s">
        <v>65</v>
      </c>
      <c r="E32" s="37">
        <v>2.0</v>
      </c>
      <c r="F32" s="37">
        <v>1.0</v>
      </c>
      <c r="G32" s="37"/>
      <c r="H32" s="37"/>
      <c r="I32" s="31">
        <f t="shared" si="1"/>
        <v>3</v>
      </c>
      <c r="J32" s="37"/>
      <c r="K32" s="37">
        <v>2.0</v>
      </c>
      <c r="L32" s="37">
        <v>1.0</v>
      </c>
      <c r="M32" s="37"/>
      <c r="N32" s="37"/>
      <c r="O32" s="31">
        <f t="shared" si="2"/>
        <v>3</v>
      </c>
      <c r="P32" s="37"/>
    </row>
    <row r="33" ht="15.75" customHeight="1">
      <c r="A33" s="1"/>
      <c r="B33" s="1"/>
      <c r="C33" s="14"/>
      <c r="D33" s="36" t="s">
        <v>66</v>
      </c>
      <c r="E33" s="37"/>
      <c r="F33" s="37"/>
      <c r="G33" s="37">
        <v>1.0</v>
      </c>
      <c r="H33" s="37"/>
      <c r="I33" s="31">
        <f t="shared" si="1"/>
        <v>1</v>
      </c>
      <c r="J33" s="37"/>
      <c r="K33" s="37"/>
      <c r="L33" s="37"/>
      <c r="M33" s="37">
        <v>1.0</v>
      </c>
      <c r="N33" s="37"/>
      <c r="O33" s="31">
        <f t="shared" si="2"/>
        <v>1</v>
      </c>
      <c r="P33" s="37"/>
    </row>
    <row r="34" ht="15.75" customHeight="1">
      <c r="A34" s="1"/>
      <c r="B34" s="1"/>
      <c r="C34" s="14"/>
      <c r="D34" s="36" t="s">
        <v>68</v>
      </c>
      <c r="E34" s="37">
        <v>1.0</v>
      </c>
      <c r="F34" s="37">
        <v>3.0</v>
      </c>
      <c r="G34" s="37"/>
      <c r="H34" s="37"/>
      <c r="I34" s="31">
        <f t="shared" si="1"/>
        <v>4</v>
      </c>
      <c r="J34" s="37"/>
      <c r="K34" s="37">
        <v>1.0</v>
      </c>
      <c r="L34" s="37">
        <v>3.0</v>
      </c>
      <c r="M34" s="37"/>
      <c r="N34" s="37"/>
      <c r="O34" s="31">
        <f t="shared" si="2"/>
        <v>4</v>
      </c>
      <c r="P34" s="37"/>
    </row>
    <row r="35" ht="15.75" customHeight="1">
      <c r="A35" s="1"/>
      <c r="B35" s="1"/>
      <c r="C35" s="14"/>
      <c r="D35" s="36" t="s">
        <v>70</v>
      </c>
      <c r="E35" s="37"/>
      <c r="F35" s="37"/>
      <c r="G35" s="37"/>
      <c r="H35" s="37"/>
      <c r="I35" s="31">
        <f t="shared" si="1"/>
        <v>0</v>
      </c>
      <c r="J35" s="37"/>
      <c r="K35" s="37"/>
      <c r="L35" s="37"/>
      <c r="M35" s="37"/>
      <c r="N35" s="37"/>
      <c r="O35" s="31">
        <f t="shared" si="2"/>
        <v>0</v>
      </c>
      <c r="P35" s="37"/>
    </row>
    <row r="36" ht="15.75" customHeight="1">
      <c r="A36" s="1"/>
      <c r="B36" s="1"/>
      <c r="C36" s="14"/>
      <c r="D36" s="36" t="s">
        <v>72</v>
      </c>
      <c r="E36" s="37"/>
      <c r="F36" s="37"/>
      <c r="G36" s="37"/>
      <c r="H36" s="37"/>
      <c r="I36" s="31">
        <f t="shared" si="1"/>
        <v>0</v>
      </c>
      <c r="J36" s="37"/>
      <c r="K36" s="37"/>
      <c r="L36" s="37"/>
      <c r="M36" s="37"/>
      <c r="N36" s="37"/>
      <c r="O36" s="31">
        <f t="shared" si="2"/>
        <v>0</v>
      </c>
      <c r="P36" s="37"/>
    </row>
    <row r="37" ht="15.75" customHeight="1">
      <c r="A37" s="1"/>
      <c r="B37" s="1"/>
      <c r="C37" s="14"/>
      <c r="D37" s="36" t="s">
        <v>74</v>
      </c>
      <c r="E37" s="37"/>
      <c r="F37" s="37"/>
      <c r="G37" s="37"/>
      <c r="H37" s="37"/>
      <c r="I37" s="31">
        <f t="shared" si="1"/>
        <v>0</v>
      </c>
      <c r="J37" s="37"/>
      <c r="K37" s="37"/>
      <c r="L37" s="37"/>
      <c r="M37" s="37"/>
      <c r="N37" s="37"/>
      <c r="O37" s="31">
        <f t="shared" si="2"/>
        <v>0</v>
      </c>
      <c r="P37" s="37"/>
    </row>
    <row r="38" ht="15.75" customHeight="1">
      <c r="A38" s="1"/>
      <c r="B38" s="1"/>
      <c r="C38" s="14"/>
      <c r="D38" s="36" t="s">
        <v>76</v>
      </c>
      <c r="E38" s="37"/>
      <c r="F38" s="37"/>
      <c r="G38" s="37">
        <v>6.0</v>
      </c>
      <c r="H38" s="37"/>
      <c r="I38" s="31">
        <f t="shared" si="1"/>
        <v>6</v>
      </c>
      <c r="J38" s="37"/>
      <c r="K38" s="37"/>
      <c r="L38" s="37"/>
      <c r="M38" s="37">
        <v>6.0</v>
      </c>
      <c r="N38" s="37"/>
      <c r="O38" s="31">
        <f t="shared" si="2"/>
        <v>6</v>
      </c>
      <c r="P38" s="37"/>
    </row>
    <row r="39" ht="15.75" customHeight="1">
      <c r="A39" s="1"/>
      <c r="B39" s="1"/>
      <c r="C39" s="14"/>
      <c r="D39" s="36" t="s">
        <v>79</v>
      </c>
      <c r="E39" s="37">
        <v>1.0</v>
      </c>
      <c r="F39" s="37">
        <v>1.0</v>
      </c>
      <c r="G39" s="37">
        <v>5.0</v>
      </c>
      <c r="H39" s="37"/>
      <c r="I39" s="31">
        <f t="shared" si="1"/>
        <v>7</v>
      </c>
      <c r="J39" s="37"/>
      <c r="K39" s="37">
        <v>1.0</v>
      </c>
      <c r="L39" s="37">
        <v>1.0</v>
      </c>
      <c r="M39" s="37">
        <v>4.0</v>
      </c>
      <c r="N39" s="37"/>
      <c r="O39" s="31">
        <f t="shared" si="2"/>
        <v>6</v>
      </c>
      <c r="P39" s="37"/>
    </row>
    <row r="40" ht="15.75" customHeight="1">
      <c r="A40" s="1"/>
      <c r="B40" s="1"/>
      <c r="C40" s="14"/>
      <c r="D40" s="36" t="s">
        <v>81</v>
      </c>
      <c r="E40" s="37"/>
      <c r="F40" s="37">
        <v>3.0</v>
      </c>
      <c r="G40" s="37">
        <v>14.0</v>
      </c>
      <c r="H40" s="37"/>
      <c r="I40" s="31">
        <f t="shared" si="1"/>
        <v>17</v>
      </c>
      <c r="J40" s="37"/>
      <c r="K40" s="37"/>
      <c r="L40" s="37">
        <v>2.0</v>
      </c>
      <c r="M40" s="37">
        <v>9.0</v>
      </c>
      <c r="N40" s="37"/>
      <c r="O40" s="31">
        <f t="shared" si="2"/>
        <v>11</v>
      </c>
      <c r="P40" s="37"/>
    </row>
    <row r="41" ht="15.75" customHeight="1">
      <c r="A41" s="1"/>
      <c r="B41" s="1"/>
      <c r="C41" s="14"/>
      <c r="D41" s="36" t="s">
        <v>82</v>
      </c>
      <c r="E41" s="37"/>
      <c r="F41" s="37">
        <v>1.0</v>
      </c>
      <c r="G41" s="37">
        <v>5.0</v>
      </c>
      <c r="H41" s="37"/>
      <c r="I41" s="31">
        <f t="shared" si="1"/>
        <v>6</v>
      </c>
      <c r="J41" s="37"/>
      <c r="K41" s="37"/>
      <c r="L41" s="37">
        <v>1.0</v>
      </c>
      <c r="M41" s="37">
        <v>3.0</v>
      </c>
      <c r="N41" s="37"/>
      <c r="O41" s="31">
        <f t="shared" si="2"/>
        <v>4</v>
      </c>
      <c r="P41" s="37"/>
    </row>
    <row r="42" ht="15.75" customHeight="1">
      <c r="A42" s="1"/>
      <c r="B42" s="1"/>
      <c r="C42" s="14"/>
      <c r="D42" s="36" t="s">
        <v>84</v>
      </c>
      <c r="E42" s="37"/>
      <c r="F42" s="37">
        <v>1.0</v>
      </c>
      <c r="G42" s="37">
        <v>4.0</v>
      </c>
      <c r="H42" s="37"/>
      <c r="I42" s="31">
        <f t="shared" si="1"/>
        <v>5</v>
      </c>
      <c r="J42" s="37"/>
      <c r="K42" s="37"/>
      <c r="L42" s="37">
        <v>1.0</v>
      </c>
      <c r="M42" s="37">
        <v>4.0</v>
      </c>
      <c r="N42" s="37"/>
      <c r="O42" s="31">
        <f t="shared" si="2"/>
        <v>5</v>
      </c>
      <c r="P42" s="37"/>
    </row>
    <row r="43" ht="15.75" customHeight="1">
      <c r="A43" s="1"/>
      <c r="B43" s="1"/>
      <c r="C43" s="14"/>
      <c r="D43" s="36" t="s">
        <v>86</v>
      </c>
      <c r="E43" s="37">
        <v>1.0</v>
      </c>
      <c r="F43" s="37"/>
      <c r="G43" s="37">
        <v>3.0</v>
      </c>
      <c r="H43" s="37"/>
      <c r="I43" s="31">
        <f t="shared" si="1"/>
        <v>4</v>
      </c>
      <c r="J43" s="37"/>
      <c r="K43" s="37">
        <v>1.0</v>
      </c>
      <c r="L43" s="37"/>
      <c r="M43" s="37">
        <v>3.0</v>
      </c>
      <c r="N43" s="37"/>
      <c r="O43" s="31">
        <f t="shared" si="2"/>
        <v>4</v>
      </c>
      <c r="P43" s="37"/>
    </row>
    <row r="44" ht="15.75" customHeight="1">
      <c r="A44" s="1"/>
      <c r="B44" s="1"/>
      <c r="C44" s="14"/>
      <c r="D44" s="36" t="s">
        <v>88</v>
      </c>
      <c r="E44" s="37"/>
      <c r="F44" s="37"/>
      <c r="G44" s="37"/>
      <c r="H44" s="37">
        <v>6.0</v>
      </c>
      <c r="I44" s="31">
        <f t="shared" si="1"/>
        <v>6</v>
      </c>
      <c r="J44" s="37"/>
      <c r="K44" s="37"/>
      <c r="L44" s="37"/>
      <c r="M44" s="37"/>
      <c r="N44" s="37">
        <v>6.0</v>
      </c>
      <c r="O44" s="31">
        <f t="shared" si="2"/>
        <v>6</v>
      </c>
      <c r="P44" s="37"/>
    </row>
    <row r="45" ht="15.75" customHeight="1">
      <c r="A45" s="1"/>
      <c r="B45" s="1"/>
      <c r="C45" s="14"/>
      <c r="D45" s="36" t="s">
        <v>90</v>
      </c>
      <c r="E45" s="37"/>
      <c r="F45" s="37"/>
      <c r="G45" s="37">
        <v>12.0</v>
      </c>
      <c r="H45" s="37"/>
      <c r="I45" s="31">
        <f t="shared" si="1"/>
        <v>12</v>
      </c>
      <c r="J45" s="37"/>
      <c r="K45" s="37"/>
      <c r="L45" s="37"/>
      <c r="M45" s="37">
        <v>12.0</v>
      </c>
      <c r="N45" s="37"/>
      <c r="O45" s="31">
        <f t="shared" si="2"/>
        <v>12</v>
      </c>
      <c r="P45" s="37"/>
    </row>
    <row r="46" ht="15.75" customHeight="1">
      <c r="A46" s="1"/>
      <c r="B46" s="1"/>
      <c r="C46" s="14"/>
      <c r="D46" s="36" t="s">
        <v>93</v>
      </c>
      <c r="E46" s="37">
        <v>1.0</v>
      </c>
      <c r="F46" s="37">
        <v>2.0</v>
      </c>
      <c r="G46" s="37">
        <v>11.0</v>
      </c>
      <c r="H46" s="37"/>
      <c r="I46" s="31">
        <f t="shared" si="1"/>
        <v>14</v>
      </c>
      <c r="J46" s="37"/>
      <c r="K46" s="37">
        <v>1.0</v>
      </c>
      <c r="L46" s="37"/>
      <c r="M46" s="37">
        <v>11.0</v>
      </c>
      <c r="N46" s="37"/>
      <c r="O46" s="31">
        <f t="shared" si="2"/>
        <v>12</v>
      </c>
      <c r="P46" s="37"/>
    </row>
    <row r="47" ht="15.75" customHeight="1">
      <c r="A47" s="1"/>
      <c r="B47" s="1"/>
      <c r="C47" s="14"/>
      <c r="D47" s="36" t="s">
        <v>94</v>
      </c>
      <c r="E47" s="37"/>
      <c r="F47" s="37"/>
      <c r="G47" s="37"/>
      <c r="H47" s="37">
        <v>12.0</v>
      </c>
      <c r="I47" s="31">
        <f t="shared" si="1"/>
        <v>12</v>
      </c>
      <c r="J47" s="37"/>
      <c r="K47" s="37"/>
      <c r="L47" s="37"/>
      <c r="M47" s="37"/>
      <c r="N47" s="37">
        <v>12.0</v>
      </c>
      <c r="O47" s="31">
        <f t="shared" si="2"/>
        <v>12</v>
      </c>
      <c r="P47" s="37"/>
    </row>
    <row r="48" ht="15.75" customHeight="1">
      <c r="A48" s="1"/>
      <c r="B48" s="1"/>
      <c r="C48" s="14"/>
      <c r="D48" s="36" t="s">
        <v>96</v>
      </c>
      <c r="E48" s="37"/>
      <c r="F48" s="37"/>
      <c r="G48" s="37"/>
      <c r="H48" s="37">
        <v>20.0</v>
      </c>
      <c r="I48" s="31">
        <f t="shared" si="1"/>
        <v>20</v>
      </c>
      <c r="J48" s="37"/>
      <c r="K48" s="37"/>
      <c r="L48" s="37"/>
      <c r="M48" s="37"/>
      <c r="N48" s="37">
        <v>20.0</v>
      </c>
      <c r="O48" s="31">
        <f t="shared" si="2"/>
        <v>20</v>
      </c>
      <c r="P48" s="37"/>
    </row>
    <row r="49" ht="15.75" customHeight="1">
      <c r="A49" s="1"/>
      <c r="B49" s="1"/>
      <c r="C49" s="14"/>
      <c r="D49" s="36" t="s">
        <v>98</v>
      </c>
      <c r="E49" s="37"/>
      <c r="F49" s="37"/>
      <c r="G49" s="37"/>
      <c r="H49" s="37"/>
      <c r="I49" s="31">
        <f t="shared" si="1"/>
        <v>0</v>
      </c>
      <c r="J49" s="37"/>
      <c r="K49" s="37"/>
      <c r="L49" s="37"/>
      <c r="M49" s="37"/>
      <c r="N49" s="37"/>
      <c r="O49" s="31">
        <f t="shared" si="2"/>
        <v>0</v>
      </c>
      <c r="P49" s="37"/>
    </row>
    <row r="50" ht="15.75" customHeight="1">
      <c r="A50" s="1"/>
      <c r="B50" s="1"/>
      <c r="C50" s="14"/>
      <c r="D50" s="36" t="s">
        <v>101</v>
      </c>
      <c r="E50" s="37">
        <v>1.0</v>
      </c>
      <c r="F50" s="37"/>
      <c r="G50" s="37">
        <v>2.0</v>
      </c>
      <c r="H50" s="37"/>
      <c r="I50" s="31">
        <f t="shared" si="1"/>
        <v>3</v>
      </c>
      <c r="J50" s="37"/>
      <c r="K50" s="37">
        <v>1.0</v>
      </c>
      <c r="L50" s="37"/>
      <c r="M50" s="37">
        <v>1.0</v>
      </c>
      <c r="N50" s="37"/>
      <c r="O50" s="31">
        <f t="shared" si="2"/>
        <v>2</v>
      </c>
      <c r="P50" s="37"/>
    </row>
    <row r="51" ht="15.75" customHeight="1">
      <c r="A51" s="1"/>
      <c r="B51" s="1"/>
      <c r="C51" s="23"/>
      <c r="D51" s="36" t="s">
        <v>103</v>
      </c>
      <c r="E51" s="37"/>
      <c r="F51" s="37"/>
      <c r="G51" s="37"/>
      <c r="H51" s="37"/>
      <c r="I51" s="31">
        <f t="shared" si="1"/>
        <v>0</v>
      </c>
      <c r="J51" s="37"/>
      <c r="K51" s="37"/>
      <c r="L51" s="37"/>
      <c r="M51" s="37"/>
      <c r="N51" s="37"/>
      <c r="O51" s="31">
        <f t="shared" si="2"/>
        <v>0</v>
      </c>
      <c r="P51" s="37"/>
    </row>
    <row r="52" ht="15.75" customHeight="1">
      <c r="A52" s="52"/>
      <c r="B52" s="52"/>
      <c r="C52" s="39"/>
      <c r="D52" s="36" t="s">
        <v>107</v>
      </c>
      <c r="E52" s="37">
        <v>1.0</v>
      </c>
      <c r="F52" s="37"/>
      <c r="G52" s="37"/>
      <c r="H52" s="37"/>
      <c r="I52" s="31">
        <f t="shared" si="1"/>
        <v>1</v>
      </c>
      <c r="J52" s="37"/>
      <c r="K52" s="37">
        <v>1.0</v>
      </c>
      <c r="L52" s="37"/>
      <c r="M52" s="37"/>
      <c r="N52" s="37"/>
      <c r="O52" s="31">
        <f t="shared" si="2"/>
        <v>1</v>
      </c>
      <c r="P52" s="37"/>
    </row>
    <row r="53" ht="15.75" customHeight="1">
      <c r="A53" s="1"/>
      <c r="B53" s="1"/>
      <c r="C53" s="14"/>
      <c r="D53" s="36" t="s">
        <v>108</v>
      </c>
      <c r="E53" s="37">
        <v>2.0</v>
      </c>
      <c r="F53" s="37"/>
      <c r="G53" s="37">
        <v>2.0</v>
      </c>
      <c r="H53" s="37"/>
      <c r="I53" s="31">
        <f t="shared" si="1"/>
        <v>4</v>
      </c>
      <c r="J53" s="37"/>
      <c r="K53" s="37">
        <v>2.0</v>
      </c>
      <c r="L53" s="37"/>
      <c r="M53" s="37">
        <v>2.0</v>
      </c>
      <c r="N53" s="37"/>
      <c r="O53" s="31">
        <f t="shared" si="2"/>
        <v>4</v>
      </c>
      <c r="P53" s="37"/>
    </row>
    <row r="54" ht="15.75" customHeight="1">
      <c r="A54" s="1"/>
      <c r="B54" s="1"/>
      <c r="C54" s="23"/>
      <c r="D54" s="53" t="s">
        <v>109</v>
      </c>
      <c r="E54" s="37">
        <v>1.0</v>
      </c>
      <c r="F54" s="37"/>
      <c r="G54" s="37"/>
      <c r="H54" s="37"/>
      <c r="I54" s="31">
        <f t="shared" si="1"/>
        <v>1</v>
      </c>
      <c r="J54" s="37"/>
      <c r="K54" s="37">
        <v>1.0</v>
      </c>
      <c r="L54" s="37"/>
      <c r="M54" s="37"/>
      <c r="N54" s="37"/>
      <c r="O54" s="31">
        <f t="shared" si="2"/>
        <v>1</v>
      </c>
      <c r="P54" s="37"/>
    </row>
    <row r="55" ht="15.75" customHeight="1">
      <c r="A55" s="1"/>
      <c r="B55" s="1"/>
      <c r="C55" s="54" t="s">
        <v>110</v>
      </c>
      <c r="D55" s="8"/>
      <c r="E55" s="37">
        <f t="shared" ref="E55:P55" si="3">SUM(E8:E54)</f>
        <v>23</v>
      </c>
      <c r="F55" s="37">
        <f t="shared" si="3"/>
        <v>22</v>
      </c>
      <c r="G55" s="37">
        <f t="shared" si="3"/>
        <v>84</v>
      </c>
      <c r="H55" s="37">
        <f t="shared" si="3"/>
        <v>38</v>
      </c>
      <c r="I55" s="37">
        <f t="shared" si="3"/>
        <v>167</v>
      </c>
      <c r="J55" s="37">
        <f t="shared" si="3"/>
        <v>0</v>
      </c>
      <c r="K55" s="37">
        <f t="shared" si="3"/>
        <v>22</v>
      </c>
      <c r="L55" s="37">
        <f t="shared" si="3"/>
        <v>19</v>
      </c>
      <c r="M55" s="37">
        <f t="shared" si="3"/>
        <v>71</v>
      </c>
      <c r="N55" s="37">
        <f t="shared" si="3"/>
        <v>38</v>
      </c>
      <c r="O55" s="37">
        <f t="shared" si="3"/>
        <v>150</v>
      </c>
      <c r="P55" s="37">
        <f t="shared" si="3"/>
        <v>0</v>
      </c>
    </row>
    <row r="56" ht="15.75" customHeight="1">
      <c r="A56" s="1"/>
      <c r="B56" s="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</row>
    <row r="57" ht="15.75" customHeight="1">
      <c r="A57" s="1"/>
      <c r="B57" s="1"/>
      <c r="C57" s="1"/>
      <c r="D57" s="1"/>
      <c r="E57" s="1"/>
      <c r="F57" s="1" t="s">
        <v>116</v>
      </c>
      <c r="G57" s="1"/>
      <c r="H57" s="1">
        <f>E55+F55-K55-L55</f>
        <v>4</v>
      </c>
      <c r="I57" s="1"/>
      <c r="J57" s="1"/>
      <c r="K57" s="1"/>
      <c r="L57" s="1"/>
      <c r="M57" s="1"/>
      <c r="N57" s="1"/>
      <c r="O57" s="1"/>
      <c r="P57" s="1"/>
    </row>
    <row r="58" ht="15.75" customHeight="1">
      <c r="A58" s="1"/>
      <c r="B58" s="1"/>
      <c r="C58" s="1"/>
      <c r="D58" s="1"/>
      <c r="E58" s="1"/>
      <c r="F58" s="1" t="s">
        <v>121</v>
      </c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15.75" customHeight="1">
      <c r="A59" s="1"/>
      <c r="B59" s="1"/>
      <c r="C59" s="1"/>
      <c r="D59" s="1"/>
      <c r="E59" s="1"/>
      <c r="F59" s="1" t="s">
        <v>125</v>
      </c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5.75" customHeight="1">
      <c r="A60" s="1"/>
      <c r="B60" s="1"/>
      <c r="C60" s="1"/>
      <c r="D60" s="1"/>
      <c r="E60" s="59"/>
      <c r="F60" s="1" t="s">
        <v>126</v>
      </c>
      <c r="G60" s="59"/>
      <c r="H60" s="59"/>
      <c r="I60" s="59"/>
      <c r="J60" s="1"/>
      <c r="K60" s="1"/>
      <c r="L60" s="1"/>
      <c r="M60" s="1"/>
      <c r="N60" s="1"/>
      <c r="O60" s="1"/>
      <c r="P60" s="59"/>
    </row>
    <row r="61" ht="15.75" customHeight="1">
      <c r="A61" s="1"/>
      <c r="B61" s="1"/>
      <c r="C61" s="1"/>
      <c r="D61" s="1"/>
      <c r="E61" s="59"/>
      <c r="F61" s="59"/>
      <c r="G61" s="59"/>
      <c r="H61" s="59"/>
      <c r="I61" s="59"/>
      <c r="J61" s="1"/>
      <c r="K61" s="1"/>
      <c r="L61" s="1"/>
      <c r="M61" s="1"/>
      <c r="N61" s="1"/>
      <c r="O61" s="1"/>
      <c r="P61" s="59"/>
    </row>
    <row r="62" ht="15.75" customHeight="1">
      <c r="A62" s="1"/>
      <c r="B62" s="1"/>
      <c r="C62" s="1"/>
      <c r="D62" s="1"/>
      <c r="E62" s="59"/>
      <c r="F62" s="59"/>
      <c r="G62" s="59"/>
      <c r="H62" s="59"/>
      <c r="I62" s="59"/>
      <c r="J62" s="1"/>
      <c r="K62" s="1"/>
      <c r="L62" s="1"/>
      <c r="M62" s="1"/>
      <c r="N62" s="1"/>
      <c r="O62" s="1"/>
      <c r="P62" s="59"/>
    </row>
    <row r="63" ht="15.75" customHeight="1">
      <c r="A63" s="1"/>
      <c r="B63" s="1"/>
      <c r="C63" s="1"/>
      <c r="D63" s="1"/>
      <c r="E63" s="59"/>
      <c r="F63" s="59"/>
      <c r="G63" s="59"/>
      <c r="H63" s="59"/>
      <c r="I63" s="59"/>
      <c r="J63" s="1"/>
      <c r="K63" s="1"/>
      <c r="L63" s="1"/>
      <c r="M63" s="1"/>
      <c r="N63" s="1"/>
      <c r="O63" s="1"/>
      <c r="P63" s="59"/>
    </row>
    <row r="64" ht="15.75" customHeight="1">
      <c r="A64" s="1"/>
      <c r="B64" s="1"/>
      <c r="C64" s="1"/>
      <c r="D64" s="1"/>
      <c r="E64" s="59"/>
      <c r="F64" s="59"/>
      <c r="G64" s="59"/>
      <c r="H64" s="59"/>
      <c r="I64" s="59"/>
      <c r="J64" s="1"/>
      <c r="K64" s="1"/>
      <c r="L64" s="1"/>
      <c r="M64" s="1"/>
      <c r="N64" s="1"/>
      <c r="O64" s="1"/>
      <c r="P64" s="59"/>
    </row>
    <row r="65" ht="15.75" customHeight="1">
      <c r="A65" s="1"/>
      <c r="B65" s="1"/>
      <c r="C65" s="1"/>
      <c r="D65" s="1"/>
      <c r="E65" s="59"/>
      <c r="F65" s="59"/>
      <c r="G65" s="59"/>
      <c r="H65" s="59"/>
      <c r="I65" s="59"/>
      <c r="J65" s="1"/>
      <c r="K65" s="1"/>
      <c r="L65" s="1"/>
      <c r="M65" s="1"/>
      <c r="N65" s="1"/>
      <c r="O65" s="1"/>
      <c r="P65" s="59"/>
    </row>
    <row r="66" ht="15.75" customHeight="1">
      <c r="A66" s="1"/>
      <c r="B66" s="1"/>
      <c r="C66" s="1"/>
      <c r="D66" s="1"/>
      <c r="E66" s="59"/>
      <c r="F66" s="59"/>
      <c r="G66" s="59"/>
      <c r="H66" s="59"/>
      <c r="I66" s="59"/>
      <c r="J66" s="1"/>
      <c r="K66" s="1"/>
      <c r="L66" s="1"/>
      <c r="M66" s="1"/>
      <c r="N66" s="1"/>
      <c r="O66" s="1"/>
      <c r="P66" s="59"/>
    </row>
    <row r="67" ht="15.75" customHeight="1">
      <c r="A67" s="1"/>
      <c r="B67" s="1"/>
      <c r="C67" s="1"/>
      <c r="D67" s="1"/>
      <c r="E67" s="59"/>
      <c r="F67" s="59"/>
      <c r="G67" s="59"/>
      <c r="H67" s="59"/>
      <c r="I67" s="59"/>
      <c r="J67" s="1"/>
      <c r="K67" s="1"/>
      <c r="L67" s="1"/>
      <c r="M67" s="1"/>
      <c r="N67" s="1"/>
      <c r="O67" s="1"/>
      <c r="P67" s="59"/>
    </row>
    <row r="68" ht="15.75" customHeight="1">
      <c r="A68" s="1"/>
      <c r="B68" s="1"/>
      <c r="C68" s="1"/>
      <c r="D68" s="1"/>
      <c r="E68" s="59"/>
      <c r="F68" s="59"/>
      <c r="G68" s="59"/>
      <c r="H68" s="59"/>
      <c r="I68" s="59"/>
      <c r="J68" s="1"/>
      <c r="K68" s="1"/>
      <c r="L68" s="1"/>
      <c r="M68" s="1"/>
      <c r="N68" s="1"/>
      <c r="O68" s="1"/>
      <c r="P68" s="59"/>
    </row>
    <row r="69" ht="15.75" customHeight="1">
      <c r="A69" s="1"/>
      <c r="B69" s="1"/>
      <c r="C69" s="1"/>
      <c r="D69" s="1"/>
      <c r="E69" s="59"/>
      <c r="F69" s="59"/>
      <c r="G69" s="59"/>
      <c r="H69" s="59"/>
      <c r="I69" s="59"/>
      <c r="J69" s="1"/>
      <c r="K69" s="1"/>
      <c r="L69" s="1"/>
      <c r="M69" s="1"/>
      <c r="N69" s="1"/>
      <c r="O69" s="1"/>
      <c r="P69" s="59"/>
    </row>
    <row r="70" ht="15.75" customHeight="1">
      <c r="A70" s="1"/>
      <c r="B70" s="1"/>
      <c r="C70" s="1"/>
      <c r="D70" s="1"/>
      <c r="E70" s="59"/>
      <c r="F70" s="59"/>
      <c r="G70" s="59"/>
      <c r="H70" s="59"/>
      <c r="I70" s="59"/>
      <c r="J70" s="1"/>
      <c r="K70" s="1"/>
      <c r="L70" s="1"/>
      <c r="M70" s="1"/>
      <c r="N70" s="1"/>
      <c r="O70" s="1"/>
      <c r="P70" s="59"/>
    </row>
    <row r="71" ht="15.75" customHeight="1">
      <c r="A71" s="1"/>
      <c r="B71" s="1"/>
      <c r="C71" s="1"/>
      <c r="D71" s="1"/>
      <c r="E71" s="59"/>
      <c r="F71" s="59"/>
      <c r="G71" s="59"/>
      <c r="H71" s="59"/>
      <c r="I71" s="59"/>
      <c r="J71" s="1"/>
      <c r="K71" s="1"/>
      <c r="L71" s="1"/>
      <c r="M71" s="1"/>
      <c r="N71" s="1"/>
      <c r="O71" s="1"/>
      <c r="P71" s="59"/>
    </row>
    <row r="72" ht="15.75" customHeight="1">
      <c r="A72" s="1"/>
      <c r="B72" s="1"/>
      <c r="C72" s="1"/>
      <c r="D72" s="1"/>
      <c r="E72" s="59"/>
      <c r="F72" s="59"/>
      <c r="G72" s="59"/>
      <c r="H72" s="59"/>
      <c r="I72" s="59"/>
      <c r="J72" s="1"/>
      <c r="K72" s="1"/>
      <c r="L72" s="1"/>
      <c r="M72" s="1"/>
      <c r="N72" s="1"/>
      <c r="O72" s="1"/>
      <c r="P72" s="59"/>
    </row>
    <row r="73" ht="15.75" customHeight="1">
      <c r="A73" s="1"/>
      <c r="B73" s="1"/>
      <c r="C73" s="1"/>
      <c r="D73" s="1"/>
      <c r="E73" s="59"/>
      <c r="F73" s="59"/>
      <c r="G73" s="59"/>
      <c r="H73" s="59"/>
      <c r="I73" s="59"/>
      <c r="J73" s="1"/>
      <c r="K73" s="1"/>
      <c r="L73" s="1"/>
      <c r="M73" s="1"/>
      <c r="N73" s="1"/>
      <c r="O73" s="1"/>
      <c r="P73" s="59"/>
    </row>
    <row r="74" ht="15.75" customHeight="1">
      <c r="A74" s="1"/>
      <c r="B74" s="1"/>
      <c r="C74" s="1"/>
      <c r="D74" s="1"/>
      <c r="E74" s="59"/>
      <c r="F74" s="59"/>
      <c r="G74" s="59"/>
      <c r="H74" s="59"/>
      <c r="I74" s="59"/>
      <c r="J74" s="1"/>
      <c r="K74" s="1"/>
      <c r="L74" s="1"/>
      <c r="M74" s="1"/>
      <c r="N74" s="1"/>
      <c r="O74" s="1"/>
      <c r="P74" s="59"/>
    </row>
    <row r="75" ht="15.75" customHeight="1">
      <c r="A75" s="1"/>
      <c r="B75" s="1"/>
      <c r="C75" s="1"/>
      <c r="D75" s="1"/>
      <c r="E75" s="59"/>
      <c r="F75" s="59"/>
      <c r="G75" s="59"/>
      <c r="H75" s="59"/>
      <c r="I75" s="59"/>
      <c r="J75" s="1"/>
      <c r="K75" s="1"/>
      <c r="L75" s="1"/>
      <c r="M75" s="1"/>
      <c r="N75" s="1"/>
      <c r="O75" s="1"/>
      <c r="P75" s="59"/>
    </row>
    <row r="76" ht="15.75" customHeight="1">
      <c r="A76" s="1"/>
      <c r="B76" s="1"/>
      <c r="C76" s="1"/>
      <c r="D76" s="1"/>
      <c r="E76" s="59"/>
      <c r="F76" s="59"/>
      <c r="G76" s="59"/>
      <c r="H76" s="59"/>
      <c r="I76" s="59"/>
      <c r="J76" s="1"/>
      <c r="K76" s="1"/>
      <c r="L76" s="1"/>
      <c r="M76" s="1"/>
      <c r="N76" s="1"/>
      <c r="O76" s="1"/>
      <c r="P76" s="59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5.75" hidden="1" customHeight="1">
      <c r="A81" s="1"/>
      <c r="B81" s="1"/>
      <c r="C81" s="4" t="s">
        <v>142</v>
      </c>
      <c r="D81" s="1"/>
      <c r="E81" s="43"/>
      <c r="F81" s="43"/>
      <c r="G81" s="43"/>
      <c r="H81" s="43"/>
      <c r="I81" s="43"/>
      <c r="J81" s="43"/>
      <c r="K81" s="43"/>
      <c r="N81" s="43"/>
      <c r="O81" s="43"/>
      <c r="P81" s="43"/>
    </row>
    <row r="82" ht="15.75" hidden="1" customHeight="1">
      <c r="A82" s="1"/>
      <c r="B82" s="1"/>
      <c r="C82" s="10" t="s">
        <v>5</v>
      </c>
      <c r="D82" s="12" t="s">
        <v>6</v>
      </c>
      <c r="E82" s="62"/>
      <c r="F82" s="62"/>
      <c r="G82" s="62"/>
      <c r="H82" s="62"/>
      <c r="I82" s="5" t="s">
        <v>2</v>
      </c>
      <c r="J82" s="7"/>
      <c r="K82" s="7"/>
      <c r="L82" s="7"/>
      <c r="M82" s="7"/>
      <c r="N82" s="7"/>
      <c r="O82" s="8"/>
      <c r="P82" s="63"/>
    </row>
    <row r="83" ht="15.75" hidden="1" customHeight="1">
      <c r="A83" s="1"/>
      <c r="B83" s="1"/>
      <c r="C83" s="13"/>
      <c r="D83" s="14"/>
      <c r="E83" s="64"/>
      <c r="F83" s="64"/>
      <c r="G83" s="64"/>
      <c r="H83" s="64"/>
      <c r="I83" s="65" t="s">
        <v>7</v>
      </c>
      <c r="J83" s="66"/>
      <c r="K83" s="65" t="s">
        <v>143</v>
      </c>
      <c r="L83" s="65" t="s">
        <v>145</v>
      </c>
      <c r="M83" s="65" t="s">
        <v>146</v>
      </c>
      <c r="N83" s="66"/>
      <c r="O83" s="65" t="s">
        <v>147</v>
      </c>
      <c r="P83" s="42"/>
    </row>
    <row r="84" ht="15.75" hidden="1" customHeight="1">
      <c r="A84" s="1"/>
      <c r="B84" s="1"/>
      <c r="C84" s="13"/>
      <c r="D84" s="14"/>
      <c r="E84" s="64"/>
      <c r="F84" s="64"/>
      <c r="G84" s="64"/>
      <c r="H84" s="64"/>
      <c r="I84" s="14"/>
      <c r="J84" s="66"/>
      <c r="K84" s="14"/>
      <c r="L84" s="14"/>
      <c r="M84" s="14"/>
      <c r="N84" s="66"/>
      <c r="O84" s="14"/>
      <c r="P84" s="42"/>
    </row>
    <row r="85" ht="15.75" hidden="1" customHeight="1">
      <c r="A85" s="1"/>
      <c r="B85" s="1"/>
      <c r="C85" s="21"/>
      <c r="D85" s="23"/>
      <c r="E85" s="64"/>
      <c r="F85" s="64"/>
      <c r="G85" s="64"/>
      <c r="H85" s="64"/>
      <c r="I85" s="23"/>
      <c r="J85" s="66"/>
      <c r="K85" s="23"/>
      <c r="L85" s="23"/>
      <c r="M85" s="23"/>
      <c r="N85" s="66"/>
      <c r="O85" s="23"/>
      <c r="P85" s="42"/>
    </row>
    <row r="86" ht="15.75" hidden="1" customHeight="1">
      <c r="A86" s="1"/>
      <c r="B86" s="1"/>
      <c r="C86" s="24" t="s">
        <v>20</v>
      </c>
      <c r="D86" s="26" t="s">
        <v>20</v>
      </c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42"/>
    </row>
    <row r="87" ht="15.75" hidden="1" customHeight="1">
      <c r="A87" s="1"/>
      <c r="B87" s="1"/>
      <c r="C87" s="24" t="s">
        <v>150</v>
      </c>
      <c r="D87" s="26" t="s">
        <v>19</v>
      </c>
      <c r="E87" s="66"/>
      <c r="F87" s="66"/>
      <c r="G87" s="66"/>
      <c r="H87" s="66"/>
      <c r="I87" s="66">
        <v>1.0</v>
      </c>
      <c r="J87" s="66"/>
      <c r="K87" s="66">
        <v>1.0</v>
      </c>
      <c r="L87" s="66"/>
      <c r="M87" s="66"/>
      <c r="N87" s="66"/>
      <c r="O87" s="66">
        <f>SUM(K87:M87)</f>
        <v>1</v>
      </c>
      <c r="P87" s="42"/>
    </row>
    <row r="88" ht="15.75" hidden="1" customHeight="1">
      <c r="A88" s="1"/>
      <c r="B88" s="1"/>
      <c r="C88" s="34" t="s">
        <v>21</v>
      </c>
      <c r="D88" s="26" t="s">
        <v>25</v>
      </c>
      <c r="E88" s="66"/>
      <c r="F88" s="66"/>
      <c r="G88" s="66"/>
      <c r="H88" s="66"/>
      <c r="I88" s="66">
        <v>1.0</v>
      </c>
      <c r="J88" s="66"/>
      <c r="K88" s="66"/>
      <c r="L88" s="66">
        <v>1.0</v>
      </c>
      <c r="M88" s="66"/>
      <c r="N88" s="66"/>
      <c r="O88" s="66">
        <v>1.0</v>
      </c>
      <c r="P88" s="42"/>
    </row>
    <row r="89" ht="15.75" hidden="1" customHeight="1">
      <c r="A89" s="1"/>
      <c r="B89" s="1"/>
      <c r="C89" s="13"/>
      <c r="D89" s="26" t="s">
        <v>151</v>
      </c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>
        <f>SUM(K89:M89)</f>
        <v>0</v>
      </c>
      <c r="P89" s="42"/>
    </row>
    <row r="90" ht="15.75" hidden="1" customHeight="1">
      <c r="A90" s="1"/>
      <c r="B90" s="1"/>
      <c r="C90" s="21"/>
      <c r="D90" s="26" t="s">
        <v>28</v>
      </c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>
        <v>0.0</v>
      </c>
      <c r="P90" s="42"/>
    </row>
    <row r="91" ht="15.75" hidden="1" customHeight="1">
      <c r="A91" s="1"/>
      <c r="B91" s="1"/>
      <c r="C91" s="34" t="s">
        <v>29</v>
      </c>
      <c r="D91" s="26" t="s">
        <v>31</v>
      </c>
      <c r="E91" s="75"/>
      <c r="F91" s="75"/>
      <c r="G91" s="75"/>
      <c r="H91" s="75"/>
      <c r="I91" s="75">
        <v>4.0</v>
      </c>
      <c r="J91" s="66"/>
      <c r="K91" s="66">
        <v>3.0</v>
      </c>
      <c r="L91" s="66"/>
      <c r="M91" s="66"/>
      <c r="N91" s="66"/>
      <c r="O91" s="66">
        <f t="shared" ref="O91:O92" si="4">SUM(K91:M91)</f>
        <v>3</v>
      </c>
      <c r="P91" s="75"/>
    </row>
    <row r="92" ht="15.75" hidden="1" customHeight="1">
      <c r="A92" s="1"/>
      <c r="B92" s="1"/>
      <c r="C92" s="21"/>
      <c r="D92" s="26" t="s">
        <v>32</v>
      </c>
      <c r="E92" s="66"/>
      <c r="F92" s="66"/>
      <c r="G92" s="66"/>
      <c r="H92" s="66"/>
      <c r="I92" s="66">
        <v>1.0</v>
      </c>
      <c r="J92" s="66"/>
      <c r="K92" s="66"/>
      <c r="L92" s="66"/>
      <c r="M92" s="66">
        <v>1.0</v>
      </c>
      <c r="N92" s="66"/>
      <c r="O92" s="66">
        <f t="shared" si="4"/>
        <v>1</v>
      </c>
      <c r="P92" s="42"/>
    </row>
    <row r="93" ht="15.75" hidden="1" customHeight="1">
      <c r="A93" s="1"/>
      <c r="B93" s="1"/>
      <c r="C93" s="24" t="s">
        <v>34</v>
      </c>
      <c r="D93" s="26" t="s">
        <v>34</v>
      </c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>
        <v>0.0</v>
      </c>
      <c r="P93" s="42"/>
    </row>
    <row r="94" ht="15.75" hidden="1" customHeight="1">
      <c r="A94" s="1"/>
      <c r="B94" s="1"/>
      <c r="C94" s="41" t="s">
        <v>63</v>
      </c>
      <c r="D94" s="26" t="s">
        <v>41</v>
      </c>
      <c r="E94" s="66"/>
      <c r="F94" s="66"/>
      <c r="G94" s="66"/>
      <c r="H94" s="66"/>
      <c r="I94" s="66">
        <v>1.0</v>
      </c>
      <c r="J94" s="66"/>
      <c r="K94" s="66">
        <v>1.0</v>
      </c>
      <c r="L94" s="66"/>
      <c r="M94" s="66"/>
      <c r="N94" s="66"/>
      <c r="O94" s="66">
        <f t="shared" ref="O94:O98" si="5">SUM(K94:M94)</f>
        <v>1</v>
      </c>
      <c r="P94" s="42"/>
    </row>
    <row r="95" ht="15.75" hidden="1" customHeight="1">
      <c r="A95" s="1"/>
      <c r="B95" s="1"/>
      <c r="C95" s="13"/>
      <c r="D95" s="26" t="s">
        <v>38</v>
      </c>
      <c r="E95" s="66"/>
      <c r="F95" s="66"/>
      <c r="G95" s="66"/>
      <c r="H95" s="66"/>
      <c r="I95" s="66">
        <v>1.0</v>
      </c>
      <c r="J95" s="66"/>
      <c r="K95" s="66"/>
      <c r="L95" s="66">
        <v>1.0</v>
      </c>
      <c r="M95" s="66"/>
      <c r="N95" s="66"/>
      <c r="O95" s="66">
        <f t="shared" si="5"/>
        <v>1</v>
      </c>
      <c r="P95" s="42"/>
    </row>
    <row r="96" ht="15.75" hidden="1" customHeight="1">
      <c r="A96" s="1"/>
      <c r="B96" s="1"/>
      <c r="C96" s="13"/>
      <c r="D96" s="26" t="s">
        <v>43</v>
      </c>
      <c r="E96" s="66"/>
      <c r="F96" s="66"/>
      <c r="G96" s="66"/>
      <c r="H96" s="66"/>
      <c r="I96" s="66">
        <v>2.0</v>
      </c>
      <c r="J96" s="66"/>
      <c r="K96" s="66"/>
      <c r="L96" s="66"/>
      <c r="M96" s="66">
        <v>2.0</v>
      </c>
      <c r="N96" s="66"/>
      <c r="O96" s="66">
        <f t="shared" si="5"/>
        <v>2</v>
      </c>
      <c r="P96" s="42"/>
    </row>
    <row r="97" ht="15.75" hidden="1" customHeight="1">
      <c r="A97" s="1"/>
      <c r="B97" s="1"/>
      <c r="C97" s="13"/>
      <c r="D97" s="26" t="s">
        <v>42</v>
      </c>
      <c r="E97" s="66"/>
      <c r="F97" s="66"/>
      <c r="G97" s="66"/>
      <c r="H97" s="66"/>
      <c r="I97" s="66">
        <v>1.0</v>
      </c>
      <c r="J97" s="66"/>
      <c r="K97" s="66"/>
      <c r="L97" s="66">
        <v>2.0</v>
      </c>
      <c r="M97" s="66"/>
      <c r="N97" s="66"/>
      <c r="O97" s="66">
        <f t="shared" si="5"/>
        <v>2</v>
      </c>
      <c r="P97" s="42"/>
    </row>
    <row r="98" ht="15.75" hidden="1" customHeight="1">
      <c r="A98" s="1" t="s">
        <v>153</v>
      </c>
      <c r="B98" s="1"/>
      <c r="C98" s="13"/>
      <c r="D98" s="26" t="s">
        <v>154</v>
      </c>
      <c r="E98" s="66"/>
      <c r="F98" s="66"/>
      <c r="G98" s="66"/>
      <c r="H98" s="66"/>
      <c r="I98" s="66">
        <v>4.0</v>
      </c>
      <c r="J98" s="66"/>
      <c r="K98" s="66"/>
      <c r="L98" s="77"/>
      <c r="M98" s="77">
        <v>4.0</v>
      </c>
      <c r="N98" s="77"/>
      <c r="O98" s="66">
        <f t="shared" si="5"/>
        <v>4</v>
      </c>
      <c r="P98" s="42"/>
    </row>
    <row r="99" ht="15.75" hidden="1" customHeight="1">
      <c r="A99" s="43"/>
      <c r="B99" s="43"/>
      <c r="C99" s="21"/>
      <c r="D99" s="26" t="s">
        <v>44</v>
      </c>
      <c r="E99" s="66"/>
      <c r="F99" s="66"/>
      <c r="G99" s="66"/>
      <c r="H99" s="66"/>
      <c r="I99" s="66">
        <v>2.0</v>
      </c>
      <c r="J99" s="66"/>
      <c r="K99" s="66">
        <v>1.0</v>
      </c>
      <c r="L99" s="66"/>
      <c r="M99" s="66">
        <v>4.0</v>
      </c>
      <c r="N99" s="66">
        <v>2.0</v>
      </c>
      <c r="O99" s="66">
        <f>SUM(K99:N99)</f>
        <v>7</v>
      </c>
      <c r="P99" s="42"/>
    </row>
    <row r="100" ht="15.75" hidden="1" customHeight="1">
      <c r="A100" s="1"/>
      <c r="B100" s="1"/>
      <c r="C100" s="41" t="s">
        <v>49</v>
      </c>
      <c r="D100" s="26" t="s">
        <v>155</v>
      </c>
      <c r="E100" s="66"/>
      <c r="F100" s="66"/>
      <c r="G100" s="66"/>
      <c r="H100" s="66"/>
      <c r="I100" s="66">
        <v>1.0</v>
      </c>
      <c r="J100" s="66"/>
      <c r="K100" s="66"/>
      <c r="L100" s="66">
        <v>1.0</v>
      </c>
      <c r="M100" s="66"/>
      <c r="N100" s="66"/>
      <c r="O100" s="66">
        <f t="shared" ref="O100:O129" si="6">SUM(K100:M100)</f>
        <v>1</v>
      </c>
      <c r="P100" s="42"/>
    </row>
    <row r="101" ht="15.75" hidden="1" customHeight="1">
      <c r="A101" s="1"/>
      <c r="B101" s="1"/>
      <c r="C101" s="13"/>
      <c r="D101" s="26" t="s">
        <v>51</v>
      </c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>
        <f t="shared" si="6"/>
        <v>0</v>
      </c>
      <c r="P101" s="42"/>
    </row>
    <row r="102" ht="15.75" hidden="1" customHeight="1">
      <c r="A102" s="1"/>
      <c r="B102" s="1"/>
      <c r="C102" s="13"/>
      <c r="D102" s="26" t="s">
        <v>156</v>
      </c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>
        <f t="shared" si="6"/>
        <v>0</v>
      </c>
      <c r="P102" s="75"/>
    </row>
    <row r="103" ht="15.75" hidden="1" customHeight="1">
      <c r="A103" s="1"/>
      <c r="B103" s="1"/>
      <c r="C103" s="21"/>
      <c r="D103" s="26" t="s">
        <v>55</v>
      </c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>
        <f t="shared" si="6"/>
        <v>0</v>
      </c>
      <c r="P103" s="42"/>
    </row>
    <row r="104" ht="15.75" hidden="1" customHeight="1">
      <c r="A104" s="1"/>
      <c r="B104" s="1"/>
      <c r="C104" s="49" t="s">
        <v>53</v>
      </c>
      <c r="D104" s="26" t="s">
        <v>53</v>
      </c>
      <c r="E104" s="66"/>
      <c r="F104" s="66"/>
      <c r="G104" s="66"/>
      <c r="H104" s="66"/>
      <c r="I104" s="66">
        <v>1.0</v>
      </c>
      <c r="J104" s="66"/>
      <c r="K104" s="66"/>
      <c r="L104" s="66">
        <v>1.0</v>
      </c>
      <c r="M104" s="66"/>
      <c r="N104" s="66"/>
      <c r="O104" s="66">
        <f t="shared" si="6"/>
        <v>1</v>
      </c>
      <c r="P104" s="42"/>
    </row>
    <row r="105" ht="15.75" hidden="1" customHeight="1">
      <c r="A105" s="1"/>
      <c r="B105" s="1"/>
      <c r="C105" s="24" t="s">
        <v>54</v>
      </c>
      <c r="D105" s="26" t="s">
        <v>54</v>
      </c>
      <c r="E105" s="66"/>
      <c r="F105" s="66"/>
      <c r="G105" s="66"/>
      <c r="H105" s="66"/>
      <c r="I105" s="66">
        <v>8.0</v>
      </c>
      <c r="J105" s="66"/>
      <c r="K105" s="66">
        <v>3.0</v>
      </c>
      <c r="L105" s="66">
        <v>5.0</v>
      </c>
      <c r="M105" s="66"/>
      <c r="N105" s="66"/>
      <c r="O105" s="66">
        <f t="shared" si="6"/>
        <v>8</v>
      </c>
      <c r="P105" s="75"/>
    </row>
    <row r="106" ht="15.75" hidden="1" customHeight="1">
      <c r="A106" s="1"/>
      <c r="B106" s="1"/>
      <c r="C106" s="34" t="s">
        <v>57</v>
      </c>
      <c r="D106" s="26" t="s">
        <v>114</v>
      </c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>
        <f t="shared" si="6"/>
        <v>0</v>
      </c>
      <c r="P106" s="42"/>
    </row>
    <row r="107" ht="15.75" hidden="1" customHeight="1">
      <c r="A107" s="1"/>
      <c r="B107" s="1"/>
      <c r="C107" s="21"/>
      <c r="D107" s="26" t="s">
        <v>60</v>
      </c>
      <c r="E107" s="66"/>
      <c r="F107" s="66"/>
      <c r="G107" s="66"/>
      <c r="H107" s="66"/>
      <c r="I107" s="66">
        <v>1.0</v>
      </c>
      <c r="J107" s="66"/>
      <c r="K107" s="66"/>
      <c r="L107" s="66">
        <v>1.0</v>
      </c>
      <c r="M107" s="66"/>
      <c r="N107" s="66"/>
      <c r="O107" s="66">
        <f t="shared" si="6"/>
        <v>1</v>
      </c>
      <c r="P107" s="42"/>
    </row>
    <row r="108" ht="15.75" hidden="1" customHeight="1">
      <c r="A108" s="1"/>
      <c r="B108" s="1"/>
      <c r="C108" s="24" t="s">
        <v>162</v>
      </c>
      <c r="D108" s="26" t="s">
        <v>163</v>
      </c>
      <c r="E108" s="66"/>
      <c r="F108" s="66"/>
      <c r="G108" s="66"/>
      <c r="H108" s="66"/>
      <c r="I108" s="66"/>
      <c r="J108" s="66"/>
      <c r="K108" s="66"/>
      <c r="L108" s="66">
        <v>1.0</v>
      </c>
      <c r="M108" s="66"/>
      <c r="N108" s="66"/>
      <c r="O108" s="66">
        <f t="shared" si="6"/>
        <v>1</v>
      </c>
      <c r="P108" s="42"/>
    </row>
    <row r="109" ht="15.75" hidden="1" customHeight="1">
      <c r="A109" s="1"/>
      <c r="B109" s="1"/>
      <c r="C109" s="34" t="s">
        <v>62</v>
      </c>
      <c r="D109" s="26" t="s">
        <v>165</v>
      </c>
      <c r="E109" s="66"/>
      <c r="F109" s="66"/>
      <c r="G109" s="66"/>
      <c r="H109" s="66"/>
      <c r="I109" s="66">
        <v>1.0</v>
      </c>
      <c r="J109" s="66"/>
      <c r="K109" s="66"/>
      <c r="L109" s="66">
        <v>1.0</v>
      </c>
      <c r="M109" s="66"/>
      <c r="N109" s="66"/>
      <c r="O109" s="66">
        <f t="shared" si="6"/>
        <v>1</v>
      </c>
      <c r="P109" s="42"/>
    </row>
    <row r="110" ht="15.75" hidden="1" customHeight="1">
      <c r="A110" s="1"/>
      <c r="B110" s="1"/>
      <c r="C110" s="13"/>
      <c r="D110" s="26" t="s">
        <v>167</v>
      </c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>
        <f t="shared" si="6"/>
        <v>0</v>
      </c>
      <c r="P110" s="42"/>
    </row>
    <row r="111" ht="15.75" hidden="1" customHeight="1">
      <c r="A111" s="1"/>
      <c r="B111" s="1"/>
      <c r="C111" s="13"/>
      <c r="D111" s="26" t="s">
        <v>168</v>
      </c>
      <c r="E111" s="66"/>
      <c r="F111" s="66"/>
      <c r="G111" s="66"/>
      <c r="H111" s="66"/>
      <c r="I111" s="66">
        <v>1.0</v>
      </c>
      <c r="J111" s="66"/>
      <c r="K111" s="66">
        <v>1.0</v>
      </c>
      <c r="L111" s="66"/>
      <c r="M111" s="66"/>
      <c r="N111" s="66"/>
      <c r="O111" s="66">
        <f t="shared" si="6"/>
        <v>1</v>
      </c>
      <c r="P111" s="42"/>
    </row>
    <row r="112" ht="15.75" hidden="1" customHeight="1">
      <c r="A112" s="1"/>
      <c r="B112" s="1"/>
      <c r="C112" s="21"/>
      <c r="D112" s="26" t="s">
        <v>66</v>
      </c>
      <c r="E112" s="66"/>
      <c r="F112" s="66"/>
      <c r="G112" s="66"/>
      <c r="H112" s="66"/>
      <c r="I112" s="66">
        <v>1.0</v>
      </c>
      <c r="J112" s="66"/>
      <c r="K112" s="66"/>
      <c r="L112" s="66"/>
      <c r="M112" s="66">
        <v>1.0</v>
      </c>
      <c r="N112" s="66"/>
      <c r="O112" s="66">
        <f t="shared" si="6"/>
        <v>1</v>
      </c>
      <c r="P112" s="42"/>
    </row>
    <row r="113" ht="15.75" hidden="1" customHeight="1">
      <c r="A113" s="1"/>
      <c r="B113" s="1"/>
      <c r="C113" s="34" t="s">
        <v>62</v>
      </c>
      <c r="D113" s="26" t="s">
        <v>169</v>
      </c>
      <c r="E113" s="66"/>
      <c r="F113" s="66"/>
      <c r="G113" s="66"/>
      <c r="H113" s="66"/>
      <c r="I113" s="66">
        <v>3.0</v>
      </c>
      <c r="J113" s="77"/>
      <c r="K113" s="77">
        <v>1.0</v>
      </c>
      <c r="L113" s="77"/>
      <c r="M113" s="77">
        <v>2.0</v>
      </c>
      <c r="N113" s="77"/>
      <c r="O113" s="66">
        <f t="shared" si="6"/>
        <v>3</v>
      </c>
      <c r="P113" s="42"/>
    </row>
    <row r="114" ht="15.75" hidden="1" customHeight="1">
      <c r="A114" s="1"/>
      <c r="B114" s="1"/>
      <c r="C114" s="13"/>
      <c r="D114" s="26" t="s">
        <v>171</v>
      </c>
      <c r="E114" s="66"/>
      <c r="F114" s="66"/>
      <c r="G114" s="66"/>
      <c r="H114" s="66"/>
      <c r="I114" s="66"/>
      <c r="J114" s="77"/>
      <c r="K114" s="77"/>
      <c r="L114" s="77"/>
      <c r="M114" s="77"/>
      <c r="N114" s="77"/>
      <c r="O114" s="66">
        <f t="shared" si="6"/>
        <v>0</v>
      </c>
      <c r="P114" s="42"/>
    </row>
    <row r="115" ht="15.75" hidden="1" customHeight="1">
      <c r="A115" s="1"/>
      <c r="B115" s="1"/>
      <c r="C115" s="13"/>
      <c r="D115" s="26" t="s">
        <v>160</v>
      </c>
      <c r="E115" s="66"/>
      <c r="F115" s="66"/>
      <c r="G115" s="66"/>
      <c r="H115" s="66"/>
      <c r="I115" s="66"/>
      <c r="J115" s="77"/>
      <c r="K115" s="77"/>
      <c r="L115" s="77"/>
      <c r="M115" s="77"/>
      <c r="N115" s="77"/>
      <c r="O115" s="66">
        <f t="shared" si="6"/>
        <v>0</v>
      </c>
      <c r="P115" s="42"/>
    </row>
    <row r="116" ht="15.75" hidden="1" customHeight="1">
      <c r="A116" s="1"/>
      <c r="B116" s="1"/>
      <c r="C116" s="13"/>
      <c r="D116" s="26" t="s">
        <v>69</v>
      </c>
      <c r="E116" s="66"/>
      <c r="F116" s="66"/>
      <c r="G116" s="66"/>
      <c r="H116" s="66"/>
      <c r="I116" s="66">
        <v>6.0</v>
      </c>
      <c r="J116" s="66"/>
      <c r="K116" s="66"/>
      <c r="L116" s="66"/>
      <c r="M116" s="66">
        <v>6.0</v>
      </c>
      <c r="N116" s="66"/>
      <c r="O116" s="66">
        <f t="shared" si="6"/>
        <v>6</v>
      </c>
      <c r="P116" s="42"/>
    </row>
    <row r="117" ht="15.75" hidden="1" customHeight="1">
      <c r="A117" s="1"/>
      <c r="B117" s="1"/>
      <c r="C117" s="13"/>
      <c r="D117" s="26" t="s">
        <v>73</v>
      </c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>
        <f t="shared" si="6"/>
        <v>0</v>
      </c>
      <c r="P117" s="42"/>
    </row>
    <row r="118" ht="15.75" hidden="1" customHeight="1">
      <c r="A118" s="1"/>
      <c r="B118" s="1"/>
      <c r="C118" s="13"/>
      <c r="D118" s="26" t="s">
        <v>77</v>
      </c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>
        <f t="shared" si="6"/>
        <v>0</v>
      </c>
      <c r="P118" s="42"/>
    </row>
    <row r="119" ht="15.75" hidden="1" customHeight="1">
      <c r="A119" s="1"/>
      <c r="B119" s="1"/>
      <c r="C119" s="13"/>
      <c r="D119" s="26" t="s">
        <v>174</v>
      </c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>
        <f t="shared" si="6"/>
        <v>0</v>
      </c>
      <c r="P119" s="42"/>
    </row>
    <row r="120" ht="15.75" hidden="1" customHeight="1">
      <c r="A120" s="1"/>
      <c r="B120" s="1"/>
      <c r="C120" s="13"/>
      <c r="D120" s="26" t="s">
        <v>175</v>
      </c>
      <c r="E120" s="66"/>
      <c r="F120" s="66"/>
      <c r="G120" s="66"/>
      <c r="H120" s="66"/>
      <c r="I120" s="66">
        <v>23.0</v>
      </c>
      <c r="J120" s="77"/>
      <c r="K120" s="77">
        <v>2.0</v>
      </c>
      <c r="L120" s="77">
        <v>1.0</v>
      </c>
      <c r="M120" s="66">
        <v>16.0</v>
      </c>
      <c r="N120" s="66"/>
      <c r="O120" s="66">
        <f t="shared" si="6"/>
        <v>19</v>
      </c>
      <c r="P120" s="42"/>
    </row>
    <row r="121" ht="15.75" hidden="1" customHeight="1">
      <c r="A121" s="1"/>
      <c r="B121" s="1"/>
      <c r="C121" s="13"/>
      <c r="D121" s="26" t="s">
        <v>177</v>
      </c>
      <c r="E121" s="66"/>
      <c r="F121" s="66"/>
      <c r="G121" s="66"/>
      <c r="H121" s="66"/>
      <c r="I121" s="66">
        <v>6.0</v>
      </c>
      <c r="J121" s="77"/>
      <c r="K121" s="77"/>
      <c r="L121" s="77">
        <v>1.0</v>
      </c>
      <c r="M121" s="77">
        <v>5.0</v>
      </c>
      <c r="N121" s="77"/>
      <c r="O121" s="66">
        <f t="shared" si="6"/>
        <v>6</v>
      </c>
      <c r="P121" s="42"/>
    </row>
    <row r="122" ht="15.75" hidden="1" customHeight="1">
      <c r="A122" s="1"/>
      <c r="B122" s="1"/>
      <c r="C122" s="13"/>
      <c r="D122" s="79" t="s">
        <v>178</v>
      </c>
      <c r="E122" s="66"/>
      <c r="F122" s="66"/>
      <c r="G122" s="66"/>
      <c r="H122" s="66"/>
      <c r="I122" s="66">
        <v>6.0</v>
      </c>
      <c r="J122" s="77"/>
      <c r="K122" s="77"/>
      <c r="L122" s="77">
        <v>1.0</v>
      </c>
      <c r="M122" s="77">
        <v>5.0</v>
      </c>
      <c r="N122" s="77"/>
      <c r="O122" s="66">
        <f t="shared" si="6"/>
        <v>6</v>
      </c>
      <c r="P122" s="42"/>
    </row>
    <row r="123" ht="15.75" hidden="1" customHeight="1">
      <c r="A123" s="1"/>
      <c r="B123" s="1"/>
      <c r="C123" s="13"/>
      <c r="D123" s="26" t="s">
        <v>172</v>
      </c>
      <c r="E123" s="66"/>
      <c r="F123" s="66"/>
      <c r="G123" s="66"/>
      <c r="H123" s="66"/>
      <c r="I123" s="66">
        <v>6.0</v>
      </c>
      <c r="J123" s="77"/>
      <c r="K123" s="77">
        <v>1.0</v>
      </c>
      <c r="L123" s="77"/>
      <c r="M123" s="77">
        <v>5.0</v>
      </c>
      <c r="N123" s="77"/>
      <c r="O123" s="66">
        <f t="shared" si="6"/>
        <v>6</v>
      </c>
      <c r="P123" s="42"/>
    </row>
    <row r="124" ht="15.75" hidden="1" customHeight="1">
      <c r="A124" s="1"/>
      <c r="B124" s="1"/>
      <c r="C124" s="13"/>
      <c r="D124" s="26" t="s">
        <v>179</v>
      </c>
      <c r="E124" s="66"/>
      <c r="F124" s="66"/>
      <c r="G124" s="66"/>
      <c r="H124" s="66"/>
      <c r="I124" s="66">
        <v>3.0</v>
      </c>
      <c r="J124" s="77"/>
      <c r="K124" s="77">
        <v>1.0</v>
      </c>
      <c r="L124" s="77">
        <v>2.0</v>
      </c>
      <c r="M124" s="77"/>
      <c r="N124" s="77"/>
      <c r="O124" s="66">
        <f t="shared" si="6"/>
        <v>3</v>
      </c>
      <c r="P124" s="42"/>
    </row>
    <row r="125" ht="15.75" hidden="1" customHeight="1">
      <c r="A125" s="1"/>
      <c r="B125" s="1"/>
      <c r="C125" s="13"/>
      <c r="D125" s="26" t="s">
        <v>180</v>
      </c>
      <c r="E125" s="66"/>
      <c r="F125" s="66"/>
      <c r="G125" s="66"/>
      <c r="H125" s="66"/>
      <c r="I125" s="66">
        <v>12.0</v>
      </c>
      <c r="J125" s="77"/>
      <c r="K125" s="77"/>
      <c r="L125" s="77"/>
      <c r="M125" s="77">
        <v>12.0</v>
      </c>
      <c r="N125" s="77"/>
      <c r="O125" s="66">
        <f t="shared" si="6"/>
        <v>12</v>
      </c>
      <c r="P125" s="42"/>
    </row>
    <row r="126" ht="15.75" hidden="1" customHeight="1">
      <c r="A126" s="1"/>
      <c r="B126" s="1"/>
      <c r="C126" s="13"/>
      <c r="D126" s="26" t="s">
        <v>182</v>
      </c>
      <c r="E126" s="66"/>
      <c r="F126" s="66"/>
      <c r="G126" s="66"/>
      <c r="H126" s="66"/>
      <c r="I126" s="66">
        <v>8.0</v>
      </c>
      <c r="J126" s="77"/>
      <c r="K126" s="77">
        <v>1.0</v>
      </c>
      <c r="L126" s="77"/>
      <c r="M126" s="77">
        <v>7.0</v>
      </c>
      <c r="N126" s="77"/>
      <c r="O126" s="66">
        <f t="shared" si="6"/>
        <v>8</v>
      </c>
      <c r="P126" s="42"/>
    </row>
    <row r="127" ht="15.75" hidden="1" customHeight="1">
      <c r="A127" s="1"/>
      <c r="B127" s="1"/>
      <c r="C127" s="13"/>
      <c r="D127" s="26" t="s">
        <v>119</v>
      </c>
      <c r="E127" s="66"/>
      <c r="F127" s="66"/>
      <c r="G127" s="66"/>
      <c r="H127" s="66"/>
      <c r="I127" s="66"/>
      <c r="J127" s="77"/>
      <c r="K127" s="77"/>
      <c r="L127" s="77"/>
      <c r="M127" s="77"/>
      <c r="N127" s="77"/>
      <c r="O127" s="66">
        <f t="shared" si="6"/>
        <v>0</v>
      </c>
      <c r="P127" s="42"/>
    </row>
    <row r="128" ht="15.75" hidden="1" customHeight="1">
      <c r="A128" s="1"/>
      <c r="B128" s="1"/>
      <c r="C128" s="13"/>
      <c r="D128" s="26" t="s">
        <v>122</v>
      </c>
      <c r="E128" s="66"/>
      <c r="F128" s="66"/>
      <c r="G128" s="66"/>
      <c r="H128" s="66"/>
      <c r="I128" s="66"/>
      <c r="J128" s="77"/>
      <c r="K128" s="77"/>
      <c r="L128" s="77"/>
      <c r="M128" s="77"/>
      <c r="N128" s="77"/>
      <c r="O128" s="66">
        <f t="shared" si="6"/>
        <v>0</v>
      </c>
      <c r="P128" s="42"/>
    </row>
    <row r="129" ht="15.75" hidden="1" customHeight="1">
      <c r="A129" s="1"/>
      <c r="B129" s="1"/>
      <c r="C129" s="13"/>
      <c r="D129" s="26" t="s">
        <v>89</v>
      </c>
      <c r="E129" s="66"/>
      <c r="F129" s="66"/>
      <c r="G129" s="66"/>
      <c r="H129" s="66"/>
      <c r="I129" s="66"/>
      <c r="J129" s="77"/>
      <c r="K129" s="77"/>
      <c r="L129" s="77"/>
      <c r="M129" s="77"/>
      <c r="N129" s="77"/>
      <c r="O129" s="66">
        <f t="shared" si="6"/>
        <v>0</v>
      </c>
      <c r="P129" s="42"/>
    </row>
    <row r="130" ht="15.75" hidden="1" customHeight="1">
      <c r="A130" s="1"/>
      <c r="B130" s="1"/>
      <c r="C130" s="13"/>
      <c r="D130" s="26" t="s">
        <v>130</v>
      </c>
      <c r="E130" s="66"/>
      <c r="F130" s="66"/>
      <c r="G130" s="66"/>
      <c r="H130" s="66"/>
      <c r="I130" s="66"/>
      <c r="J130" s="77"/>
      <c r="K130" s="77"/>
      <c r="L130" s="77"/>
      <c r="M130" s="77"/>
      <c r="N130" s="77"/>
      <c r="O130" s="66">
        <v>0.0</v>
      </c>
      <c r="P130" s="42"/>
    </row>
    <row r="131" ht="15.75" hidden="1" customHeight="1">
      <c r="A131" s="1"/>
      <c r="B131" s="1"/>
      <c r="C131" s="13"/>
      <c r="D131" s="26" t="s">
        <v>185</v>
      </c>
      <c r="E131" s="66"/>
      <c r="F131" s="66"/>
      <c r="G131" s="66"/>
      <c r="H131" s="66"/>
      <c r="I131" s="66"/>
      <c r="J131" s="77"/>
      <c r="K131" s="77"/>
      <c r="L131" s="77"/>
      <c r="M131" s="77"/>
      <c r="N131" s="77"/>
      <c r="O131" s="66">
        <f t="shared" ref="O131:O140" si="7">SUM(K131:M131)</f>
        <v>0</v>
      </c>
      <c r="P131" s="42"/>
    </row>
    <row r="132" ht="15.75" hidden="1" customHeight="1">
      <c r="A132" s="1"/>
      <c r="B132" s="1"/>
      <c r="C132" s="13"/>
      <c r="D132" s="26" t="s">
        <v>91</v>
      </c>
      <c r="E132" s="66"/>
      <c r="F132" s="66"/>
      <c r="G132" s="66"/>
      <c r="H132" s="66"/>
      <c r="I132" s="66"/>
      <c r="J132" s="77"/>
      <c r="K132" s="77"/>
      <c r="L132" s="77"/>
      <c r="M132" s="77"/>
      <c r="N132" s="77"/>
      <c r="O132" s="66">
        <f t="shared" si="7"/>
        <v>0</v>
      </c>
      <c r="P132" s="42"/>
    </row>
    <row r="133" ht="15.75" hidden="1" customHeight="1">
      <c r="A133" s="1"/>
      <c r="B133" s="1"/>
      <c r="C133" s="13"/>
      <c r="D133" s="26" t="s">
        <v>92</v>
      </c>
      <c r="E133" s="66"/>
      <c r="F133" s="66"/>
      <c r="G133" s="66"/>
      <c r="H133" s="66"/>
      <c r="I133" s="66"/>
      <c r="J133" s="77"/>
      <c r="K133" s="77"/>
      <c r="L133" s="77"/>
      <c r="M133" s="77"/>
      <c r="N133" s="77"/>
      <c r="O133" s="66">
        <f t="shared" si="7"/>
        <v>0</v>
      </c>
      <c r="P133" s="42"/>
    </row>
    <row r="134" ht="15.75" hidden="1" customHeight="1">
      <c r="A134" s="1"/>
      <c r="B134" s="1"/>
      <c r="C134" s="13"/>
      <c r="D134" s="26" t="s">
        <v>100</v>
      </c>
      <c r="E134" s="66"/>
      <c r="F134" s="66"/>
      <c r="G134" s="66"/>
      <c r="H134" s="66"/>
      <c r="I134" s="66"/>
      <c r="J134" s="77"/>
      <c r="K134" s="77"/>
      <c r="L134" s="77"/>
      <c r="M134" s="77"/>
      <c r="N134" s="77"/>
      <c r="O134" s="66">
        <f t="shared" si="7"/>
        <v>0</v>
      </c>
      <c r="P134" s="42"/>
    </row>
    <row r="135" ht="15.75" hidden="1" customHeight="1">
      <c r="A135" s="1"/>
      <c r="B135" s="1"/>
      <c r="C135" s="13"/>
      <c r="D135" s="26" t="s">
        <v>94</v>
      </c>
      <c r="E135" s="66"/>
      <c r="F135" s="66"/>
      <c r="G135" s="66"/>
      <c r="H135" s="66"/>
      <c r="I135" s="66"/>
      <c r="J135" s="77"/>
      <c r="K135" s="77"/>
      <c r="L135" s="77"/>
      <c r="M135" s="77"/>
      <c r="N135" s="77"/>
      <c r="O135" s="66">
        <f t="shared" si="7"/>
        <v>0</v>
      </c>
      <c r="P135" s="42"/>
    </row>
    <row r="136" ht="15.75" hidden="1" customHeight="1">
      <c r="A136" s="1"/>
      <c r="B136" s="1"/>
      <c r="C136" s="21"/>
      <c r="D136" s="26" t="s">
        <v>96</v>
      </c>
      <c r="E136" s="66"/>
      <c r="F136" s="66"/>
      <c r="G136" s="66"/>
      <c r="H136" s="66"/>
      <c r="I136" s="66">
        <v>13.0</v>
      </c>
      <c r="J136" s="77"/>
      <c r="K136" s="77">
        <v>1.0</v>
      </c>
      <c r="L136" s="77"/>
      <c r="M136" s="77">
        <v>12.0</v>
      </c>
      <c r="N136" s="77"/>
      <c r="O136" s="66">
        <f t="shared" si="7"/>
        <v>13</v>
      </c>
      <c r="P136" s="42"/>
    </row>
    <row r="137" ht="15.75" hidden="1" customHeight="1">
      <c r="A137" s="1"/>
      <c r="B137" s="1"/>
      <c r="C137" s="34"/>
      <c r="D137" s="26" t="s">
        <v>135</v>
      </c>
      <c r="E137" s="66"/>
      <c r="F137" s="66"/>
      <c r="G137" s="66"/>
      <c r="H137" s="66"/>
      <c r="I137" s="66"/>
      <c r="J137" s="77"/>
      <c r="K137" s="77"/>
      <c r="L137" s="77"/>
      <c r="M137" s="77"/>
      <c r="N137" s="77"/>
      <c r="O137" s="66">
        <f t="shared" si="7"/>
        <v>0</v>
      </c>
      <c r="P137" s="42"/>
    </row>
    <row r="138" ht="15.75" hidden="1" customHeight="1">
      <c r="A138" s="1"/>
      <c r="B138" s="1"/>
      <c r="C138" s="34"/>
      <c r="D138" s="26" t="s">
        <v>186</v>
      </c>
      <c r="E138" s="66"/>
      <c r="F138" s="66"/>
      <c r="G138" s="66"/>
      <c r="H138" s="66"/>
      <c r="I138" s="66"/>
      <c r="J138" s="77"/>
      <c r="K138" s="77"/>
      <c r="L138" s="77"/>
      <c r="M138" s="77"/>
      <c r="N138" s="77"/>
      <c r="O138" s="66">
        <f t="shared" si="7"/>
        <v>0</v>
      </c>
      <c r="P138" s="42"/>
    </row>
    <row r="139" ht="15.75" hidden="1" customHeight="1">
      <c r="A139" s="1"/>
      <c r="B139" s="1"/>
      <c r="C139" s="34"/>
      <c r="D139" s="26" t="s">
        <v>105</v>
      </c>
      <c r="E139" s="66"/>
      <c r="F139" s="66"/>
      <c r="G139" s="66"/>
      <c r="H139" s="66"/>
      <c r="I139" s="66"/>
      <c r="J139" s="77"/>
      <c r="K139" s="77"/>
      <c r="L139" s="77"/>
      <c r="M139" s="77"/>
      <c r="N139" s="77"/>
      <c r="O139" s="66">
        <f t="shared" si="7"/>
        <v>0</v>
      </c>
      <c r="P139" s="42"/>
    </row>
    <row r="140" ht="15.75" hidden="1" customHeight="1">
      <c r="A140" s="1"/>
      <c r="B140" s="1"/>
      <c r="C140" s="34"/>
      <c r="D140" s="26" t="s">
        <v>181</v>
      </c>
      <c r="E140" s="66"/>
      <c r="F140" s="66"/>
      <c r="G140" s="66"/>
      <c r="H140" s="66"/>
      <c r="I140" s="66"/>
      <c r="J140" s="77"/>
      <c r="K140" s="77"/>
      <c r="L140" s="77"/>
      <c r="M140" s="77"/>
      <c r="N140" s="77"/>
      <c r="O140" s="66">
        <f t="shared" si="7"/>
        <v>0</v>
      </c>
      <c r="P140" s="42"/>
    </row>
    <row r="141" ht="15.75" hidden="1" customHeight="1">
      <c r="A141" s="1"/>
      <c r="B141" s="1"/>
      <c r="C141" s="34"/>
      <c r="D141" s="26" t="s">
        <v>183</v>
      </c>
      <c r="E141" s="66"/>
      <c r="F141" s="66"/>
      <c r="G141" s="66"/>
      <c r="H141" s="66"/>
      <c r="I141" s="66"/>
      <c r="J141" s="77"/>
      <c r="K141" s="77"/>
      <c r="L141" s="77"/>
      <c r="M141" s="77"/>
      <c r="N141" s="77"/>
      <c r="O141" s="66">
        <v>0.0</v>
      </c>
      <c r="P141" s="42"/>
    </row>
    <row r="142" ht="15.75" hidden="1" customHeight="1">
      <c r="A142" s="1"/>
      <c r="B142" s="1"/>
      <c r="C142" s="34"/>
      <c r="D142" s="26" t="s">
        <v>136</v>
      </c>
      <c r="E142" s="66"/>
      <c r="F142" s="66"/>
      <c r="G142" s="66"/>
      <c r="H142" s="66"/>
      <c r="I142" s="66"/>
      <c r="J142" s="77"/>
      <c r="K142" s="77"/>
      <c r="L142" s="77"/>
      <c r="M142" s="77"/>
      <c r="N142" s="77"/>
      <c r="O142" s="66">
        <f>SUM(K142:M142)</f>
        <v>0</v>
      </c>
      <c r="P142" s="42"/>
    </row>
    <row r="143" ht="15.75" hidden="1" customHeight="1">
      <c r="A143" s="1"/>
      <c r="B143" s="1"/>
      <c r="C143" s="34"/>
      <c r="D143" s="26" t="s">
        <v>190</v>
      </c>
      <c r="E143" s="66"/>
      <c r="F143" s="66"/>
      <c r="G143" s="66"/>
      <c r="H143" s="66"/>
      <c r="I143" s="66"/>
      <c r="J143" s="77"/>
      <c r="K143" s="77"/>
      <c r="L143" s="77"/>
      <c r="M143" s="77"/>
      <c r="N143" s="77"/>
      <c r="O143" s="66">
        <v>0.0</v>
      </c>
      <c r="P143" s="42"/>
    </row>
    <row r="144" ht="15.75" hidden="1" customHeight="1">
      <c r="A144" s="1"/>
      <c r="B144" s="1"/>
      <c r="C144" s="34" t="s">
        <v>139</v>
      </c>
      <c r="D144" s="26" t="s">
        <v>191</v>
      </c>
      <c r="E144" s="66"/>
      <c r="F144" s="66"/>
      <c r="G144" s="66"/>
      <c r="H144" s="66"/>
      <c r="I144" s="66"/>
      <c r="J144" s="66"/>
      <c r="K144" s="66"/>
      <c r="L144" s="77"/>
      <c r="M144" s="77"/>
      <c r="N144" s="77"/>
      <c r="O144" s="66">
        <v>0.0</v>
      </c>
      <c r="P144" s="42"/>
    </row>
    <row r="145" ht="15.75" hidden="1" customHeight="1">
      <c r="A145" s="1"/>
      <c r="B145" s="1"/>
      <c r="C145" s="13"/>
      <c r="D145" s="26" t="s">
        <v>192</v>
      </c>
      <c r="E145" s="66"/>
      <c r="F145" s="66"/>
      <c r="G145" s="66"/>
      <c r="H145" s="66"/>
      <c r="I145" s="66">
        <v>1.0</v>
      </c>
      <c r="J145" s="66"/>
      <c r="K145" s="66"/>
      <c r="L145" s="77">
        <v>1.0</v>
      </c>
      <c r="M145" s="77"/>
      <c r="N145" s="77"/>
      <c r="O145" s="66">
        <f t="shared" ref="O145:O147" si="8">SUM(K145:M145)</f>
        <v>1</v>
      </c>
      <c r="P145" s="42"/>
    </row>
    <row r="146" ht="15.75" hidden="1" customHeight="1">
      <c r="A146" s="1"/>
      <c r="B146" s="1"/>
      <c r="C146" s="21"/>
      <c r="D146" s="26" t="s">
        <v>139</v>
      </c>
      <c r="E146" s="66"/>
      <c r="F146" s="66"/>
      <c r="G146" s="66"/>
      <c r="H146" s="66"/>
      <c r="I146" s="66">
        <v>4.0</v>
      </c>
      <c r="J146" s="77"/>
      <c r="K146" s="77">
        <v>3.0</v>
      </c>
      <c r="L146" s="77"/>
      <c r="M146" s="77">
        <v>1.0</v>
      </c>
      <c r="N146" s="77"/>
      <c r="O146" s="66">
        <f t="shared" si="8"/>
        <v>4</v>
      </c>
      <c r="P146" s="75"/>
    </row>
    <row r="147" ht="15.75" hidden="1" customHeight="1">
      <c r="A147" s="1"/>
      <c r="B147" s="1"/>
      <c r="C147" s="24" t="s">
        <v>193</v>
      </c>
      <c r="D147" s="26" t="s">
        <v>193</v>
      </c>
      <c r="E147" s="66"/>
      <c r="F147" s="66"/>
      <c r="G147" s="66"/>
      <c r="H147" s="66"/>
      <c r="I147" s="66">
        <v>1.0</v>
      </c>
      <c r="J147" s="77"/>
      <c r="K147" s="77"/>
      <c r="L147" s="77"/>
      <c r="M147" s="77">
        <v>1.0</v>
      </c>
      <c r="N147" s="77"/>
      <c r="O147" s="66">
        <f t="shared" si="8"/>
        <v>1</v>
      </c>
      <c r="P147" s="42"/>
    </row>
    <row r="148" ht="15.75" hidden="1" customHeight="1">
      <c r="A148" s="1"/>
      <c r="B148" s="1"/>
      <c r="C148" s="81" t="s">
        <v>110</v>
      </c>
      <c r="D148" s="82"/>
      <c r="E148" s="83"/>
      <c r="F148" s="83"/>
      <c r="G148" s="83"/>
      <c r="H148" s="83"/>
      <c r="I148" s="66">
        <f>SUM(I86:I147)</f>
        <v>124</v>
      </c>
      <c r="J148" s="66"/>
      <c r="K148" s="66">
        <f t="shared" ref="K148:M148" si="9">SUM(K87:K147)</f>
        <v>20</v>
      </c>
      <c r="L148" s="66">
        <f t="shared" si="9"/>
        <v>20</v>
      </c>
      <c r="M148" s="66">
        <f t="shared" si="9"/>
        <v>84</v>
      </c>
      <c r="N148" s="66"/>
      <c r="O148" s="66">
        <f>SUM(O86:O147)</f>
        <v>126</v>
      </c>
      <c r="P148" s="42"/>
    </row>
    <row r="149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>
        <f>I148-O148</f>
        <v>-2</v>
      </c>
      <c r="N149" s="1"/>
      <c r="O149" s="67">
        <f>O148/I148</f>
        <v>1.016129032</v>
      </c>
      <c r="P149" s="1"/>
    </row>
    <row r="150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ht="15.75" hidden="1" customHeight="1">
      <c r="A155" s="1"/>
      <c r="B155" s="1"/>
      <c r="C155" s="1"/>
      <c r="D155" s="1"/>
      <c r="E155" s="59"/>
      <c r="F155" s="59"/>
      <c r="G155" s="59"/>
      <c r="H155" s="59"/>
      <c r="I155" s="59" t="s">
        <v>195</v>
      </c>
      <c r="J155" s="1"/>
      <c r="K155" s="1"/>
      <c r="L155" s="1"/>
      <c r="M155" s="1"/>
      <c r="N155" s="1"/>
      <c r="O155" s="1"/>
      <c r="P155" s="59"/>
    </row>
    <row r="156" ht="15.75" hidden="1" customHeight="1">
      <c r="A156" s="1"/>
      <c r="B156" s="1"/>
      <c r="C156" s="1"/>
      <c r="D156" s="1"/>
      <c r="E156" s="1"/>
      <c r="F156" s="1"/>
      <c r="G156" s="1"/>
      <c r="H156" s="1"/>
      <c r="I156" s="1" t="s">
        <v>196</v>
      </c>
      <c r="J156" s="1"/>
      <c r="K156" s="1"/>
      <c r="L156" s="1"/>
      <c r="M156" s="1"/>
      <c r="N156" s="1"/>
      <c r="O156" s="1"/>
      <c r="P156" s="1"/>
    </row>
    <row r="157" ht="15.75" hidden="1" customHeight="1">
      <c r="A157" s="1"/>
      <c r="B157" s="1"/>
      <c r="C157" s="1"/>
      <c r="D157" s="1"/>
      <c r="E157" s="1"/>
      <c r="F157" s="1"/>
      <c r="G157" s="1"/>
      <c r="H157" s="1"/>
      <c r="I157" s="1" t="s">
        <v>197</v>
      </c>
      <c r="J157" s="1"/>
      <c r="K157" s="1"/>
      <c r="L157" s="1"/>
      <c r="M157" s="1"/>
      <c r="N157" s="1"/>
      <c r="O157" s="1"/>
      <c r="P157" s="1"/>
    </row>
    <row r="158" ht="15.75" hidden="1" customHeight="1">
      <c r="A158" s="1"/>
      <c r="B158" s="1"/>
      <c r="C158" s="1"/>
      <c r="D158" s="1"/>
      <c r="E158" s="1"/>
      <c r="F158" s="1"/>
      <c r="G158" s="1"/>
      <c r="H158" s="1"/>
      <c r="I158" s="1" t="s">
        <v>198</v>
      </c>
      <c r="J158" s="1"/>
      <c r="K158" s="1"/>
      <c r="L158" s="1"/>
      <c r="M158" s="1"/>
      <c r="N158" s="1"/>
      <c r="O158" s="1"/>
      <c r="P158" s="1"/>
    </row>
    <row r="159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85"/>
      <c r="K167" s="85"/>
      <c r="N167" s="85"/>
      <c r="O167" s="85"/>
      <c r="P167" s="1"/>
    </row>
    <row r="168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86"/>
      <c r="K168" s="86"/>
      <c r="L168" s="86"/>
      <c r="M168" s="86"/>
      <c r="N168" s="86"/>
      <c r="O168" s="86"/>
      <c r="P168" s="1"/>
    </row>
    <row r="169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86"/>
      <c r="K169" s="86"/>
      <c r="L169" s="86"/>
      <c r="M169" s="1"/>
      <c r="N169" s="1"/>
      <c r="O169" s="1"/>
      <c r="P169" s="1"/>
    </row>
    <row r="170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86"/>
      <c r="K170" s="86"/>
      <c r="L170" s="86"/>
      <c r="M170" s="86"/>
      <c r="N170" s="86"/>
      <c r="O170" s="86"/>
      <c r="P170" s="1"/>
    </row>
    <row r="171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87"/>
      <c r="K171" s="87"/>
      <c r="L171" s="1"/>
      <c r="M171" s="1"/>
      <c r="N171" s="1"/>
      <c r="O171" s="1"/>
      <c r="P171" s="1"/>
    </row>
    <row r="172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86"/>
      <c r="K172" s="86"/>
      <c r="L172" s="86"/>
      <c r="M172" s="1"/>
      <c r="N172" s="1"/>
      <c r="O172" s="1"/>
      <c r="P172" s="1"/>
    </row>
    <row r="173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C91:C92"/>
    <mergeCell ref="C94:C99"/>
    <mergeCell ref="C100:C103"/>
    <mergeCell ref="C106:C107"/>
    <mergeCell ref="C109:C112"/>
    <mergeCell ref="C113:C136"/>
    <mergeCell ref="C144:C146"/>
    <mergeCell ref="C29:C30"/>
    <mergeCell ref="C31:C51"/>
    <mergeCell ref="C52:C54"/>
    <mergeCell ref="C55:D55"/>
    <mergeCell ref="C82:C85"/>
    <mergeCell ref="D82:D85"/>
    <mergeCell ref="C88:C90"/>
    <mergeCell ref="H5:H7"/>
    <mergeCell ref="I5:I7"/>
    <mergeCell ref="J5:J7"/>
    <mergeCell ref="K5:K7"/>
    <mergeCell ref="N5:N7"/>
    <mergeCell ref="O5:O7"/>
    <mergeCell ref="C2:M2"/>
    <mergeCell ref="E3:P3"/>
    <mergeCell ref="C4:C7"/>
    <mergeCell ref="D4:D7"/>
    <mergeCell ref="E4:J4"/>
    <mergeCell ref="K4:P4"/>
    <mergeCell ref="E5:E7"/>
    <mergeCell ref="P5:P7"/>
    <mergeCell ref="F5:F7"/>
    <mergeCell ref="G5:G7"/>
    <mergeCell ref="C10:C12"/>
    <mergeCell ref="C13:C16"/>
    <mergeCell ref="C17:C23"/>
    <mergeCell ref="C24:C25"/>
    <mergeCell ref="C27:C28"/>
    <mergeCell ref="M83:M85"/>
    <mergeCell ref="O83:O85"/>
    <mergeCell ref="K167:M167"/>
    <mergeCell ref="L5:L7"/>
    <mergeCell ref="M5:M7"/>
    <mergeCell ref="K81:M81"/>
    <mergeCell ref="I82:O82"/>
    <mergeCell ref="I83:I85"/>
    <mergeCell ref="K83:K85"/>
    <mergeCell ref="L83:L8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 outlineLevelCol="2"/>
  <cols>
    <col customWidth="1" hidden="1" min="1" max="2" width="5.29"/>
    <col customWidth="1" min="3" max="3" width="27.29"/>
    <col customWidth="1" min="4" max="4" width="38.43"/>
    <col customWidth="1" min="5" max="5" width="10.86"/>
    <col customWidth="1" min="6" max="6" width="17.57"/>
    <col customWidth="1" min="7" max="7" width="10.43"/>
    <col customWidth="1" min="8" max="8" width="9.86"/>
    <col customWidth="1" min="9" max="9" width="13.86"/>
    <col customWidth="1" min="10" max="10" width="15.0"/>
    <col customWidth="1" min="11" max="11" width="10.0"/>
    <col customWidth="1" min="12" max="12" width="8.86"/>
    <col customWidth="1" min="13" max="13" width="10.57"/>
    <col customWidth="1" min="14" max="14" width="12.0"/>
    <col customWidth="1" min="15" max="15" width="15.43"/>
    <col customWidth="1" min="16" max="16" width="12.0"/>
    <col customWidth="1" min="17" max="18" width="64.43"/>
    <col customWidth="1" min="19" max="19" width="34.43"/>
    <col customWidth="1" min="20" max="20" width="21.14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3" t="s">
        <v>1</v>
      </c>
      <c r="D3" s="4"/>
      <c r="E3" s="6" t="s">
        <v>3</v>
      </c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9"/>
      <c r="R3" s="9"/>
      <c r="S3" s="9"/>
      <c r="T3" s="9"/>
    </row>
    <row r="4">
      <c r="A4" s="1"/>
      <c r="B4" s="1"/>
      <c r="C4" s="10" t="s">
        <v>5</v>
      </c>
      <c r="D4" s="12" t="s">
        <v>6</v>
      </c>
      <c r="E4" s="6" t="s">
        <v>7</v>
      </c>
      <c r="F4" s="7"/>
      <c r="G4" s="7"/>
      <c r="H4" s="7"/>
      <c r="I4" s="7"/>
      <c r="J4" s="8"/>
      <c r="K4" s="6" t="s">
        <v>8</v>
      </c>
      <c r="L4" s="7"/>
      <c r="M4" s="7"/>
      <c r="N4" s="7"/>
      <c r="O4" s="7"/>
      <c r="P4" s="8"/>
      <c r="Q4" s="9"/>
      <c r="R4" s="9"/>
      <c r="S4" s="9"/>
      <c r="T4" s="9"/>
    </row>
    <row r="5">
      <c r="A5" s="1"/>
      <c r="B5" s="1"/>
      <c r="C5" s="13"/>
      <c r="D5" s="14"/>
      <c r="E5" s="15" t="s">
        <v>9</v>
      </c>
      <c r="F5" s="15" t="s">
        <v>10</v>
      </c>
      <c r="G5" s="15" t="s">
        <v>12</v>
      </c>
      <c r="H5" s="15" t="s">
        <v>13</v>
      </c>
      <c r="I5" s="17" t="s">
        <v>14</v>
      </c>
      <c r="J5" s="17" t="s">
        <v>15</v>
      </c>
      <c r="K5" s="15" t="s">
        <v>9</v>
      </c>
      <c r="L5" s="15" t="s">
        <v>10</v>
      </c>
      <c r="M5" s="15" t="s">
        <v>12</v>
      </c>
      <c r="N5" s="15" t="s">
        <v>13</v>
      </c>
      <c r="O5" s="17" t="s">
        <v>16</v>
      </c>
      <c r="P5" s="17" t="s">
        <v>17</v>
      </c>
      <c r="Q5" s="19"/>
      <c r="R5" s="19"/>
      <c r="S5" s="19"/>
      <c r="T5" s="19"/>
    </row>
    <row r="6">
      <c r="A6" s="1"/>
      <c r="B6" s="1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9"/>
      <c r="R6" s="19"/>
      <c r="S6" s="19"/>
      <c r="T6" s="19"/>
    </row>
    <row r="7">
      <c r="A7" s="1"/>
      <c r="B7" s="1"/>
      <c r="C7" s="2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19"/>
      <c r="R7" s="19"/>
      <c r="S7" s="19"/>
      <c r="T7" s="19"/>
    </row>
    <row r="8">
      <c r="A8" s="1"/>
      <c r="B8" s="1"/>
      <c r="C8" s="24" t="s">
        <v>18</v>
      </c>
      <c r="D8" s="26" t="s">
        <v>19</v>
      </c>
      <c r="E8" s="27">
        <v>1.0</v>
      </c>
      <c r="F8" s="27"/>
      <c r="G8" s="27"/>
      <c r="H8" s="27"/>
      <c r="I8" s="27">
        <f t="shared" ref="I8:I51" si="1">SUM(E8:H8)</f>
        <v>1</v>
      </c>
      <c r="J8" s="27"/>
      <c r="K8" s="27">
        <v>1.0</v>
      </c>
      <c r="L8" s="27"/>
      <c r="M8" s="27"/>
      <c r="N8" s="27"/>
      <c r="O8" s="27">
        <f t="shared" ref="O8:O51" si="2">SUM(K8:N8)</f>
        <v>1</v>
      </c>
      <c r="P8" s="27"/>
      <c r="Q8" s="33"/>
      <c r="R8" s="33"/>
      <c r="S8" s="33"/>
      <c r="T8" s="33"/>
    </row>
    <row r="9">
      <c r="A9" s="1"/>
      <c r="B9" s="1"/>
      <c r="C9" s="34" t="s">
        <v>21</v>
      </c>
      <c r="D9" s="26" t="s">
        <v>22</v>
      </c>
      <c r="E9" s="27">
        <v>1.0</v>
      </c>
      <c r="F9" s="27"/>
      <c r="G9" s="27"/>
      <c r="H9" s="27"/>
      <c r="I9" s="27">
        <f t="shared" si="1"/>
        <v>1</v>
      </c>
      <c r="J9" s="27"/>
      <c r="K9" s="27">
        <v>1.0</v>
      </c>
      <c r="L9" s="27"/>
      <c r="M9" s="27"/>
      <c r="N9" s="27"/>
      <c r="O9" s="27">
        <f t="shared" si="2"/>
        <v>1</v>
      </c>
      <c r="P9" s="27"/>
      <c r="Q9" s="33"/>
      <c r="R9" s="33"/>
      <c r="S9" s="33"/>
      <c r="T9" s="33"/>
    </row>
    <row r="10">
      <c r="A10" s="1"/>
      <c r="B10" s="1"/>
      <c r="C10" s="13"/>
      <c r="D10" s="26" t="s">
        <v>23</v>
      </c>
      <c r="E10" s="27">
        <v>1.0</v>
      </c>
      <c r="F10" s="27"/>
      <c r="G10" s="27"/>
      <c r="H10" s="27"/>
      <c r="I10" s="27">
        <f t="shared" si="1"/>
        <v>1</v>
      </c>
      <c r="J10" s="27"/>
      <c r="K10" s="27">
        <v>1.0</v>
      </c>
      <c r="L10" s="27"/>
      <c r="M10" s="27"/>
      <c r="N10" s="27"/>
      <c r="O10" s="27">
        <f t="shared" si="2"/>
        <v>1</v>
      </c>
      <c r="P10" s="27"/>
      <c r="Q10" s="33"/>
      <c r="R10" s="33"/>
      <c r="S10" s="33"/>
      <c r="T10" s="33"/>
    </row>
    <row r="11">
      <c r="A11" s="1"/>
      <c r="B11" s="1"/>
      <c r="C11" s="13"/>
      <c r="D11" s="26" t="s">
        <v>24</v>
      </c>
      <c r="E11" s="27"/>
      <c r="F11" s="27"/>
      <c r="G11" s="27">
        <v>1.0</v>
      </c>
      <c r="H11" s="27"/>
      <c r="I11" s="27">
        <f t="shared" si="1"/>
        <v>1</v>
      </c>
      <c r="J11" s="27"/>
      <c r="K11" s="27"/>
      <c r="L11" s="27"/>
      <c r="M11" s="27">
        <v>1.0</v>
      </c>
      <c r="N11" s="27"/>
      <c r="O11" s="27">
        <f t="shared" si="2"/>
        <v>1</v>
      </c>
      <c r="P11" s="27"/>
      <c r="Q11" s="33"/>
      <c r="R11" s="33"/>
      <c r="S11" s="33"/>
      <c r="T11" s="33"/>
    </row>
    <row r="12">
      <c r="A12" s="1"/>
      <c r="B12" s="1"/>
      <c r="C12" s="13"/>
      <c r="D12" s="26" t="s">
        <v>26</v>
      </c>
      <c r="E12" s="27"/>
      <c r="F12" s="27"/>
      <c r="G12" s="27">
        <v>2.0</v>
      </c>
      <c r="H12" s="27"/>
      <c r="I12" s="27">
        <f t="shared" si="1"/>
        <v>2</v>
      </c>
      <c r="J12" s="27"/>
      <c r="K12" s="27"/>
      <c r="L12" s="27"/>
      <c r="M12" s="27">
        <v>2.0</v>
      </c>
      <c r="N12" s="27"/>
      <c r="O12" s="27">
        <f t="shared" si="2"/>
        <v>2</v>
      </c>
      <c r="P12" s="27"/>
      <c r="Q12" s="33"/>
      <c r="R12" s="33"/>
      <c r="S12" s="33"/>
      <c r="T12" s="33"/>
    </row>
    <row r="13">
      <c r="A13" s="1"/>
      <c r="B13" s="1"/>
      <c r="C13" s="13"/>
      <c r="D13" s="26" t="s">
        <v>27</v>
      </c>
      <c r="E13" s="27"/>
      <c r="F13" s="27"/>
      <c r="G13" s="27">
        <v>1.0</v>
      </c>
      <c r="H13" s="27"/>
      <c r="I13" s="27">
        <f t="shared" si="1"/>
        <v>1</v>
      </c>
      <c r="J13" s="27"/>
      <c r="K13" s="27"/>
      <c r="L13" s="27"/>
      <c r="M13" s="27">
        <v>1.0</v>
      </c>
      <c r="N13" s="27"/>
      <c r="O13" s="27">
        <f t="shared" si="2"/>
        <v>1</v>
      </c>
      <c r="P13" s="27"/>
      <c r="Q13" s="33"/>
      <c r="R13" s="33"/>
      <c r="S13" s="33"/>
      <c r="T13" s="33"/>
    </row>
    <row r="14">
      <c r="A14" s="1"/>
      <c r="B14" s="1"/>
      <c r="C14" s="21"/>
      <c r="D14" s="26" t="s">
        <v>28</v>
      </c>
      <c r="E14" s="27"/>
      <c r="F14" s="27"/>
      <c r="G14" s="27">
        <v>7.0</v>
      </c>
      <c r="H14" s="27"/>
      <c r="I14" s="27">
        <f t="shared" si="1"/>
        <v>7</v>
      </c>
      <c r="J14" s="27"/>
      <c r="K14" s="27"/>
      <c r="L14" s="27"/>
      <c r="M14" s="27">
        <v>7.0</v>
      </c>
      <c r="N14" s="27"/>
      <c r="O14" s="27">
        <f t="shared" si="2"/>
        <v>7</v>
      </c>
      <c r="P14" s="27"/>
      <c r="Q14" s="33"/>
      <c r="R14" s="33"/>
      <c r="S14" s="33"/>
      <c r="T14" s="33"/>
    </row>
    <row r="15">
      <c r="A15" s="1"/>
      <c r="B15" s="1"/>
      <c r="C15" s="34" t="s">
        <v>29</v>
      </c>
      <c r="D15" s="26" t="s">
        <v>30</v>
      </c>
      <c r="E15" s="27">
        <v>1.0</v>
      </c>
      <c r="F15" s="27"/>
      <c r="G15" s="27"/>
      <c r="H15" s="27"/>
      <c r="I15" s="27">
        <f t="shared" si="1"/>
        <v>1</v>
      </c>
      <c r="J15" s="27"/>
      <c r="K15" s="27">
        <v>1.0</v>
      </c>
      <c r="L15" s="27"/>
      <c r="M15" s="27"/>
      <c r="N15" s="27"/>
      <c r="O15" s="27">
        <f t="shared" si="2"/>
        <v>1</v>
      </c>
      <c r="P15" s="27"/>
      <c r="Q15" s="33"/>
      <c r="R15" s="33"/>
      <c r="S15" s="33"/>
      <c r="T15" s="33"/>
    </row>
    <row r="16">
      <c r="A16" s="1"/>
      <c r="B16" s="1"/>
      <c r="C16" s="13"/>
      <c r="D16" s="26" t="s">
        <v>31</v>
      </c>
      <c r="E16" s="27">
        <v>4.0</v>
      </c>
      <c r="F16" s="27"/>
      <c r="G16" s="27"/>
      <c r="H16" s="27"/>
      <c r="I16" s="27">
        <f t="shared" si="1"/>
        <v>4</v>
      </c>
      <c r="J16" s="27"/>
      <c r="K16" s="27">
        <v>4.0</v>
      </c>
      <c r="L16" s="27"/>
      <c r="M16" s="27"/>
      <c r="N16" s="27"/>
      <c r="O16" s="27">
        <f t="shared" si="2"/>
        <v>4</v>
      </c>
      <c r="P16" s="27"/>
      <c r="Q16" s="33"/>
      <c r="R16" s="33"/>
      <c r="S16" s="33"/>
      <c r="T16" s="33"/>
    </row>
    <row r="17">
      <c r="A17" s="1"/>
      <c r="B17" s="1"/>
      <c r="C17" s="13"/>
      <c r="D17" s="26" t="s">
        <v>32</v>
      </c>
      <c r="E17" s="27"/>
      <c r="F17" s="27"/>
      <c r="G17" s="27">
        <v>1.0</v>
      </c>
      <c r="H17" s="27"/>
      <c r="I17" s="27">
        <f t="shared" si="1"/>
        <v>1</v>
      </c>
      <c r="J17" s="27"/>
      <c r="K17" s="27"/>
      <c r="L17" s="27"/>
      <c r="M17" s="27">
        <v>1.0</v>
      </c>
      <c r="N17" s="27"/>
      <c r="O17" s="27">
        <f t="shared" si="2"/>
        <v>1</v>
      </c>
      <c r="P17" s="27"/>
      <c r="Q17" s="33"/>
      <c r="R17" s="33"/>
      <c r="S17" s="33"/>
      <c r="T17" s="33"/>
    </row>
    <row r="18">
      <c r="A18" s="1"/>
      <c r="B18" s="1"/>
      <c r="C18" s="21"/>
      <c r="D18" s="26" t="s">
        <v>33</v>
      </c>
      <c r="E18" s="27"/>
      <c r="F18" s="27"/>
      <c r="G18" s="27">
        <v>1.0</v>
      </c>
      <c r="H18" s="27"/>
      <c r="I18" s="27">
        <f t="shared" si="1"/>
        <v>1</v>
      </c>
      <c r="J18" s="27"/>
      <c r="K18" s="27"/>
      <c r="L18" s="27"/>
      <c r="M18" s="27">
        <v>1.0</v>
      </c>
      <c r="N18" s="27"/>
      <c r="O18" s="27">
        <f t="shared" si="2"/>
        <v>1</v>
      </c>
      <c r="P18" s="27"/>
      <c r="Q18" s="33"/>
      <c r="R18" s="33"/>
      <c r="S18" s="33"/>
      <c r="T18" s="33"/>
    </row>
    <row r="19">
      <c r="A19" s="1"/>
      <c r="B19" s="1"/>
      <c r="C19" s="24" t="s">
        <v>34</v>
      </c>
      <c r="D19" s="26" t="s">
        <v>35</v>
      </c>
      <c r="E19" s="27">
        <v>1.0</v>
      </c>
      <c r="F19" s="27"/>
      <c r="G19" s="27"/>
      <c r="H19" s="27"/>
      <c r="I19" s="27">
        <f t="shared" si="1"/>
        <v>1</v>
      </c>
      <c r="J19" s="27"/>
      <c r="K19" s="27"/>
      <c r="L19" s="27">
        <v>1.0</v>
      </c>
      <c r="M19" s="27"/>
      <c r="N19" s="27"/>
      <c r="O19" s="27">
        <f t="shared" si="2"/>
        <v>1</v>
      </c>
      <c r="P19" s="27"/>
      <c r="Q19" s="33"/>
      <c r="R19" s="33"/>
      <c r="S19" s="33"/>
      <c r="T19" s="33"/>
    </row>
    <row r="20">
      <c r="A20" s="1"/>
      <c r="B20" s="1"/>
      <c r="C20" s="41" t="s">
        <v>37</v>
      </c>
      <c r="D20" s="26" t="s">
        <v>39</v>
      </c>
      <c r="E20" s="27">
        <v>1.0</v>
      </c>
      <c r="F20" s="27"/>
      <c r="G20" s="27"/>
      <c r="H20" s="27"/>
      <c r="I20" s="27">
        <f t="shared" si="1"/>
        <v>1</v>
      </c>
      <c r="J20" s="27"/>
      <c r="K20" s="27">
        <v>1.0</v>
      </c>
      <c r="L20" s="27"/>
      <c r="M20" s="27"/>
      <c r="N20" s="27"/>
      <c r="O20" s="27">
        <f t="shared" si="2"/>
        <v>1</v>
      </c>
      <c r="P20" s="27"/>
      <c r="Q20" s="33"/>
      <c r="R20" s="33"/>
      <c r="S20" s="33"/>
      <c r="T20" s="33"/>
    </row>
    <row r="21" ht="15.75" customHeight="1">
      <c r="A21" s="1"/>
      <c r="B21" s="1"/>
      <c r="C21" s="13"/>
      <c r="D21" s="26" t="s">
        <v>40</v>
      </c>
      <c r="E21" s="27">
        <v>1.0</v>
      </c>
      <c r="F21" s="27"/>
      <c r="G21" s="27"/>
      <c r="H21" s="27"/>
      <c r="I21" s="27">
        <f t="shared" si="1"/>
        <v>1</v>
      </c>
      <c r="J21" s="27"/>
      <c r="K21" s="27">
        <v>1.0</v>
      </c>
      <c r="L21" s="27"/>
      <c r="M21" s="27"/>
      <c r="N21" s="27"/>
      <c r="O21" s="27">
        <f t="shared" si="2"/>
        <v>1</v>
      </c>
      <c r="P21" s="27"/>
      <c r="Q21" s="33"/>
      <c r="R21" s="33"/>
      <c r="S21" s="33"/>
      <c r="T21" s="33"/>
    </row>
    <row r="22" ht="15.75" customHeight="1">
      <c r="A22" s="1"/>
      <c r="B22" s="1"/>
      <c r="C22" s="13"/>
      <c r="D22" s="26" t="s">
        <v>42</v>
      </c>
      <c r="E22" s="27">
        <v>1.0</v>
      </c>
      <c r="F22" s="27"/>
      <c r="G22" s="27"/>
      <c r="H22" s="27"/>
      <c r="I22" s="27">
        <f t="shared" si="1"/>
        <v>1</v>
      </c>
      <c r="J22" s="27"/>
      <c r="K22" s="27">
        <v>1.0</v>
      </c>
      <c r="L22" s="27"/>
      <c r="M22" s="27"/>
      <c r="N22" s="27"/>
      <c r="O22" s="27">
        <f t="shared" si="2"/>
        <v>1</v>
      </c>
      <c r="P22" s="27"/>
      <c r="Q22" s="33"/>
      <c r="R22" s="33"/>
      <c r="S22" s="33"/>
      <c r="T22" s="33"/>
    </row>
    <row r="23" ht="15.75" customHeight="1">
      <c r="A23" s="43"/>
      <c r="B23" s="43"/>
      <c r="C23" s="13"/>
      <c r="D23" s="26" t="s">
        <v>44</v>
      </c>
      <c r="E23" s="27"/>
      <c r="F23" s="27"/>
      <c r="G23" s="27">
        <v>1.0</v>
      </c>
      <c r="H23" s="27"/>
      <c r="I23" s="27">
        <f t="shared" si="1"/>
        <v>1</v>
      </c>
      <c r="J23" s="27"/>
      <c r="K23" s="27"/>
      <c r="L23" s="27"/>
      <c r="M23" s="27">
        <v>1.0</v>
      </c>
      <c r="N23" s="27"/>
      <c r="O23" s="27">
        <f t="shared" si="2"/>
        <v>1</v>
      </c>
      <c r="P23" s="27"/>
      <c r="Q23" s="33"/>
      <c r="R23" s="33"/>
      <c r="S23" s="33"/>
      <c r="T23" s="33"/>
    </row>
    <row r="24" ht="15.75" customHeight="1">
      <c r="A24" s="1"/>
      <c r="B24" s="1"/>
      <c r="C24" s="13"/>
      <c r="D24" s="26" t="s">
        <v>45</v>
      </c>
      <c r="E24" s="27">
        <v>1.0</v>
      </c>
      <c r="F24" s="44"/>
      <c r="G24" s="44"/>
      <c r="H24" s="27"/>
      <c r="I24" s="27">
        <f t="shared" si="1"/>
        <v>1</v>
      </c>
      <c r="J24" s="27"/>
      <c r="K24" s="27">
        <v>1.0</v>
      </c>
      <c r="L24" s="44"/>
      <c r="M24" s="44"/>
      <c r="N24" s="44"/>
      <c r="O24" s="27">
        <f t="shared" si="2"/>
        <v>1</v>
      </c>
      <c r="P24" s="27"/>
      <c r="Q24" s="33"/>
      <c r="R24" s="33"/>
      <c r="S24" s="33"/>
      <c r="T24" s="33"/>
    </row>
    <row r="25" ht="15.75" customHeight="1">
      <c r="A25" s="1"/>
      <c r="B25" s="1"/>
      <c r="C25" s="13"/>
      <c r="D25" s="26" t="s">
        <v>46</v>
      </c>
      <c r="E25" s="27"/>
      <c r="F25" s="44"/>
      <c r="G25" s="44">
        <v>3.0</v>
      </c>
      <c r="H25" s="27"/>
      <c r="I25" s="27">
        <f t="shared" si="1"/>
        <v>3</v>
      </c>
      <c r="J25" s="27"/>
      <c r="K25" s="27"/>
      <c r="L25" s="44"/>
      <c r="M25" s="44">
        <v>3.0</v>
      </c>
      <c r="N25" s="44"/>
      <c r="O25" s="27">
        <f t="shared" si="2"/>
        <v>3</v>
      </c>
      <c r="P25" s="27"/>
      <c r="Q25" s="33"/>
      <c r="R25" s="33"/>
      <c r="S25" s="33"/>
      <c r="T25" s="33"/>
    </row>
    <row r="26" ht="15.75" customHeight="1">
      <c r="A26" s="1"/>
      <c r="B26" s="1"/>
      <c r="C26" s="13"/>
      <c r="D26" s="26" t="s">
        <v>47</v>
      </c>
      <c r="E26" s="27"/>
      <c r="F26" s="44"/>
      <c r="G26" s="44"/>
      <c r="H26" s="27">
        <v>8.0</v>
      </c>
      <c r="I26" s="27">
        <f t="shared" si="1"/>
        <v>8</v>
      </c>
      <c r="J26" s="27"/>
      <c r="K26" s="27"/>
      <c r="L26" s="44"/>
      <c r="M26" s="44"/>
      <c r="N26" s="44">
        <v>8.0</v>
      </c>
      <c r="O26" s="27">
        <f t="shared" si="2"/>
        <v>8</v>
      </c>
      <c r="P26" s="27"/>
      <c r="Q26" s="33"/>
      <c r="R26" s="33"/>
      <c r="S26" s="33"/>
      <c r="T26" s="33"/>
    </row>
    <row r="27" ht="15.75" customHeight="1">
      <c r="A27" s="1"/>
      <c r="B27" s="1"/>
      <c r="C27" s="41" t="s">
        <v>49</v>
      </c>
      <c r="D27" s="26" t="s">
        <v>50</v>
      </c>
      <c r="E27" s="27">
        <v>1.0</v>
      </c>
      <c r="F27" s="27"/>
      <c r="G27" s="27"/>
      <c r="H27" s="27"/>
      <c r="I27" s="27">
        <f t="shared" si="1"/>
        <v>1</v>
      </c>
      <c r="J27" s="27"/>
      <c r="K27" s="27">
        <v>1.0</v>
      </c>
      <c r="L27" s="27"/>
      <c r="M27" s="27"/>
      <c r="N27" s="27"/>
      <c r="O27" s="27">
        <f t="shared" si="2"/>
        <v>1</v>
      </c>
      <c r="P27" s="27"/>
      <c r="Q27" s="33"/>
      <c r="R27" s="33"/>
      <c r="S27" s="33"/>
      <c r="T27" s="33"/>
    </row>
    <row r="28" ht="15.75" customHeight="1">
      <c r="A28" s="1"/>
      <c r="B28" s="1"/>
      <c r="C28" s="13"/>
      <c r="D28" s="26" t="s">
        <v>51</v>
      </c>
      <c r="E28" s="27">
        <v>1.0</v>
      </c>
      <c r="F28" s="27"/>
      <c r="G28" s="27"/>
      <c r="H28" s="27"/>
      <c r="I28" s="27">
        <f t="shared" si="1"/>
        <v>1</v>
      </c>
      <c r="J28" s="27"/>
      <c r="K28" s="27">
        <v>1.0</v>
      </c>
      <c r="L28" s="27"/>
      <c r="M28" s="27"/>
      <c r="N28" s="27"/>
      <c r="O28" s="27">
        <f t="shared" si="2"/>
        <v>1</v>
      </c>
      <c r="P28" s="27"/>
      <c r="Q28" s="33"/>
      <c r="R28" s="33"/>
      <c r="S28" s="33"/>
      <c r="T28" s="33"/>
    </row>
    <row r="29" ht="15.75" customHeight="1">
      <c r="A29" s="1"/>
      <c r="B29" s="1"/>
      <c r="C29" s="13"/>
      <c r="D29" s="26" t="s">
        <v>52</v>
      </c>
      <c r="E29" s="27">
        <v>1.0</v>
      </c>
      <c r="F29" s="27"/>
      <c r="G29" s="27"/>
      <c r="H29" s="27"/>
      <c r="I29" s="27">
        <f t="shared" si="1"/>
        <v>1</v>
      </c>
      <c r="J29" s="27"/>
      <c r="K29" s="27">
        <v>1.0</v>
      </c>
      <c r="L29" s="27"/>
      <c r="M29" s="27"/>
      <c r="N29" s="27"/>
      <c r="O29" s="27">
        <f t="shared" si="2"/>
        <v>1</v>
      </c>
      <c r="P29" s="27"/>
      <c r="Q29" s="33"/>
      <c r="R29" s="33"/>
      <c r="S29" s="33"/>
      <c r="T29" s="33"/>
    </row>
    <row r="30" ht="15.75" customHeight="1">
      <c r="A30" s="1"/>
      <c r="B30" s="1"/>
      <c r="C30" s="21"/>
      <c r="D30" s="26" t="s">
        <v>55</v>
      </c>
      <c r="E30" s="27">
        <v>0.0</v>
      </c>
      <c r="F30" s="27"/>
      <c r="G30" s="27"/>
      <c r="H30" s="47"/>
      <c r="I30" s="27">
        <f t="shared" si="1"/>
        <v>0</v>
      </c>
      <c r="J30" s="27"/>
      <c r="K30" s="27">
        <v>0.0</v>
      </c>
      <c r="L30" s="27"/>
      <c r="M30" s="27"/>
      <c r="N30" s="27"/>
      <c r="O30" s="27">
        <f t="shared" si="2"/>
        <v>0</v>
      </c>
      <c r="P30" s="27"/>
      <c r="Q30" s="48" t="s">
        <v>58</v>
      </c>
      <c r="R30" s="48"/>
      <c r="S30" s="48"/>
      <c r="T30" s="33"/>
    </row>
    <row r="31" ht="15.75" customHeight="1">
      <c r="A31" s="1"/>
      <c r="B31" s="1"/>
      <c r="C31" s="49" t="s">
        <v>53</v>
      </c>
      <c r="D31" s="26" t="s">
        <v>53</v>
      </c>
      <c r="E31" s="27">
        <v>0.0</v>
      </c>
      <c r="F31" s="27"/>
      <c r="G31" s="27"/>
      <c r="H31" s="47"/>
      <c r="I31" s="27">
        <f t="shared" si="1"/>
        <v>0</v>
      </c>
      <c r="J31" s="27"/>
      <c r="K31" s="27">
        <v>0.0</v>
      </c>
      <c r="L31" s="27"/>
      <c r="M31" s="27"/>
      <c r="N31" s="27"/>
      <c r="O31" s="27">
        <f t="shared" si="2"/>
        <v>0</v>
      </c>
      <c r="P31" s="27"/>
      <c r="Q31" s="48" t="s">
        <v>61</v>
      </c>
      <c r="R31" s="48"/>
      <c r="S31" s="48"/>
      <c r="T31" s="33"/>
    </row>
    <row r="32" ht="15.75" customHeight="1">
      <c r="A32" s="1"/>
      <c r="B32" s="1"/>
      <c r="C32" s="24" t="s">
        <v>54</v>
      </c>
      <c r="D32" s="26" t="s">
        <v>54</v>
      </c>
      <c r="E32" s="27">
        <v>1.0</v>
      </c>
      <c r="F32" s="27"/>
      <c r="G32" s="27">
        <v>1.0</v>
      </c>
      <c r="H32" s="27"/>
      <c r="I32" s="27">
        <f t="shared" si="1"/>
        <v>2</v>
      </c>
      <c r="J32" s="27"/>
      <c r="K32" s="27">
        <v>1.0</v>
      </c>
      <c r="L32" s="27"/>
      <c r="M32" s="27">
        <v>1.0</v>
      </c>
      <c r="N32" s="27"/>
      <c r="O32" s="27">
        <f t="shared" si="2"/>
        <v>2</v>
      </c>
      <c r="P32" s="27"/>
      <c r="Q32" s="33"/>
      <c r="R32" s="33"/>
      <c r="S32" s="33"/>
      <c r="T32" s="33"/>
    </row>
    <row r="33" ht="15.75" customHeight="1">
      <c r="A33" s="1"/>
      <c r="B33" s="1"/>
      <c r="C33" s="34" t="s">
        <v>62</v>
      </c>
      <c r="D33" s="26" t="s">
        <v>64</v>
      </c>
      <c r="E33" s="27">
        <v>1.0</v>
      </c>
      <c r="F33" s="27"/>
      <c r="G33" s="27"/>
      <c r="H33" s="27"/>
      <c r="I33" s="27">
        <f t="shared" si="1"/>
        <v>1</v>
      </c>
      <c r="J33" s="27"/>
      <c r="K33" s="27"/>
      <c r="L33" s="27">
        <v>1.0</v>
      </c>
      <c r="M33" s="27"/>
      <c r="N33" s="27"/>
      <c r="O33" s="27">
        <f t="shared" si="2"/>
        <v>1</v>
      </c>
      <c r="P33" s="27"/>
      <c r="Q33" s="33"/>
      <c r="R33" s="33"/>
      <c r="S33" s="33"/>
      <c r="T33" s="33"/>
    </row>
    <row r="34" ht="15.75" customHeight="1">
      <c r="A34" s="1"/>
      <c r="B34" s="1"/>
      <c r="C34" s="13"/>
      <c r="D34" s="26" t="s">
        <v>65</v>
      </c>
      <c r="E34" s="27">
        <v>3.0</v>
      </c>
      <c r="F34" s="27"/>
      <c r="G34" s="27"/>
      <c r="H34" s="27"/>
      <c r="I34" s="27">
        <f t="shared" si="1"/>
        <v>3</v>
      </c>
      <c r="J34" s="27"/>
      <c r="K34" s="27">
        <v>3.0</v>
      </c>
      <c r="L34" s="27"/>
      <c r="M34" s="27"/>
      <c r="N34" s="27"/>
      <c r="O34" s="27">
        <f t="shared" si="2"/>
        <v>3</v>
      </c>
      <c r="P34" s="27"/>
      <c r="Q34" s="33"/>
      <c r="R34" s="33"/>
      <c r="S34" s="33"/>
      <c r="T34" s="33"/>
    </row>
    <row r="35" ht="15.75" customHeight="1">
      <c r="A35" s="1"/>
      <c r="B35" s="1"/>
      <c r="C35" s="13"/>
      <c r="D35" s="26" t="s">
        <v>67</v>
      </c>
      <c r="E35" s="27"/>
      <c r="F35" s="27"/>
      <c r="G35" s="27">
        <v>1.0</v>
      </c>
      <c r="H35" s="27"/>
      <c r="I35" s="27">
        <f t="shared" si="1"/>
        <v>1</v>
      </c>
      <c r="J35" s="27"/>
      <c r="K35" s="27"/>
      <c r="L35" s="27"/>
      <c r="M35" s="27">
        <v>1.0</v>
      </c>
      <c r="N35" s="27"/>
      <c r="O35" s="27">
        <f t="shared" si="2"/>
        <v>1</v>
      </c>
      <c r="P35" s="27"/>
      <c r="Q35" s="48"/>
      <c r="R35" s="33"/>
      <c r="S35" s="33"/>
      <c r="T35" s="33"/>
    </row>
    <row r="36" ht="15.75" customHeight="1">
      <c r="A36" s="1"/>
      <c r="B36" s="1"/>
      <c r="C36" s="13"/>
      <c r="D36" s="26" t="s">
        <v>69</v>
      </c>
      <c r="E36" s="27"/>
      <c r="F36" s="27"/>
      <c r="G36" s="27">
        <v>3.0</v>
      </c>
      <c r="H36" s="27"/>
      <c r="I36" s="27">
        <f t="shared" si="1"/>
        <v>3</v>
      </c>
      <c r="J36" s="27"/>
      <c r="K36" s="27"/>
      <c r="L36" s="27"/>
      <c r="M36" s="27">
        <v>3.0</v>
      </c>
      <c r="N36" s="27"/>
      <c r="O36" s="27">
        <f t="shared" si="2"/>
        <v>3</v>
      </c>
      <c r="P36" s="27"/>
      <c r="Q36" s="48" t="s">
        <v>71</v>
      </c>
      <c r="R36" s="33"/>
      <c r="S36" s="33"/>
      <c r="T36" s="33"/>
    </row>
    <row r="37" ht="15.75" customHeight="1">
      <c r="A37" s="1"/>
      <c r="B37" s="1"/>
      <c r="C37" s="13"/>
      <c r="D37" s="26" t="s">
        <v>73</v>
      </c>
      <c r="E37" s="27"/>
      <c r="F37" s="27"/>
      <c r="G37" s="27">
        <v>3.0</v>
      </c>
      <c r="H37" s="27"/>
      <c r="I37" s="27">
        <f t="shared" si="1"/>
        <v>3</v>
      </c>
      <c r="J37" s="27"/>
      <c r="K37" s="27"/>
      <c r="L37" s="27"/>
      <c r="M37" s="27">
        <v>3.0</v>
      </c>
      <c r="N37" s="27"/>
      <c r="O37" s="27">
        <f t="shared" si="2"/>
        <v>3</v>
      </c>
      <c r="P37" s="27"/>
      <c r="Q37" s="48" t="s">
        <v>71</v>
      </c>
      <c r="R37" s="33"/>
      <c r="S37" s="33"/>
      <c r="T37" s="33"/>
    </row>
    <row r="38" ht="15.75" customHeight="1">
      <c r="A38" s="1"/>
      <c r="B38" s="1"/>
      <c r="C38" s="13"/>
      <c r="D38" s="26" t="s">
        <v>77</v>
      </c>
      <c r="E38" s="27"/>
      <c r="F38" s="27"/>
      <c r="G38" s="27">
        <v>3.0</v>
      </c>
      <c r="H38" s="27"/>
      <c r="I38" s="27">
        <f t="shared" si="1"/>
        <v>3</v>
      </c>
      <c r="J38" s="27"/>
      <c r="K38" s="27"/>
      <c r="L38" s="27"/>
      <c r="M38" s="27">
        <v>3.0</v>
      </c>
      <c r="N38" s="27"/>
      <c r="O38" s="27">
        <f t="shared" si="2"/>
        <v>3</v>
      </c>
      <c r="P38" s="27"/>
      <c r="Q38" s="48" t="s">
        <v>71</v>
      </c>
      <c r="R38" s="33"/>
      <c r="S38" s="33"/>
      <c r="T38" s="33"/>
    </row>
    <row r="39" ht="15.75" customHeight="1">
      <c r="A39" s="1"/>
      <c r="B39" s="1"/>
      <c r="C39" s="13"/>
      <c r="D39" s="26" t="s">
        <v>80</v>
      </c>
      <c r="E39" s="44"/>
      <c r="F39" s="44"/>
      <c r="G39" s="44">
        <v>6.0</v>
      </c>
      <c r="H39" s="27"/>
      <c r="I39" s="27">
        <f t="shared" si="1"/>
        <v>6</v>
      </c>
      <c r="J39" s="44"/>
      <c r="K39" s="44"/>
      <c r="L39" s="44"/>
      <c r="M39" s="44">
        <v>6.0</v>
      </c>
      <c r="N39" s="44"/>
      <c r="O39" s="27">
        <f t="shared" si="2"/>
        <v>6</v>
      </c>
      <c r="P39" s="27"/>
      <c r="Q39" s="48" t="s">
        <v>71</v>
      </c>
      <c r="R39" s="33"/>
      <c r="S39" s="33"/>
      <c r="T39" s="33"/>
    </row>
    <row r="40" ht="15.75" customHeight="1">
      <c r="A40" s="1"/>
      <c r="B40" s="1"/>
      <c r="C40" s="13"/>
      <c r="D40" s="26" t="s">
        <v>83</v>
      </c>
      <c r="E40" s="44"/>
      <c r="F40" s="44"/>
      <c r="G40" s="44">
        <v>4.0</v>
      </c>
      <c r="H40" s="27"/>
      <c r="I40" s="27">
        <f t="shared" si="1"/>
        <v>4</v>
      </c>
      <c r="J40" s="44"/>
      <c r="K40" s="44"/>
      <c r="L40" s="44"/>
      <c r="M40" s="44"/>
      <c r="N40" s="44"/>
      <c r="O40" s="27">
        <f t="shared" si="2"/>
        <v>0</v>
      </c>
      <c r="P40" s="27"/>
      <c r="Q40" s="48"/>
      <c r="R40" s="33"/>
      <c r="S40" s="33"/>
      <c r="T40" s="33"/>
    </row>
    <row r="41" ht="15.75" customHeight="1">
      <c r="A41" s="1"/>
      <c r="B41" s="1"/>
      <c r="C41" s="13"/>
      <c r="D41" s="26" t="s">
        <v>85</v>
      </c>
      <c r="E41" s="44"/>
      <c r="F41" s="44"/>
      <c r="G41" s="44"/>
      <c r="H41" s="27">
        <v>18.0</v>
      </c>
      <c r="I41" s="27">
        <f t="shared" si="1"/>
        <v>18</v>
      </c>
      <c r="J41" s="44"/>
      <c r="K41" s="44"/>
      <c r="L41" s="44"/>
      <c r="M41" s="44"/>
      <c r="N41" s="44">
        <v>18.0</v>
      </c>
      <c r="O41" s="27">
        <f t="shared" si="2"/>
        <v>18</v>
      </c>
      <c r="P41" s="27"/>
      <c r="Q41" s="48" t="s">
        <v>71</v>
      </c>
      <c r="R41" s="33"/>
      <c r="S41" s="33"/>
      <c r="T41" s="33"/>
    </row>
    <row r="42" ht="15.75" customHeight="1">
      <c r="A42" s="1"/>
      <c r="B42" s="1"/>
      <c r="C42" s="13"/>
      <c r="D42" s="26" t="s">
        <v>87</v>
      </c>
      <c r="E42" s="44"/>
      <c r="F42" s="44"/>
      <c r="G42" s="44"/>
      <c r="H42" s="27">
        <v>18.0</v>
      </c>
      <c r="I42" s="27">
        <f t="shared" si="1"/>
        <v>18</v>
      </c>
      <c r="J42" s="44"/>
      <c r="K42" s="44"/>
      <c r="L42" s="44"/>
      <c r="M42" s="44"/>
      <c r="N42" s="44"/>
      <c r="O42" s="27">
        <f t="shared" si="2"/>
        <v>0</v>
      </c>
      <c r="P42" s="27"/>
      <c r="Q42" s="48"/>
      <c r="R42" s="33"/>
      <c r="S42" s="33"/>
      <c r="T42" s="33"/>
    </row>
    <row r="43" ht="15.75" customHeight="1">
      <c r="A43" s="1"/>
      <c r="B43" s="1"/>
      <c r="C43" s="13"/>
      <c r="D43" s="26" t="s">
        <v>89</v>
      </c>
      <c r="E43" s="44"/>
      <c r="F43" s="44"/>
      <c r="G43" s="44">
        <v>6.0</v>
      </c>
      <c r="H43" s="27"/>
      <c r="I43" s="27">
        <f t="shared" si="1"/>
        <v>6</v>
      </c>
      <c r="J43" s="44"/>
      <c r="K43" s="44"/>
      <c r="L43" s="44"/>
      <c r="M43" s="44">
        <v>6.0</v>
      </c>
      <c r="N43" s="44"/>
      <c r="O43" s="27">
        <f t="shared" si="2"/>
        <v>6</v>
      </c>
      <c r="P43" s="27"/>
      <c r="Q43" s="48" t="s">
        <v>71</v>
      </c>
      <c r="R43" s="33"/>
      <c r="S43" s="33"/>
      <c r="T43" s="33"/>
    </row>
    <row r="44" ht="15.75" customHeight="1">
      <c r="A44" s="1"/>
      <c r="B44" s="1"/>
      <c r="C44" s="13"/>
      <c r="D44" s="26" t="s">
        <v>91</v>
      </c>
      <c r="E44" s="44">
        <v>2.0</v>
      </c>
      <c r="F44" s="44">
        <v>1.0</v>
      </c>
      <c r="G44" s="44">
        <v>3.0</v>
      </c>
      <c r="H44" s="27"/>
      <c r="I44" s="27">
        <f t="shared" si="1"/>
        <v>6</v>
      </c>
      <c r="J44" s="44"/>
      <c r="K44" s="44">
        <v>2.0</v>
      </c>
      <c r="L44" s="44">
        <v>1.0</v>
      </c>
      <c r="M44" s="44">
        <v>3.0</v>
      </c>
      <c r="N44" s="44"/>
      <c r="O44" s="27">
        <f t="shared" si="2"/>
        <v>6</v>
      </c>
      <c r="P44" s="27"/>
      <c r="Q44" s="48" t="s">
        <v>71</v>
      </c>
      <c r="R44" s="33"/>
      <c r="S44" s="33"/>
      <c r="T44" s="33"/>
    </row>
    <row r="45" ht="15.75" customHeight="1">
      <c r="A45" s="1"/>
      <c r="B45" s="1"/>
      <c r="C45" s="13"/>
      <c r="D45" s="26" t="s">
        <v>92</v>
      </c>
      <c r="E45" s="50"/>
      <c r="F45" s="50"/>
      <c r="G45" s="51">
        <v>3.0</v>
      </c>
      <c r="H45" s="51">
        <v>12.0</v>
      </c>
      <c r="I45" s="27">
        <f t="shared" si="1"/>
        <v>15</v>
      </c>
      <c r="J45" s="50"/>
      <c r="K45" s="50"/>
      <c r="L45" s="50"/>
      <c r="M45" s="51">
        <v>3.0</v>
      </c>
      <c r="N45" s="51">
        <v>12.0</v>
      </c>
      <c r="O45" s="27">
        <f t="shared" si="2"/>
        <v>15</v>
      </c>
      <c r="P45" s="51"/>
      <c r="Q45" s="48" t="s">
        <v>71</v>
      </c>
      <c r="R45" s="33"/>
      <c r="S45" s="33"/>
      <c r="T45" s="33"/>
    </row>
    <row r="46" ht="15.75" customHeight="1">
      <c r="A46" s="1"/>
      <c r="B46" s="1"/>
      <c r="C46" s="13"/>
      <c r="D46" s="26" t="s">
        <v>100</v>
      </c>
      <c r="E46" s="23"/>
      <c r="F46" s="23"/>
      <c r="G46" s="23"/>
      <c r="H46" s="23"/>
      <c r="I46" s="27">
        <f t="shared" si="1"/>
        <v>0</v>
      </c>
      <c r="J46" s="23"/>
      <c r="K46" s="23"/>
      <c r="L46" s="23"/>
      <c r="M46" s="23"/>
      <c r="N46" s="23"/>
      <c r="O46" s="27">
        <f t="shared" si="2"/>
        <v>0</v>
      </c>
      <c r="P46" s="23"/>
      <c r="Q46" s="48" t="s">
        <v>71</v>
      </c>
      <c r="R46" s="33"/>
      <c r="S46" s="33"/>
      <c r="T46" s="33"/>
    </row>
    <row r="47" ht="15.75" customHeight="1">
      <c r="A47" s="1"/>
      <c r="B47" s="1"/>
      <c r="C47" s="13"/>
      <c r="D47" s="26" t="s">
        <v>102</v>
      </c>
      <c r="E47" s="44"/>
      <c r="F47" s="44"/>
      <c r="G47" s="44"/>
      <c r="H47" s="27">
        <v>15.0</v>
      </c>
      <c r="I47" s="27">
        <f t="shared" si="1"/>
        <v>15</v>
      </c>
      <c r="J47" s="44"/>
      <c r="K47" s="44"/>
      <c r="L47" s="44"/>
      <c r="M47" s="44"/>
      <c r="N47" s="44">
        <v>15.0</v>
      </c>
      <c r="O47" s="27">
        <f t="shared" si="2"/>
        <v>15</v>
      </c>
      <c r="P47" s="27"/>
      <c r="Q47" s="48" t="s">
        <v>71</v>
      </c>
      <c r="R47" s="33"/>
      <c r="S47" s="33"/>
      <c r="T47" s="33"/>
    </row>
    <row r="48" ht="15.75" customHeight="1">
      <c r="A48" s="1"/>
      <c r="B48" s="1"/>
      <c r="C48" s="21"/>
      <c r="D48" s="26" t="s">
        <v>105</v>
      </c>
      <c r="E48" s="44"/>
      <c r="F48" s="44"/>
      <c r="G48" s="44"/>
      <c r="H48" s="27">
        <v>3.0</v>
      </c>
      <c r="I48" s="27">
        <f t="shared" si="1"/>
        <v>3</v>
      </c>
      <c r="J48" s="44"/>
      <c r="K48" s="44"/>
      <c r="L48" s="44"/>
      <c r="M48" s="44"/>
      <c r="N48" s="44">
        <v>3.0</v>
      </c>
      <c r="O48" s="27">
        <f t="shared" si="2"/>
        <v>3</v>
      </c>
      <c r="P48" s="27"/>
      <c r="Q48" s="48" t="s">
        <v>71</v>
      </c>
      <c r="R48" s="33"/>
      <c r="S48" s="33"/>
      <c r="T48" s="33"/>
    </row>
    <row r="49" ht="15.75" customHeight="1">
      <c r="A49" s="1"/>
      <c r="B49" s="1"/>
      <c r="C49" s="34"/>
      <c r="D49" s="26" t="s">
        <v>107</v>
      </c>
      <c r="E49" s="27">
        <v>1.0</v>
      </c>
      <c r="F49" s="44"/>
      <c r="G49" s="44"/>
      <c r="H49" s="27"/>
      <c r="I49" s="27">
        <f t="shared" si="1"/>
        <v>1</v>
      </c>
      <c r="J49" s="27"/>
      <c r="K49" s="27">
        <v>1.0</v>
      </c>
      <c r="L49" s="44"/>
      <c r="M49" s="44"/>
      <c r="N49" s="44"/>
      <c r="O49" s="27">
        <f t="shared" si="2"/>
        <v>1</v>
      </c>
      <c r="P49" s="27"/>
      <c r="Q49" s="33"/>
      <c r="R49" s="33"/>
      <c r="S49" s="33"/>
      <c r="T49" s="33"/>
    </row>
    <row r="50" ht="15.75" customHeight="1">
      <c r="A50" s="1"/>
      <c r="B50" s="1"/>
      <c r="C50" s="13"/>
      <c r="D50" s="26" t="s">
        <v>108</v>
      </c>
      <c r="E50" s="44">
        <v>1.0</v>
      </c>
      <c r="F50" s="44">
        <v>1.0</v>
      </c>
      <c r="G50" s="44">
        <v>1.0</v>
      </c>
      <c r="H50" s="27"/>
      <c r="I50" s="27">
        <f t="shared" si="1"/>
        <v>3</v>
      </c>
      <c r="J50" s="44"/>
      <c r="K50" s="44">
        <v>1.0</v>
      </c>
      <c r="L50" s="44">
        <v>1.0</v>
      </c>
      <c r="M50" s="44">
        <v>1.0</v>
      </c>
      <c r="N50" s="44"/>
      <c r="O50" s="27">
        <f t="shared" si="2"/>
        <v>3</v>
      </c>
      <c r="P50" s="27"/>
      <c r="Q50" s="33"/>
      <c r="R50" s="33"/>
      <c r="S50" s="33"/>
      <c r="T50" s="33"/>
    </row>
    <row r="51" ht="15.75" customHeight="1">
      <c r="A51" s="52"/>
      <c r="B51" s="52"/>
      <c r="C51" s="21"/>
      <c r="D51" s="55" t="s">
        <v>112</v>
      </c>
      <c r="E51" s="27"/>
      <c r="F51" s="27"/>
      <c r="G51" s="27">
        <v>1.0</v>
      </c>
      <c r="H51" s="27"/>
      <c r="I51" s="27">
        <f t="shared" si="1"/>
        <v>1</v>
      </c>
      <c r="J51" s="44"/>
      <c r="K51" s="44"/>
      <c r="L51" s="44"/>
      <c r="M51" s="44">
        <v>1.0</v>
      </c>
      <c r="N51" s="44"/>
      <c r="O51" s="27">
        <f t="shared" si="2"/>
        <v>1</v>
      </c>
      <c r="P51" s="27"/>
      <c r="Q51" s="33"/>
      <c r="R51" s="33"/>
      <c r="S51" s="33"/>
      <c r="T51" s="33"/>
    </row>
    <row r="52" ht="15.75" customHeight="1">
      <c r="A52" s="1"/>
      <c r="B52" s="1"/>
      <c r="C52" s="56" t="s">
        <v>113</v>
      </c>
      <c r="D52" s="57"/>
      <c r="E52" s="27">
        <f t="shared" ref="E52:I52" si="3">SUM(E8:E51)</f>
        <v>25</v>
      </c>
      <c r="F52" s="27">
        <f t="shared" si="3"/>
        <v>2</v>
      </c>
      <c r="G52" s="27">
        <f t="shared" si="3"/>
        <v>52</v>
      </c>
      <c r="H52" s="27">
        <f t="shared" si="3"/>
        <v>74</v>
      </c>
      <c r="I52" s="27">
        <f t="shared" si="3"/>
        <v>153</v>
      </c>
      <c r="J52" s="27"/>
      <c r="K52" s="27">
        <f t="shared" ref="K52:O52" si="4">SUM(K8:K51)</f>
        <v>23</v>
      </c>
      <c r="L52" s="27">
        <f t="shared" si="4"/>
        <v>4</v>
      </c>
      <c r="M52" s="27">
        <f t="shared" si="4"/>
        <v>48</v>
      </c>
      <c r="N52" s="27">
        <f t="shared" si="4"/>
        <v>56</v>
      </c>
      <c r="O52" s="27">
        <f t="shared" si="4"/>
        <v>131</v>
      </c>
      <c r="P52" s="27"/>
      <c r="Q52" s="33"/>
      <c r="R52" s="33"/>
      <c r="S52" s="33"/>
      <c r="T52" s="33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5.75" customHeight="1">
      <c r="A54" s="1"/>
      <c r="B54" s="1"/>
      <c r="C54" s="1"/>
      <c r="D54" s="1"/>
      <c r="E54" s="1"/>
      <c r="F54" s="1" t="s">
        <v>117</v>
      </c>
      <c r="G54" s="1">
        <f>I52-O52</f>
        <v>22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5.75" customHeight="1">
      <c r="A55" s="1"/>
      <c r="B55" s="1"/>
      <c r="C55" s="1"/>
      <c r="D55" s="1"/>
      <c r="E55" s="1"/>
      <c r="F55" s="1" t="s">
        <v>120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5.75" customHeight="1">
      <c r="A56" s="1"/>
      <c r="B56" s="1"/>
      <c r="C56" s="1"/>
      <c r="D56" s="1"/>
      <c r="E56" s="1"/>
      <c r="F56" s="1" t="s">
        <v>123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5.75" customHeight="1">
      <c r="A58" s="1"/>
      <c r="B58" s="1"/>
      <c r="C58" s="1"/>
      <c r="D58" s="1"/>
      <c r="E58" s="1"/>
      <c r="F58" s="1" t="s">
        <v>128</v>
      </c>
      <c r="G58" s="1"/>
      <c r="H58" s="1"/>
      <c r="I58" s="1"/>
      <c r="J58" s="60">
        <f>60000*22*25</f>
        <v>33000000</v>
      </c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5.75" customHeight="1">
      <c r="A61" s="1"/>
      <c r="B61" s="1"/>
      <c r="C61" s="1"/>
      <c r="D61" s="1"/>
      <c r="E61" s="1"/>
      <c r="F61" s="60">
        <f>4*25*60000</f>
        <v>6000000</v>
      </c>
      <c r="G61" s="1" t="s">
        <v>134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5.75" customHeight="1">
      <c r="A62" s="1"/>
      <c r="B62" s="1"/>
      <c r="C62" s="1"/>
      <c r="D62" s="1"/>
      <c r="E62" s="1"/>
      <c r="F62" s="61">
        <f>18*25*60000</f>
        <v>27000000</v>
      </c>
      <c r="G62" s="1" t="s">
        <v>138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5.75" hidden="1" customHeight="1">
      <c r="A80" s="1"/>
      <c r="B80" s="1"/>
      <c r="C80" s="4" t="s">
        <v>142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5.75" hidden="1" customHeight="1">
      <c r="A81" s="1"/>
      <c r="B81" s="1"/>
      <c r="C81" s="10" t="s">
        <v>5</v>
      </c>
      <c r="D81" s="12" t="s">
        <v>6</v>
      </c>
      <c r="E81" s="68"/>
      <c r="F81" s="68"/>
      <c r="G81" s="68"/>
      <c r="H81" s="68"/>
      <c r="I81" s="69" t="s">
        <v>149</v>
      </c>
      <c r="J81" s="7"/>
      <c r="K81" s="7"/>
      <c r="L81" s="7"/>
      <c r="M81" s="7"/>
      <c r="N81" s="7"/>
      <c r="O81" s="8"/>
      <c r="P81" s="70"/>
      <c r="Q81" s="71"/>
      <c r="R81" s="71"/>
      <c r="S81" s="71"/>
      <c r="T81" s="71"/>
    </row>
    <row r="82" ht="15.75" hidden="1" customHeight="1">
      <c r="A82" s="1"/>
      <c r="B82" s="1"/>
      <c r="C82" s="13"/>
      <c r="D82" s="14"/>
      <c r="E82" s="72"/>
      <c r="F82" s="72"/>
      <c r="G82" s="72"/>
      <c r="H82" s="72"/>
      <c r="I82" s="73" t="s">
        <v>7</v>
      </c>
      <c r="J82" s="72"/>
      <c r="K82" s="73" t="s">
        <v>143</v>
      </c>
      <c r="L82" s="73" t="s">
        <v>145</v>
      </c>
      <c r="M82" s="73" t="s">
        <v>146</v>
      </c>
      <c r="N82" s="72"/>
      <c r="O82" s="73" t="s">
        <v>147</v>
      </c>
      <c r="P82" s="74"/>
      <c r="Q82" s="74"/>
      <c r="R82" s="74"/>
      <c r="S82" s="74"/>
      <c r="T82" s="74"/>
    </row>
    <row r="83" ht="15.75" hidden="1" customHeight="1">
      <c r="A83" s="1"/>
      <c r="B83" s="1"/>
      <c r="C83" s="13"/>
      <c r="D83" s="14"/>
      <c r="E83" s="72"/>
      <c r="F83" s="72"/>
      <c r="G83" s="72"/>
      <c r="H83" s="72"/>
      <c r="I83" s="14"/>
      <c r="J83" s="72"/>
      <c r="K83" s="14"/>
      <c r="L83" s="14"/>
      <c r="M83" s="14"/>
      <c r="N83" s="72"/>
      <c r="O83" s="14"/>
      <c r="P83" s="74"/>
      <c r="Q83" s="74"/>
      <c r="R83" s="74"/>
      <c r="S83" s="74"/>
      <c r="T83" s="74"/>
    </row>
    <row r="84" ht="15.75" hidden="1" customHeight="1">
      <c r="A84" s="1"/>
      <c r="B84" s="1"/>
      <c r="C84" s="21"/>
      <c r="D84" s="23"/>
      <c r="E84" s="72"/>
      <c r="F84" s="72"/>
      <c r="G84" s="72"/>
      <c r="H84" s="72"/>
      <c r="I84" s="23"/>
      <c r="J84" s="72"/>
      <c r="K84" s="23"/>
      <c r="L84" s="23"/>
      <c r="M84" s="23"/>
      <c r="N84" s="72"/>
      <c r="O84" s="23"/>
      <c r="P84" s="74"/>
      <c r="Q84" s="74"/>
      <c r="R84" s="74"/>
      <c r="S84" s="74"/>
      <c r="T84" s="74"/>
    </row>
    <row r="85" ht="15.75" hidden="1" customHeight="1">
      <c r="A85" s="1"/>
      <c r="B85" s="1"/>
      <c r="C85" s="24" t="s">
        <v>20</v>
      </c>
      <c r="D85" s="26" t="s">
        <v>20</v>
      </c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>
        <f t="shared" ref="O85:O128" si="5">SUM(K85:M85)</f>
        <v>0</v>
      </c>
      <c r="P85" s="74"/>
      <c r="Q85" s="74"/>
      <c r="R85" s="74"/>
      <c r="S85" s="74"/>
      <c r="T85" s="74"/>
    </row>
    <row r="86" ht="15.75" hidden="1" customHeight="1">
      <c r="A86" s="1"/>
      <c r="B86" s="1"/>
      <c r="C86" s="24" t="s">
        <v>150</v>
      </c>
      <c r="D86" s="26" t="s">
        <v>19</v>
      </c>
      <c r="E86" s="72"/>
      <c r="F86" s="72"/>
      <c r="G86" s="72"/>
      <c r="H86" s="72"/>
      <c r="I86" s="72">
        <v>1.0</v>
      </c>
      <c r="J86" s="72"/>
      <c r="K86" s="72">
        <v>1.0</v>
      </c>
      <c r="L86" s="72"/>
      <c r="M86" s="72"/>
      <c r="N86" s="72"/>
      <c r="O86" s="72">
        <f t="shared" si="5"/>
        <v>1</v>
      </c>
      <c r="P86" s="74"/>
      <c r="Q86" s="74"/>
      <c r="R86" s="74"/>
      <c r="S86" s="74"/>
      <c r="T86" s="74"/>
    </row>
    <row r="87" ht="15.75" hidden="1" customHeight="1">
      <c r="A87" s="1"/>
      <c r="B87" s="1"/>
      <c r="C87" s="34" t="s">
        <v>21</v>
      </c>
      <c r="D87" s="26" t="s">
        <v>25</v>
      </c>
      <c r="E87" s="72"/>
      <c r="F87" s="72"/>
      <c r="G87" s="72"/>
      <c r="H87" s="72"/>
      <c r="I87" s="72">
        <v>1.0</v>
      </c>
      <c r="J87" s="72"/>
      <c r="K87" s="72">
        <v>1.0</v>
      </c>
      <c r="L87" s="72"/>
      <c r="M87" s="72"/>
      <c r="N87" s="72"/>
      <c r="O87" s="72">
        <f t="shared" si="5"/>
        <v>1</v>
      </c>
      <c r="P87" s="74"/>
      <c r="Q87" s="74"/>
      <c r="R87" s="74"/>
      <c r="S87" s="74"/>
      <c r="T87" s="74"/>
    </row>
    <row r="88" ht="15.75" hidden="1" customHeight="1">
      <c r="A88" s="1"/>
      <c r="B88" s="1"/>
      <c r="C88" s="13"/>
      <c r="D88" s="26" t="s">
        <v>151</v>
      </c>
      <c r="E88" s="72"/>
      <c r="F88" s="72"/>
      <c r="G88" s="72"/>
      <c r="H88" s="72"/>
      <c r="I88" s="72">
        <v>2.0</v>
      </c>
      <c r="J88" s="72"/>
      <c r="K88" s="72"/>
      <c r="L88" s="72"/>
      <c r="M88" s="72">
        <v>2.0</v>
      </c>
      <c r="N88" s="72"/>
      <c r="O88" s="72">
        <f t="shared" si="5"/>
        <v>2</v>
      </c>
      <c r="P88" s="74"/>
      <c r="Q88" s="74"/>
      <c r="R88" s="74"/>
      <c r="S88" s="74"/>
      <c r="T88" s="74"/>
    </row>
    <row r="89" ht="15.75" hidden="1" customHeight="1">
      <c r="A89" s="1"/>
      <c r="B89" s="1"/>
      <c r="C89" s="21"/>
      <c r="D89" s="26" t="s">
        <v>28</v>
      </c>
      <c r="E89" s="72"/>
      <c r="F89" s="72"/>
      <c r="G89" s="72"/>
      <c r="H89" s="72"/>
      <c r="I89" s="72">
        <v>7.0</v>
      </c>
      <c r="J89" s="72"/>
      <c r="K89" s="72"/>
      <c r="L89" s="72"/>
      <c r="M89" s="72">
        <v>7.0</v>
      </c>
      <c r="N89" s="72"/>
      <c r="O89" s="72">
        <f t="shared" si="5"/>
        <v>7</v>
      </c>
      <c r="P89" s="74"/>
      <c r="Q89" s="74"/>
      <c r="R89" s="74"/>
      <c r="S89" s="74"/>
      <c r="T89" s="74"/>
    </row>
    <row r="90" ht="15.75" hidden="1" customHeight="1">
      <c r="A90" s="1"/>
      <c r="B90" s="1"/>
      <c r="C90" s="34" t="s">
        <v>29</v>
      </c>
      <c r="D90" s="26" t="s">
        <v>31</v>
      </c>
      <c r="E90" s="72"/>
      <c r="F90" s="72"/>
      <c r="G90" s="72"/>
      <c r="H90" s="72"/>
      <c r="I90" s="72">
        <v>5.0</v>
      </c>
      <c r="J90" s="72"/>
      <c r="K90" s="72">
        <v>4.0</v>
      </c>
      <c r="L90" s="72">
        <v>1.0</v>
      </c>
      <c r="M90" s="72"/>
      <c r="N90" s="72"/>
      <c r="O90" s="72">
        <f t="shared" si="5"/>
        <v>5</v>
      </c>
      <c r="P90" s="74"/>
      <c r="Q90" s="74"/>
      <c r="R90" s="74"/>
      <c r="S90" s="74"/>
      <c r="T90" s="74"/>
    </row>
    <row r="91" ht="15.75" hidden="1" customHeight="1">
      <c r="A91" s="1"/>
      <c r="B91" s="1"/>
      <c r="C91" s="21"/>
      <c r="D91" s="26" t="s">
        <v>32</v>
      </c>
      <c r="E91" s="72"/>
      <c r="F91" s="72"/>
      <c r="G91" s="72"/>
      <c r="H91" s="72"/>
      <c r="I91" s="72">
        <v>1.0</v>
      </c>
      <c r="J91" s="72"/>
      <c r="K91" s="72"/>
      <c r="L91" s="72"/>
      <c r="M91" s="72">
        <v>1.0</v>
      </c>
      <c r="N91" s="72"/>
      <c r="O91" s="72">
        <f t="shared" si="5"/>
        <v>1</v>
      </c>
      <c r="P91" s="74"/>
      <c r="Q91" s="74"/>
      <c r="R91" s="74"/>
      <c r="S91" s="74"/>
      <c r="T91" s="74"/>
    </row>
    <row r="92" ht="15.75" hidden="1" customHeight="1">
      <c r="A92" s="1"/>
      <c r="B92" s="1"/>
      <c r="C92" s="24" t="s">
        <v>34</v>
      </c>
      <c r="D92" s="26" t="s">
        <v>34</v>
      </c>
      <c r="E92" s="72"/>
      <c r="F92" s="72"/>
      <c r="G92" s="72"/>
      <c r="H92" s="72"/>
      <c r="I92" s="72">
        <v>1.0</v>
      </c>
      <c r="J92" s="72"/>
      <c r="K92" s="72"/>
      <c r="L92" s="72">
        <v>1.0</v>
      </c>
      <c r="M92" s="72"/>
      <c r="N92" s="72"/>
      <c r="O92" s="72">
        <f t="shared" si="5"/>
        <v>1</v>
      </c>
      <c r="P92" s="74"/>
      <c r="Q92" s="74"/>
      <c r="R92" s="74"/>
      <c r="S92" s="74"/>
      <c r="T92" s="74"/>
    </row>
    <row r="93" ht="15.75" hidden="1" customHeight="1">
      <c r="A93" s="1"/>
      <c r="B93" s="1"/>
      <c r="C93" s="41" t="s">
        <v>63</v>
      </c>
      <c r="D93" s="26" t="s">
        <v>41</v>
      </c>
      <c r="E93" s="72"/>
      <c r="F93" s="72"/>
      <c r="G93" s="72"/>
      <c r="H93" s="72"/>
      <c r="I93" s="72">
        <v>1.0</v>
      </c>
      <c r="J93" s="72"/>
      <c r="K93" s="72">
        <v>1.0</v>
      </c>
      <c r="L93" s="72"/>
      <c r="M93" s="72"/>
      <c r="N93" s="72"/>
      <c r="O93" s="72">
        <f t="shared" si="5"/>
        <v>1</v>
      </c>
      <c r="P93" s="74"/>
      <c r="Q93" s="74"/>
      <c r="R93" s="74"/>
      <c r="S93" s="74"/>
      <c r="T93" s="74"/>
    </row>
    <row r="94" ht="15.75" hidden="1" customHeight="1">
      <c r="A94" s="1"/>
      <c r="B94" s="1"/>
      <c r="C94" s="13"/>
      <c r="D94" s="26" t="s">
        <v>38</v>
      </c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>
        <f t="shared" si="5"/>
        <v>0</v>
      </c>
      <c r="P94" s="74"/>
      <c r="Q94" s="74"/>
      <c r="R94" s="74"/>
      <c r="S94" s="74"/>
      <c r="T94" s="74"/>
    </row>
    <row r="95" ht="15.75" hidden="1" customHeight="1">
      <c r="A95" s="1"/>
      <c r="B95" s="1"/>
      <c r="C95" s="13"/>
      <c r="D95" s="26" t="s">
        <v>43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>
        <f t="shared" si="5"/>
        <v>0</v>
      </c>
      <c r="P95" s="74"/>
      <c r="Q95" s="74"/>
      <c r="R95" s="74"/>
      <c r="S95" s="74"/>
      <c r="T95" s="74"/>
    </row>
    <row r="96" ht="15.75" hidden="1" customHeight="1">
      <c r="A96" s="1"/>
      <c r="B96" s="1"/>
      <c r="C96" s="13"/>
      <c r="D96" s="26" t="s">
        <v>42</v>
      </c>
      <c r="E96" s="72"/>
      <c r="F96" s="72"/>
      <c r="G96" s="72"/>
      <c r="H96" s="72"/>
      <c r="I96" s="72">
        <v>1.0</v>
      </c>
      <c r="J96" s="72"/>
      <c r="K96" s="72">
        <v>1.0</v>
      </c>
      <c r="L96" s="72"/>
      <c r="M96" s="72"/>
      <c r="N96" s="72"/>
      <c r="O96" s="72">
        <f t="shared" si="5"/>
        <v>1</v>
      </c>
      <c r="P96" s="74"/>
      <c r="Q96" s="74"/>
      <c r="R96" s="74"/>
      <c r="S96" s="74"/>
      <c r="T96" s="74"/>
    </row>
    <row r="97" ht="15.75" hidden="1" customHeight="1">
      <c r="A97" s="1" t="s">
        <v>153</v>
      </c>
      <c r="B97" s="1"/>
      <c r="C97" s="13"/>
      <c r="D97" s="26" t="s">
        <v>154</v>
      </c>
      <c r="E97" s="72"/>
      <c r="F97" s="72"/>
      <c r="G97" s="72"/>
      <c r="H97" s="72"/>
      <c r="I97" s="72">
        <v>9.0</v>
      </c>
      <c r="J97" s="72"/>
      <c r="K97" s="72"/>
      <c r="L97" s="68">
        <v>1.0</v>
      </c>
      <c r="M97" s="68">
        <v>8.0</v>
      </c>
      <c r="N97" s="68"/>
      <c r="O97" s="72">
        <f t="shared" si="5"/>
        <v>9</v>
      </c>
      <c r="P97" s="74"/>
      <c r="Q97" s="74"/>
      <c r="R97" s="74"/>
      <c r="S97" s="74"/>
      <c r="T97" s="74"/>
    </row>
    <row r="98" ht="15.75" hidden="1" customHeight="1">
      <c r="A98" s="43"/>
      <c r="B98" s="43"/>
      <c r="C98" s="21"/>
      <c r="D98" s="26" t="s">
        <v>44</v>
      </c>
      <c r="E98" s="72"/>
      <c r="F98" s="72"/>
      <c r="G98" s="72"/>
      <c r="H98" s="72"/>
      <c r="I98" s="72">
        <v>1.0</v>
      </c>
      <c r="J98" s="72"/>
      <c r="K98" s="72">
        <v>1.0</v>
      </c>
      <c r="L98" s="72"/>
      <c r="M98" s="72"/>
      <c r="N98" s="72"/>
      <c r="O98" s="72">
        <f t="shared" si="5"/>
        <v>1</v>
      </c>
      <c r="P98" s="74"/>
      <c r="Q98" s="74"/>
      <c r="R98" s="74"/>
      <c r="S98" s="74"/>
      <c r="T98" s="74"/>
    </row>
    <row r="99" ht="15.75" hidden="1" customHeight="1">
      <c r="A99" s="1"/>
      <c r="B99" s="1"/>
      <c r="C99" s="41" t="s">
        <v>49</v>
      </c>
      <c r="D99" s="26" t="s">
        <v>155</v>
      </c>
      <c r="E99" s="72"/>
      <c r="F99" s="72"/>
      <c r="G99" s="72"/>
      <c r="H99" s="72"/>
      <c r="I99" s="72">
        <v>1.0</v>
      </c>
      <c r="J99" s="72"/>
      <c r="K99" s="72">
        <v>1.0</v>
      </c>
      <c r="L99" s="72"/>
      <c r="M99" s="72"/>
      <c r="N99" s="72"/>
      <c r="O99" s="72">
        <f t="shared" si="5"/>
        <v>1</v>
      </c>
      <c r="P99" s="74"/>
      <c r="Q99" s="74"/>
      <c r="R99" s="74"/>
      <c r="S99" s="74"/>
      <c r="T99" s="74"/>
    </row>
    <row r="100" ht="15.75" hidden="1" customHeight="1">
      <c r="A100" s="1"/>
      <c r="B100" s="1"/>
      <c r="C100" s="13"/>
      <c r="D100" s="26" t="s">
        <v>51</v>
      </c>
      <c r="E100" s="72"/>
      <c r="F100" s="72"/>
      <c r="G100" s="72"/>
      <c r="H100" s="72"/>
      <c r="I100" s="72">
        <v>1.0</v>
      </c>
      <c r="J100" s="72"/>
      <c r="K100" s="72">
        <v>1.0</v>
      </c>
      <c r="L100" s="72"/>
      <c r="M100" s="72"/>
      <c r="N100" s="72"/>
      <c r="O100" s="72">
        <f t="shared" si="5"/>
        <v>1</v>
      </c>
      <c r="P100" s="74"/>
      <c r="Q100" s="74"/>
      <c r="R100" s="74"/>
      <c r="S100" s="74"/>
      <c r="T100" s="74"/>
    </row>
    <row r="101" ht="15.75" hidden="1" customHeight="1">
      <c r="A101" s="1"/>
      <c r="B101" s="1"/>
      <c r="C101" s="13"/>
      <c r="D101" s="26" t="s">
        <v>156</v>
      </c>
      <c r="E101" s="72"/>
      <c r="F101" s="72"/>
      <c r="G101" s="72"/>
      <c r="H101" s="72"/>
      <c r="I101" s="72">
        <v>1.0</v>
      </c>
      <c r="J101" s="72"/>
      <c r="K101" s="72">
        <v>1.0</v>
      </c>
      <c r="L101" s="72"/>
      <c r="M101" s="72"/>
      <c r="N101" s="72"/>
      <c r="O101" s="72">
        <f t="shared" si="5"/>
        <v>1</v>
      </c>
      <c r="P101" s="74"/>
      <c r="Q101" s="74"/>
      <c r="R101" s="74"/>
      <c r="S101" s="74"/>
      <c r="T101" s="74"/>
    </row>
    <row r="102" ht="15.75" hidden="1" customHeight="1">
      <c r="A102" s="1"/>
      <c r="B102" s="1"/>
      <c r="C102" s="21"/>
      <c r="D102" s="26" t="s">
        <v>55</v>
      </c>
      <c r="E102" s="72"/>
      <c r="F102" s="72"/>
      <c r="G102" s="72"/>
      <c r="H102" s="72"/>
      <c r="I102" s="72">
        <v>1.0</v>
      </c>
      <c r="J102" s="72"/>
      <c r="K102" s="72">
        <v>1.0</v>
      </c>
      <c r="L102" s="72"/>
      <c r="M102" s="72"/>
      <c r="N102" s="72"/>
      <c r="O102" s="72">
        <f t="shared" si="5"/>
        <v>1</v>
      </c>
      <c r="P102" s="74"/>
      <c r="Q102" s="74"/>
      <c r="R102" s="74"/>
      <c r="S102" s="74"/>
      <c r="T102" s="74"/>
    </row>
    <row r="103" ht="15.75" hidden="1" customHeight="1">
      <c r="A103" s="1"/>
      <c r="B103" s="1"/>
      <c r="C103" s="49" t="s">
        <v>53</v>
      </c>
      <c r="D103" s="26" t="s">
        <v>53</v>
      </c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>
        <f t="shared" si="5"/>
        <v>0</v>
      </c>
      <c r="P103" s="74"/>
      <c r="Q103" s="74"/>
      <c r="R103" s="74"/>
      <c r="S103" s="74"/>
      <c r="T103" s="74"/>
    </row>
    <row r="104" ht="15.75" hidden="1" customHeight="1">
      <c r="A104" s="1"/>
      <c r="B104" s="1"/>
      <c r="C104" s="24" t="s">
        <v>54</v>
      </c>
      <c r="D104" s="26" t="s">
        <v>54</v>
      </c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>
        <f t="shared" si="5"/>
        <v>0</v>
      </c>
      <c r="P104" s="74"/>
      <c r="Q104" s="74"/>
      <c r="R104" s="74"/>
      <c r="S104" s="74"/>
      <c r="T104" s="74"/>
    </row>
    <row r="105" ht="15.75" hidden="1" customHeight="1">
      <c r="A105" s="1"/>
      <c r="B105" s="1"/>
      <c r="C105" s="34" t="s">
        <v>57</v>
      </c>
      <c r="D105" s="26" t="s">
        <v>114</v>
      </c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>
        <f t="shared" si="5"/>
        <v>0</v>
      </c>
      <c r="P105" s="74"/>
      <c r="Q105" s="74"/>
      <c r="R105" s="74"/>
      <c r="S105" s="74"/>
      <c r="T105" s="74"/>
    </row>
    <row r="106" ht="15.75" hidden="1" customHeight="1">
      <c r="A106" s="1"/>
      <c r="B106" s="1"/>
      <c r="C106" s="21"/>
      <c r="D106" s="26" t="s">
        <v>60</v>
      </c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>
        <f t="shared" si="5"/>
        <v>0</v>
      </c>
      <c r="P106" s="74"/>
      <c r="Q106" s="74"/>
      <c r="R106" s="74"/>
      <c r="S106" s="74"/>
      <c r="T106" s="74"/>
    </row>
    <row r="107" ht="15.75" hidden="1" customHeight="1">
      <c r="A107" s="1"/>
      <c r="B107" s="1"/>
      <c r="C107" s="24" t="s">
        <v>162</v>
      </c>
      <c r="D107" s="26" t="s">
        <v>163</v>
      </c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>
        <f t="shared" si="5"/>
        <v>0</v>
      </c>
      <c r="P107" s="74"/>
      <c r="Q107" s="74"/>
      <c r="R107" s="74"/>
      <c r="S107" s="74"/>
      <c r="T107" s="74"/>
    </row>
    <row r="108" ht="15.75" hidden="1" customHeight="1">
      <c r="A108" s="1"/>
      <c r="B108" s="1"/>
      <c r="C108" s="34" t="s">
        <v>62</v>
      </c>
      <c r="D108" s="26" t="s">
        <v>165</v>
      </c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>
        <f t="shared" si="5"/>
        <v>0</v>
      </c>
      <c r="P108" s="74"/>
      <c r="Q108" s="74"/>
      <c r="R108" s="74"/>
      <c r="S108" s="74"/>
      <c r="T108" s="74"/>
    </row>
    <row r="109" ht="15.75" hidden="1" customHeight="1">
      <c r="A109" s="1"/>
      <c r="B109" s="1"/>
      <c r="C109" s="13"/>
      <c r="D109" s="26" t="s">
        <v>167</v>
      </c>
      <c r="E109" s="72"/>
      <c r="F109" s="72"/>
      <c r="G109" s="72"/>
      <c r="H109" s="72"/>
      <c r="I109" s="72">
        <v>1.0</v>
      </c>
      <c r="J109" s="72"/>
      <c r="K109" s="72"/>
      <c r="L109" s="72">
        <v>1.0</v>
      </c>
      <c r="M109" s="72"/>
      <c r="N109" s="72"/>
      <c r="O109" s="72">
        <f t="shared" si="5"/>
        <v>1</v>
      </c>
      <c r="P109" s="74"/>
      <c r="Q109" s="74"/>
      <c r="R109" s="74"/>
      <c r="S109" s="74"/>
      <c r="T109" s="74"/>
    </row>
    <row r="110" ht="15.75" hidden="1" customHeight="1">
      <c r="A110" s="1"/>
      <c r="B110" s="1"/>
      <c r="C110" s="13"/>
      <c r="D110" s="26" t="s">
        <v>168</v>
      </c>
      <c r="E110" s="72"/>
      <c r="F110" s="72"/>
      <c r="G110" s="72"/>
      <c r="H110" s="72"/>
      <c r="I110" s="72">
        <v>3.0</v>
      </c>
      <c r="J110" s="72"/>
      <c r="K110" s="72">
        <v>3.0</v>
      </c>
      <c r="L110" s="72"/>
      <c r="M110" s="72"/>
      <c r="N110" s="72"/>
      <c r="O110" s="72">
        <f t="shared" si="5"/>
        <v>3</v>
      </c>
      <c r="P110" s="74"/>
      <c r="Q110" s="74"/>
      <c r="R110" s="74"/>
      <c r="S110" s="74"/>
      <c r="T110" s="74"/>
    </row>
    <row r="111" ht="15.75" hidden="1" customHeight="1">
      <c r="A111" s="1"/>
      <c r="B111" s="1"/>
      <c r="C111" s="21"/>
      <c r="D111" s="26" t="s">
        <v>66</v>
      </c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>
        <f t="shared" si="5"/>
        <v>0</v>
      </c>
      <c r="P111" s="74"/>
      <c r="Q111" s="74"/>
      <c r="R111" s="74"/>
      <c r="S111" s="74"/>
      <c r="T111" s="74"/>
    </row>
    <row r="112" ht="15.75" hidden="1" customHeight="1">
      <c r="A112" s="1"/>
      <c r="B112" s="1"/>
      <c r="C112" s="34" t="s">
        <v>62</v>
      </c>
      <c r="D112" s="26" t="s">
        <v>169</v>
      </c>
      <c r="E112" s="72"/>
      <c r="F112" s="72"/>
      <c r="G112" s="72"/>
      <c r="H112" s="72"/>
      <c r="I112" s="72"/>
      <c r="J112" s="68"/>
      <c r="K112" s="68"/>
      <c r="L112" s="68"/>
      <c r="M112" s="68"/>
      <c r="N112" s="68"/>
      <c r="O112" s="72">
        <f t="shared" si="5"/>
        <v>0</v>
      </c>
      <c r="P112" s="74"/>
      <c r="Q112" s="74"/>
      <c r="R112" s="74"/>
      <c r="S112" s="74"/>
      <c r="T112" s="74"/>
    </row>
    <row r="113" ht="15.75" hidden="1" customHeight="1">
      <c r="A113" s="1"/>
      <c r="B113" s="1"/>
      <c r="C113" s="13"/>
      <c r="D113" s="26" t="s">
        <v>171</v>
      </c>
      <c r="E113" s="72"/>
      <c r="F113" s="72"/>
      <c r="G113" s="72"/>
      <c r="H113" s="72"/>
      <c r="I113" s="72"/>
      <c r="J113" s="68"/>
      <c r="K113" s="68"/>
      <c r="L113" s="68"/>
      <c r="M113" s="68"/>
      <c r="N113" s="68"/>
      <c r="O113" s="72">
        <f t="shared" si="5"/>
        <v>0</v>
      </c>
      <c r="P113" s="74"/>
      <c r="Q113" s="74"/>
      <c r="R113" s="74"/>
      <c r="S113" s="74"/>
      <c r="T113" s="74"/>
    </row>
    <row r="114" ht="15.75" hidden="1" customHeight="1">
      <c r="A114" s="1"/>
      <c r="B114" s="1"/>
      <c r="C114" s="13"/>
      <c r="D114" s="26" t="s">
        <v>160</v>
      </c>
      <c r="E114" s="72"/>
      <c r="F114" s="72"/>
      <c r="G114" s="72"/>
      <c r="H114" s="72"/>
      <c r="I114" s="72"/>
      <c r="J114" s="68"/>
      <c r="K114" s="68"/>
      <c r="L114" s="68"/>
      <c r="M114" s="68"/>
      <c r="N114" s="68"/>
      <c r="O114" s="72">
        <f t="shared" si="5"/>
        <v>0</v>
      </c>
      <c r="P114" s="74"/>
      <c r="Q114" s="74"/>
      <c r="R114" s="74"/>
      <c r="S114" s="74"/>
      <c r="T114" s="74"/>
    </row>
    <row r="115" ht="15.75" hidden="1" customHeight="1">
      <c r="A115" s="1"/>
      <c r="B115" s="1"/>
      <c r="C115" s="13"/>
      <c r="D115" s="26" t="s">
        <v>69</v>
      </c>
      <c r="E115" s="72"/>
      <c r="F115" s="72"/>
      <c r="G115" s="72"/>
      <c r="H115" s="72"/>
      <c r="I115" s="72">
        <v>9.0</v>
      </c>
      <c r="J115" s="72"/>
      <c r="K115" s="72"/>
      <c r="L115" s="72"/>
      <c r="M115" s="72">
        <v>9.0</v>
      </c>
      <c r="N115" s="72"/>
      <c r="O115" s="72">
        <f t="shared" si="5"/>
        <v>9</v>
      </c>
      <c r="P115" s="74"/>
      <c r="Q115" s="74"/>
      <c r="R115" s="74"/>
      <c r="S115" s="74"/>
      <c r="T115" s="74"/>
    </row>
    <row r="116" ht="15.75" hidden="1" customHeight="1">
      <c r="A116" s="1"/>
      <c r="B116" s="1"/>
      <c r="C116" s="13"/>
      <c r="D116" s="26" t="s">
        <v>73</v>
      </c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>
        <f t="shared" si="5"/>
        <v>0</v>
      </c>
      <c r="P116" s="74"/>
      <c r="Q116" s="74"/>
      <c r="R116" s="74"/>
      <c r="S116" s="74"/>
      <c r="T116" s="74"/>
    </row>
    <row r="117" ht="15.75" hidden="1" customHeight="1">
      <c r="A117" s="1"/>
      <c r="B117" s="1"/>
      <c r="C117" s="13"/>
      <c r="D117" s="26" t="s">
        <v>77</v>
      </c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>
        <f t="shared" si="5"/>
        <v>0</v>
      </c>
      <c r="P117" s="74"/>
      <c r="Q117" s="74"/>
      <c r="R117" s="74"/>
      <c r="S117" s="74"/>
      <c r="T117" s="74"/>
    </row>
    <row r="118" ht="15.75" hidden="1" customHeight="1">
      <c r="A118" s="1"/>
      <c r="B118" s="1"/>
      <c r="C118" s="13"/>
      <c r="D118" s="26" t="s">
        <v>174</v>
      </c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>
        <f t="shared" si="5"/>
        <v>0</v>
      </c>
      <c r="P118" s="74"/>
      <c r="Q118" s="74"/>
      <c r="R118" s="74"/>
      <c r="S118" s="74"/>
      <c r="T118" s="74"/>
    </row>
    <row r="119" ht="15.75" hidden="1" customHeight="1">
      <c r="A119" s="1"/>
      <c r="B119" s="1"/>
      <c r="C119" s="13"/>
      <c r="D119" s="26" t="s">
        <v>175</v>
      </c>
      <c r="E119" s="72"/>
      <c r="F119" s="72"/>
      <c r="G119" s="72"/>
      <c r="H119" s="72"/>
      <c r="I119" s="72"/>
      <c r="J119" s="68"/>
      <c r="K119" s="68"/>
      <c r="L119" s="68"/>
      <c r="M119" s="72"/>
      <c r="N119" s="72"/>
      <c r="O119" s="72">
        <f t="shared" si="5"/>
        <v>0</v>
      </c>
      <c r="P119" s="74"/>
      <c r="Q119" s="74"/>
      <c r="R119" s="74"/>
      <c r="S119" s="74"/>
      <c r="T119" s="74"/>
    </row>
    <row r="120" ht="15.75" hidden="1" customHeight="1">
      <c r="A120" s="1"/>
      <c r="B120" s="1"/>
      <c r="C120" s="13"/>
      <c r="D120" s="26" t="s">
        <v>177</v>
      </c>
      <c r="E120" s="72"/>
      <c r="F120" s="72"/>
      <c r="G120" s="72"/>
      <c r="H120" s="72"/>
      <c r="I120" s="72"/>
      <c r="J120" s="68"/>
      <c r="K120" s="68"/>
      <c r="L120" s="68"/>
      <c r="M120" s="68"/>
      <c r="N120" s="68"/>
      <c r="O120" s="72">
        <f t="shared" si="5"/>
        <v>0</v>
      </c>
      <c r="P120" s="74"/>
      <c r="Q120" s="74"/>
      <c r="R120" s="74"/>
      <c r="S120" s="74"/>
      <c r="T120" s="74"/>
    </row>
    <row r="121" ht="15.75" hidden="1" customHeight="1">
      <c r="A121" s="1"/>
      <c r="B121" s="1"/>
      <c r="C121" s="13"/>
      <c r="D121" s="79" t="s">
        <v>178</v>
      </c>
      <c r="E121" s="72"/>
      <c r="F121" s="72"/>
      <c r="G121" s="72"/>
      <c r="H121" s="72"/>
      <c r="I121" s="72"/>
      <c r="J121" s="68"/>
      <c r="K121" s="68"/>
      <c r="L121" s="68"/>
      <c r="M121" s="68"/>
      <c r="N121" s="68"/>
      <c r="O121" s="72">
        <f t="shared" si="5"/>
        <v>0</v>
      </c>
      <c r="P121" s="74"/>
      <c r="Q121" s="74"/>
      <c r="R121" s="74"/>
      <c r="S121" s="74"/>
      <c r="T121" s="74"/>
    </row>
    <row r="122" ht="15.75" hidden="1" customHeight="1">
      <c r="A122" s="1"/>
      <c r="B122" s="1"/>
      <c r="C122" s="13"/>
      <c r="D122" s="26" t="s">
        <v>172</v>
      </c>
      <c r="E122" s="72"/>
      <c r="F122" s="72"/>
      <c r="G122" s="72"/>
      <c r="H122" s="72"/>
      <c r="I122" s="72"/>
      <c r="J122" s="68"/>
      <c r="K122" s="68"/>
      <c r="L122" s="68"/>
      <c r="M122" s="68"/>
      <c r="N122" s="68"/>
      <c r="O122" s="72">
        <f t="shared" si="5"/>
        <v>0</v>
      </c>
      <c r="P122" s="74"/>
      <c r="Q122" s="74"/>
      <c r="R122" s="74"/>
      <c r="S122" s="74"/>
      <c r="T122" s="74"/>
    </row>
    <row r="123" ht="15.75" hidden="1" customHeight="1">
      <c r="A123" s="1"/>
      <c r="B123" s="1"/>
      <c r="C123" s="13"/>
      <c r="D123" s="26" t="s">
        <v>179</v>
      </c>
      <c r="E123" s="72"/>
      <c r="F123" s="72"/>
      <c r="G123" s="72"/>
      <c r="H123" s="72"/>
      <c r="I123" s="72"/>
      <c r="J123" s="68"/>
      <c r="K123" s="68"/>
      <c r="L123" s="68"/>
      <c r="M123" s="68"/>
      <c r="N123" s="68"/>
      <c r="O123" s="72">
        <f t="shared" si="5"/>
        <v>0</v>
      </c>
      <c r="P123" s="74"/>
      <c r="Q123" s="74"/>
      <c r="R123" s="74"/>
      <c r="S123" s="74"/>
      <c r="T123" s="74"/>
    </row>
    <row r="124" ht="15.75" hidden="1" customHeight="1">
      <c r="A124" s="1"/>
      <c r="B124" s="1"/>
      <c r="C124" s="13"/>
      <c r="D124" s="26" t="s">
        <v>180</v>
      </c>
      <c r="E124" s="72"/>
      <c r="F124" s="72"/>
      <c r="G124" s="72"/>
      <c r="H124" s="72"/>
      <c r="I124" s="72"/>
      <c r="J124" s="68"/>
      <c r="K124" s="68"/>
      <c r="L124" s="68"/>
      <c r="M124" s="68"/>
      <c r="N124" s="68"/>
      <c r="O124" s="72">
        <f t="shared" si="5"/>
        <v>0</v>
      </c>
      <c r="P124" s="74"/>
      <c r="Q124" s="74"/>
      <c r="R124" s="74"/>
      <c r="S124" s="74"/>
      <c r="T124" s="74"/>
    </row>
    <row r="125" ht="15.75" hidden="1" customHeight="1">
      <c r="A125" s="1"/>
      <c r="B125" s="1"/>
      <c r="C125" s="13"/>
      <c r="D125" s="26" t="s">
        <v>182</v>
      </c>
      <c r="E125" s="72"/>
      <c r="F125" s="72"/>
      <c r="G125" s="72"/>
      <c r="H125" s="72"/>
      <c r="I125" s="72"/>
      <c r="J125" s="68"/>
      <c r="K125" s="68"/>
      <c r="L125" s="68"/>
      <c r="M125" s="68"/>
      <c r="N125" s="68"/>
      <c r="O125" s="72">
        <f t="shared" si="5"/>
        <v>0</v>
      </c>
      <c r="P125" s="74"/>
      <c r="Q125" s="74"/>
      <c r="R125" s="74"/>
      <c r="S125" s="74"/>
      <c r="T125" s="74"/>
    </row>
    <row r="126" ht="15.75" hidden="1" customHeight="1">
      <c r="A126" s="1"/>
      <c r="B126" s="1"/>
      <c r="C126" s="13"/>
      <c r="D126" s="26" t="s">
        <v>119</v>
      </c>
      <c r="E126" s="72"/>
      <c r="F126" s="72"/>
      <c r="G126" s="72"/>
      <c r="H126" s="72"/>
      <c r="I126" s="72"/>
      <c r="J126" s="68"/>
      <c r="K126" s="68"/>
      <c r="L126" s="68"/>
      <c r="M126" s="68"/>
      <c r="N126" s="68"/>
      <c r="O126" s="72">
        <f t="shared" si="5"/>
        <v>0</v>
      </c>
      <c r="P126" s="74"/>
      <c r="Q126" s="74"/>
      <c r="R126" s="74"/>
      <c r="S126" s="74"/>
      <c r="T126" s="74"/>
    </row>
    <row r="127" ht="15.75" hidden="1" customHeight="1">
      <c r="A127" s="1"/>
      <c r="B127" s="1"/>
      <c r="C127" s="13"/>
      <c r="D127" s="26" t="s">
        <v>122</v>
      </c>
      <c r="E127" s="72"/>
      <c r="F127" s="72"/>
      <c r="G127" s="72"/>
      <c r="H127" s="72"/>
      <c r="I127" s="72"/>
      <c r="J127" s="68"/>
      <c r="K127" s="68"/>
      <c r="L127" s="68"/>
      <c r="M127" s="68"/>
      <c r="N127" s="68"/>
      <c r="O127" s="72">
        <f t="shared" si="5"/>
        <v>0</v>
      </c>
      <c r="P127" s="74"/>
      <c r="Q127" s="74"/>
      <c r="R127" s="74"/>
      <c r="S127" s="74"/>
      <c r="T127" s="74"/>
    </row>
    <row r="128" ht="15.75" hidden="1" customHeight="1">
      <c r="A128" s="1"/>
      <c r="B128" s="1"/>
      <c r="C128" s="13"/>
      <c r="D128" s="26" t="s">
        <v>89</v>
      </c>
      <c r="E128" s="72"/>
      <c r="F128" s="72"/>
      <c r="G128" s="72"/>
      <c r="H128" s="72"/>
      <c r="I128" s="72">
        <v>6.0</v>
      </c>
      <c r="J128" s="68"/>
      <c r="K128" s="68">
        <v>1.0</v>
      </c>
      <c r="L128" s="68"/>
      <c r="M128" s="68">
        <v>5.0</v>
      </c>
      <c r="N128" s="68"/>
      <c r="O128" s="72">
        <f t="shared" si="5"/>
        <v>6</v>
      </c>
      <c r="P128" s="74"/>
      <c r="Q128" s="74"/>
      <c r="R128" s="74"/>
      <c r="S128" s="74"/>
      <c r="T128" s="74"/>
    </row>
    <row r="129" ht="15.75" hidden="1" customHeight="1">
      <c r="A129" s="1"/>
      <c r="B129" s="1"/>
      <c r="C129" s="13"/>
      <c r="D129" s="26" t="s">
        <v>130</v>
      </c>
      <c r="E129" s="72"/>
      <c r="F129" s="72"/>
      <c r="G129" s="72"/>
      <c r="H129" s="72"/>
      <c r="I129" s="72"/>
      <c r="J129" s="68"/>
      <c r="K129" s="68"/>
      <c r="L129" s="68"/>
      <c r="M129" s="68"/>
      <c r="N129" s="68"/>
      <c r="O129" s="72"/>
      <c r="P129" s="74"/>
      <c r="Q129" s="74"/>
      <c r="R129" s="74"/>
      <c r="S129" s="74"/>
      <c r="T129" s="74"/>
    </row>
    <row r="130" ht="15.75" hidden="1" customHeight="1">
      <c r="A130" s="1"/>
      <c r="B130" s="1"/>
      <c r="C130" s="13"/>
      <c r="D130" s="26" t="s">
        <v>185</v>
      </c>
      <c r="E130" s="72"/>
      <c r="F130" s="72"/>
      <c r="G130" s="72"/>
      <c r="H130" s="72"/>
      <c r="I130" s="72">
        <v>6.0</v>
      </c>
      <c r="J130" s="68"/>
      <c r="K130" s="68">
        <v>3.0</v>
      </c>
      <c r="L130" s="68"/>
      <c r="M130" s="68">
        <v>3.0</v>
      </c>
      <c r="N130" s="68"/>
      <c r="O130" s="72">
        <f t="shared" ref="O130:O139" si="6">SUM(K130:M130)</f>
        <v>6</v>
      </c>
      <c r="P130" s="74"/>
      <c r="Q130" s="74"/>
      <c r="R130" s="74"/>
      <c r="S130" s="74"/>
      <c r="T130" s="74"/>
    </row>
    <row r="131" ht="15.75" hidden="1" customHeight="1">
      <c r="A131" s="1"/>
      <c r="B131" s="1"/>
      <c r="C131" s="13"/>
      <c r="D131" s="26" t="s">
        <v>91</v>
      </c>
      <c r="E131" s="72"/>
      <c r="F131" s="72"/>
      <c r="G131" s="72"/>
      <c r="H131" s="72"/>
      <c r="I131" s="72"/>
      <c r="J131" s="68"/>
      <c r="K131" s="68"/>
      <c r="L131" s="68"/>
      <c r="M131" s="68"/>
      <c r="N131" s="68"/>
      <c r="O131" s="72">
        <f t="shared" si="6"/>
        <v>0</v>
      </c>
      <c r="P131" s="74"/>
      <c r="Q131" s="74"/>
      <c r="R131" s="74"/>
      <c r="S131" s="74"/>
      <c r="T131" s="74"/>
    </row>
    <row r="132" ht="15.75" hidden="1" customHeight="1">
      <c r="A132" s="1"/>
      <c r="B132" s="1"/>
      <c r="C132" s="13"/>
      <c r="D132" s="26" t="s">
        <v>92</v>
      </c>
      <c r="E132" s="72"/>
      <c r="F132" s="72"/>
      <c r="G132" s="72"/>
      <c r="H132" s="72"/>
      <c r="I132" s="72">
        <v>12.0</v>
      </c>
      <c r="J132" s="68"/>
      <c r="K132" s="68"/>
      <c r="L132" s="68"/>
      <c r="M132" s="68">
        <v>12.0</v>
      </c>
      <c r="N132" s="68"/>
      <c r="O132" s="72">
        <f t="shared" si="6"/>
        <v>12</v>
      </c>
      <c r="P132" s="74"/>
      <c r="Q132" s="74"/>
      <c r="R132" s="74"/>
      <c r="S132" s="74"/>
      <c r="T132" s="74"/>
    </row>
    <row r="133" ht="15.75" hidden="1" customHeight="1">
      <c r="A133" s="1"/>
      <c r="B133" s="1"/>
      <c r="C133" s="13"/>
      <c r="D133" s="26" t="s">
        <v>100</v>
      </c>
      <c r="E133" s="72"/>
      <c r="F133" s="72"/>
      <c r="G133" s="72"/>
      <c r="H133" s="72"/>
      <c r="I133" s="72">
        <v>12.0</v>
      </c>
      <c r="J133" s="68"/>
      <c r="K133" s="68"/>
      <c r="L133" s="68"/>
      <c r="M133" s="68">
        <v>12.0</v>
      </c>
      <c r="N133" s="68"/>
      <c r="O133" s="72">
        <f t="shared" si="6"/>
        <v>12</v>
      </c>
      <c r="P133" s="74"/>
      <c r="Q133" s="74"/>
      <c r="R133" s="74"/>
      <c r="S133" s="74"/>
      <c r="T133" s="74"/>
    </row>
    <row r="134" ht="15.75" hidden="1" customHeight="1">
      <c r="A134" s="1"/>
      <c r="B134" s="1"/>
      <c r="C134" s="13"/>
      <c r="D134" s="26" t="s">
        <v>94</v>
      </c>
      <c r="E134" s="72"/>
      <c r="F134" s="72"/>
      <c r="G134" s="72"/>
      <c r="H134" s="72"/>
      <c r="I134" s="72">
        <v>3.0</v>
      </c>
      <c r="J134" s="68"/>
      <c r="K134" s="68"/>
      <c r="L134" s="68"/>
      <c r="M134" s="68">
        <v>3.0</v>
      </c>
      <c r="N134" s="68"/>
      <c r="O134" s="72">
        <f t="shared" si="6"/>
        <v>3</v>
      </c>
      <c r="P134" s="74"/>
      <c r="Q134" s="74"/>
      <c r="R134" s="74"/>
      <c r="S134" s="74"/>
      <c r="T134" s="74"/>
    </row>
    <row r="135" ht="15.75" hidden="1" customHeight="1">
      <c r="A135" s="1"/>
      <c r="B135" s="1"/>
      <c r="C135" s="21"/>
      <c r="D135" s="26" t="s">
        <v>96</v>
      </c>
      <c r="E135" s="72"/>
      <c r="F135" s="72"/>
      <c r="G135" s="72"/>
      <c r="H135" s="72"/>
      <c r="I135" s="72"/>
      <c r="J135" s="68"/>
      <c r="K135" s="68"/>
      <c r="L135" s="68"/>
      <c r="M135" s="68"/>
      <c r="N135" s="68"/>
      <c r="O135" s="72">
        <f t="shared" si="6"/>
        <v>0</v>
      </c>
      <c r="P135" s="74"/>
      <c r="Q135" s="74"/>
      <c r="R135" s="74"/>
      <c r="S135" s="74"/>
      <c r="T135" s="74"/>
    </row>
    <row r="136" ht="15.75" hidden="1" customHeight="1">
      <c r="A136" s="1"/>
      <c r="B136" s="1"/>
      <c r="C136" s="34"/>
      <c r="D136" s="26" t="s">
        <v>135</v>
      </c>
      <c r="E136" s="72"/>
      <c r="F136" s="72"/>
      <c r="G136" s="72"/>
      <c r="H136" s="72"/>
      <c r="I136" s="72"/>
      <c r="J136" s="68"/>
      <c r="K136" s="68"/>
      <c r="L136" s="68"/>
      <c r="M136" s="68"/>
      <c r="N136" s="68"/>
      <c r="O136" s="72">
        <f t="shared" si="6"/>
        <v>0</v>
      </c>
      <c r="P136" s="74"/>
      <c r="Q136" s="74"/>
      <c r="R136" s="74"/>
      <c r="S136" s="74"/>
      <c r="T136" s="74"/>
    </row>
    <row r="137" ht="15.75" hidden="1" customHeight="1">
      <c r="A137" s="1"/>
      <c r="B137" s="1"/>
      <c r="C137" s="34"/>
      <c r="D137" s="26" t="s">
        <v>186</v>
      </c>
      <c r="E137" s="72"/>
      <c r="F137" s="72"/>
      <c r="G137" s="72"/>
      <c r="H137" s="72"/>
      <c r="I137" s="72">
        <v>15.0</v>
      </c>
      <c r="J137" s="68"/>
      <c r="K137" s="68"/>
      <c r="L137" s="68"/>
      <c r="M137" s="68">
        <v>15.0</v>
      </c>
      <c r="N137" s="68"/>
      <c r="O137" s="72">
        <f t="shared" si="6"/>
        <v>15</v>
      </c>
      <c r="P137" s="74"/>
      <c r="Q137" s="74"/>
      <c r="R137" s="74"/>
      <c r="S137" s="74"/>
      <c r="T137" s="74"/>
    </row>
    <row r="138" ht="15.75" hidden="1" customHeight="1">
      <c r="A138" s="1"/>
      <c r="B138" s="1"/>
      <c r="C138" s="34"/>
      <c r="D138" s="26" t="s">
        <v>105</v>
      </c>
      <c r="E138" s="72"/>
      <c r="F138" s="72"/>
      <c r="G138" s="72"/>
      <c r="H138" s="72"/>
      <c r="I138" s="72">
        <v>3.0</v>
      </c>
      <c r="J138" s="68"/>
      <c r="K138" s="68"/>
      <c r="L138" s="68"/>
      <c r="M138" s="68">
        <v>3.0</v>
      </c>
      <c r="N138" s="68"/>
      <c r="O138" s="72">
        <f t="shared" si="6"/>
        <v>3</v>
      </c>
      <c r="P138" s="74"/>
      <c r="Q138" s="74"/>
      <c r="R138" s="74"/>
      <c r="S138" s="74"/>
      <c r="T138" s="74"/>
    </row>
    <row r="139" ht="15.75" hidden="1" customHeight="1">
      <c r="A139" s="1"/>
      <c r="B139" s="1"/>
      <c r="C139" s="34"/>
      <c r="D139" s="26" t="s">
        <v>181</v>
      </c>
      <c r="E139" s="72"/>
      <c r="F139" s="72"/>
      <c r="G139" s="72"/>
      <c r="H139" s="72"/>
      <c r="I139" s="72">
        <v>6.0</v>
      </c>
      <c r="J139" s="68"/>
      <c r="K139" s="68">
        <v>1.0</v>
      </c>
      <c r="L139" s="68"/>
      <c r="M139" s="68">
        <v>5.0</v>
      </c>
      <c r="N139" s="68"/>
      <c r="O139" s="72">
        <f t="shared" si="6"/>
        <v>6</v>
      </c>
      <c r="P139" s="74"/>
      <c r="Q139" s="74"/>
      <c r="R139" s="74"/>
      <c r="S139" s="74"/>
      <c r="T139" s="74"/>
    </row>
    <row r="140" ht="15.75" hidden="1" customHeight="1">
      <c r="A140" s="1"/>
      <c r="B140" s="1"/>
      <c r="C140" s="34"/>
      <c r="D140" s="26" t="s">
        <v>183</v>
      </c>
      <c r="E140" s="72"/>
      <c r="F140" s="72"/>
      <c r="G140" s="72"/>
      <c r="H140" s="72"/>
      <c r="I140" s="72"/>
      <c r="J140" s="68"/>
      <c r="K140" s="68"/>
      <c r="L140" s="68"/>
      <c r="M140" s="68"/>
      <c r="N140" s="68"/>
      <c r="O140" s="72"/>
      <c r="P140" s="74"/>
      <c r="Q140" s="74"/>
      <c r="R140" s="74"/>
      <c r="S140" s="74"/>
      <c r="T140" s="74"/>
    </row>
    <row r="141" ht="15.75" hidden="1" customHeight="1">
      <c r="A141" s="1"/>
      <c r="B141" s="1"/>
      <c r="C141" s="34"/>
      <c r="D141" s="26" t="s">
        <v>136</v>
      </c>
      <c r="E141" s="72"/>
      <c r="F141" s="72"/>
      <c r="G141" s="72"/>
      <c r="H141" s="72"/>
      <c r="I141" s="72"/>
      <c r="J141" s="68"/>
      <c r="K141" s="68"/>
      <c r="L141" s="68"/>
      <c r="M141" s="68"/>
      <c r="N141" s="68"/>
      <c r="O141" s="72">
        <f>SUM(K141:M141)</f>
        <v>0</v>
      </c>
      <c r="P141" s="74"/>
      <c r="Q141" s="74"/>
      <c r="R141" s="74"/>
      <c r="S141" s="74"/>
      <c r="T141" s="74"/>
    </row>
    <row r="142" ht="15.75" hidden="1" customHeight="1">
      <c r="A142" s="1"/>
      <c r="B142" s="1"/>
      <c r="C142" s="34"/>
      <c r="D142" s="26" t="s">
        <v>190</v>
      </c>
      <c r="E142" s="72"/>
      <c r="F142" s="72"/>
      <c r="G142" s="72"/>
      <c r="H142" s="72"/>
      <c r="I142" s="72"/>
      <c r="J142" s="68"/>
      <c r="K142" s="68"/>
      <c r="L142" s="68"/>
      <c r="M142" s="68"/>
      <c r="N142" s="68"/>
      <c r="O142" s="72"/>
      <c r="P142" s="74"/>
      <c r="Q142" s="74"/>
      <c r="R142" s="74"/>
      <c r="S142" s="74"/>
      <c r="T142" s="74"/>
    </row>
    <row r="143" ht="15.75" hidden="1" customHeight="1">
      <c r="A143" s="1"/>
      <c r="B143" s="1"/>
      <c r="C143" s="34" t="s">
        <v>139</v>
      </c>
      <c r="D143" s="26" t="s">
        <v>191</v>
      </c>
      <c r="E143" s="72"/>
      <c r="F143" s="72"/>
      <c r="G143" s="72"/>
      <c r="H143" s="72"/>
      <c r="I143" s="72"/>
      <c r="J143" s="72"/>
      <c r="K143" s="72"/>
      <c r="L143" s="68"/>
      <c r="M143" s="68"/>
      <c r="N143" s="68"/>
      <c r="O143" s="72">
        <f t="shared" ref="O143:O147" si="7">SUM(K143:M143)</f>
        <v>0</v>
      </c>
      <c r="P143" s="74"/>
      <c r="Q143" s="74"/>
      <c r="R143" s="74"/>
      <c r="S143" s="74"/>
      <c r="T143" s="74"/>
    </row>
    <row r="144" ht="15.75" hidden="1" customHeight="1">
      <c r="A144" s="1"/>
      <c r="B144" s="1"/>
      <c r="C144" s="13"/>
      <c r="D144" s="26" t="s">
        <v>192</v>
      </c>
      <c r="E144" s="72"/>
      <c r="F144" s="72"/>
      <c r="G144" s="72"/>
      <c r="H144" s="72"/>
      <c r="I144" s="72"/>
      <c r="J144" s="72"/>
      <c r="K144" s="72"/>
      <c r="L144" s="68"/>
      <c r="M144" s="68"/>
      <c r="N144" s="68"/>
      <c r="O144" s="72">
        <f t="shared" si="7"/>
        <v>0</v>
      </c>
      <c r="P144" s="74"/>
      <c r="Q144" s="74"/>
      <c r="R144" s="74"/>
      <c r="S144" s="74"/>
      <c r="T144" s="74"/>
    </row>
    <row r="145" ht="15.75" hidden="1" customHeight="1">
      <c r="A145" s="1"/>
      <c r="B145" s="1"/>
      <c r="C145" s="21"/>
      <c r="D145" s="26" t="s">
        <v>139</v>
      </c>
      <c r="E145" s="72"/>
      <c r="F145" s="72"/>
      <c r="G145" s="72"/>
      <c r="H145" s="72"/>
      <c r="I145" s="72">
        <v>5.0</v>
      </c>
      <c r="J145" s="68"/>
      <c r="K145" s="68">
        <v>3.0</v>
      </c>
      <c r="L145" s="68"/>
      <c r="M145" s="68">
        <v>2.0</v>
      </c>
      <c r="N145" s="68"/>
      <c r="O145" s="72">
        <f t="shared" si="7"/>
        <v>5</v>
      </c>
      <c r="P145" s="74"/>
      <c r="Q145" s="74"/>
      <c r="R145" s="74"/>
      <c r="S145" s="74"/>
      <c r="T145" s="74"/>
    </row>
    <row r="146" ht="15.75" hidden="1" customHeight="1">
      <c r="A146" s="1"/>
      <c r="B146" s="1"/>
      <c r="C146" s="24" t="s">
        <v>193</v>
      </c>
      <c r="D146" s="26" t="s">
        <v>193</v>
      </c>
      <c r="E146" s="72"/>
      <c r="F146" s="72"/>
      <c r="G146" s="72"/>
      <c r="H146" s="72"/>
      <c r="I146" s="72"/>
      <c r="J146" s="68"/>
      <c r="K146" s="68"/>
      <c r="L146" s="68"/>
      <c r="M146" s="68"/>
      <c r="N146" s="68"/>
      <c r="O146" s="72">
        <f t="shared" si="7"/>
        <v>0</v>
      </c>
      <c r="P146" s="74"/>
      <c r="Q146" s="74"/>
      <c r="R146" s="74"/>
      <c r="S146" s="74"/>
      <c r="T146" s="74"/>
    </row>
    <row r="147" ht="15.75" hidden="1" customHeight="1">
      <c r="A147" s="1"/>
      <c r="B147" s="1"/>
      <c r="C147" s="81" t="s">
        <v>110</v>
      </c>
      <c r="D147" s="82"/>
      <c r="E147" s="72"/>
      <c r="F147" s="72"/>
      <c r="G147" s="72"/>
      <c r="H147" s="72"/>
      <c r="I147" s="72">
        <f>SUM(I85:I146)</f>
        <v>115</v>
      </c>
      <c r="J147" s="72"/>
      <c r="K147" s="72">
        <f t="shared" ref="K147:M147" si="8">SUM(K86:K146)</f>
        <v>24</v>
      </c>
      <c r="L147" s="72">
        <f t="shared" si="8"/>
        <v>4</v>
      </c>
      <c r="M147" s="72">
        <f t="shared" si="8"/>
        <v>87</v>
      </c>
      <c r="N147" s="72"/>
      <c r="O147" s="72">
        <f t="shared" si="7"/>
        <v>115</v>
      </c>
      <c r="P147" s="74"/>
      <c r="Q147" s="74"/>
      <c r="R147" s="74"/>
      <c r="S147" s="74"/>
      <c r="T147" s="74"/>
    </row>
    <row r="148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F5:F7"/>
    <mergeCell ref="G5:G7"/>
    <mergeCell ref="C9:C14"/>
    <mergeCell ref="C15:C18"/>
    <mergeCell ref="C20:C26"/>
    <mergeCell ref="C27:C30"/>
    <mergeCell ref="G45:G46"/>
    <mergeCell ref="C93:C98"/>
    <mergeCell ref="C99:C102"/>
    <mergeCell ref="C105:C106"/>
    <mergeCell ref="C108:C111"/>
    <mergeCell ref="C112:C135"/>
    <mergeCell ref="C143:C145"/>
    <mergeCell ref="C33:C48"/>
    <mergeCell ref="C49:C51"/>
    <mergeCell ref="C52:D52"/>
    <mergeCell ref="C81:C84"/>
    <mergeCell ref="D81:D84"/>
    <mergeCell ref="C87:C89"/>
    <mergeCell ref="C90:C91"/>
    <mergeCell ref="H5:H7"/>
    <mergeCell ref="I5:I7"/>
    <mergeCell ref="J5:J7"/>
    <mergeCell ref="K5:K7"/>
    <mergeCell ref="L5:L7"/>
    <mergeCell ref="M5:M7"/>
    <mergeCell ref="N5:N7"/>
    <mergeCell ref="O5:O7"/>
    <mergeCell ref="C2:D2"/>
    <mergeCell ref="E3:P3"/>
    <mergeCell ref="C4:C7"/>
    <mergeCell ref="D4:D7"/>
    <mergeCell ref="E4:J4"/>
    <mergeCell ref="K4:P4"/>
    <mergeCell ref="E5:E7"/>
    <mergeCell ref="P5:P7"/>
    <mergeCell ref="N45:N46"/>
    <mergeCell ref="P45:P46"/>
    <mergeCell ref="I81:O81"/>
    <mergeCell ref="I82:I84"/>
    <mergeCell ref="K82:K84"/>
    <mergeCell ref="L82:L84"/>
    <mergeCell ref="M82:M84"/>
    <mergeCell ref="O82:O84"/>
    <mergeCell ref="E45:E46"/>
    <mergeCell ref="F45:F46"/>
    <mergeCell ref="H45:H46"/>
    <mergeCell ref="J45:J46"/>
    <mergeCell ref="K45:K46"/>
    <mergeCell ref="L45:L46"/>
    <mergeCell ref="M45:M46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 outlineLevelCol="2"/>
  <cols>
    <col customWidth="1" hidden="1" min="1" max="2" width="5.29"/>
    <col customWidth="1" min="3" max="3" width="27.29"/>
    <col customWidth="1" min="4" max="4" width="44.43"/>
    <col customWidth="1" min="5" max="5" width="10.71"/>
    <col customWidth="1" min="6" max="6" width="11.14"/>
    <col customWidth="1" min="7" max="7" width="8.71"/>
    <col customWidth="1" min="8" max="8" width="10.86"/>
    <col customWidth="1" min="9" max="9" width="13.0"/>
    <col customWidth="1" min="10" max="10" width="14.29"/>
    <col customWidth="1" min="11" max="11" width="9.86"/>
    <col customWidth="1" min="12" max="12" width="11.71"/>
    <col customWidth="1" min="13" max="13" width="7.0"/>
    <col customWidth="1" min="14" max="14" width="9.71"/>
    <col customWidth="1" min="15" max="15" width="9.86"/>
    <col customWidth="1" min="16" max="16" width="11.14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2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>
      <c r="A3" s="1"/>
      <c r="B3" s="1"/>
      <c r="C3" s="3" t="s">
        <v>1</v>
      </c>
      <c r="D3" s="4"/>
      <c r="E3" s="11" t="s">
        <v>4</v>
      </c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>
      <c r="A4" s="1"/>
      <c r="B4" s="1"/>
      <c r="C4" s="10" t="s">
        <v>5</v>
      </c>
      <c r="D4" s="12" t="s">
        <v>6</v>
      </c>
      <c r="E4" s="11" t="s">
        <v>7</v>
      </c>
      <c r="F4" s="7"/>
      <c r="G4" s="7"/>
      <c r="H4" s="7"/>
      <c r="I4" s="7"/>
      <c r="J4" s="8"/>
      <c r="K4" s="11" t="s">
        <v>8</v>
      </c>
      <c r="L4" s="7"/>
      <c r="M4" s="7"/>
      <c r="N4" s="7"/>
      <c r="O4" s="7"/>
      <c r="P4" s="8"/>
    </row>
    <row r="5">
      <c r="A5" s="1"/>
      <c r="B5" s="1"/>
      <c r="C5" s="13"/>
      <c r="D5" s="14"/>
      <c r="E5" s="28" t="s">
        <v>9</v>
      </c>
      <c r="F5" s="28" t="s">
        <v>10</v>
      </c>
      <c r="G5" s="28" t="s">
        <v>12</v>
      </c>
      <c r="H5" s="28" t="s">
        <v>13</v>
      </c>
      <c r="I5" s="32" t="s">
        <v>14</v>
      </c>
      <c r="J5" s="32" t="s">
        <v>15</v>
      </c>
      <c r="K5" s="28" t="s">
        <v>9</v>
      </c>
      <c r="L5" s="28" t="s">
        <v>10</v>
      </c>
      <c r="M5" s="28" t="s">
        <v>12</v>
      </c>
      <c r="N5" s="28" t="s">
        <v>13</v>
      </c>
      <c r="O5" s="32" t="s">
        <v>16</v>
      </c>
      <c r="P5" s="32" t="s">
        <v>17</v>
      </c>
    </row>
    <row r="6">
      <c r="A6" s="1"/>
      <c r="B6" s="1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>
      <c r="A7" s="1"/>
      <c r="B7" s="1"/>
      <c r="C7" s="2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>
      <c r="A8" s="1"/>
      <c r="B8" s="1"/>
      <c r="C8" s="24" t="s">
        <v>20</v>
      </c>
      <c r="D8" s="26" t="s">
        <v>20</v>
      </c>
      <c r="E8" s="42"/>
      <c r="F8" s="42"/>
      <c r="G8" s="42"/>
      <c r="H8" s="42"/>
      <c r="I8" s="42">
        <f t="shared" ref="I8:I72" si="1">SUM(E8:H8)</f>
        <v>0</v>
      </c>
      <c r="J8" s="42"/>
      <c r="K8" s="42"/>
      <c r="L8" s="42"/>
      <c r="M8" s="42"/>
      <c r="N8" s="42"/>
      <c r="O8" s="42">
        <f t="shared" ref="O8:O72" si="2">SUM(K8:N8)</f>
        <v>0</v>
      </c>
      <c r="P8" s="42"/>
    </row>
    <row r="9">
      <c r="A9" s="1"/>
      <c r="B9" s="1"/>
      <c r="C9" s="34" t="s">
        <v>18</v>
      </c>
      <c r="D9" s="26" t="s">
        <v>19</v>
      </c>
      <c r="E9" s="42"/>
      <c r="F9" s="42"/>
      <c r="G9" s="42"/>
      <c r="H9" s="42"/>
      <c r="I9" s="42">
        <f t="shared" si="1"/>
        <v>0</v>
      </c>
      <c r="J9" s="42"/>
      <c r="K9" s="42"/>
      <c r="L9" s="42"/>
      <c r="M9" s="42"/>
      <c r="N9" s="42"/>
      <c r="O9" s="42">
        <f t="shared" si="2"/>
        <v>0</v>
      </c>
      <c r="P9" s="42"/>
    </row>
    <row r="10">
      <c r="A10" s="1"/>
      <c r="B10" s="1"/>
      <c r="C10" s="21"/>
      <c r="D10" s="26" t="s">
        <v>36</v>
      </c>
      <c r="E10" s="42">
        <v>1.0</v>
      </c>
      <c r="F10" s="42"/>
      <c r="G10" s="42"/>
      <c r="H10" s="42"/>
      <c r="I10" s="42">
        <f t="shared" si="1"/>
        <v>1</v>
      </c>
      <c r="J10" s="42"/>
      <c r="K10" s="42">
        <v>1.0</v>
      </c>
      <c r="L10" s="42"/>
      <c r="M10" s="42"/>
      <c r="N10" s="42"/>
      <c r="O10" s="42">
        <f t="shared" si="2"/>
        <v>1</v>
      </c>
      <c r="P10" s="42"/>
    </row>
    <row r="11">
      <c r="A11" s="1"/>
      <c r="B11" s="1"/>
      <c r="C11" s="34" t="s">
        <v>21</v>
      </c>
      <c r="D11" s="26" t="s">
        <v>22</v>
      </c>
      <c r="E11" s="42"/>
      <c r="F11" s="42"/>
      <c r="G11" s="42"/>
      <c r="H11" s="42"/>
      <c r="I11" s="42">
        <f t="shared" si="1"/>
        <v>0</v>
      </c>
      <c r="J11" s="42"/>
      <c r="K11" s="42"/>
      <c r="L11" s="42"/>
      <c r="M11" s="42"/>
      <c r="N11" s="42"/>
      <c r="O11" s="42">
        <f t="shared" si="2"/>
        <v>0</v>
      </c>
      <c r="P11" s="42"/>
    </row>
    <row r="12">
      <c r="A12" s="1"/>
      <c r="B12" s="1"/>
      <c r="C12" s="13"/>
      <c r="D12" s="26" t="s">
        <v>25</v>
      </c>
      <c r="E12" s="42"/>
      <c r="F12" s="42">
        <v>1.0</v>
      </c>
      <c r="G12" s="42"/>
      <c r="H12" s="42"/>
      <c r="I12" s="42">
        <f t="shared" si="1"/>
        <v>1</v>
      </c>
      <c r="J12" s="42"/>
      <c r="K12" s="42"/>
      <c r="L12" s="42">
        <v>1.0</v>
      </c>
      <c r="M12" s="42"/>
      <c r="N12" s="42"/>
      <c r="O12" s="42">
        <f t="shared" si="2"/>
        <v>1</v>
      </c>
      <c r="P12" s="42"/>
    </row>
    <row r="13">
      <c r="A13" s="1"/>
      <c r="B13" s="1"/>
      <c r="C13" s="13"/>
      <c r="D13" s="26" t="s">
        <v>23</v>
      </c>
      <c r="E13" s="42">
        <v>1.0</v>
      </c>
      <c r="F13" s="42"/>
      <c r="G13" s="42"/>
      <c r="H13" s="42"/>
      <c r="I13" s="42">
        <f t="shared" si="1"/>
        <v>1</v>
      </c>
      <c r="J13" s="42"/>
      <c r="K13" s="42">
        <v>1.0</v>
      </c>
      <c r="L13" s="42"/>
      <c r="M13" s="42"/>
      <c r="N13" s="42"/>
      <c r="O13" s="42">
        <f t="shared" si="2"/>
        <v>1</v>
      </c>
      <c r="P13" s="42"/>
    </row>
    <row r="14">
      <c r="A14" s="1"/>
      <c r="B14" s="1"/>
      <c r="C14" s="13"/>
      <c r="D14" s="26" t="s">
        <v>24</v>
      </c>
      <c r="E14" s="42"/>
      <c r="F14" s="42"/>
      <c r="G14" s="42"/>
      <c r="H14" s="42"/>
      <c r="I14" s="42">
        <f t="shared" si="1"/>
        <v>0</v>
      </c>
      <c r="J14" s="42"/>
      <c r="K14" s="42"/>
      <c r="L14" s="42"/>
      <c r="M14" s="42"/>
      <c r="N14" s="42"/>
      <c r="O14" s="42">
        <f t="shared" si="2"/>
        <v>0</v>
      </c>
      <c r="P14" s="42"/>
    </row>
    <row r="15">
      <c r="A15" s="1"/>
      <c r="B15" s="1"/>
      <c r="C15" s="13"/>
      <c r="D15" s="26" t="s">
        <v>26</v>
      </c>
      <c r="E15" s="42"/>
      <c r="F15" s="42"/>
      <c r="G15" s="42">
        <v>3.0</v>
      </c>
      <c r="H15" s="42"/>
      <c r="I15" s="42">
        <f t="shared" si="1"/>
        <v>3</v>
      </c>
      <c r="J15" s="42"/>
      <c r="K15" s="42"/>
      <c r="L15" s="42"/>
      <c r="M15" s="42">
        <v>3.0</v>
      </c>
      <c r="N15" s="42"/>
      <c r="O15" s="42">
        <f t="shared" si="2"/>
        <v>3</v>
      </c>
      <c r="P15" s="42"/>
    </row>
    <row r="16">
      <c r="A16" s="1"/>
      <c r="B16" s="1"/>
      <c r="C16" s="13"/>
      <c r="D16" s="26" t="s">
        <v>27</v>
      </c>
      <c r="E16" s="42"/>
      <c r="F16" s="42"/>
      <c r="G16" s="42">
        <v>1.0</v>
      </c>
      <c r="H16" s="42"/>
      <c r="I16" s="42">
        <f t="shared" si="1"/>
        <v>1</v>
      </c>
      <c r="J16" s="42"/>
      <c r="K16" s="42"/>
      <c r="L16" s="42"/>
      <c r="M16" s="42">
        <v>1.0</v>
      </c>
      <c r="N16" s="42"/>
      <c r="O16" s="42">
        <f t="shared" si="2"/>
        <v>1</v>
      </c>
      <c r="P16" s="42"/>
    </row>
    <row r="17">
      <c r="A17" s="1"/>
      <c r="B17" s="1"/>
      <c r="C17" s="21"/>
      <c r="D17" s="26" t="s">
        <v>28</v>
      </c>
      <c r="E17" s="42"/>
      <c r="F17" s="42"/>
      <c r="G17" s="42">
        <v>2.0</v>
      </c>
      <c r="H17" s="42"/>
      <c r="I17" s="42">
        <f t="shared" si="1"/>
        <v>2</v>
      </c>
      <c r="J17" s="42"/>
      <c r="K17" s="42"/>
      <c r="L17" s="42"/>
      <c r="M17" s="42">
        <v>2.0</v>
      </c>
      <c r="N17" s="42"/>
      <c r="O17" s="42">
        <f t="shared" si="2"/>
        <v>2</v>
      </c>
      <c r="P17" s="42"/>
    </row>
    <row r="18">
      <c r="A18" s="1"/>
      <c r="B18" s="1"/>
      <c r="C18" s="34" t="s">
        <v>29</v>
      </c>
      <c r="D18" s="26" t="s">
        <v>30</v>
      </c>
      <c r="E18" s="42"/>
      <c r="F18" s="42">
        <v>1.0</v>
      </c>
      <c r="G18" s="42"/>
      <c r="H18" s="42"/>
      <c r="I18" s="42">
        <f t="shared" si="1"/>
        <v>1</v>
      </c>
      <c r="J18" s="42"/>
      <c r="K18" s="42"/>
      <c r="L18" s="42">
        <v>1.0</v>
      </c>
      <c r="M18" s="42"/>
      <c r="N18" s="42"/>
      <c r="O18" s="42">
        <f t="shared" si="2"/>
        <v>1</v>
      </c>
      <c r="P18" s="42"/>
    </row>
    <row r="19">
      <c r="A19" s="1"/>
      <c r="B19" s="1"/>
      <c r="C19" s="13"/>
      <c r="D19" s="26" t="s">
        <v>31</v>
      </c>
      <c r="E19" s="42"/>
      <c r="F19" s="42">
        <v>2.0</v>
      </c>
      <c r="G19" s="42"/>
      <c r="H19" s="42"/>
      <c r="I19" s="42">
        <f t="shared" si="1"/>
        <v>2</v>
      </c>
      <c r="J19" s="42"/>
      <c r="K19" s="42"/>
      <c r="L19" s="42">
        <v>1.0</v>
      </c>
      <c r="M19" s="42"/>
      <c r="N19" s="42"/>
      <c r="O19" s="42">
        <f t="shared" si="2"/>
        <v>1</v>
      </c>
      <c r="P19" s="42"/>
    </row>
    <row r="20">
      <c r="A20" s="1"/>
      <c r="B20" s="1"/>
      <c r="C20" s="13"/>
      <c r="D20" s="26" t="s">
        <v>32</v>
      </c>
      <c r="E20" s="42">
        <v>1.0</v>
      </c>
      <c r="F20" s="42"/>
      <c r="G20" s="42"/>
      <c r="H20" s="42"/>
      <c r="I20" s="42">
        <f t="shared" si="1"/>
        <v>1</v>
      </c>
      <c r="J20" s="42"/>
      <c r="K20" s="42">
        <v>1.0</v>
      </c>
      <c r="L20" s="42"/>
      <c r="M20" s="42"/>
      <c r="N20" s="42"/>
      <c r="O20" s="42">
        <f t="shared" si="2"/>
        <v>1</v>
      </c>
      <c r="P20" s="42"/>
    </row>
    <row r="21" ht="15.75" customHeight="1">
      <c r="A21" s="1"/>
      <c r="B21" s="1"/>
      <c r="C21" s="21"/>
      <c r="D21" s="26" t="s">
        <v>33</v>
      </c>
      <c r="E21" s="42"/>
      <c r="F21" s="42"/>
      <c r="G21" s="42"/>
      <c r="H21" s="42"/>
      <c r="I21" s="42">
        <f t="shared" si="1"/>
        <v>0</v>
      </c>
      <c r="J21" s="42"/>
      <c r="K21" s="42"/>
      <c r="L21" s="42"/>
      <c r="M21" s="42"/>
      <c r="N21" s="42"/>
      <c r="O21" s="42">
        <f t="shared" si="2"/>
        <v>0</v>
      </c>
      <c r="P21" s="42"/>
    </row>
    <row r="22" ht="15.75" customHeight="1">
      <c r="A22" s="1"/>
      <c r="B22" s="1"/>
      <c r="C22" s="24" t="s">
        <v>34</v>
      </c>
      <c r="D22" s="26" t="s">
        <v>35</v>
      </c>
      <c r="E22" s="42"/>
      <c r="F22" s="42"/>
      <c r="G22" s="42"/>
      <c r="H22" s="42"/>
      <c r="I22" s="42">
        <f t="shared" si="1"/>
        <v>0</v>
      </c>
      <c r="J22" s="42"/>
      <c r="K22" s="42"/>
      <c r="L22" s="42"/>
      <c r="M22" s="42"/>
      <c r="N22" s="42"/>
      <c r="O22" s="42">
        <f t="shared" si="2"/>
        <v>0</v>
      </c>
      <c r="P22" s="42"/>
    </row>
    <row r="23" ht="15.75" customHeight="1">
      <c r="A23" s="1"/>
      <c r="B23" s="1"/>
      <c r="C23" s="41" t="s">
        <v>63</v>
      </c>
      <c r="D23" s="26" t="s">
        <v>38</v>
      </c>
      <c r="E23" s="42"/>
      <c r="F23" s="42"/>
      <c r="G23" s="42"/>
      <c r="H23" s="42"/>
      <c r="I23" s="42">
        <f t="shared" si="1"/>
        <v>0</v>
      </c>
      <c r="J23" s="42"/>
      <c r="K23" s="42"/>
      <c r="L23" s="42"/>
      <c r="M23" s="42"/>
      <c r="N23" s="42"/>
      <c r="O23" s="42">
        <f t="shared" si="2"/>
        <v>0</v>
      </c>
      <c r="P23" s="42"/>
    </row>
    <row r="24" ht="15.75" customHeight="1">
      <c r="A24" s="1"/>
      <c r="B24" s="1"/>
      <c r="C24" s="13"/>
      <c r="D24" s="26" t="s">
        <v>39</v>
      </c>
      <c r="E24" s="42"/>
      <c r="F24" s="42"/>
      <c r="G24" s="42"/>
      <c r="H24" s="42"/>
      <c r="I24" s="42">
        <f t="shared" si="1"/>
        <v>0</v>
      </c>
      <c r="J24" s="42"/>
      <c r="K24" s="42"/>
      <c r="L24" s="42"/>
      <c r="M24" s="42"/>
      <c r="N24" s="42"/>
      <c r="O24" s="42">
        <f t="shared" si="2"/>
        <v>0</v>
      </c>
      <c r="P24" s="42"/>
    </row>
    <row r="25" ht="15.75" customHeight="1">
      <c r="A25" s="1"/>
      <c r="B25" s="1"/>
      <c r="C25" s="13"/>
      <c r="D25" s="26" t="s">
        <v>41</v>
      </c>
      <c r="E25" s="42"/>
      <c r="F25" s="42">
        <v>1.0</v>
      </c>
      <c r="G25" s="42"/>
      <c r="H25" s="42"/>
      <c r="I25" s="42">
        <f t="shared" si="1"/>
        <v>1</v>
      </c>
      <c r="J25" s="42"/>
      <c r="K25" s="42"/>
      <c r="L25" s="42">
        <v>1.0</v>
      </c>
      <c r="M25" s="42"/>
      <c r="N25" s="42"/>
      <c r="O25" s="42">
        <f t="shared" si="2"/>
        <v>1</v>
      </c>
      <c r="P25" s="42"/>
    </row>
    <row r="26" ht="15.75" customHeight="1">
      <c r="A26" s="1"/>
      <c r="B26" s="1"/>
      <c r="C26" s="13"/>
      <c r="D26" s="26" t="s">
        <v>43</v>
      </c>
      <c r="E26" s="42"/>
      <c r="F26" s="42"/>
      <c r="G26" s="42">
        <v>1.0</v>
      </c>
      <c r="H26" s="42"/>
      <c r="I26" s="42">
        <f t="shared" si="1"/>
        <v>1</v>
      </c>
      <c r="J26" s="42"/>
      <c r="K26" s="42"/>
      <c r="L26" s="42"/>
      <c r="M26" s="42">
        <v>1.0</v>
      </c>
      <c r="N26" s="42"/>
      <c r="O26" s="42">
        <f t="shared" si="2"/>
        <v>1</v>
      </c>
      <c r="P26" s="42"/>
    </row>
    <row r="27" ht="15.75" customHeight="1">
      <c r="A27" s="1"/>
      <c r="B27" s="1"/>
      <c r="C27" s="13"/>
      <c r="D27" s="26" t="s">
        <v>40</v>
      </c>
      <c r="E27" s="42"/>
      <c r="F27" s="42"/>
      <c r="G27" s="42"/>
      <c r="H27" s="42"/>
      <c r="I27" s="42">
        <f t="shared" si="1"/>
        <v>0</v>
      </c>
      <c r="J27" s="42"/>
      <c r="K27" s="42"/>
      <c r="L27" s="42"/>
      <c r="M27" s="42"/>
      <c r="N27" s="42"/>
      <c r="O27" s="42">
        <f t="shared" si="2"/>
        <v>0</v>
      </c>
      <c r="P27" s="42"/>
    </row>
    <row r="28" ht="15.75" customHeight="1">
      <c r="A28" s="1"/>
      <c r="B28" s="1"/>
      <c r="C28" s="13"/>
      <c r="D28" s="26" t="s">
        <v>42</v>
      </c>
      <c r="E28" s="42">
        <v>1.0</v>
      </c>
      <c r="F28" s="42"/>
      <c r="G28" s="42"/>
      <c r="H28" s="42"/>
      <c r="I28" s="42">
        <f t="shared" si="1"/>
        <v>1</v>
      </c>
      <c r="J28" s="42"/>
      <c r="K28" s="42">
        <v>1.0</v>
      </c>
      <c r="L28" s="42"/>
      <c r="M28" s="42"/>
      <c r="N28" s="42"/>
      <c r="O28" s="42">
        <f t="shared" si="2"/>
        <v>1</v>
      </c>
      <c r="P28" s="42"/>
    </row>
    <row r="29" ht="15.75" customHeight="1">
      <c r="A29" s="1"/>
      <c r="B29" s="1"/>
      <c r="C29" s="13"/>
      <c r="D29" s="26" t="s">
        <v>78</v>
      </c>
      <c r="E29" s="42"/>
      <c r="F29" s="42">
        <v>1.0</v>
      </c>
      <c r="G29" s="42"/>
      <c r="H29" s="42"/>
      <c r="I29" s="42">
        <f t="shared" si="1"/>
        <v>1</v>
      </c>
      <c r="J29" s="42"/>
      <c r="K29" s="42"/>
      <c r="L29" s="42">
        <v>1.0</v>
      </c>
      <c r="M29" s="42"/>
      <c r="N29" s="42"/>
      <c r="O29" s="42">
        <f t="shared" si="2"/>
        <v>1</v>
      </c>
      <c r="P29" s="42"/>
    </row>
    <row r="30" ht="15.75" customHeight="1">
      <c r="A30" s="43"/>
      <c r="B30" s="43"/>
      <c r="C30" s="13"/>
      <c r="D30" s="26" t="s">
        <v>44</v>
      </c>
      <c r="E30" s="42"/>
      <c r="F30" s="42"/>
      <c r="G30" s="42">
        <v>2.0</v>
      </c>
      <c r="H30" s="42"/>
      <c r="I30" s="42">
        <f t="shared" si="1"/>
        <v>2</v>
      </c>
      <c r="J30" s="42"/>
      <c r="K30" s="42"/>
      <c r="L30" s="42"/>
      <c r="M30" s="42">
        <v>2.0</v>
      </c>
      <c r="N30" s="42"/>
      <c r="O30" s="42">
        <f t="shared" si="2"/>
        <v>2</v>
      </c>
      <c r="P30" s="42"/>
    </row>
    <row r="31" ht="15.75" customHeight="1">
      <c r="A31" s="1"/>
      <c r="B31" s="1"/>
      <c r="C31" s="13"/>
      <c r="D31" s="26" t="s">
        <v>141</v>
      </c>
      <c r="E31" s="42">
        <v>1.0</v>
      </c>
      <c r="F31" s="42"/>
      <c r="G31" s="42"/>
      <c r="H31" s="42"/>
      <c r="I31" s="42">
        <f t="shared" si="1"/>
        <v>1</v>
      </c>
      <c r="J31" s="42"/>
      <c r="K31" s="42">
        <v>1.0</v>
      </c>
      <c r="L31" s="42"/>
      <c r="M31" s="42"/>
      <c r="N31" s="42"/>
      <c r="O31" s="42">
        <f t="shared" si="2"/>
        <v>1</v>
      </c>
      <c r="P31" s="42"/>
    </row>
    <row r="32" ht="15.75" customHeight="1">
      <c r="A32" s="1"/>
      <c r="B32" s="1"/>
      <c r="C32" s="13"/>
      <c r="D32" s="26" t="s">
        <v>45</v>
      </c>
      <c r="E32" s="42"/>
      <c r="F32" s="42"/>
      <c r="G32" s="42">
        <v>1.0</v>
      </c>
      <c r="H32" s="42"/>
      <c r="I32" s="42">
        <f t="shared" si="1"/>
        <v>1</v>
      </c>
      <c r="J32" s="42"/>
      <c r="K32" s="42"/>
      <c r="L32" s="42"/>
      <c r="M32" s="42">
        <v>1.0</v>
      </c>
      <c r="N32" s="42"/>
      <c r="O32" s="42">
        <f t="shared" si="2"/>
        <v>1</v>
      </c>
      <c r="P32" s="42"/>
    </row>
    <row r="33" ht="15.75" customHeight="1">
      <c r="A33" s="1"/>
      <c r="B33" s="1"/>
      <c r="C33" s="13"/>
      <c r="D33" s="26" t="s">
        <v>46</v>
      </c>
      <c r="E33" s="42"/>
      <c r="F33" s="42"/>
      <c r="G33" s="42">
        <v>3.0</v>
      </c>
      <c r="H33" s="42"/>
      <c r="I33" s="42">
        <f t="shared" si="1"/>
        <v>3</v>
      </c>
      <c r="J33" s="42"/>
      <c r="K33" s="42"/>
      <c r="L33" s="42"/>
      <c r="M33" s="42">
        <v>3.0</v>
      </c>
      <c r="N33" s="42"/>
      <c r="O33" s="42">
        <f t="shared" si="2"/>
        <v>3</v>
      </c>
      <c r="P33" s="42"/>
    </row>
    <row r="34" ht="15.75" customHeight="1">
      <c r="A34" s="1"/>
      <c r="B34" s="1"/>
      <c r="C34" s="13"/>
      <c r="D34" s="26" t="s">
        <v>47</v>
      </c>
      <c r="E34" s="42"/>
      <c r="F34" s="42"/>
      <c r="G34" s="42"/>
      <c r="H34" s="42"/>
      <c r="I34" s="42">
        <f t="shared" si="1"/>
        <v>0</v>
      </c>
      <c r="J34" s="42"/>
      <c r="K34" s="42"/>
      <c r="L34" s="42"/>
      <c r="M34" s="42"/>
      <c r="N34" s="42"/>
      <c r="O34" s="42">
        <f t="shared" si="2"/>
        <v>0</v>
      </c>
      <c r="P34" s="42"/>
    </row>
    <row r="35" ht="15.75" customHeight="1">
      <c r="A35" s="1"/>
      <c r="B35" s="1"/>
      <c r="C35" s="13"/>
      <c r="D35" s="26" t="s">
        <v>48</v>
      </c>
      <c r="E35" s="42"/>
      <c r="F35" s="42"/>
      <c r="G35" s="42">
        <v>1.0</v>
      </c>
      <c r="H35" s="42"/>
      <c r="I35" s="42">
        <f t="shared" si="1"/>
        <v>1</v>
      </c>
      <c r="J35" s="42"/>
      <c r="K35" s="42"/>
      <c r="L35" s="42"/>
      <c r="M35" s="42">
        <v>1.0</v>
      </c>
      <c r="N35" s="42"/>
      <c r="O35" s="42">
        <f t="shared" si="2"/>
        <v>1</v>
      </c>
      <c r="P35" s="42"/>
    </row>
    <row r="36" ht="15.75" customHeight="1">
      <c r="A36" s="1"/>
      <c r="B36" s="1"/>
      <c r="C36" s="41" t="s">
        <v>49</v>
      </c>
      <c r="D36" s="26" t="s">
        <v>50</v>
      </c>
      <c r="E36" s="42"/>
      <c r="F36" s="42"/>
      <c r="G36" s="42"/>
      <c r="H36" s="42"/>
      <c r="I36" s="42">
        <f t="shared" si="1"/>
        <v>0</v>
      </c>
      <c r="J36" s="42"/>
      <c r="K36" s="42"/>
      <c r="L36" s="42"/>
      <c r="M36" s="42"/>
      <c r="N36" s="42"/>
      <c r="O36" s="42">
        <f t="shared" si="2"/>
        <v>0</v>
      </c>
      <c r="P36" s="42"/>
    </row>
    <row r="37" ht="15.75" customHeight="1">
      <c r="A37" s="1"/>
      <c r="B37" s="1"/>
      <c r="C37" s="13"/>
      <c r="D37" s="26" t="s">
        <v>95</v>
      </c>
      <c r="E37" s="42"/>
      <c r="F37" s="42">
        <v>1.0</v>
      </c>
      <c r="G37" s="42"/>
      <c r="H37" s="42"/>
      <c r="I37" s="42">
        <f t="shared" si="1"/>
        <v>1</v>
      </c>
      <c r="J37" s="42"/>
      <c r="K37" s="42"/>
      <c r="L37" s="42">
        <v>1.0</v>
      </c>
      <c r="M37" s="42"/>
      <c r="N37" s="42"/>
      <c r="O37" s="42">
        <f t="shared" si="2"/>
        <v>1</v>
      </c>
      <c r="P37" s="42"/>
    </row>
    <row r="38" ht="15.75" customHeight="1">
      <c r="A38" s="1"/>
      <c r="B38" s="1"/>
      <c r="C38" s="13"/>
      <c r="D38" s="26" t="s">
        <v>97</v>
      </c>
      <c r="E38" s="42"/>
      <c r="F38" s="42"/>
      <c r="G38" s="42">
        <v>2.0</v>
      </c>
      <c r="H38" s="42"/>
      <c r="I38" s="42">
        <f t="shared" si="1"/>
        <v>2</v>
      </c>
      <c r="J38" s="42"/>
      <c r="K38" s="42"/>
      <c r="L38" s="42"/>
      <c r="M38" s="42">
        <v>2.0</v>
      </c>
      <c r="N38" s="42"/>
      <c r="O38" s="42">
        <f t="shared" si="2"/>
        <v>2</v>
      </c>
      <c r="P38" s="42"/>
    </row>
    <row r="39" ht="15.75" customHeight="1">
      <c r="A39" s="1"/>
      <c r="B39" s="1"/>
      <c r="C39" s="13"/>
      <c r="D39" s="26" t="s">
        <v>99</v>
      </c>
      <c r="E39" s="42"/>
      <c r="F39" s="42"/>
      <c r="G39" s="42"/>
      <c r="H39" s="42"/>
      <c r="I39" s="42">
        <f t="shared" si="1"/>
        <v>0</v>
      </c>
      <c r="J39" s="42"/>
      <c r="K39" s="42"/>
      <c r="L39" s="42"/>
      <c r="M39" s="42"/>
      <c r="N39" s="42"/>
      <c r="O39" s="42">
        <f t="shared" si="2"/>
        <v>0</v>
      </c>
      <c r="P39" s="42"/>
    </row>
    <row r="40" ht="15.75" customHeight="1">
      <c r="A40" s="1"/>
      <c r="B40" s="1"/>
      <c r="C40" s="13"/>
      <c r="D40" s="26" t="s">
        <v>52</v>
      </c>
      <c r="E40" s="42"/>
      <c r="F40" s="42"/>
      <c r="G40" s="42"/>
      <c r="H40" s="42"/>
      <c r="I40" s="42">
        <f t="shared" si="1"/>
        <v>0</v>
      </c>
      <c r="J40" s="42"/>
      <c r="K40" s="42"/>
      <c r="L40" s="42"/>
      <c r="M40" s="42"/>
      <c r="N40" s="42"/>
      <c r="O40" s="42">
        <f t="shared" si="2"/>
        <v>0</v>
      </c>
      <c r="P40" s="42"/>
    </row>
    <row r="41" ht="15.75" customHeight="1">
      <c r="A41" s="1"/>
      <c r="B41" s="1"/>
      <c r="C41" s="13"/>
      <c r="D41" s="26" t="s">
        <v>104</v>
      </c>
      <c r="E41" s="42"/>
      <c r="F41" s="42"/>
      <c r="G41" s="42"/>
      <c r="H41" s="42"/>
      <c r="I41" s="42">
        <f t="shared" si="1"/>
        <v>0</v>
      </c>
      <c r="J41" s="42"/>
      <c r="K41" s="42"/>
      <c r="L41" s="42"/>
      <c r="M41" s="42"/>
      <c r="N41" s="42"/>
      <c r="O41" s="42">
        <f t="shared" si="2"/>
        <v>0</v>
      </c>
      <c r="P41" s="42"/>
    </row>
    <row r="42" ht="15.75" customHeight="1">
      <c r="A42" s="1"/>
      <c r="B42" s="1"/>
      <c r="C42" s="13"/>
      <c r="D42" s="26" t="s">
        <v>55</v>
      </c>
      <c r="E42" s="42"/>
      <c r="F42" s="42"/>
      <c r="G42" s="42"/>
      <c r="H42" s="42"/>
      <c r="I42" s="42">
        <f t="shared" si="1"/>
        <v>0</v>
      </c>
      <c r="J42" s="42"/>
      <c r="K42" s="42"/>
      <c r="L42" s="42"/>
      <c r="M42" s="42"/>
      <c r="N42" s="42"/>
      <c r="O42" s="42">
        <f t="shared" si="2"/>
        <v>0</v>
      </c>
      <c r="P42" s="42"/>
    </row>
    <row r="43" ht="15.75" customHeight="1">
      <c r="A43" s="1"/>
      <c r="B43" s="1"/>
      <c r="C43" s="21"/>
      <c r="D43" s="26" t="s">
        <v>106</v>
      </c>
      <c r="E43" s="42"/>
      <c r="F43" s="42"/>
      <c r="G43" s="42"/>
      <c r="H43" s="42"/>
      <c r="I43" s="42">
        <f t="shared" si="1"/>
        <v>0</v>
      </c>
      <c r="J43" s="42"/>
      <c r="K43" s="42"/>
      <c r="L43" s="42"/>
      <c r="M43" s="42"/>
      <c r="N43" s="42"/>
      <c r="O43" s="42">
        <f t="shared" si="2"/>
        <v>0</v>
      </c>
      <c r="P43" s="42"/>
    </row>
    <row r="44" ht="15.75" customHeight="1">
      <c r="A44" s="1"/>
      <c r="B44" s="1"/>
      <c r="C44" s="49" t="s">
        <v>53</v>
      </c>
      <c r="D44" s="26" t="s">
        <v>53</v>
      </c>
      <c r="E44" s="42">
        <v>1.0</v>
      </c>
      <c r="F44" s="42"/>
      <c r="G44" s="42">
        <v>1.0</v>
      </c>
      <c r="H44" s="42"/>
      <c r="I44" s="42">
        <f t="shared" si="1"/>
        <v>2</v>
      </c>
      <c r="J44" s="42"/>
      <c r="K44" s="42">
        <v>1.0</v>
      </c>
      <c r="L44" s="42"/>
      <c r="M44" s="42">
        <v>1.0</v>
      </c>
      <c r="N44" s="42"/>
      <c r="O44" s="42">
        <f t="shared" si="2"/>
        <v>2</v>
      </c>
      <c r="P44" s="42"/>
    </row>
    <row r="45" ht="15.75" customHeight="1">
      <c r="A45" s="1"/>
      <c r="B45" s="1"/>
      <c r="C45" s="34" t="s">
        <v>54</v>
      </c>
      <c r="D45" s="26" t="s">
        <v>56</v>
      </c>
      <c r="E45" s="42"/>
      <c r="F45" s="42"/>
      <c r="G45" s="42"/>
      <c r="H45" s="42"/>
      <c r="I45" s="42">
        <f t="shared" si="1"/>
        <v>0</v>
      </c>
      <c r="J45" s="42"/>
      <c r="K45" s="42"/>
      <c r="L45" s="42"/>
      <c r="M45" s="42"/>
      <c r="N45" s="42"/>
      <c r="O45" s="42">
        <f t="shared" si="2"/>
        <v>0</v>
      </c>
      <c r="P45" s="42"/>
    </row>
    <row r="46" ht="15.75" customHeight="1">
      <c r="A46" s="1"/>
      <c r="B46" s="1"/>
      <c r="C46" s="13"/>
      <c r="D46" s="26" t="s">
        <v>111</v>
      </c>
      <c r="E46" s="42">
        <v>1.0</v>
      </c>
      <c r="F46" s="42"/>
      <c r="G46" s="42"/>
      <c r="H46" s="42"/>
      <c r="I46" s="42">
        <f t="shared" si="1"/>
        <v>1</v>
      </c>
      <c r="J46" s="42"/>
      <c r="K46" s="42">
        <v>1.0</v>
      </c>
      <c r="L46" s="42"/>
      <c r="M46" s="42"/>
      <c r="N46" s="42"/>
      <c r="O46" s="42">
        <f t="shared" si="2"/>
        <v>1</v>
      </c>
      <c r="P46" s="42"/>
    </row>
    <row r="47" ht="15.75" customHeight="1">
      <c r="A47" s="1"/>
      <c r="B47" s="1"/>
      <c r="C47" s="21"/>
      <c r="D47" s="26" t="s">
        <v>54</v>
      </c>
      <c r="E47" s="42">
        <v>2.0</v>
      </c>
      <c r="F47" s="42"/>
      <c r="G47" s="42">
        <v>5.0</v>
      </c>
      <c r="H47" s="42"/>
      <c r="I47" s="42">
        <f t="shared" si="1"/>
        <v>7</v>
      </c>
      <c r="J47" s="42"/>
      <c r="K47" s="42">
        <v>2.0</v>
      </c>
      <c r="L47" s="42"/>
      <c r="M47" s="42">
        <v>5.0</v>
      </c>
      <c r="N47" s="42"/>
      <c r="O47" s="42">
        <f t="shared" si="2"/>
        <v>7</v>
      </c>
      <c r="P47" s="42"/>
    </row>
    <row r="48" ht="15.75" customHeight="1">
      <c r="A48" s="1"/>
      <c r="B48" s="1"/>
      <c r="C48" s="34" t="s">
        <v>57</v>
      </c>
      <c r="D48" s="26" t="s">
        <v>59</v>
      </c>
      <c r="E48" s="42"/>
      <c r="F48" s="42"/>
      <c r="G48" s="42"/>
      <c r="H48" s="42"/>
      <c r="I48" s="42">
        <f t="shared" si="1"/>
        <v>0</v>
      </c>
      <c r="J48" s="42"/>
      <c r="K48" s="42"/>
      <c r="L48" s="42"/>
      <c r="M48" s="42"/>
      <c r="N48" s="42"/>
      <c r="O48" s="42">
        <f t="shared" si="2"/>
        <v>0</v>
      </c>
      <c r="P48" s="42"/>
    </row>
    <row r="49" ht="15.75" customHeight="1">
      <c r="A49" s="1"/>
      <c r="B49" s="1"/>
      <c r="C49" s="13"/>
      <c r="D49" s="26" t="s">
        <v>114</v>
      </c>
      <c r="E49" s="42">
        <v>1.0</v>
      </c>
      <c r="F49" s="42">
        <v>1.0</v>
      </c>
      <c r="G49" s="42"/>
      <c r="H49" s="42"/>
      <c r="I49" s="42">
        <f t="shared" si="1"/>
        <v>2</v>
      </c>
      <c r="J49" s="42"/>
      <c r="K49" s="42">
        <v>1.0</v>
      </c>
      <c r="L49" s="42">
        <v>1.0</v>
      </c>
      <c r="M49" s="42"/>
      <c r="N49" s="42"/>
      <c r="O49" s="42">
        <f t="shared" si="2"/>
        <v>2</v>
      </c>
      <c r="P49" s="42"/>
    </row>
    <row r="50" ht="15.75" customHeight="1">
      <c r="A50" s="1"/>
      <c r="B50" s="1"/>
      <c r="C50" s="21"/>
      <c r="D50" s="26" t="s">
        <v>60</v>
      </c>
      <c r="E50" s="42"/>
      <c r="F50" s="42"/>
      <c r="G50" s="42">
        <v>1.0</v>
      </c>
      <c r="H50" s="42"/>
      <c r="I50" s="42">
        <f t="shared" si="1"/>
        <v>1</v>
      </c>
      <c r="J50" s="42"/>
      <c r="K50" s="42"/>
      <c r="L50" s="42"/>
      <c r="M50" s="42">
        <v>1.0</v>
      </c>
      <c r="N50" s="42"/>
      <c r="O50" s="42">
        <f t="shared" si="2"/>
        <v>1</v>
      </c>
      <c r="P50" s="42"/>
    </row>
    <row r="51" ht="15.75" customHeight="1">
      <c r="A51" s="1"/>
      <c r="B51" s="1"/>
      <c r="C51" s="34" t="s">
        <v>62</v>
      </c>
      <c r="D51" s="26" t="s">
        <v>64</v>
      </c>
      <c r="E51" s="42">
        <v>1.0</v>
      </c>
      <c r="F51" s="42"/>
      <c r="G51" s="42"/>
      <c r="H51" s="42"/>
      <c r="I51" s="42">
        <f t="shared" si="1"/>
        <v>1</v>
      </c>
      <c r="J51" s="42"/>
      <c r="K51" s="42">
        <v>1.0</v>
      </c>
      <c r="L51" s="42"/>
      <c r="M51" s="42"/>
      <c r="N51" s="42"/>
      <c r="O51" s="42">
        <f t="shared" si="2"/>
        <v>1</v>
      </c>
      <c r="P51" s="42"/>
    </row>
    <row r="52" ht="15.75" customHeight="1">
      <c r="A52" s="1"/>
      <c r="B52" s="1"/>
      <c r="C52" s="13"/>
      <c r="D52" s="26" t="s">
        <v>65</v>
      </c>
      <c r="E52" s="42">
        <v>1.0</v>
      </c>
      <c r="F52" s="42"/>
      <c r="G52" s="42"/>
      <c r="H52" s="42"/>
      <c r="I52" s="42">
        <f t="shared" si="1"/>
        <v>1</v>
      </c>
      <c r="J52" s="42"/>
      <c r="K52" s="42">
        <v>1.0</v>
      </c>
      <c r="L52" s="42"/>
      <c r="M52" s="42"/>
      <c r="N52" s="42"/>
      <c r="O52" s="42">
        <f t="shared" si="2"/>
        <v>1</v>
      </c>
      <c r="P52" s="42"/>
    </row>
    <row r="53" ht="15.75" customHeight="1">
      <c r="A53" s="1"/>
      <c r="B53" s="1"/>
      <c r="C53" s="13"/>
      <c r="D53" s="26" t="s">
        <v>66</v>
      </c>
      <c r="E53" s="42"/>
      <c r="F53" s="42"/>
      <c r="G53" s="42">
        <v>1.0</v>
      </c>
      <c r="H53" s="42"/>
      <c r="I53" s="42">
        <f t="shared" si="1"/>
        <v>1</v>
      </c>
      <c r="J53" s="42"/>
      <c r="K53" s="42"/>
      <c r="L53" s="42"/>
      <c r="M53" s="42">
        <v>1.0</v>
      </c>
      <c r="N53" s="42"/>
      <c r="O53" s="42">
        <f t="shared" si="2"/>
        <v>1</v>
      </c>
      <c r="P53" s="42"/>
    </row>
    <row r="54" ht="15.75" customHeight="1">
      <c r="A54" s="1"/>
      <c r="B54" s="1"/>
      <c r="C54" s="13"/>
      <c r="D54" s="26" t="s">
        <v>158</v>
      </c>
      <c r="E54" s="42">
        <v>1.0</v>
      </c>
      <c r="F54" s="42"/>
      <c r="G54" s="42"/>
      <c r="H54" s="42"/>
      <c r="I54" s="42">
        <f t="shared" si="1"/>
        <v>1</v>
      </c>
      <c r="J54" s="42"/>
      <c r="K54" s="42">
        <v>1.0</v>
      </c>
      <c r="L54" s="42"/>
      <c r="M54" s="42"/>
      <c r="N54" s="42"/>
      <c r="O54" s="42">
        <f t="shared" si="2"/>
        <v>1</v>
      </c>
      <c r="P54" s="42"/>
    </row>
    <row r="55" ht="15.75" customHeight="1">
      <c r="A55" s="1"/>
      <c r="B55" s="1"/>
      <c r="C55" s="13"/>
      <c r="D55" s="26" t="s">
        <v>160</v>
      </c>
      <c r="E55" s="42">
        <v>1.0</v>
      </c>
      <c r="F55" s="42"/>
      <c r="G55" s="42"/>
      <c r="H55" s="42"/>
      <c r="I55" s="42">
        <f t="shared" si="1"/>
        <v>1</v>
      </c>
      <c r="J55" s="42"/>
      <c r="K55" s="42">
        <v>1.0</v>
      </c>
      <c r="L55" s="42"/>
      <c r="M55" s="42"/>
      <c r="N55" s="42"/>
      <c r="O55" s="42">
        <f t="shared" si="2"/>
        <v>1</v>
      </c>
      <c r="P55" s="42"/>
    </row>
    <row r="56" ht="15.75" customHeight="1">
      <c r="A56" s="1"/>
      <c r="B56" s="1"/>
      <c r="C56" s="13"/>
      <c r="D56" s="26" t="s">
        <v>161</v>
      </c>
      <c r="E56" s="42"/>
      <c r="F56" s="42"/>
      <c r="G56" s="42">
        <v>1.0</v>
      </c>
      <c r="H56" s="42"/>
      <c r="I56" s="42">
        <f t="shared" si="1"/>
        <v>1</v>
      </c>
      <c r="J56" s="42"/>
      <c r="K56" s="42"/>
      <c r="L56" s="42"/>
      <c r="M56" s="42">
        <v>1.0</v>
      </c>
      <c r="N56" s="42"/>
      <c r="O56" s="42">
        <f t="shared" si="2"/>
        <v>1</v>
      </c>
      <c r="P56" s="42"/>
    </row>
    <row r="57" ht="15.75" customHeight="1">
      <c r="A57" s="1"/>
      <c r="B57" s="1"/>
      <c r="C57" s="13"/>
      <c r="D57" s="26" t="s">
        <v>164</v>
      </c>
      <c r="E57" s="42"/>
      <c r="F57" s="42"/>
      <c r="G57" s="42">
        <v>1.0</v>
      </c>
      <c r="H57" s="42"/>
      <c r="I57" s="42">
        <f t="shared" si="1"/>
        <v>1</v>
      </c>
      <c r="J57" s="42"/>
      <c r="K57" s="42"/>
      <c r="L57" s="42"/>
      <c r="M57" s="42">
        <v>1.0</v>
      </c>
      <c r="N57" s="42"/>
      <c r="O57" s="42">
        <f t="shared" si="2"/>
        <v>1</v>
      </c>
      <c r="P57" s="42"/>
    </row>
    <row r="58" ht="15.75" customHeight="1">
      <c r="A58" s="1"/>
      <c r="B58" s="1"/>
      <c r="C58" s="13"/>
      <c r="D58" s="26" t="s">
        <v>166</v>
      </c>
      <c r="E58" s="42">
        <v>1.0</v>
      </c>
      <c r="F58" s="42">
        <v>4.0</v>
      </c>
      <c r="G58" s="42">
        <f>1+1+3</f>
        <v>5</v>
      </c>
      <c r="H58" s="42"/>
      <c r="I58" s="42">
        <f t="shared" si="1"/>
        <v>10</v>
      </c>
      <c r="J58" s="42"/>
      <c r="K58" s="42">
        <v>1.0</v>
      </c>
      <c r="L58" s="42">
        <v>4.0</v>
      </c>
      <c r="M58" s="42">
        <f>1+1+3</f>
        <v>5</v>
      </c>
      <c r="N58" s="42"/>
      <c r="O58" s="42">
        <f t="shared" si="2"/>
        <v>10</v>
      </c>
      <c r="P58" s="42"/>
    </row>
    <row r="59" ht="15.75" customHeight="1">
      <c r="A59" s="1"/>
      <c r="B59" s="1"/>
      <c r="C59" s="13"/>
      <c r="D59" s="79" t="s">
        <v>170</v>
      </c>
      <c r="E59" s="42">
        <v>3.0</v>
      </c>
      <c r="F59" s="42"/>
      <c r="G59" s="42">
        <v>4.0</v>
      </c>
      <c r="H59" s="42"/>
      <c r="I59" s="42">
        <f t="shared" si="1"/>
        <v>7</v>
      </c>
      <c r="J59" s="42"/>
      <c r="K59" s="42">
        <v>3.0</v>
      </c>
      <c r="L59" s="42"/>
      <c r="M59" s="42">
        <v>4.0</v>
      </c>
      <c r="N59" s="42"/>
      <c r="O59" s="42">
        <f t="shared" si="2"/>
        <v>7</v>
      </c>
      <c r="P59" s="42"/>
    </row>
    <row r="60" ht="15.75" customHeight="1">
      <c r="A60" s="1"/>
      <c r="B60" s="1"/>
      <c r="C60" s="13"/>
      <c r="D60" s="26" t="s">
        <v>172</v>
      </c>
      <c r="E60" s="42"/>
      <c r="F60" s="42"/>
      <c r="G60" s="42">
        <v>1.0</v>
      </c>
      <c r="H60" s="42"/>
      <c r="I60" s="42">
        <f t="shared" si="1"/>
        <v>1</v>
      </c>
      <c r="J60" s="42"/>
      <c r="K60" s="42"/>
      <c r="L60" s="42"/>
      <c r="M60" s="42">
        <v>1.0</v>
      </c>
      <c r="N60" s="42"/>
      <c r="O60" s="42">
        <f t="shared" si="2"/>
        <v>1</v>
      </c>
      <c r="P60" s="42"/>
    </row>
    <row r="61" ht="15.75" customHeight="1">
      <c r="A61" s="1"/>
      <c r="B61" s="1"/>
      <c r="C61" s="13"/>
      <c r="D61" s="26" t="s">
        <v>173</v>
      </c>
      <c r="E61" s="42">
        <v>1.0</v>
      </c>
      <c r="F61" s="42">
        <v>1.0</v>
      </c>
      <c r="G61" s="42">
        <v>1.0</v>
      </c>
      <c r="H61" s="42">
        <v>16.0</v>
      </c>
      <c r="I61" s="42">
        <f t="shared" si="1"/>
        <v>19</v>
      </c>
      <c r="J61" s="42"/>
      <c r="K61" s="42">
        <v>1.0</v>
      </c>
      <c r="L61" s="42"/>
      <c r="M61" s="42">
        <v>2.0</v>
      </c>
      <c r="N61" s="42">
        <v>16.0</v>
      </c>
      <c r="O61" s="42">
        <f t="shared" si="2"/>
        <v>19</v>
      </c>
      <c r="P61" s="42"/>
    </row>
    <row r="62" ht="15.75" customHeight="1">
      <c r="A62" s="1"/>
      <c r="B62" s="1"/>
      <c r="C62" s="13"/>
      <c r="D62" s="26" t="s">
        <v>89</v>
      </c>
      <c r="E62" s="42"/>
      <c r="F62" s="42"/>
      <c r="G62" s="42">
        <v>2.0</v>
      </c>
      <c r="H62" s="42"/>
      <c r="I62" s="42">
        <f t="shared" si="1"/>
        <v>2</v>
      </c>
      <c r="J62" s="42"/>
      <c r="K62" s="42"/>
      <c r="L62" s="42"/>
      <c r="M62" s="42">
        <v>2.0</v>
      </c>
      <c r="N62" s="42"/>
      <c r="O62" s="42">
        <f t="shared" si="2"/>
        <v>2</v>
      </c>
      <c r="P62" s="42"/>
    </row>
    <row r="63" ht="15.75" customHeight="1">
      <c r="A63" s="1"/>
      <c r="B63" s="1"/>
      <c r="C63" s="13"/>
      <c r="D63" s="26" t="s">
        <v>176</v>
      </c>
      <c r="E63" s="42"/>
      <c r="F63" s="42"/>
      <c r="G63" s="42">
        <v>6.0</v>
      </c>
      <c r="H63" s="42"/>
      <c r="I63" s="42">
        <f t="shared" si="1"/>
        <v>6</v>
      </c>
      <c r="J63" s="42"/>
      <c r="K63" s="42"/>
      <c r="L63" s="42"/>
      <c r="M63" s="42">
        <v>6.0</v>
      </c>
      <c r="N63" s="42"/>
      <c r="O63" s="42">
        <f t="shared" si="2"/>
        <v>6</v>
      </c>
      <c r="P63" s="42"/>
    </row>
    <row r="64" ht="15.75" customHeight="1">
      <c r="A64" s="1"/>
      <c r="B64" s="1"/>
      <c r="C64" s="13"/>
      <c r="D64" s="26" t="s">
        <v>94</v>
      </c>
      <c r="E64" s="42"/>
      <c r="F64" s="42"/>
      <c r="G64" s="42"/>
      <c r="H64" s="42">
        <v>6.0</v>
      </c>
      <c r="I64" s="42">
        <f t="shared" si="1"/>
        <v>6</v>
      </c>
      <c r="J64" s="42"/>
      <c r="K64" s="42"/>
      <c r="L64" s="42"/>
      <c r="M64" s="42"/>
      <c r="N64" s="42">
        <v>6.0</v>
      </c>
      <c r="O64" s="42">
        <f t="shared" si="2"/>
        <v>6</v>
      </c>
      <c r="P64" s="42"/>
    </row>
    <row r="65" ht="15.75" customHeight="1">
      <c r="A65" s="1"/>
      <c r="B65" s="1"/>
      <c r="C65" s="13"/>
      <c r="D65" s="26" t="s">
        <v>96</v>
      </c>
      <c r="E65" s="42"/>
      <c r="F65" s="42"/>
      <c r="G65" s="42">
        <v>3.0</v>
      </c>
      <c r="H65" s="42">
        <v>27.0</v>
      </c>
      <c r="I65" s="42">
        <f t="shared" si="1"/>
        <v>30</v>
      </c>
      <c r="J65" s="42"/>
      <c r="K65" s="42"/>
      <c r="L65" s="42"/>
      <c r="M65" s="42">
        <v>3.0</v>
      </c>
      <c r="N65" s="42">
        <v>27.0</v>
      </c>
      <c r="O65" s="42">
        <f t="shared" si="2"/>
        <v>30</v>
      </c>
      <c r="P65" s="42"/>
    </row>
    <row r="66" ht="15.75" customHeight="1">
      <c r="A66" s="1"/>
      <c r="B66" s="1"/>
      <c r="C66" s="13"/>
      <c r="D66" s="26" t="s">
        <v>181</v>
      </c>
      <c r="E66" s="42"/>
      <c r="F66" s="42"/>
      <c r="G66" s="42"/>
      <c r="H66" s="42"/>
      <c r="I66" s="42">
        <f t="shared" si="1"/>
        <v>0</v>
      </c>
      <c r="J66" s="42"/>
      <c r="K66" s="42"/>
      <c r="L66" s="42"/>
      <c r="M66" s="42"/>
      <c r="N66" s="42"/>
      <c r="O66" s="42">
        <f t="shared" si="2"/>
        <v>0</v>
      </c>
      <c r="P66" s="42"/>
    </row>
    <row r="67" ht="15.75" customHeight="1">
      <c r="A67" s="1"/>
      <c r="B67" s="1"/>
      <c r="C67" s="13"/>
      <c r="D67" s="26" t="s">
        <v>183</v>
      </c>
      <c r="E67" s="42"/>
      <c r="F67" s="42"/>
      <c r="G67" s="42"/>
      <c r="H67" s="42">
        <v>6.0</v>
      </c>
      <c r="I67" s="42">
        <f t="shared" si="1"/>
        <v>6</v>
      </c>
      <c r="J67" s="42"/>
      <c r="K67" s="42"/>
      <c r="L67" s="42"/>
      <c r="M67" s="42"/>
      <c r="N67" s="42">
        <v>6.0</v>
      </c>
      <c r="O67" s="42">
        <f t="shared" si="2"/>
        <v>6</v>
      </c>
      <c r="P67" s="42"/>
    </row>
    <row r="68" ht="15.75" customHeight="1">
      <c r="A68" s="1"/>
      <c r="B68" s="1"/>
      <c r="C68" s="13"/>
      <c r="D68" s="26" t="s">
        <v>184</v>
      </c>
      <c r="E68" s="42"/>
      <c r="F68" s="42"/>
      <c r="G68" s="42"/>
      <c r="H68" s="42"/>
      <c r="I68" s="42">
        <f t="shared" si="1"/>
        <v>0</v>
      </c>
      <c r="J68" s="42"/>
      <c r="K68" s="42"/>
      <c r="L68" s="42"/>
      <c r="M68" s="42"/>
      <c r="N68" s="42"/>
      <c r="O68" s="42">
        <f t="shared" si="2"/>
        <v>0</v>
      </c>
      <c r="P68" s="42"/>
    </row>
    <row r="69" ht="15.75" customHeight="1">
      <c r="A69" s="1"/>
      <c r="B69" s="1"/>
      <c r="C69" s="21"/>
      <c r="D69" s="26" t="s">
        <v>137</v>
      </c>
      <c r="E69" s="42"/>
      <c r="F69" s="42"/>
      <c r="G69" s="42">
        <v>1.0</v>
      </c>
      <c r="H69" s="42"/>
      <c r="I69" s="42">
        <f t="shared" si="1"/>
        <v>1</v>
      </c>
      <c r="J69" s="42"/>
      <c r="K69" s="42"/>
      <c r="L69" s="42"/>
      <c r="M69" s="42">
        <v>1.0</v>
      </c>
      <c r="N69" s="42"/>
      <c r="O69" s="42">
        <f t="shared" si="2"/>
        <v>1</v>
      </c>
      <c r="P69" s="42"/>
    </row>
    <row r="70" ht="15.75" customHeight="1">
      <c r="A70" s="1"/>
      <c r="B70" s="1"/>
      <c r="C70" s="34" t="s">
        <v>139</v>
      </c>
      <c r="D70" s="26" t="s">
        <v>140</v>
      </c>
      <c r="E70" s="42">
        <v>1.0</v>
      </c>
      <c r="F70" s="42"/>
      <c r="G70" s="42"/>
      <c r="H70" s="42"/>
      <c r="I70" s="42">
        <f t="shared" si="1"/>
        <v>1</v>
      </c>
      <c r="J70" s="42"/>
      <c r="K70" s="42">
        <v>1.0</v>
      </c>
      <c r="L70" s="42"/>
      <c r="M70" s="42"/>
      <c r="N70" s="42"/>
      <c r="O70" s="42">
        <f t="shared" si="2"/>
        <v>1</v>
      </c>
      <c r="P70" s="42"/>
    </row>
    <row r="71" ht="15.75" customHeight="1">
      <c r="A71" s="1"/>
      <c r="B71" s="1"/>
      <c r="C71" s="13"/>
      <c r="D71" s="26" t="s">
        <v>107</v>
      </c>
      <c r="E71" s="42"/>
      <c r="F71" s="42"/>
      <c r="G71" s="42"/>
      <c r="H71" s="42"/>
      <c r="I71" s="42">
        <f t="shared" si="1"/>
        <v>0</v>
      </c>
      <c r="J71" s="42"/>
      <c r="K71" s="42"/>
      <c r="L71" s="42"/>
      <c r="M71" s="42"/>
      <c r="N71" s="42"/>
      <c r="O71" s="42">
        <f t="shared" si="2"/>
        <v>0</v>
      </c>
      <c r="P71" s="42"/>
    </row>
    <row r="72" ht="15.75" customHeight="1">
      <c r="A72" s="1"/>
      <c r="B72" s="1"/>
      <c r="C72" s="21"/>
      <c r="D72" s="26" t="s">
        <v>108</v>
      </c>
      <c r="E72" s="42"/>
      <c r="F72" s="42">
        <v>2.0</v>
      </c>
      <c r="G72" s="42">
        <v>1.0</v>
      </c>
      <c r="H72" s="42"/>
      <c r="I72" s="42">
        <f t="shared" si="1"/>
        <v>3</v>
      </c>
      <c r="J72" s="42"/>
      <c r="K72" s="42"/>
      <c r="L72" s="42">
        <v>1.0</v>
      </c>
      <c r="M72" s="42">
        <v>1.0</v>
      </c>
      <c r="N72" s="42"/>
      <c r="O72" s="42">
        <f t="shared" si="2"/>
        <v>2</v>
      </c>
      <c r="P72" s="42"/>
    </row>
    <row r="73" ht="15.75" customHeight="1">
      <c r="A73" s="1"/>
      <c r="B73" s="1"/>
      <c r="C73" s="56" t="s">
        <v>113</v>
      </c>
      <c r="D73" s="57"/>
      <c r="E73" s="42">
        <f t="shared" ref="E73:I73" si="3">SUM(E8:E72)</f>
        <v>20</v>
      </c>
      <c r="F73" s="42">
        <f t="shared" si="3"/>
        <v>15</v>
      </c>
      <c r="G73" s="42">
        <f t="shared" si="3"/>
        <v>50</v>
      </c>
      <c r="H73" s="42">
        <f t="shared" si="3"/>
        <v>55</v>
      </c>
      <c r="I73" s="42">
        <f t="shared" si="3"/>
        <v>140</v>
      </c>
      <c r="J73" s="42"/>
      <c r="K73" s="42">
        <f t="shared" ref="K73:O73" si="4">SUM(K8:K72)</f>
        <v>20</v>
      </c>
      <c r="L73" s="42">
        <f t="shared" si="4"/>
        <v>12</v>
      </c>
      <c r="M73" s="42">
        <f t="shared" si="4"/>
        <v>51</v>
      </c>
      <c r="N73" s="42">
        <f t="shared" si="4"/>
        <v>55</v>
      </c>
      <c r="O73" s="42">
        <f t="shared" si="4"/>
        <v>138</v>
      </c>
      <c r="P73" s="42"/>
    </row>
    <row r="74" ht="15.75" customHeight="1">
      <c r="A74" s="1"/>
      <c r="B74" s="1"/>
      <c r="C74" s="1"/>
      <c r="D74" s="1"/>
      <c r="E74" s="1"/>
      <c r="F74" s="1"/>
      <c r="G74" s="1"/>
      <c r="H74" s="1" t="s">
        <v>187</v>
      </c>
      <c r="I74" s="1">
        <f>I73-O73</f>
        <v>2</v>
      </c>
      <c r="J74" s="1"/>
      <c r="K74" s="1"/>
      <c r="L74" s="1"/>
      <c r="M74" s="1"/>
      <c r="N74" s="1"/>
      <c r="O74" s="67"/>
      <c r="P74" s="67"/>
    </row>
    <row r="75" ht="15.75" customHeight="1">
      <c r="A75" s="1"/>
      <c r="B75" s="1"/>
      <c r="C75" s="1"/>
      <c r="D75" s="1"/>
      <c r="E75" s="1"/>
      <c r="F75" s="1"/>
      <c r="G75" s="1"/>
      <c r="H75" s="1" t="s">
        <v>188</v>
      </c>
      <c r="I75" s="1"/>
      <c r="J75" s="1"/>
      <c r="K75" s="1"/>
      <c r="L75" s="1"/>
      <c r="M75" s="1"/>
      <c r="N75" s="1"/>
      <c r="O75" s="1"/>
      <c r="P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 t="s">
        <v>189</v>
      </c>
      <c r="J76" s="1"/>
      <c r="K76" s="1"/>
      <c r="L76" s="1"/>
      <c r="M76" s="1"/>
      <c r="N76" s="1"/>
      <c r="O76" s="1"/>
      <c r="P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5.75" customHeight="1">
      <c r="A80" s="1"/>
      <c r="B80" s="1"/>
      <c r="C80" s="1"/>
      <c r="D80" s="1"/>
      <c r="E80" s="59"/>
      <c r="F80" s="59"/>
      <c r="G80" s="59"/>
      <c r="H80" s="59"/>
      <c r="I80" s="59"/>
      <c r="J80" s="1"/>
      <c r="K80" s="1"/>
      <c r="L80" s="1"/>
      <c r="M80" s="1"/>
      <c r="N80" s="1"/>
      <c r="O80" s="1"/>
      <c r="P80" s="1"/>
    </row>
    <row r="81" ht="15.75" customHeight="1">
      <c r="A81" s="1"/>
      <c r="B81" s="1"/>
      <c r="C81" s="1"/>
      <c r="D81" s="1"/>
      <c r="E81" s="59"/>
      <c r="F81" s="59"/>
      <c r="G81" s="59"/>
      <c r="H81" s="59"/>
      <c r="I81" s="59"/>
      <c r="J81" s="1"/>
      <c r="K81" s="1"/>
      <c r="L81" s="1"/>
      <c r="M81" s="1"/>
      <c r="N81" s="1"/>
      <c r="O81" s="1"/>
      <c r="P81" s="1"/>
    </row>
    <row r="82" ht="15.75" customHeight="1">
      <c r="A82" s="1"/>
      <c r="B82" s="1"/>
      <c r="C82" s="1"/>
      <c r="D82" s="1"/>
      <c r="E82" s="59"/>
      <c r="F82" s="59"/>
      <c r="G82" s="59"/>
      <c r="H82" s="59"/>
      <c r="I82" s="59"/>
      <c r="J82" s="1"/>
      <c r="K82" s="1"/>
      <c r="L82" s="1"/>
      <c r="M82" s="1"/>
      <c r="N82" s="1"/>
      <c r="O82" s="1"/>
      <c r="P82" s="1"/>
    </row>
    <row r="83" ht="15.75" customHeight="1">
      <c r="A83" s="1"/>
      <c r="B83" s="1"/>
      <c r="C83" s="1"/>
      <c r="D83" s="1"/>
      <c r="E83" s="59"/>
      <c r="F83" s="59"/>
      <c r="G83" s="59"/>
      <c r="H83" s="59"/>
      <c r="I83" s="59"/>
      <c r="J83" s="1"/>
      <c r="K83" s="1"/>
      <c r="L83" s="1"/>
      <c r="M83" s="1"/>
      <c r="N83" s="1"/>
      <c r="O83" s="1"/>
      <c r="P83" s="1"/>
    </row>
    <row r="84" ht="15.75" customHeight="1">
      <c r="A84" s="1"/>
      <c r="B84" s="1"/>
      <c r="C84" s="1"/>
      <c r="D84" s="1"/>
      <c r="E84" s="59"/>
      <c r="F84" s="59"/>
      <c r="G84" s="59"/>
      <c r="H84" s="59"/>
      <c r="I84" s="59"/>
      <c r="J84" s="1"/>
      <c r="K84" s="1"/>
      <c r="L84" s="1"/>
      <c r="M84" s="1"/>
      <c r="N84" s="1"/>
      <c r="O84" s="1"/>
      <c r="P84" s="1"/>
    </row>
    <row r="85" ht="15.75" customHeight="1">
      <c r="A85" s="1"/>
      <c r="B85" s="1"/>
      <c r="C85" s="1"/>
      <c r="D85" s="1"/>
      <c r="E85" s="59"/>
      <c r="F85" s="59"/>
      <c r="G85" s="59"/>
      <c r="H85" s="59"/>
      <c r="I85" s="59"/>
      <c r="J85" s="1"/>
      <c r="K85" s="1"/>
      <c r="L85" s="1"/>
      <c r="M85" s="1"/>
      <c r="N85" s="1"/>
      <c r="O85" s="1"/>
      <c r="P85" s="1"/>
    </row>
    <row r="86" ht="15.75" customHeight="1">
      <c r="A86" s="1"/>
      <c r="B86" s="1"/>
      <c r="C86" s="1"/>
      <c r="D86" s="1"/>
      <c r="E86" s="59"/>
      <c r="F86" s="59"/>
      <c r="G86" s="59"/>
      <c r="H86" s="59"/>
      <c r="I86" s="59"/>
      <c r="J86" s="1"/>
      <c r="K86" s="1"/>
      <c r="L86" s="1"/>
      <c r="M86" s="1"/>
      <c r="N86" s="1"/>
      <c r="O86" s="1"/>
      <c r="P86" s="1"/>
    </row>
    <row r="87" ht="15.75" customHeight="1">
      <c r="A87" s="1"/>
      <c r="B87" s="1"/>
      <c r="C87" s="1"/>
      <c r="D87" s="1"/>
      <c r="E87" s="59"/>
      <c r="F87" s="59"/>
      <c r="G87" s="59"/>
      <c r="H87" s="59"/>
      <c r="I87" s="59"/>
      <c r="J87" s="1"/>
      <c r="K87" s="1"/>
      <c r="L87" s="1"/>
      <c r="M87" s="1"/>
      <c r="N87" s="1"/>
      <c r="O87" s="1"/>
      <c r="P87" s="1"/>
    </row>
    <row r="88" ht="15.75" customHeight="1">
      <c r="A88" s="1"/>
      <c r="B88" s="1"/>
      <c r="C88" s="1"/>
      <c r="D88" s="1"/>
      <c r="E88" s="59"/>
      <c r="F88" s="59"/>
      <c r="G88" s="59"/>
      <c r="H88" s="59"/>
      <c r="I88" s="59"/>
      <c r="J88" s="1"/>
      <c r="K88" s="1"/>
      <c r="L88" s="1"/>
      <c r="M88" s="1"/>
      <c r="N88" s="1"/>
      <c r="O88" s="1"/>
      <c r="P88" s="1"/>
    </row>
    <row r="89" ht="15.75" customHeight="1">
      <c r="A89" s="1"/>
      <c r="B89" s="1"/>
      <c r="C89" s="1"/>
      <c r="D89" s="1"/>
      <c r="E89" s="59"/>
      <c r="F89" s="59"/>
      <c r="G89" s="59"/>
      <c r="H89" s="59"/>
      <c r="I89" s="59"/>
      <c r="J89" s="1"/>
      <c r="K89" s="1"/>
      <c r="L89" s="1"/>
      <c r="M89" s="1"/>
      <c r="N89" s="1"/>
      <c r="O89" s="1"/>
      <c r="P89" s="1"/>
    </row>
    <row r="90" ht="15.75" customHeight="1">
      <c r="A90" s="1"/>
      <c r="B90" s="1"/>
      <c r="C90" s="1"/>
      <c r="D90" s="1"/>
      <c r="E90" s="59"/>
      <c r="F90" s="59"/>
      <c r="G90" s="59"/>
      <c r="H90" s="59"/>
      <c r="I90" s="59"/>
      <c r="J90" s="1"/>
      <c r="K90" s="1"/>
      <c r="L90" s="1"/>
      <c r="M90" s="1"/>
      <c r="N90" s="1"/>
      <c r="O90" s="1"/>
      <c r="P90" s="1"/>
    </row>
    <row r="91" ht="15.75" customHeight="1">
      <c r="A91" s="1"/>
      <c r="B91" s="1"/>
      <c r="C91" s="1"/>
      <c r="D91" s="1"/>
      <c r="E91" s="59"/>
      <c r="F91" s="59"/>
      <c r="G91" s="59"/>
      <c r="H91" s="59"/>
      <c r="I91" s="59"/>
      <c r="J91" s="1"/>
      <c r="K91" s="1"/>
      <c r="L91" s="1"/>
      <c r="M91" s="1"/>
      <c r="N91" s="1"/>
      <c r="O91" s="1"/>
      <c r="P91" s="1"/>
    </row>
    <row r="92" ht="15.75" customHeight="1">
      <c r="A92" s="1"/>
      <c r="B92" s="1"/>
      <c r="C92" s="1"/>
      <c r="D92" s="1"/>
      <c r="E92" s="59"/>
      <c r="F92" s="59"/>
      <c r="G92" s="59"/>
      <c r="H92" s="59"/>
      <c r="I92" s="59"/>
      <c r="J92" s="1"/>
      <c r="K92" s="1"/>
      <c r="L92" s="1"/>
      <c r="M92" s="1"/>
      <c r="N92" s="1"/>
      <c r="O92" s="1"/>
      <c r="P92" s="1"/>
    </row>
    <row r="93" ht="15.75" customHeight="1">
      <c r="A93" s="1"/>
      <c r="B93" s="1"/>
      <c r="C93" s="1"/>
      <c r="D93" s="1"/>
      <c r="E93" s="59"/>
      <c r="F93" s="59"/>
      <c r="G93" s="59"/>
      <c r="H93" s="59"/>
      <c r="I93" s="59"/>
      <c r="J93" s="1"/>
      <c r="K93" s="1"/>
      <c r="L93" s="1"/>
      <c r="M93" s="1"/>
      <c r="N93" s="1"/>
      <c r="O93" s="1"/>
      <c r="P93" s="1"/>
    </row>
    <row r="94" ht="15.75" customHeight="1">
      <c r="A94" s="1"/>
      <c r="B94" s="1"/>
      <c r="C94" s="1"/>
      <c r="D94" s="1"/>
      <c r="E94" s="59"/>
      <c r="F94" s="59"/>
      <c r="G94" s="59"/>
      <c r="H94" s="59"/>
      <c r="I94" s="59"/>
      <c r="J94" s="1"/>
      <c r="K94" s="1"/>
      <c r="L94" s="1"/>
      <c r="M94" s="1"/>
      <c r="N94" s="1"/>
      <c r="O94" s="1"/>
      <c r="P94" s="1"/>
    </row>
    <row r="95" ht="15.75" customHeight="1">
      <c r="A95" s="1"/>
      <c r="B95" s="1"/>
      <c r="C95" s="1"/>
      <c r="D95" s="1"/>
      <c r="E95" s="59"/>
      <c r="F95" s="59"/>
      <c r="G95" s="59"/>
      <c r="H95" s="59"/>
      <c r="I95" s="59"/>
      <c r="J95" s="1"/>
      <c r="K95" s="1"/>
      <c r="L95" s="1"/>
      <c r="M95" s="1"/>
      <c r="N95" s="1"/>
      <c r="O95" s="1"/>
      <c r="P95" s="1"/>
    </row>
    <row r="96" ht="15.75" customHeight="1">
      <c r="A96" s="1"/>
      <c r="B96" s="1"/>
      <c r="C96" s="1"/>
      <c r="D96" s="1"/>
      <c r="E96" s="59"/>
      <c r="F96" s="59"/>
      <c r="G96" s="59"/>
      <c r="H96" s="59"/>
      <c r="I96" s="59"/>
      <c r="J96" s="1"/>
      <c r="K96" s="1"/>
      <c r="L96" s="1"/>
      <c r="M96" s="1"/>
      <c r="N96" s="1"/>
      <c r="O96" s="1"/>
      <c r="P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ht="15.75" hidden="1" customHeight="1">
      <c r="A101" s="1"/>
      <c r="B101" s="1"/>
      <c r="C101" s="4" t="s">
        <v>142</v>
      </c>
      <c r="D101" s="1"/>
      <c r="E101" s="43"/>
      <c r="F101" s="43"/>
      <c r="G101" s="43"/>
      <c r="H101" s="43"/>
      <c r="I101" s="43"/>
      <c r="J101" s="43"/>
      <c r="K101" s="43"/>
      <c r="N101" s="43"/>
      <c r="O101" s="43"/>
      <c r="P101" s="43"/>
    </row>
    <row r="102" ht="15.75" hidden="1" customHeight="1">
      <c r="A102" s="1"/>
      <c r="B102" s="1"/>
      <c r="C102" s="10" t="s">
        <v>5</v>
      </c>
      <c r="D102" s="12" t="s">
        <v>6</v>
      </c>
      <c r="E102" s="63"/>
      <c r="F102" s="63"/>
      <c r="G102" s="63"/>
      <c r="H102" s="63"/>
      <c r="I102" s="11" t="s">
        <v>194</v>
      </c>
      <c r="J102" s="7"/>
      <c r="K102" s="7"/>
      <c r="L102" s="7"/>
      <c r="M102" s="7"/>
      <c r="N102" s="7"/>
      <c r="O102" s="8"/>
      <c r="P102" s="63"/>
    </row>
    <row r="103" ht="15.75" hidden="1" customHeight="1">
      <c r="A103" s="1"/>
      <c r="B103" s="1"/>
      <c r="C103" s="13"/>
      <c r="D103" s="14"/>
      <c r="E103" s="42"/>
      <c r="F103" s="42"/>
      <c r="G103" s="42"/>
      <c r="H103" s="42"/>
      <c r="I103" s="84" t="s">
        <v>7</v>
      </c>
      <c r="J103" s="42"/>
      <c r="K103" s="84" t="s">
        <v>143</v>
      </c>
      <c r="L103" s="84" t="s">
        <v>145</v>
      </c>
      <c r="M103" s="84" t="s">
        <v>146</v>
      </c>
      <c r="N103" s="42"/>
      <c r="O103" s="84" t="s">
        <v>147</v>
      </c>
      <c r="P103" s="42"/>
    </row>
    <row r="104" ht="15.75" hidden="1" customHeight="1">
      <c r="A104" s="1"/>
      <c r="B104" s="1"/>
      <c r="C104" s="13"/>
      <c r="D104" s="14"/>
      <c r="E104" s="42"/>
      <c r="F104" s="42"/>
      <c r="G104" s="42"/>
      <c r="H104" s="42"/>
      <c r="I104" s="14"/>
      <c r="J104" s="42"/>
      <c r="K104" s="14"/>
      <c r="L104" s="14"/>
      <c r="M104" s="14"/>
      <c r="N104" s="42"/>
      <c r="O104" s="14"/>
      <c r="P104" s="42"/>
    </row>
    <row r="105" ht="15.75" hidden="1" customHeight="1">
      <c r="A105" s="1"/>
      <c r="B105" s="1"/>
      <c r="C105" s="21"/>
      <c r="D105" s="23"/>
      <c r="E105" s="42"/>
      <c r="F105" s="42"/>
      <c r="G105" s="42"/>
      <c r="H105" s="42"/>
      <c r="I105" s="23"/>
      <c r="J105" s="42"/>
      <c r="K105" s="23"/>
      <c r="L105" s="23"/>
      <c r="M105" s="23"/>
      <c r="N105" s="42"/>
      <c r="O105" s="23"/>
      <c r="P105" s="42"/>
    </row>
    <row r="106" ht="15.75" hidden="1" customHeight="1">
      <c r="A106" s="1"/>
      <c r="B106" s="1"/>
      <c r="C106" s="24" t="s">
        <v>20</v>
      </c>
      <c r="D106" s="26" t="s">
        <v>20</v>
      </c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>
        <f t="shared" ref="O106:O112" si="5">SUM(K106:M106)</f>
        <v>0</v>
      </c>
      <c r="P106" s="42"/>
    </row>
    <row r="107" ht="15.75" hidden="1" customHeight="1">
      <c r="A107" s="1"/>
      <c r="B107" s="1"/>
      <c r="C107" s="24" t="s">
        <v>150</v>
      </c>
      <c r="D107" s="26" t="s">
        <v>19</v>
      </c>
      <c r="E107" s="42"/>
      <c r="F107" s="42"/>
      <c r="G107" s="42"/>
      <c r="H107" s="42"/>
      <c r="I107" s="42">
        <v>1.0</v>
      </c>
      <c r="J107" s="42"/>
      <c r="K107" s="42"/>
      <c r="L107" s="42">
        <v>1.0</v>
      </c>
      <c r="M107" s="42"/>
      <c r="N107" s="42"/>
      <c r="O107" s="42">
        <f t="shared" si="5"/>
        <v>1</v>
      </c>
      <c r="P107" s="42"/>
    </row>
    <row r="108" ht="15.75" hidden="1" customHeight="1">
      <c r="A108" s="1"/>
      <c r="B108" s="1"/>
      <c r="C108" s="34" t="s">
        <v>21</v>
      </c>
      <c r="D108" s="26" t="s">
        <v>25</v>
      </c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>
        <f t="shared" si="5"/>
        <v>0</v>
      </c>
      <c r="P108" s="42"/>
    </row>
    <row r="109" ht="15.75" hidden="1" customHeight="1">
      <c r="A109" s="1"/>
      <c r="B109" s="1"/>
      <c r="C109" s="13"/>
      <c r="D109" s="26" t="s">
        <v>151</v>
      </c>
      <c r="E109" s="42"/>
      <c r="F109" s="42"/>
      <c r="G109" s="42"/>
      <c r="H109" s="42"/>
      <c r="I109" s="42">
        <v>5.0</v>
      </c>
      <c r="J109" s="42"/>
      <c r="K109" s="42"/>
      <c r="L109" s="42">
        <v>1.0</v>
      </c>
      <c r="M109" s="42">
        <v>4.0</v>
      </c>
      <c r="N109" s="42"/>
      <c r="O109" s="42">
        <f t="shared" si="5"/>
        <v>5</v>
      </c>
      <c r="P109" s="42"/>
    </row>
    <row r="110" ht="15.75" hidden="1" customHeight="1">
      <c r="A110" s="1"/>
      <c r="B110" s="1"/>
      <c r="C110" s="21"/>
      <c r="D110" s="26" t="s">
        <v>28</v>
      </c>
      <c r="E110" s="42"/>
      <c r="F110" s="42"/>
      <c r="G110" s="42"/>
      <c r="H110" s="42"/>
      <c r="I110" s="42">
        <v>4.0</v>
      </c>
      <c r="J110" s="42"/>
      <c r="K110" s="42"/>
      <c r="L110" s="42"/>
      <c r="M110" s="42">
        <v>4.0</v>
      </c>
      <c r="N110" s="42"/>
      <c r="O110" s="42">
        <f t="shared" si="5"/>
        <v>4</v>
      </c>
      <c r="P110" s="42"/>
    </row>
    <row r="111" ht="15.75" hidden="1" customHeight="1">
      <c r="A111" s="1"/>
      <c r="B111" s="1"/>
      <c r="C111" s="34" t="s">
        <v>29</v>
      </c>
      <c r="D111" s="26" t="s">
        <v>31</v>
      </c>
      <c r="E111" s="75"/>
      <c r="F111" s="75"/>
      <c r="G111" s="75"/>
      <c r="H111" s="75"/>
      <c r="I111" s="75">
        <v>3.0</v>
      </c>
      <c r="J111" s="42"/>
      <c r="K111" s="42"/>
      <c r="L111" s="42">
        <v>2.0</v>
      </c>
      <c r="M111" s="42"/>
      <c r="N111" s="42"/>
      <c r="O111" s="42">
        <f t="shared" si="5"/>
        <v>2</v>
      </c>
      <c r="P111" s="42"/>
    </row>
    <row r="112" ht="15.75" hidden="1" customHeight="1">
      <c r="A112" s="1"/>
      <c r="B112" s="1"/>
      <c r="C112" s="21"/>
      <c r="D112" s="26" t="s">
        <v>32</v>
      </c>
      <c r="E112" s="42"/>
      <c r="F112" s="42"/>
      <c r="G112" s="42"/>
      <c r="H112" s="42"/>
      <c r="I112" s="42">
        <v>2.0</v>
      </c>
      <c r="J112" s="42"/>
      <c r="K112" s="42">
        <v>2.0</v>
      </c>
      <c r="L112" s="42"/>
      <c r="M112" s="42"/>
      <c r="N112" s="42"/>
      <c r="O112" s="42">
        <f t="shared" si="5"/>
        <v>2</v>
      </c>
      <c r="P112" s="42"/>
    </row>
    <row r="113" ht="15.75" hidden="1" customHeight="1">
      <c r="A113" s="1"/>
      <c r="B113" s="1"/>
      <c r="C113" s="24" t="s">
        <v>34</v>
      </c>
      <c r="D113" s="26" t="s">
        <v>34</v>
      </c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</row>
    <row r="114" ht="15.75" hidden="1" customHeight="1">
      <c r="A114" s="1"/>
      <c r="B114" s="1"/>
      <c r="C114" s="41" t="s">
        <v>63</v>
      </c>
      <c r="D114" s="26" t="s">
        <v>41</v>
      </c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>
        <f t="shared" ref="O114:O149" si="6">SUM(K114:M114)</f>
        <v>0</v>
      </c>
      <c r="P114" s="42"/>
    </row>
    <row r="115" ht="15.75" hidden="1" customHeight="1">
      <c r="A115" s="1"/>
      <c r="B115" s="1"/>
      <c r="C115" s="13"/>
      <c r="D115" s="26" t="s">
        <v>38</v>
      </c>
      <c r="E115" s="42"/>
      <c r="F115" s="42"/>
      <c r="G115" s="42"/>
      <c r="H115" s="42"/>
      <c r="I115" s="42">
        <v>1.0</v>
      </c>
      <c r="J115" s="42"/>
      <c r="K115" s="42">
        <v>1.0</v>
      </c>
      <c r="L115" s="42"/>
      <c r="M115" s="42"/>
      <c r="N115" s="42"/>
      <c r="O115" s="42">
        <f t="shared" si="6"/>
        <v>1</v>
      </c>
      <c r="P115" s="42"/>
    </row>
    <row r="116" ht="15.75" hidden="1" customHeight="1">
      <c r="A116" s="1"/>
      <c r="B116" s="1"/>
      <c r="C116" s="13"/>
      <c r="D116" s="26" t="s">
        <v>43</v>
      </c>
      <c r="E116" s="42"/>
      <c r="F116" s="42"/>
      <c r="G116" s="42"/>
      <c r="H116" s="42"/>
      <c r="I116" s="42">
        <v>0.0</v>
      </c>
      <c r="J116" s="42"/>
      <c r="K116" s="42"/>
      <c r="L116" s="42"/>
      <c r="M116" s="42"/>
      <c r="N116" s="42"/>
      <c r="O116" s="42">
        <f t="shared" si="6"/>
        <v>0</v>
      </c>
      <c r="P116" s="42"/>
    </row>
    <row r="117" ht="15.75" hidden="1" customHeight="1">
      <c r="A117" s="1"/>
      <c r="B117" s="1"/>
      <c r="C117" s="13"/>
      <c r="D117" s="26" t="s">
        <v>42</v>
      </c>
      <c r="E117" s="42"/>
      <c r="F117" s="42"/>
      <c r="G117" s="42"/>
      <c r="H117" s="42"/>
      <c r="I117" s="42">
        <v>2.0</v>
      </c>
      <c r="J117" s="42"/>
      <c r="K117" s="42"/>
      <c r="L117" s="42">
        <v>1.0</v>
      </c>
      <c r="M117" s="42">
        <v>1.0</v>
      </c>
      <c r="N117" s="42"/>
      <c r="O117" s="42">
        <f t="shared" si="6"/>
        <v>2</v>
      </c>
      <c r="P117" s="42"/>
    </row>
    <row r="118" ht="15.75" hidden="1" customHeight="1">
      <c r="A118" s="1" t="s">
        <v>153</v>
      </c>
      <c r="B118" s="1"/>
      <c r="C118" s="13"/>
      <c r="D118" s="26" t="s">
        <v>154</v>
      </c>
      <c r="E118" s="42"/>
      <c r="F118" s="42"/>
      <c r="G118" s="42"/>
      <c r="H118" s="42"/>
      <c r="I118" s="42">
        <v>4.0</v>
      </c>
      <c r="J118" s="42"/>
      <c r="K118" s="42">
        <v>1.0</v>
      </c>
      <c r="L118" s="63"/>
      <c r="M118" s="63">
        <v>3.0</v>
      </c>
      <c r="N118" s="63"/>
      <c r="O118" s="42">
        <f t="shared" si="6"/>
        <v>4</v>
      </c>
      <c r="P118" s="42"/>
    </row>
    <row r="119" ht="15.75" hidden="1" customHeight="1">
      <c r="A119" s="43"/>
      <c r="B119" s="43"/>
      <c r="C119" s="21"/>
      <c r="D119" s="26" t="s">
        <v>44</v>
      </c>
      <c r="E119" s="42"/>
      <c r="F119" s="42"/>
      <c r="G119" s="42"/>
      <c r="H119" s="42"/>
      <c r="I119" s="42">
        <v>1.0</v>
      </c>
      <c r="J119" s="42"/>
      <c r="K119" s="42"/>
      <c r="L119" s="42"/>
      <c r="M119" s="42">
        <v>1.0</v>
      </c>
      <c r="N119" s="42"/>
      <c r="O119" s="42">
        <f t="shared" si="6"/>
        <v>1</v>
      </c>
      <c r="P119" s="42"/>
    </row>
    <row r="120" ht="15.75" hidden="1" customHeight="1">
      <c r="A120" s="1"/>
      <c r="B120" s="1"/>
      <c r="C120" s="41" t="s">
        <v>49</v>
      </c>
      <c r="D120" s="26" t="s">
        <v>155</v>
      </c>
      <c r="E120" s="42"/>
      <c r="F120" s="42"/>
      <c r="G120" s="42"/>
      <c r="H120" s="42"/>
      <c r="I120" s="42">
        <v>1.0</v>
      </c>
      <c r="J120" s="42"/>
      <c r="K120" s="42"/>
      <c r="L120" s="42">
        <v>1.0</v>
      </c>
      <c r="M120" s="42"/>
      <c r="N120" s="42"/>
      <c r="O120" s="42">
        <f t="shared" si="6"/>
        <v>1</v>
      </c>
      <c r="P120" s="42"/>
    </row>
    <row r="121" ht="15.75" hidden="1" customHeight="1">
      <c r="A121" s="1"/>
      <c r="B121" s="1"/>
      <c r="C121" s="13"/>
      <c r="D121" s="26" t="s">
        <v>51</v>
      </c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>
        <f t="shared" si="6"/>
        <v>0</v>
      </c>
      <c r="P121" s="42"/>
    </row>
    <row r="122" ht="15.75" hidden="1" customHeight="1">
      <c r="A122" s="1"/>
      <c r="B122" s="1"/>
      <c r="C122" s="13"/>
      <c r="D122" s="26" t="s">
        <v>156</v>
      </c>
      <c r="E122" s="75"/>
      <c r="F122" s="75"/>
      <c r="G122" s="75"/>
      <c r="H122" s="75"/>
      <c r="I122" s="75">
        <v>1.0</v>
      </c>
      <c r="J122" s="42"/>
      <c r="K122" s="42"/>
      <c r="L122" s="42"/>
      <c r="M122" s="42"/>
      <c r="N122" s="42"/>
      <c r="O122" s="42">
        <f t="shared" si="6"/>
        <v>0</v>
      </c>
      <c r="P122" s="42"/>
    </row>
    <row r="123" ht="15.75" hidden="1" customHeight="1">
      <c r="A123" s="1"/>
      <c r="B123" s="1"/>
      <c r="C123" s="21"/>
      <c r="D123" s="26" t="s">
        <v>55</v>
      </c>
      <c r="E123" s="42"/>
      <c r="F123" s="42"/>
      <c r="G123" s="42"/>
      <c r="H123" s="42"/>
      <c r="I123" s="42">
        <v>1.0</v>
      </c>
      <c r="J123" s="42"/>
      <c r="K123" s="42"/>
      <c r="L123" s="42">
        <v>1.0</v>
      </c>
      <c r="M123" s="42"/>
      <c r="N123" s="42"/>
      <c r="O123" s="42">
        <f t="shared" si="6"/>
        <v>1</v>
      </c>
      <c r="P123" s="42"/>
    </row>
    <row r="124" ht="15.75" hidden="1" customHeight="1">
      <c r="A124" s="1"/>
      <c r="B124" s="1"/>
      <c r="C124" s="49" t="s">
        <v>53</v>
      </c>
      <c r="D124" s="26" t="s">
        <v>53</v>
      </c>
      <c r="E124" s="42"/>
      <c r="F124" s="42"/>
      <c r="G124" s="42"/>
      <c r="H124" s="42"/>
      <c r="I124" s="42">
        <v>1.0</v>
      </c>
      <c r="J124" s="42"/>
      <c r="K124" s="42"/>
      <c r="L124" s="42"/>
      <c r="M124" s="42">
        <v>1.0</v>
      </c>
      <c r="N124" s="42"/>
      <c r="O124" s="42">
        <f t="shared" si="6"/>
        <v>1</v>
      </c>
      <c r="P124" s="42"/>
    </row>
    <row r="125" ht="15.75" hidden="1" customHeight="1">
      <c r="A125" s="1"/>
      <c r="B125" s="1"/>
      <c r="C125" s="24" t="s">
        <v>54</v>
      </c>
      <c r="D125" s="26" t="s">
        <v>54</v>
      </c>
      <c r="E125" s="75"/>
      <c r="F125" s="75"/>
      <c r="G125" s="75"/>
      <c r="H125" s="75"/>
      <c r="I125" s="75">
        <v>10.0</v>
      </c>
      <c r="J125" s="42"/>
      <c r="K125" s="42">
        <v>2.0</v>
      </c>
      <c r="L125" s="42"/>
      <c r="M125" s="42">
        <v>7.0</v>
      </c>
      <c r="N125" s="42"/>
      <c r="O125" s="42">
        <f t="shared" si="6"/>
        <v>9</v>
      </c>
      <c r="P125" s="42"/>
    </row>
    <row r="126" ht="15.75" hidden="1" customHeight="1">
      <c r="A126" s="1"/>
      <c r="B126" s="1"/>
      <c r="C126" s="34" t="s">
        <v>57</v>
      </c>
      <c r="D126" s="26" t="s">
        <v>114</v>
      </c>
      <c r="E126" s="42"/>
      <c r="F126" s="42"/>
      <c r="G126" s="42"/>
      <c r="H126" s="42"/>
      <c r="I126" s="42">
        <v>1.0</v>
      </c>
      <c r="J126" s="42"/>
      <c r="K126" s="42">
        <v>1.0</v>
      </c>
      <c r="L126" s="42"/>
      <c r="M126" s="42"/>
      <c r="N126" s="42"/>
      <c r="O126" s="42">
        <f t="shared" si="6"/>
        <v>1</v>
      </c>
      <c r="P126" s="42"/>
    </row>
    <row r="127" ht="15.75" hidden="1" customHeight="1">
      <c r="A127" s="1"/>
      <c r="B127" s="1"/>
      <c r="C127" s="21"/>
      <c r="D127" s="26" t="s">
        <v>60</v>
      </c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>
        <f t="shared" si="6"/>
        <v>0</v>
      </c>
      <c r="P127" s="42"/>
    </row>
    <row r="128" ht="15.75" hidden="1" customHeight="1">
      <c r="A128" s="1"/>
      <c r="B128" s="1"/>
      <c r="C128" s="24" t="s">
        <v>162</v>
      </c>
      <c r="D128" s="26" t="s">
        <v>163</v>
      </c>
      <c r="E128" s="42"/>
      <c r="F128" s="42"/>
      <c r="G128" s="42"/>
      <c r="H128" s="42"/>
      <c r="I128" s="42">
        <v>4.0</v>
      </c>
      <c r="J128" s="42"/>
      <c r="K128" s="42"/>
      <c r="L128" s="42">
        <v>2.0</v>
      </c>
      <c r="M128" s="42">
        <v>2.0</v>
      </c>
      <c r="N128" s="42"/>
      <c r="O128" s="42">
        <f t="shared" si="6"/>
        <v>4</v>
      </c>
      <c r="P128" s="42"/>
    </row>
    <row r="129" ht="15.75" hidden="1" customHeight="1">
      <c r="A129" s="1"/>
      <c r="B129" s="1"/>
      <c r="C129" s="34" t="s">
        <v>62</v>
      </c>
      <c r="D129" s="26" t="s">
        <v>165</v>
      </c>
      <c r="E129" s="42"/>
      <c r="F129" s="42"/>
      <c r="G129" s="42"/>
      <c r="H129" s="42"/>
      <c r="I129" s="42">
        <v>1.0</v>
      </c>
      <c r="J129" s="42"/>
      <c r="K129" s="42"/>
      <c r="L129" s="42">
        <v>1.0</v>
      </c>
      <c r="M129" s="42"/>
      <c r="N129" s="42"/>
      <c r="O129" s="42">
        <f t="shared" si="6"/>
        <v>1</v>
      </c>
      <c r="P129" s="42"/>
    </row>
    <row r="130" ht="15.75" hidden="1" customHeight="1">
      <c r="A130" s="1"/>
      <c r="B130" s="1"/>
      <c r="C130" s="13"/>
      <c r="D130" s="26" t="s">
        <v>167</v>
      </c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>
        <f t="shared" si="6"/>
        <v>0</v>
      </c>
      <c r="P130" s="42"/>
    </row>
    <row r="131" ht="15.75" hidden="1" customHeight="1">
      <c r="A131" s="1"/>
      <c r="B131" s="1"/>
      <c r="C131" s="13"/>
      <c r="D131" s="26" t="s">
        <v>168</v>
      </c>
      <c r="E131" s="42"/>
      <c r="F131" s="42"/>
      <c r="G131" s="42"/>
      <c r="H131" s="42"/>
      <c r="I131" s="42">
        <v>1.0</v>
      </c>
      <c r="J131" s="42"/>
      <c r="K131" s="42">
        <v>1.0</v>
      </c>
      <c r="L131" s="42"/>
      <c r="M131" s="42"/>
      <c r="N131" s="42"/>
      <c r="O131" s="42">
        <f t="shared" si="6"/>
        <v>1</v>
      </c>
      <c r="P131" s="42"/>
    </row>
    <row r="132" ht="15.75" hidden="1" customHeight="1">
      <c r="A132" s="1"/>
      <c r="B132" s="1"/>
      <c r="C132" s="21"/>
      <c r="D132" s="26" t="s">
        <v>66</v>
      </c>
      <c r="E132" s="42"/>
      <c r="F132" s="42"/>
      <c r="G132" s="42"/>
      <c r="H132" s="42"/>
      <c r="I132" s="42">
        <v>1.0</v>
      </c>
      <c r="J132" s="42"/>
      <c r="K132" s="42"/>
      <c r="L132" s="42"/>
      <c r="M132" s="42">
        <v>1.0</v>
      </c>
      <c r="N132" s="42"/>
      <c r="O132" s="42">
        <f t="shared" si="6"/>
        <v>1</v>
      </c>
      <c r="P132" s="42"/>
    </row>
    <row r="133" ht="15.75" hidden="1" customHeight="1">
      <c r="A133" s="1"/>
      <c r="B133" s="1"/>
      <c r="C133" s="34" t="s">
        <v>62</v>
      </c>
      <c r="D133" s="26" t="s">
        <v>169</v>
      </c>
      <c r="E133" s="42"/>
      <c r="F133" s="42"/>
      <c r="G133" s="42"/>
      <c r="H133" s="42"/>
      <c r="I133" s="42">
        <v>2.0</v>
      </c>
      <c r="J133" s="63"/>
      <c r="K133" s="63"/>
      <c r="L133" s="63"/>
      <c r="M133" s="63">
        <v>2.0</v>
      </c>
      <c r="N133" s="63"/>
      <c r="O133" s="42">
        <f t="shared" si="6"/>
        <v>2</v>
      </c>
      <c r="P133" s="42"/>
    </row>
    <row r="134" ht="15.75" hidden="1" customHeight="1">
      <c r="A134" s="1"/>
      <c r="B134" s="1"/>
      <c r="C134" s="13"/>
      <c r="D134" s="26" t="s">
        <v>171</v>
      </c>
      <c r="E134" s="42"/>
      <c r="F134" s="42"/>
      <c r="G134" s="42"/>
      <c r="H134" s="42"/>
      <c r="I134" s="42"/>
      <c r="J134" s="63"/>
      <c r="K134" s="63"/>
      <c r="L134" s="63"/>
      <c r="M134" s="63"/>
      <c r="N134" s="63"/>
      <c r="O134" s="42">
        <f t="shared" si="6"/>
        <v>0</v>
      </c>
      <c r="P134" s="42"/>
    </row>
    <row r="135" ht="15.75" hidden="1" customHeight="1">
      <c r="A135" s="1"/>
      <c r="B135" s="1"/>
      <c r="C135" s="13"/>
      <c r="D135" s="26" t="s">
        <v>160</v>
      </c>
      <c r="E135" s="42"/>
      <c r="F135" s="42"/>
      <c r="G135" s="42"/>
      <c r="H135" s="42"/>
      <c r="I135" s="42">
        <v>1.0</v>
      </c>
      <c r="J135" s="63"/>
      <c r="K135" s="63">
        <v>1.0</v>
      </c>
      <c r="L135" s="63"/>
      <c r="M135" s="63"/>
      <c r="N135" s="63"/>
      <c r="O135" s="42">
        <f t="shared" si="6"/>
        <v>1</v>
      </c>
      <c r="P135" s="42"/>
    </row>
    <row r="136" ht="15.75" hidden="1" customHeight="1">
      <c r="A136" s="1"/>
      <c r="B136" s="1"/>
      <c r="C136" s="13"/>
      <c r="D136" s="26" t="s">
        <v>69</v>
      </c>
      <c r="E136" s="42"/>
      <c r="F136" s="42"/>
      <c r="G136" s="42"/>
      <c r="H136" s="42"/>
      <c r="I136" s="42">
        <v>1.0</v>
      </c>
      <c r="J136" s="42"/>
      <c r="K136" s="42"/>
      <c r="L136" s="42"/>
      <c r="M136" s="42">
        <v>1.0</v>
      </c>
      <c r="N136" s="42"/>
      <c r="O136" s="42">
        <f t="shared" si="6"/>
        <v>1</v>
      </c>
      <c r="P136" s="42"/>
    </row>
    <row r="137" ht="15.75" hidden="1" customHeight="1">
      <c r="A137" s="1"/>
      <c r="B137" s="1"/>
      <c r="C137" s="13"/>
      <c r="D137" s="26" t="s">
        <v>73</v>
      </c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>
        <f t="shared" si="6"/>
        <v>0</v>
      </c>
      <c r="P137" s="42"/>
    </row>
    <row r="138" ht="15.75" hidden="1" customHeight="1">
      <c r="A138" s="1"/>
      <c r="B138" s="1"/>
      <c r="C138" s="13"/>
      <c r="D138" s="26" t="s">
        <v>77</v>
      </c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>
        <f t="shared" si="6"/>
        <v>0</v>
      </c>
      <c r="P138" s="42"/>
    </row>
    <row r="139" ht="15.75" hidden="1" customHeight="1">
      <c r="A139" s="1"/>
      <c r="B139" s="1"/>
      <c r="C139" s="13"/>
      <c r="D139" s="26" t="s">
        <v>174</v>
      </c>
      <c r="E139" s="42"/>
      <c r="F139" s="42"/>
      <c r="G139" s="42"/>
      <c r="H139" s="42"/>
      <c r="I139" s="42">
        <v>12.0</v>
      </c>
      <c r="J139" s="42"/>
      <c r="K139" s="42">
        <v>1.0</v>
      </c>
      <c r="L139" s="42">
        <v>5.0</v>
      </c>
      <c r="M139" s="42">
        <v>6.0</v>
      </c>
      <c r="N139" s="42"/>
      <c r="O139" s="42">
        <f t="shared" si="6"/>
        <v>12</v>
      </c>
      <c r="P139" s="42"/>
    </row>
    <row r="140" ht="15.75" hidden="1" customHeight="1">
      <c r="A140" s="1"/>
      <c r="B140" s="1"/>
      <c r="C140" s="13"/>
      <c r="D140" s="26" t="s">
        <v>175</v>
      </c>
      <c r="E140" s="42"/>
      <c r="F140" s="42"/>
      <c r="G140" s="42"/>
      <c r="H140" s="42"/>
      <c r="I140" s="42"/>
      <c r="J140" s="63"/>
      <c r="K140" s="63"/>
      <c r="L140" s="63"/>
      <c r="M140" s="42"/>
      <c r="N140" s="42"/>
      <c r="O140" s="42">
        <f t="shared" si="6"/>
        <v>0</v>
      </c>
      <c r="P140" s="42"/>
    </row>
    <row r="141" ht="15.75" hidden="1" customHeight="1">
      <c r="A141" s="1"/>
      <c r="B141" s="1"/>
      <c r="C141" s="13"/>
      <c r="D141" s="26" t="s">
        <v>177</v>
      </c>
      <c r="E141" s="42"/>
      <c r="F141" s="42"/>
      <c r="G141" s="42"/>
      <c r="H141" s="42"/>
      <c r="I141" s="42">
        <v>6.0</v>
      </c>
      <c r="J141" s="63"/>
      <c r="K141" s="63">
        <v>3.0</v>
      </c>
      <c r="L141" s="63"/>
      <c r="M141" s="63">
        <v>3.0</v>
      </c>
      <c r="N141" s="63"/>
      <c r="O141" s="42">
        <f t="shared" si="6"/>
        <v>6</v>
      </c>
      <c r="P141" s="42"/>
    </row>
    <row r="142" ht="15.75" hidden="1" customHeight="1">
      <c r="A142" s="1"/>
      <c r="B142" s="1"/>
      <c r="C142" s="13"/>
      <c r="D142" s="79" t="s">
        <v>178</v>
      </c>
      <c r="E142" s="42"/>
      <c r="F142" s="42"/>
      <c r="G142" s="42"/>
      <c r="H142" s="42"/>
      <c r="I142" s="42"/>
      <c r="J142" s="63"/>
      <c r="K142" s="63"/>
      <c r="L142" s="63"/>
      <c r="M142" s="63"/>
      <c r="N142" s="63"/>
      <c r="O142" s="42">
        <f t="shared" si="6"/>
        <v>0</v>
      </c>
      <c r="P142" s="42"/>
    </row>
    <row r="143" ht="15.75" hidden="1" customHeight="1">
      <c r="A143" s="1"/>
      <c r="B143" s="1"/>
      <c r="C143" s="13"/>
      <c r="D143" s="26" t="s">
        <v>172</v>
      </c>
      <c r="E143" s="42"/>
      <c r="F143" s="42"/>
      <c r="G143" s="42"/>
      <c r="H143" s="42"/>
      <c r="I143" s="42">
        <v>1.0</v>
      </c>
      <c r="J143" s="63"/>
      <c r="K143" s="63"/>
      <c r="L143" s="63"/>
      <c r="M143" s="63">
        <v>1.0</v>
      </c>
      <c r="N143" s="63"/>
      <c r="O143" s="42">
        <f t="shared" si="6"/>
        <v>1</v>
      </c>
      <c r="P143" s="42"/>
    </row>
    <row r="144" ht="15.75" hidden="1" customHeight="1">
      <c r="A144" s="1"/>
      <c r="B144" s="1"/>
      <c r="C144" s="13"/>
      <c r="D144" s="26" t="s">
        <v>179</v>
      </c>
      <c r="E144" s="42"/>
      <c r="F144" s="42"/>
      <c r="G144" s="42"/>
      <c r="H144" s="42"/>
      <c r="I144" s="42"/>
      <c r="J144" s="63"/>
      <c r="K144" s="63"/>
      <c r="L144" s="63"/>
      <c r="M144" s="63"/>
      <c r="N144" s="63"/>
      <c r="O144" s="42">
        <f t="shared" si="6"/>
        <v>0</v>
      </c>
      <c r="P144" s="42"/>
    </row>
    <row r="145" ht="15.75" hidden="1" customHeight="1">
      <c r="A145" s="1"/>
      <c r="B145" s="1"/>
      <c r="C145" s="13"/>
      <c r="D145" s="26" t="s">
        <v>180</v>
      </c>
      <c r="E145" s="42"/>
      <c r="F145" s="42"/>
      <c r="G145" s="42"/>
      <c r="H145" s="42"/>
      <c r="I145" s="42">
        <v>18.0</v>
      </c>
      <c r="J145" s="63"/>
      <c r="K145" s="63">
        <v>1.0</v>
      </c>
      <c r="L145" s="63"/>
      <c r="M145" s="63">
        <v>17.0</v>
      </c>
      <c r="N145" s="63"/>
      <c r="O145" s="42">
        <f t="shared" si="6"/>
        <v>18</v>
      </c>
      <c r="P145" s="42"/>
    </row>
    <row r="146" ht="15.75" hidden="1" customHeight="1">
      <c r="A146" s="1"/>
      <c r="B146" s="1"/>
      <c r="C146" s="13"/>
      <c r="D146" s="26" t="s">
        <v>182</v>
      </c>
      <c r="E146" s="42"/>
      <c r="F146" s="42"/>
      <c r="G146" s="42"/>
      <c r="H146" s="42"/>
      <c r="I146" s="42"/>
      <c r="J146" s="63"/>
      <c r="K146" s="63"/>
      <c r="L146" s="63"/>
      <c r="M146" s="63"/>
      <c r="N146" s="63"/>
      <c r="O146" s="42">
        <f t="shared" si="6"/>
        <v>0</v>
      </c>
      <c r="P146" s="42"/>
    </row>
    <row r="147" ht="15.75" hidden="1" customHeight="1">
      <c r="A147" s="1"/>
      <c r="B147" s="1"/>
      <c r="C147" s="13"/>
      <c r="D147" s="26" t="s">
        <v>119</v>
      </c>
      <c r="E147" s="42"/>
      <c r="F147" s="42"/>
      <c r="G147" s="42"/>
      <c r="H147" s="42"/>
      <c r="I147" s="42"/>
      <c r="J147" s="63"/>
      <c r="K147" s="63"/>
      <c r="L147" s="63"/>
      <c r="M147" s="63"/>
      <c r="N147" s="63"/>
      <c r="O147" s="42">
        <f t="shared" si="6"/>
        <v>0</v>
      </c>
      <c r="P147" s="42"/>
    </row>
    <row r="148" ht="15.75" hidden="1" customHeight="1">
      <c r="A148" s="1"/>
      <c r="B148" s="1"/>
      <c r="C148" s="13"/>
      <c r="D148" s="26" t="s">
        <v>122</v>
      </c>
      <c r="E148" s="42"/>
      <c r="F148" s="42"/>
      <c r="G148" s="42"/>
      <c r="H148" s="42"/>
      <c r="I148" s="42"/>
      <c r="J148" s="63"/>
      <c r="K148" s="63"/>
      <c r="L148" s="63"/>
      <c r="M148" s="63"/>
      <c r="N148" s="63"/>
      <c r="O148" s="42">
        <f t="shared" si="6"/>
        <v>0</v>
      </c>
      <c r="P148" s="42"/>
    </row>
    <row r="149" ht="15.75" hidden="1" customHeight="1">
      <c r="A149" s="1"/>
      <c r="B149" s="1"/>
      <c r="C149" s="13"/>
      <c r="D149" s="26" t="s">
        <v>89</v>
      </c>
      <c r="E149" s="42"/>
      <c r="F149" s="42"/>
      <c r="G149" s="42"/>
      <c r="H149" s="42"/>
      <c r="I149" s="42"/>
      <c r="J149" s="63"/>
      <c r="K149" s="63"/>
      <c r="L149" s="63"/>
      <c r="M149" s="63">
        <v>4.0</v>
      </c>
      <c r="N149" s="63"/>
      <c r="O149" s="42">
        <f t="shared" si="6"/>
        <v>4</v>
      </c>
      <c r="P149" s="42"/>
    </row>
    <row r="150" ht="15.75" hidden="1" customHeight="1">
      <c r="A150" s="1"/>
      <c r="B150" s="1"/>
      <c r="C150" s="13"/>
      <c r="D150" s="26" t="s">
        <v>130</v>
      </c>
      <c r="E150" s="42"/>
      <c r="F150" s="42"/>
      <c r="G150" s="42"/>
      <c r="H150" s="42"/>
      <c r="I150" s="42"/>
      <c r="J150" s="63"/>
      <c r="K150" s="63"/>
      <c r="L150" s="63"/>
      <c r="M150" s="63"/>
      <c r="N150" s="63"/>
      <c r="O150" s="42"/>
      <c r="P150" s="42"/>
    </row>
    <row r="151" ht="15.75" hidden="1" customHeight="1">
      <c r="A151" s="1"/>
      <c r="B151" s="1"/>
      <c r="C151" s="13"/>
      <c r="D151" s="26" t="s">
        <v>185</v>
      </c>
      <c r="E151" s="42"/>
      <c r="F151" s="42"/>
      <c r="G151" s="42"/>
      <c r="H151" s="42"/>
      <c r="I151" s="42"/>
      <c r="J151" s="63"/>
      <c r="K151" s="63"/>
      <c r="L151" s="63"/>
      <c r="M151" s="63"/>
      <c r="N151" s="63"/>
      <c r="O151" s="42">
        <f t="shared" ref="O151:O167" si="7">SUM(K151:M151)</f>
        <v>0</v>
      </c>
      <c r="P151" s="42"/>
    </row>
    <row r="152" ht="15.75" hidden="1" customHeight="1">
      <c r="A152" s="1"/>
      <c r="B152" s="1"/>
      <c r="C152" s="13"/>
      <c r="D152" s="26" t="s">
        <v>91</v>
      </c>
      <c r="E152" s="42"/>
      <c r="F152" s="42"/>
      <c r="G152" s="42"/>
      <c r="H152" s="42"/>
      <c r="I152" s="42">
        <v>3.0</v>
      </c>
      <c r="J152" s="63"/>
      <c r="K152" s="63"/>
      <c r="L152" s="63"/>
      <c r="M152" s="63">
        <v>3.0</v>
      </c>
      <c r="N152" s="63"/>
      <c r="O152" s="42">
        <f t="shared" si="7"/>
        <v>3</v>
      </c>
      <c r="P152" s="42"/>
    </row>
    <row r="153" ht="15.75" hidden="1" customHeight="1">
      <c r="A153" s="1"/>
      <c r="B153" s="1"/>
      <c r="C153" s="13"/>
      <c r="D153" s="26" t="s">
        <v>92</v>
      </c>
      <c r="E153" s="42"/>
      <c r="F153" s="42"/>
      <c r="G153" s="42"/>
      <c r="H153" s="42"/>
      <c r="I153" s="42"/>
      <c r="J153" s="63"/>
      <c r="K153" s="63"/>
      <c r="L153" s="63"/>
      <c r="M153" s="63"/>
      <c r="N153" s="63"/>
      <c r="O153" s="42">
        <f t="shared" si="7"/>
        <v>0</v>
      </c>
      <c r="P153" s="42"/>
    </row>
    <row r="154" ht="15.75" hidden="1" customHeight="1">
      <c r="A154" s="1"/>
      <c r="B154" s="1"/>
      <c r="C154" s="13"/>
      <c r="D154" s="26" t="s">
        <v>100</v>
      </c>
      <c r="E154" s="42"/>
      <c r="F154" s="42"/>
      <c r="G154" s="42"/>
      <c r="H154" s="42"/>
      <c r="I154" s="42"/>
      <c r="J154" s="63"/>
      <c r="K154" s="63"/>
      <c r="L154" s="63"/>
      <c r="M154" s="63"/>
      <c r="N154" s="63"/>
      <c r="O154" s="42">
        <f t="shared" si="7"/>
        <v>0</v>
      </c>
      <c r="P154" s="42"/>
    </row>
    <row r="155" ht="15.75" hidden="1" customHeight="1">
      <c r="A155" s="1"/>
      <c r="B155" s="1"/>
      <c r="C155" s="13"/>
      <c r="D155" s="26" t="s">
        <v>94</v>
      </c>
      <c r="E155" s="42"/>
      <c r="F155" s="42"/>
      <c r="G155" s="42"/>
      <c r="H155" s="42"/>
      <c r="I155" s="42"/>
      <c r="J155" s="63"/>
      <c r="K155" s="63"/>
      <c r="L155" s="63"/>
      <c r="M155" s="63"/>
      <c r="N155" s="63"/>
      <c r="O155" s="42">
        <f t="shared" si="7"/>
        <v>0</v>
      </c>
      <c r="P155" s="42"/>
    </row>
    <row r="156" ht="15.75" hidden="1" customHeight="1">
      <c r="A156" s="1"/>
      <c r="B156" s="1"/>
      <c r="C156" s="21"/>
      <c r="D156" s="26" t="s">
        <v>96</v>
      </c>
      <c r="E156" s="42"/>
      <c r="F156" s="42"/>
      <c r="G156" s="42"/>
      <c r="H156" s="42"/>
      <c r="I156" s="42">
        <v>36.0</v>
      </c>
      <c r="J156" s="63"/>
      <c r="K156" s="63"/>
      <c r="L156" s="63"/>
      <c r="M156" s="63">
        <v>36.0</v>
      </c>
      <c r="N156" s="63"/>
      <c r="O156" s="42">
        <f t="shared" si="7"/>
        <v>36</v>
      </c>
      <c r="P156" s="42"/>
    </row>
    <row r="157" ht="15.75" hidden="1" customHeight="1">
      <c r="A157" s="1"/>
      <c r="B157" s="1"/>
      <c r="C157" s="34"/>
      <c r="D157" s="26" t="s">
        <v>135</v>
      </c>
      <c r="E157" s="42"/>
      <c r="F157" s="42"/>
      <c r="G157" s="42"/>
      <c r="H157" s="42"/>
      <c r="I157" s="42"/>
      <c r="J157" s="63"/>
      <c r="K157" s="63"/>
      <c r="L157" s="63"/>
      <c r="M157" s="63"/>
      <c r="N157" s="63"/>
      <c r="O157" s="42">
        <f t="shared" si="7"/>
        <v>0</v>
      </c>
      <c r="P157" s="42"/>
    </row>
    <row r="158" ht="15.75" hidden="1" customHeight="1">
      <c r="A158" s="1"/>
      <c r="B158" s="1"/>
      <c r="C158" s="34"/>
      <c r="D158" s="26" t="s">
        <v>186</v>
      </c>
      <c r="E158" s="42"/>
      <c r="F158" s="42"/>
      <c r="G158" s="42"/>
      <c r="H158" s="42"/>
      <c r="I158" s="42"/>
      <c r="J158" s="63"/>
      <c r="K158" s="63"/>
      <c r="L158" s="63"/>
      <c r="M158" s="63"/>
      <c r="N158" s="63"/>
      <c r="O158" s="42">
        <f t="shared" si="7"/>
        <v>0</v>
      </c>
      <c r="P158" s="42"/>
    </row>
    <row r="159" ht="15.75" hidden="1" customHeight="1">
      <c r="A159" s="1"/>
      <c r="B159" s="1"/>
      <c r="C159" s="34"/>
      <c r="D159" s="26" t="s">
        <v>105</v>
      </c>
      <c r="E159" s="42"/>
      <c r="F159" s="42"/>
      <c r="G159" s="42"/>
      <c r="H159" s="42"/>
      <c r="I159" s="42"/>
      <c r="J159" s="63"/>
      <c r="K159" s="63"/>
      <c r="L159" s="63"/>
      <c r="M159" s="63"/>
      <c r="N159" s="63"/>
      <c r="O159" s="42">
        <f t="shared" si="7"/>
        <v>0</v>
      </c>
      <c r="P159" s="42"/>
    </row>
    <row r="160" ht="15.75" hidden="1" customHeight="1">
      <c r="A160" s="1"/>
      <c r="B160" s="1"/>
      <c r="C160" s="34"/>
      <c r="D160" s="26" t="s">
        <v>181</v>
      </c>
      <c r="E160" s="42"/>
      <c r="F160" s="42"/>
      <c r="G160" s="42"/>
      <c r="H160" s="42"/>
      <c r="I160" s="42"/>
      <c r="J160" s="63"/>
      <c r="K160" s="63"/>
      <c r="L160" s="63"/>
      <c r="M160" s="63"/>
      <c r="N160" s="63"/>
      <c r="O160" s="42">
        <f t="shared" si="7"/>
        <v>0</v>
      </c>
      <c r="P160" s="42"/>
    </row>
    <row r="161" ht="15.75" hidden="1" customHeight="1">
      <c r="A161" s="1"/>
      <c r="B161" s="1"/>
      <c r="C161" s="34"/>
      <c r="D161" s="26" t="s">
        <v>183</v>
      </c>
      <c r="E161" s="42"/>
      <c r="F161" s="42"/>
      <c r="G161" s="42"/>
      <c r="H161" s="42"/>
      <c r="I161" s="42">
        <v>14.0</v>
      </c>
      <c r="J161" s="63"/>
      <c r="K161" s="63"/>
      <c r="L161" s="63"/>
      <c r="M161" s="63">
        <v>14.0</v>
      </c>
      <c r="N161" s="63"/>
      <c r="O161" s="42">
        <f t="shared" si="7"/>
        <v>14</v>
      </c>
      <c r="P161" s="42"/>
    </row>
    <row r="162" ht="15.75" hidden="1" customHeight="1">
      <c r="A162" s="1"/>
      <c r="B162" s="1"/>
      <c r="C162" s="34"/>
      <c r="D162" s="26" t="s">
        <v>136</v>
      </c>
      <c r="E162" s="42"/>
      <c r="F162" s="42"/>
      <c r="G162" s="42"/>
      <c r="H162" s="42"/>
      <c r="I162" s="42"/>
      <c r="J162" s="63"/>
      <c r="K162" s="63"/>
      <c r="L162" s="63"/>
      <c r="M162" s="63"/>
      <c r="N162" s="63"/>
      <c r="O162" s="42">
        <f t="shared" si="7"/>
        <v>0</v>
      </c>
      <c r="P162" s="42"/>
    </row>
    <row r="163" ht="15.75" hidden="1" customHeight="1">
      <c r="A163" s="1"/>
      <c r="B163" s="1"/>
      <c r="C163" s="34"/>
      <c r="D163" s="26" t="s">
        <v>190</v>
      </c>
      <c r="E163" s="42"/>
      <c r="F163" s="42"/>
      <c r="G163" s="42"/>
      <c r="H163" s="42"/>
      <c r="I163" s="42">
        <v>1.0</v>
      </c>
      <c r="J163" s="63"/>
      <c r="K163" s="63">
        <v>1.0</v>
      </c>
      <c r="L163" s="63"/>
      <c r="M163" s="63"/>
      <c r="N163" s="63"/>
      <c r="O163" s="42">
        <f t="shared" si="7"/>
        <v>1</v>
      </c>
      <c r="P163" s="42"/>
    </row>
    <row r="164" ht="15.75" hidden="1" customHeight="1">
      <c r="A164" s="1"/>
      <c r="B164" s="1"/>
      <c r="C164" s="34" t="s">
        <v>139</v>
      </c>
      <c r="D164" s="26" t="s">
        <v>191</v>
      </c>
      <c r="E164" s="42"/>
      <c r="F164" s="42"/>
      <c r="G164" s="42"/>
      <c r="H164" s="42"/>
      <c r="I164" s="42">
        <v>1.0</v>
      </c>
      <c r="J164" s="42"/>
      <c r="K164" s="42">
        <v>1.0</v>
      </c>
      <c r="L164" s="63"/>
      <c r="M164" s="63"/>
      <c r="N164" s="63"/>
      <c r="O164" s="42">
        <f t="shared" si="7"/>
        <v>1</v>
      </c>
      <c r="P164" s="42"/>
    </row>
    <row r="165" ht="15.75" hidden="1" customHeight="1">
      <c r="A165" s="1"/>
      <c r="B165" s="1"/>
      <c r="C165" s="13"/>
      <c r="D165" s="26" t="s">
        <v>192</v>
      </c>
      <c r="E165" s="42"/>
      <c r="F165" s="42"/>
      <c r="G165" s="42"/>
      <c r="H165" s="42"/>
      <c r="I165" s="42"/>
      <c r="J165" s="42"/>
      <c r="K165" s="42"/>
      <c r="L165" s="63"/>
      <c r="M165" s="63"/>
      <c r="N165" s="63"/>
      <c r="O165" s="42">
        <f t="shared" si="7"/>
        <v>0</v>
      </c>
      <c r="P165" s="42"/>
    </row>
    <row r="166" ht="15.75" hidden="1" customHeight="1">
      <c r="A166" s="1"/>
      <c r="B166" s="1"/>
      <c r="C166" s="21"/>
      <c r="D166" s="26" t="s">
        <v>139</v>
      </c>
      <c r="E166" s="75"/>
      <c r="F166" s="75"/>
      <c r="G166" s="75"/>
      <c r="H166" s="75"/>
      <c r="I166" s="75">
        <v>2.0</v>
      </c>
      <c r="J166" s="63"/>
      <c r="K166" s="63"/>
      <c r="L166" s="63">
        <v>1.0</v>
      </c>
      <c r="M166" s="63"/>
      <c r="N166" s="63"/>
      <c r="O166" s="42">
        <f t="shared" si="7"/>
        <v>1</v>
      </c>
      <c r="P166" s="42"/>
    </row>
    <row r="167" ht="15.75" hidden="1" customHeight="1">
      <c r="A167" s="1"/>
      <c r="B167" s="1"/>
      <c r="C167" s="24" t="s">
        <v>193</v>
      </c>
      <c r="D167" s="26" t="s">
        <v>193</v>
      </c>
      <c r="E167" s="42"/>
      <c r="F167" s="42"/>
      <c r="G167" s="42"/>
      <c r="H167" s="42"/>
      <c r="I167" s="42">
        <v>1.0</v>
      </c>
      <c r="J167" s="63"/>
      <c r="K167" s="63"/>
      <c r="L167" s="63"/>
      <c r="M167" s="63">
        <v>1.0</v>
      </c>
      <c r="N167" s="63"/>
      <c r="O167" s="42">
        <f t="shared" si="7"/>
        <v>1</v>
      </c>
      <c r="P167" s="42"/>
    </row>
    <row r="168" ht="15.75" hidden="1" customHeight="1">
      <c r="A168" s="1"/>
      <c r="B168" s="1"/>
      <c r="C168" s="81" t="s">
        <v>110</v>
      </c>
      <c r="D168" s="82"/>
      <c r="E168" s="42"/>
      <c r="F168" s="42"/>
      <c r="G168" s="42"/>
      <c r="H168" s="42"/>
      <c r="I168" s="42">
        <f>SUM(I106:I167)</f>
        <v>144</v>
      </c>
      <c r="J168" s="42"/>
      <c r="K168" s="42">
        <f t="shared" ref="K168:M168" si="8">SUM(K106:K167)</f>
        <v>16</v>
      </c>
      <c r="L168" s="42">
        <f t="shared" si="8"/>
        <v>16</v>
      </c>
      <c r="M168" s="42">
        <f t="shared" si="8"/>
        <v>112</v>
      </c>
      <c r="N168" s="42"/>
      <c r="O168" s="42">
        <f>SUM(O106:O167)</f>
        <v>144</v>
      </c>
      <c r="P168" s="42"/>
    </row>
    <row r="169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>
        <f>I168-O168</f>
        <v>0</v>
      </c>
      <c r="N169" s="1"/>
      <c r="O169" s="67">
        <f>O168/I168</f>
        <v>1</v>
      </c>
      <c r="P169" s="67"/>
    </row>
    <row r="170" ht="15.75" hidden="1" customHeight="1">
      <c r="A170" s="1"/>
      <c r="B170" s="1"/>
      <c r="C170" s="1"/>
      <c r="D170" s="1"/>
      <c r="E170" s="1"/>
      <c r="F170" s="1"/>
      <c r="G170" s="1"/>
      <c r="H170" s="1"/>
      <c r="I170" s="1" t="s">
        <v>199</v>
      </c>
      <c r="J170" s="1"/>
      <c r="K170" s="1"/>
      <c r="L170" s="1"/>
      <c r="M170" s="1"/>
      <c r="N170" s="1"/>
      <c r="O170" s="1"/>
      <c r="P170" s="1"/>
    </row>
    <row r="171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5.75" hidden="1" customHeight="1">
      <c r="A175" s="1"/>
      <c r="B175" s="1"/>
      <c r="C175" s="1"/>
      <c r="D175" s="1"/>
      <c r="E175" s="59"/>
      <c r="F175" s="59"/>
      <c r="G175" s="59"/>
      <c r="H175" s="59"/>
      <c r="I175" s="59" t="s">
        <v>195</v>
      </c>
      <c r="J175" s="1"/>
      <c r="K175" s="1"/>
      <c r="L175" s="1"/>
      <c r="M175" s="1"/>
      <c r="N175" s="1"/>
      <c r="O175" s="1"/>
      <c r="P175" s="1"/>
    </row>
    <row r="176" ht="15.75" hidden="1" customHeight="1">
      <c r="A176" s="1"/>
      <c r="B176" s="1"/>
      <c r="C176" s="1"/>
      <c r="D176" s="1"/>
      <c r="E176" s="1"/>
      <c r="F176" s="1"/>
      <c r="G176" s="1"/>
      <c r="H176" s="1"/>
      <c r="I176" s="1" t="s">
        <v>200</v>
      </c>
      <c r="J176" s="1"/>
      <c r="K176" s="1"/>
      <c r="L176" s="1"/>
      <c r="M176" s="1"/>
      <c r="N176" s="1"/>
      <c r="O176" s="1"/>
      <c r="P176" s="1"/>
    </row>
    <row r="177" ht="15.75" hidden="1" customHeight="1">
      <c r="A177" s="1"/>
      <c r="B177" s="1"/>
      <c r="C177" s="1"/>
      <c r="D177" s="1"/>
      <c r="E177" s="1"/>
      <c r="F177" s="1"/>
      <c r="G177" s="1"/>
      <c r="H177" s="1"/>
      <c r="I177" s="1" t="s">
        <v>201</v>
      </c>
      <c r="J177" s="1"/>
      <c r="K177" s="1"/>
      <c r="L177" s="1"/>
      <c r="M177" s="1"/>
      <c r="N177" s="1"/>
      <c r="O177" s="1"/>
      <c r="P177" s="1"/>
    </row>
    <row r="178" ht="15.75" hidden="1" customHeight="1">
      <c r="A178" s="1"/>
      <c r="B178" s="1"/>
      <c r="C178" s="1"/>
      <c r="D178" s="1"/>
      <c r="E178" s="1"/>
      <c r="F178" s="1"/>
      <c r="G178" s="1"/>
      <c r="H178" s="1"/>
      <c r="I178" s="1" t="s">
        <v>202</v>
      </c>
      <c r="J178" s="1"/>
      <c r="K178" s="1"/>
      <c r="L178" s="1"/>
      <c r="M178" s="1"/>
      <c r="N178" s="1"/>
      <c r="O178" s="1"/>
      <c r="P178" s="1"/>
    </row>
    <row r="179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85"/>
      <c r="K187" s="85"/>
      <c r="N187" s="85"/>
      <c r="O187" s="85"/>
      <c r="P187" s="85"/>
    </row>
    <row r="188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86"/>
      <c r="K188" s="86"/>
      <c r="L188" s="86"/>
      <c r="M188" s="86"/>
      <c r="N188" s="86"/>
      <c r="O188" s="86"/>
      <c r="P188" s="86"/>
    </row>
    <row r="189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86"/>
      <c r="K189" s="86"/>
      <c r="L189" s="86"/>
      <c r="M189" s="1"/>
      <c r="N189" s="1"/>
      <c r="O189" s="1"/>
      <c r="P189" s="1"/>
    </row>
    <row r="190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86"/>
      <c r="K190" s="86"/>
      <c r="L190" s="86"/>
      <c r="M190" s="86"/>
      <c r="N190" s="86"/>
      <c r="O190" s="86"/>
      <c r="P190" s="86"/>
    </row>
    <row r="191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87"/>
      <c r="K191" s="87"/>
      <c r="L191" s="1"/>
      <c r="M191" s="1"/>
      <c r="N191" s="1"/>
      <c r="O191" s="1"/>
      <c r="P191" s="1"/>
    </row>
    <row r="192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86"/>
      <c r="K192" s="86"/>
      <c r="L192" s="86"/>
      <c r="M192" s="1"/>
      <c r="N192" s="1"/>
      <c r="O192" s="1"/>
      <c r="P192" s="1"/>
    </row>
    <row r="193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C108:C110"/>
    <mergeCell ref="C111:C112"/>
    <mergeCell ref="C114:C119"/>
    <mergeCell ref="C120:C123"/>
    <mergeCell ref="C126:C127"/>
    <mergeCell ref="C129:C132"/>
    <mergeCell ref="C133:C156"/>
    <mergeCell ref="C164:C166"/>
    <mergeCell ref="C45:C47"/>
    <mergeCell ref="C48:C50"/>
    <mergeCell ref="C51:C69"/>
    <mergeCell ref="C70:C72"/>
    <mergeCell ref="C73:D73"/>
    <mergeCell ref="C102:C105"/>
    <mergeCell ref="D102:D105"/>
    <mergeCell ref="H5:H7"/>
    <mergeCell ref="I5:I7"/>
    <mergeCell ref="J5:J7"/>
    <mergeCell ref="K5:K7"/>
    <mergeCell ref="N5:N7"/>
    <mergeCell ref="O5:O7"/>
    <mergeCell ref="C2:D2"/>
    <mergeCell ref="E3:P3"/>
    <mergeCell ref="C4:C7"/>
    <mergeCell ref="D4:D7"/>
    <mergeCell ref="E4:J4"/>
    <mergeCell ref="K4:P4"/>
    <mergeCell ref="E5:E7"/>
    <mergeCell ref="P5:P7"/>
    <mergeCell ref="F5:F7"/>
    <mergeCell ref="G5:G7"/>
    <mergeCell ref="C9:C10"/>
    <mergeCell ref="C11:C17"/>
    <mergeCell ref="C18:C21"/>
    <mergeCell ref="C23:C35"/>
    <mergeCell ref="C36:C43"/>
    <mergeCell ref="M103:M105"/>
    <mergeCell ref="O103:O105"/>
    <mergeCell ref="K187:M187"/>
    <mergeCell ref="L5:L7"/>
    <mergeCell ref="M5:M7"/>
    <mergeCell ref="K101:M101"/>
    <mergeCell ref="I102:O102"/>
    <mergeCell ref="I103:I105"/>
    <mergeCell ref="K103:K105"/>
    <mergeCell ref="L103:L10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 outlineLevelCol="2"/>
  <cols>
    <col customWidth="1" hidden="1" min="1" max="2" width="5.29"/>
    <col customWidth="1" min="3" max="3" width="27.29"/>
    <col customWidth="1" min="4" max="4" width="38.43"/>
    <col customWidth="1" min="5" max="5" width="14.0" outlineLevel="2"/>
    <col customWidth="1" min="6" max="6" width="11.29"/>
    <col customWidth="1" min="7" max="7" width="12.29"/>
    <col customWidth="1" min="8" max="8" width="9.86"/>
    <col customWidth="1" min="9" max="9" width="13.29"/>
    <col customWidth="1" min="10" max="10" width="13.0"/>
    <col customWidth="1" min="11" max="11" width="10.86"/>
    <col customWidth="1" min="12" max="12" width="11.86"/>
    <col customWidth="1" min="13" max="13" width="8.0"/>
    <col customWidth="1" min="14" max="14" width="13.86"/>
    <col customWidth="1" min="15" max="15" width="12.0"/>
    <col customWidth="1" min="16" max="16" width="11.57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2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>
      <c r="A3" s="1"/>
      <c r="B3" s="1"/>
      <c r="C3" s="3" t="s">
        <v>1</v>
      </c>
      <c r="D3" s="4"/>
      <c r="E3" s="16" t="s">
        <v>11</v>
      </c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>
      <c r="A4" s="1"/>
      <c r="B4" s="1"/>
      <c r="C4" s="10" t="s">
        <v>5</v>
      </c>
      <c r="D4" s="12" t="s">
        <v>6</v>
      </c>
      <c r="E4" s="16" t="s">
        <v>7</v>
      </c>
      <c r="F4" s="7"/>
      <c r="G4" s="7"/>
      <c r="H4" s="7"/>
      <c r="I4" s="7"/>
      <c r="J4" s="8"/>
      <c r="K4" s="16" t="s">
        <v>8</v>
      </c>
      <c r="L4" s="7"/>
      <c r="M4" s="7"/>
      <c r="N4" s="7"/>
      <c r="O4" s="7"/>
      <c r="P4" s="8"/>
    </row>
    <row r="5">
      <c r="A5" s="1"/>
      <c r="B5" s="1"/>
      <c r="C5" s="13"/>
      <c r="D5" s="14"/>
      <c r="E5" s="22" t="s">
        <v>9</v>
      </c>
      <c r="F5" s="22" t="s">
        <v>10</v>
      </c>
      <c r="G5" s="22" t="s">
        <v>12</v>
      </c>
      <c r="H5" s="22" t="s">
        <v>13</v>
      </c>
      <c r="I5" s="25" t="s">
        <v>14</v>
      </c>
      <c r="J5" s="25" t="s">
        <v>15</v>
      </c>
      <c r="K5" s="22" t="s">
        <v>9</v>
      </c>
      <c r="L5" s="22" t="s">
        <v>10</v>
      </c>
      <c r="M5" s="22" t="s">
        <v>12</v>
      </c>
      <c r="N5" s="22" t="s">
        <v>13</v>
      </c>
      <c r="O5" s="25" t="s">
        <v>16</v>
      </c>
      <c r="P5" s="25" t="s">
        <v>17</v>
      </c>
    </row>
    <row r="6">
      <c r="A6" s="1"/>
      <c r="B6" s="1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>
      <c r="A7" s="1"/>
      <c r="B7" s="1"/>
      <c r="C7" s="2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>
      <c r="A8" s="1"/>
      <c r="B8" s="1"/>
      <c r="C8" s="24" t="s">
        <v>20</v>
      </c>
      <c r="D8" s="26" t="s">
        <v>20</v>
      </c>
      <c r="E8" s="38"/>
      <c r="F8" s="38"/>
      <c r="G8" s="38"/>
      <c r="H8" s="38"/>
      <c r="I8" s="38">
        <f t="shared" ref="I8:I73" si="1">SUM(E8:H8)</f>
        <v>0</v>
      </c>
      <c r="J8" s="38"/>
      <c r="K8" s="38"/>
      <c r="L8" s="38"/>
      <c r="M8" s="38"/>
      <c r="N8" s="38"/>
      <c r="O8" s="38">
        <f t="shared" ref="O8:O73" si="2">SUM(K8:N8)</f>
        <v>0</v>
      </c>
      <c r="P8" s="38"/>
    </row>
    <row r="9">
      <c r="A9" s="1"/>
      <c r="B9" s="1"/>
      <c r="C9" s="34" t="s">
        <v>18</v>
      </c>
      <c r="D9" s="26" t="s">
        <v>19</v>
      </c>
      <c r="E9" s="38">
        <v>1.0</v>
      </c>
      <c r="F9" s="38"/>
      <c r="G9" s="38"/>
      <c r="H9" s="38"/>
      <c r="I9" s="38">
        <f t="shared" si="1"/>
        <v>1</v>
      </c>
      <c r="J9" s="38"/>
      <c r="K9" s="38">
        <v>1.0</v>
      </c>
      <c r="L9" s="38"/>
      <c r="M9" s="38"/>
      <c r="N9" s="38"/>
      <c r="O9" s="38">
        <f t="shared" si="2"/>
        <v>1</v>
      </c>
      <c r="P9" s="38"/>
    </row>
    <row r="10">
      <c r="A10" s="1"/>
      <c r="B10" s="1"/>
      <c r="C10" s="21"/>
      <c r="D10" s="26" t="s">
        <v>36</v>
      </c>
      <c r="E10" s="38"/>
      <c r="F10" s="38"/>
      <c r="G10" s="38"/>
      <c r="H10" s="38"/>
      <c r="I10" s="38">
        <f t="shared" si="1"/>
        <v>0</v>
      </c>
      <c r="J10" s="38"/>
      <c r="K10" s="38"/>
      <c r="L10" s="38"/>
      <c r="M10" s="38"/>
      <c r="N10" s="38"/>
      <c r="O10" s="38">
        <f t="shared" si="2"/>
        <v>0</v>
      </c>
      <c r="P10" s="38"/>
    </row>
    <row r="11">
      <c r="A11" s="1"/>
      <c r="B11" s="1"/>
      <c r="C11" s="34" t="s">
        <v>21</v>
      </c>
      <c r="D11" s="26" t="s">
        <v>22</v>
      </c>
      <c r="E11" s="38"/>
      <c r="F11" s="38"/>
      <c r="G11" s="38"/>
      <c r="H11" s="38"/>
      <c r="I11" s="38">
        <f t="shared" si="1"/>
        <v>0</v>
      </c>
      <c r="J11" s="38"/>
      <c r="K11" s="38"/>
      <c r="L11" s="38"/>
      <c r="M11" s="38"/>
      <c r="N11" s="38"/>
      <c r="O11" s="38">
        <f t="shared" si="2"/>
        <v>0</v>
      </c>
      <c r="P11" s="38"/>
    </row>
    <row r="12">
      <c r="A12" s="1"/>
      <c r="B12" s="1"/>
      <c r="C12" s="13"/>
      <c r="D12" s="26" t="s">
        <v>25</v>
      </c>
      <c r="E12" s="38"/>
      <c r="F12" s="38"/>
      <c r="G12" s="38"/>
      <c r="H12" s="38"/>
      <c r="I12" s="38">
        <f t="shared" si="1"/>
        <v>0</v>
      </c>
      <c r="J12" s="38"/>
      <c r="K12" s="38"/>
      <c r="L12" s="38"/>
      <c r="M12" s="38"/>
      <c r="N12" s="38"/>
      <c r="O12" s="38">
        <f t="shared" si="2"/>
        <v>0</v>
      </c>
      <c r="P12" s="38"/>
    </row>
    <row r="13">
      <c r="A13" s="1"/>
      <c r="B13" s="1"/>
      <c r="C13" s="13"/>
      <c r="D13" s="26" t="s">
        <v>23</v>
      </c>
      <c r="E13" s="38"/>
      <c r="F13" s="38"/>
      <c r="G13" s="38"/>
      <c r="H13" s="38"/>
      <c r="I13" s="38">
        <f t="shared" si="1"/>
        <v>0</v>
      </c>
      <c r="J13" s="38"/>
      <c r="K13" s="38"/>
      <c r="L13" s="38"/>
      <c r="M13" s="38"/>
      <c r="N13" s="38"/>
      <c r="O13" s="38">
        <f t="shared" si="2"/>
        <v>0</v>
      </c>
      <c r="P13" s="38"/>
    </row>
    <row r="14">
      <c r="A14" s="1"/>
      <c r="B14" s="1"/>
      <c r="C14" s="13"/>
      <c r="D14" s="26" t="s">
        <v>24</v>
      </c>
      <c r="E14" s="38"/>
      <c r="F14" s="38"/>
      <c r="G14" s="38">
        <v>1.0</v>
      </c>
      <c r="H14" s="38"/>
      <c r="I14" s="38">
        <f t="shared" si="1"/>
        <v>1</v>
      </c>
      <c r="J14" s="38"/>
      <c r="K14" s="38"/>
      <c r="L14" s="38"/>
      <c r="M14" s="38">
        <v>1.0</v>
      </c>
      <c r="N14" s="38"/>
      <c r="O14" s="38">
        <f t="shared" si="2"/>
        <v>1</v>
      </c>
      <c r="P14" s="38"/>
    </row>
    <row r="15">
      <c r="A15" s="1"/>
      <c r="B15" s="1"/>
      <c r="C15" s="13"/>
      <c r="D15" s="26" t="s">
        <v>26</v>
      </c>
      <c r="E15" s="38"/>
      <c r="F15" s="38"/>
      <c r="G15" s="38">
        <v>4.0</v>
      </c>
      <c r="H15" s="38"/>
      <c r="I15" s="38">
        <f t="shared" si="1"/>
        <v>4</v>
      </c>
      <c r="J15" s="38"/>
      <c r="K15" s="38"/>
      <c r="L15" s="38"/>
      <c r="M15" s="38">
        <v>4.0</v>
      </c>
      <c r="N15" s="38"/>
      <c r="O15" s="38">
        <f t="shared" si="2"/>
        <v>4</v>
      </c>
      <c r="P15" s="38"/>
    </row>
    <row r="16">
      <c r="A16" s="1"/>
      <c r="B16" s="1"/>
      <c r="C16" s="13"/>
      <c r="D16" s="26" t="s">
        <v>27</v>
      </c>
      <c r="E16" s="38"/>
      <c r="F16" s="38">
        <v>1.0</v>
      </c>
      <c r="G16" s="38">
        <v>1.0</v>
      </c>
      <c r="H16" s="38"/>
      <c r="I16" s="38">
        <f t="shared" si="1"/>
        <v>2</v>
      </c>
      <c r="J16" s="38"/>
      <c r="K16" s="38"/>
      <c r="L16" s="38">
        <v>1.0</v>
      </c>
      <c r="M16" s="38">
        <v>1.0</v>
      </c>
      <c r="N16" s="38"/>
      <c r="O16" s="38">
        <f t="shared" si="2"/>
        <v>2</v>
      </c>
      <c r="P16" s="38"/>
    </row>
    <row r="17">
      <c r="A17" s="1"/>
      <c r="B17" s="1"/>
      <c r="C17" s="21"/>
      <c r="D17" s="26" t="s">
        <v>28</v>
      </c>
      <c r="E17" s="38"/>
      <c r="F17" s="38"/>
      <c r="G17" s="38">
        <v>2.0</v>
      </c>
      <c r="H17" s="38"/>
      <c r="I17" s="38">
        <f t="shared" si="1"/>
        <v>2</v>
      </c>
      <c r="J17" s="38"/>
      <c r="K17" s="38"/>
      <c r="L17" s="38"/>
      <c r="M17" s="38">
        <v>2.0</v>
      </c>
      <c r="N17" s="38"/>
      <c r="O17" s="38">
        <f t="shared" si="2"/>
        <v>2</v>
      </c>
      <c r="P17" s="38"/>
    </row>
    <row r="18">
      <c r="A18" s="1"/>
      <c r="B18" s="1"/>
      <c r="C18" s="34" t="s">
        <v>29</v>
      </c>
      <c r="D18" s="26" t="s">
        <v>30</v>
      </c>
      <c r="E18" s="38"/>
      <c r="F18" s="38"/>
      <c r="G18" s="38"/>
      <c r="H18" s="38"/>
      <c r="I18" s="38">
        <f t="shared" si="1"/>
        <v>0</v>
      </c>
      <c r="J18" s="38"/>
      <c r="K18" s="38"/>
      <c r="L18" s="38"/>
      <c r="M18" s="38"/>
      <c r="N18" s="38"/>
      <c r="O18" s="38">
        <f t="shared" si="2"/>
        <v>0</v>
      </c>
      <c r="P18" s="38"/>
    </row>
    <row r="19">
      <c r="A19" s="1"/>
      <c r="B19" s="1"/>
      <c r="C19" s="13"/>
      <c r="D19" s="26" t="s">
        <v>31</v>
      </c>
      <c r="E19" s="38">
        <v>3.0</v>
      </c>
      <c r="F19" s="38">
        <v>5.0</v>
      </c>
      <c r="G19" s="38"/>
      <c r="H19" s="38"/>
      <c r="I19" s="38">
        <f t="shared" si="1"/>
        <v>8</v>
      </c>
      <c r="J19" s="38"/>
      <c r="K19" s="38">
        <v>3.0</v>
      </c>
      <c r="L19" s="38">
        <v>3.0</v>
      </c>
      <c r="M19" s="38"/>
      <c r="N19" s="38"/>
      <c r="O19" s="38">
        <f t="shared" si="2"/>
        <v>6</v>
      </c>
      <c r="P19" s="38"/>
    </row>
    <row r="20">
      <c r="A20" s="1"/>
      <c r="B20" s="1"/>
      <c r="C20" s="13"/>
      <c r="D20" s="26" t="s">
        <v>32</v>
      </c>
      <c r="E20" s="38">
        <v>1.0</v>
      </c>
      <c r="F20" s="38"/>
      <c r="G20" s="38">
        <v>2.0</v>
      </c>
      <c r="H20" s="38"/>
      <c r="I20" s="38">
        <f t="shared" si="1"/>
        <v>3</v>
      </c>
      <c r="J20" s="38"/>
      <c r="K20" s="38">
        <v>1.0</v>
      </c>
      <c r="L20" s="38"/>
      <c r="M20" s="38">
        <v>2.0</v>
      </c>
      <c r="N20" s="38"/>
      <c r="O20" s="38">
        <f t="shared" si="2"/>
        <v>3</v>
      </c>
      <c r="P20" s="38"/>
    </row>
    <row r="21" ht="15.75" customHeight="1">
      <c r="A21" s="1"/>
      <c r="B21" s="1"/>
      <c r="C21" s="21"/>
      <c r="D21" s="26" t="s">
        <v>33</v>
      </c>
      <c r="E21" s="38"/>
      <c r="F21" s="38"/>
      <c r="G21" s="38"/>
      <c r="H21" s="38"/>
      <c r="I21" s="38">
        <f t="shared" si="1"/>
        <v>0</v>
      </c>
      <c r="J21" s="38"/>
      <c r="K21" s="38"/>
      <c r="L21" s="38"/>
      <c r="M21" s="38"/>
      <c r="N21" s="38"/>
      <c r="O21" s="38">
        <f t="shared" si="2"/>
        <v>0</v>
      </c>
      <c r="P21" s="38"/>
    </row>
    <row r="22" ht="15.75" customHeight="1">
      <c r="A22" s="1"/>
      <c r="B22" s="1"/>
      <c r="C22" s="24" t="s">
        <v>34</v>
      </c>
      <c r="D22" s="26" t="s">
        <v>35</v>
      </c>
      <c r="E22" s="38"/>
      <c r="F22" s="38"/>
      <c r="G22" s="38"/>
      <c r="H22" s="38"/>
      <c r="I22" s="38">
        <f t="shared" si="1"/>
        <v>0</v>
      </c>
      <c r="J22" s="38"/>
      <c r="K22" s="38"/>
      <c r="L22" s="38"/>
      <c r="M22" s="38"/>
      <c r="N22" s="38"/>
      <c r="O22" s="38">
        <f t="shared" si="2"/>
        <v>0</v>
      </c>
      <c r="P22" s="38"/>
    </row>
    <row r="23" ht="15.75" customHeight="1">
      <c r="A23" s="1"/>
      <c r="B23" s="1"/>
      <c r="C23" s="41" t="s">
        <v>63</v>
      </c>
      <c r="D23" s="26" t="s">
        <v>38</v>
      </c>
      <c r="E23" s="38"/>
      <c r="F23" s="38"/>
      <c r="G23" s="38"/>
      <c r="H23" s="38"/>
      <c r="I23" s="38">
        <f t="shared" si="1"/>
        <v>0</v>
      </c>
      <c r="J23" s="38"/>
      <c r="K23" s="38"/>
      <c r="L23" s="38"/>
      <c r="M23" s="38"/>
      <c r="N23" s="38"/>
      <c r="O23" s="38">
        <f t="shared" si="2"/>
        <v>0</v>
      </c>
      <c r="P23" s="38"/>
    </row>
    <row r="24" ht="15.75" customHeight="1">
      <c r="A24" s="1"/>
      <c r="B24" s="1"/>
      <c r="C24" s="13"/>
      <c r="D24" s="26" t="s">
        <v>39</v>
      </c>
      <c r="E24" s="38"/>
      <c r="F24" s="38"/>
      <c r="G24" s="38"/>
      <c r="H24" s="38"/>
      <c r="I24" s="38">
        <f t="shared" si="1"/>
        <v>0</v>
      </c>
      <c r="J24" s="38"/>
      <c r="K24" s="38"/>
      <c r="L24" s="38"/>
      <c r="M24" s="38"/>
      <c r="N24" s="38"/>
      <c r="O24" s="38">
        <f t="shared" si="2"/>
        <v>0</v>
      </c>
      <c r="P24" s="38"/>
    </row>
    <row r="25" ht="15.75" customHeight="1">
      <c r="A25" s="1"/>
      <c r="B25" s="1"/>
      <c r="C25" s="13"/>
      <c r="D25" s="26" t="s">
        <v>41</v>
      </c>
      <c r="E25" s="38">
        <v>1.0</v>
      </c>
      <c r="F25" s="38"/>
      <c r="G25" s="38"/>
      <c r="H25" s="38"/>
      <c r="I25" s="38">
        <f t="shared" si="1"/>
        <v>1</v>
      </c>
      <c r="J25" s="38"/>
      <c r="K25" s="38">
        <v>1.0</v>
      </c>
      <c r="L25" s="38"/>
      <c r="M25" s="38"/>
      <c r="N25" s="38"/>
      <c r="O25" s="38">
        <f t="shared" si="2"/>
        <v>1</v>
      </c>
      <c r="P25" s="38"/>
    </row>
    <row r="26" ht="15.75" customHeight="1">
      <c r="A26" s="1"/>
      <c r="B26" s="1"/>
      <c r="C26" s="13"/>
      <c r="D26" s="26" t="s">
        <v>43</v>
      </c>
      <c r="E26" s="38"/>
      <c r="F26" s="38"/>
      <c r="G26" s="38">
        <v>1.0</v>
      </c>
      <c r="H26" s="38"/>
      <c r="I26" s="38">
        <f t="shared" si="1"/>
        <v>1</v>
      </c>
      <c r="J26" s="38"/>
      <c r="K26" s="38"/>
      <c r="L26" s="38"/>
      <c r="M26" s="38">
        <v>1.0</v>
      </c>
      <c r="N26" s="38"/>
      <c r="O26" s="38">
        <f t="shared" si="2"/>
        <v>1</v>
      </c>
      <c r="P26" s="38"/>
    </row>
    <row r="27" ht="15.75" customHeight="1">
      <c r="A27" s="1"/>
      <c r="B27" s="1"/>
      <c r="C27" s="13"/>
      <c r="D27" s="26" t="s">
        <v>40</v>
      </c>
      <c r="E27" s="38"/>
      <c r="F27" s="38"/>
      <c r="G27" s="38"/>
      <c r="H27" s="38"/>
      <c r="I27" s="38">
        <f t="shared" si="1"/>
        <v>0</v>
      </c>
      <c r="J27" s="38"/>
      <c r="K27" s="38"/>
      <c r="L27" s="38"/>
      <c r="M27" s="38"/>
      <c r="N27" s="38"/>
      <c r="O27" s="38">
        <f t="shared" si="2"/>
        <v>0</v>
      </c>
      <c r="P27" s="38"/>
    </row>
    <row r="28" ht="15.75" customHeight="1">
      <c r="A28" s="1"/>
      <c r="B28" s="1"/>
      <c r="C28" s="13"/>
      <c r="D28" s="26" t="s">
        <v>42</v>
      </c>
      <c r="E28" s="38"/>
      <c r="F28" s="38"/>
      <c r="G28" s="38">
        <v>1.0</v>
      </c>
      <c r="H28" s="38"/>
      <c r="I28" s="38">
        <f t="shared" si="1"/>
        <v>1</v>
      </c>
      <c r="J28" s="38"/>
      <c r="K28" s="38"/>
      <c r="L28" s="38"/>
      <c r="M28" s="38">
        <v>1.0</v>
      </c>
      <c r="N28" s="38"/>
      <c r="O28" s="38">
        <f t="shared" si="2"/>
        <v>1</v>
      </c>
      <c r="P28" s="38"/>
    </row>
    <row r="29" ht="15.75" customHeight="1">
      <c r="A29" s="1"/>
      <c r="B29" s="1"/>
      <c r="C29" s="13"/>
      <c r="D29" s="26" t="s">
        <v>75</v>
      </c>
      <c r="E29" s="38"/>
      <c r="F29" s="38"/>
      <c r="G29" s="38">
        <v>1.0</v>
      </c>
      <c r="H29" s="38"/>
      <c r="I29" s="38">
        <f t="shared" si="1"/>
        <v>1</v>
      </c>
      <c r="J29" s="38"/>
      <c r="K29" s="38"/>
      <c r="L29" s="38"/>
      <c r="M29" s="38">
        <v>1.0</v>
      </c>
      <c r="N29" s="38"/>
      <c r="O29" s="38">
        <f t="shared" si="2"/>
        <v>1</v>
      </c>
      <c r="P29" s="38"/>
    </row>
    <row r="30" ht="15.75" customHeight="1">
      <c r="A30" s="1"/>
      <c r="B30" s="1"/>
      <c r="C30" s="13"/>
      <c r="D30" s="26" t="s">
        <v>78</v>
      </c>
      <c r="E30" s="38"/>
      <c r="F30" s="38"/>
      <c r="G30" s="38"/>
      <c r="H30" s="38"/>
      <c r="I30" s="38">
        <f t="shared" si="1"/>
        <v>0</v>
      </c>
      <c r="J30" s="38"/>
      <c r="K30" s="38"/>
      <c r="L30" s="38"/>
      <c r="M30" s="38"/>
      <c r="N30" s="38"/>
      <c r="O30" s="38">
        <f t="shared" si="2"/>
        <v>0</v>
      </c>
      <c r="P30" s="38"/>
    </row>
    <row r="31" ht="15.75" customHeight="1">
      <c r="A31" s="43"/>
      <c r="B31" s="43"/>
      <c r="C31" s="13"/>
      <c r="D31" s="26" t="s">
        <v>44</v>
      </c>
      <c r="E31" s="38"/>
      <c r="F31" s="38">
        <v>1.0</v>
      </c>
      <c r="G31" s="38">
        <v>1.0</v>
      </c>
      <c r="H31" s="38"/>
      <c r="I31" s="38">
        <f t="shared" si="1"/>
        <v>2</v>
      </c>
      <c r="J31" s="38"/>
      <c r="K31" s="38"/>
      <c r="L31" s="38">
        <v>1.0</v>
      </c>
      <c r="M31" s="38">
        <v>1.0</v>
      </c>
      <c r="N31" s="38"/>
      <c r="O31" s="38">
        <f t="shared" si="2"/>
        <v>2</v>
      </c>
      <c r="P31" s="38"/>
    </row>
    <row r="32" ht="15.75" customHeight="1">
      <c r="A32" s="1"/>
      <c r="B32" s="1"/>
      <c r="C32" s="13"/>
      <c r="D32" s="26" t="s">
        <v>45</v>
      </c>
      <c r="E32" s="38"/>
      <c r="F32" s="38"/>
      <c r="G32" s="38"/>
      <c r="H32" s="38"/>
      <c r="I32" s="38">
        <f t="shared" si="1"/>
        <v>0</v>
      </c>
      <c r="J32" s="38"/>
      <c r="K32" s="38"/>
      <c r="L32" s="38"/>
      <c r="M32" s="38"/>
      <c r="N32" s="38"/>
      <c r="O32" s="38">
        <f t="shared" si="2"/>
        <v>0</v>
      </c>
      <c r="P32" s="38"/>
    </row>
    <row r="33" ht="15.75" customHeight="1">
      <c r="A33" s="1"/>
      <c r="B33" s="1"/>
      <c r="C33" s="13"/>
      <c r="D33" s="26" t="s">
        <v>46</v>
      </c>
      <c r="E33" s="38"/>
      <c r="F33" s="38"/>
      <c r="G33" s="38">
        <v>4.0</v>
      </c>
      <c r="H33" s="38"/>
      <c r="I33" s="38">
        <f t="shared" si="1"/>
        <v>4</v>
      </c>
      <c r="J33" s="38"/>
      <c r="K33" s="38"/>
      <c r="L33" s="38"/>
      <c r="M33" s="38">
        <v>4.0</v>
      </c>
      <c r="N33" s="38"/>
      <c r="O33" s="38">
        <f t="shared" si="2"/>
        <v>4</v>
      </c>
      <c r="P33" s="38"/>
    </row>
    <row r="34" ht="15.75" customHeight="1">
      <c r="A34" s="1"/>
      <c r="B34" s="1"/>
      <c r="C34" s="13"/>
      <c r="D34" s="26" t="s">
        <v>47</v>
      </c>
      <c r="E34" s="38"/>
      <c r="F34" s="38"/>
      <c r="G34" s="38">
        <v>2.0</v>
      </c>
      <c r="H34" s="38"/>
      <c r="I34" s="38">
        <f t="shared" si="1"/>
        <v>2</v>
      </c>
      <c r="J34" s="38"/>
      <c r="K34" s="38"/>
      <c r="L34" s="38"/>
      <c r="M34" s="38">
        <v>2.0</v>
      </c>
      <c r="N34" s="38"/>
      <c r="O34" s="38">
        <f t="shared" si="2"/>
        <v>2</v>
      </c>
      <c r="P34" s="38"/>
    </row>
    <row r="35" ht="15.75" customHeight="1">
      <c r="A35" s="1"/>
      <c r="B35" s="1"/>
      <c r="C35" s="13"/>
      <c r="D35" s="26" t="s">
        <v>48</v>
      </c>
      <c r="E35" s="38"/>
      <c r="F35" s="38"/>
      <c r="G35" s="38">
        <v>1.0</v>
      </c>
      <c r="H35" s="38"/>
      <c r="I35" s="38">
        <f t="shared" si="1"/>
        <v>1</v>
      </c>
      <c r="J35" s="38"/>
      <c r="K35" s="38"/>
      <c r="L35" s="38"/>
      <c r="M35" s="38">
        <v>1.0</v>
      </c>
      <c r="N35" s="38"/>
      <c r="O35" s="38">
        <f t="shared" si="2"/>
        <v>1</v>
      </c>
      <c r="P35" s="38"/>
    </row>
    <row r="36" ht="15.75" customHeight="1">
      <c r="A36" s="1"/>
      <c r="B36" s="1"/>
      <c r="C36" s="41" t="s">
        <v>49</v>
      </c>
      <c r="D36" s="26" t="s">
        <v>50</v>
      </c>
      <c r="E36" s="38">
        <v>1.0</v>
      </c>
      <c r="F36" s="38"/>
      <c r="G36" s="38"/>
      <c r="H36" s="38"/>
      <c r="I36" s="38">
        <f t="shared" si="1"/>
        <v>1</v>
      </c>
      <c r="J36" s="38"/>
      <c r="K36" s="38">
        <v>1.0</v>
      </c>
      <c r="L36" s="38"/>
      <c r="M36" s="38"/>
      <c r="N36" s="38"/>
      <c r="O36" s="38">
        <f t="shared" si="2"/>
        <v>1</v>
      </c>
      <c r="P36" s="38"/>
    </row>
    <row r="37" ht="15.75" customHeight="1">
      <c r="A37" s="1"/>
      <c r="B37" s="1"/>
      <c r="C37" s="13"/>
      <c r="D37" s="26" t="s">
        <v>95</v>
      </c>
      <c r="E37" s="38"/>
      <c r="F37" s="38"/>
      <c r="G37" s="38"/>
      <c r="H37" s="38"/>
      <c r="I37" s="38">
        <f t="shared" si="1"/>
        <v>0</v>
      </c>
      <c r="J37" s="38"/>
      <c r="K37" s="38"/>
      <c r="L37" s="38"/>
      <c r="M37" s="38"/>
      <c r="N37" s="38"/>
      <c r="O37" s="38">
        <f t="shared" si="2"/>
        <v>0</v>
      </c>
      <c r="P37" s="38"/>
    </row>
    <row r="38" ht="15.75" customHeight="1">
      <c r="A38" s="1"/>
      <c r="B38" s="1"/>
      <c r="C38" s="13"/>
      <c r="D38" s="26" t="s">
        <v>97</v>
      </c>
      <c r="E38" s="38"/>
      <c r="F38" s="38"/>
      <c r="G38" s="38">
        <v>1.0</v>
      </c>
      <c r="H38" s="38"/>
      <c r="I38" s="38">
        <f t="shared" si="1"/>
        <v>1</v>
      </c>
      <c r="J38" s="38"/>
      <c r="K38" s="38"/>
      <c r="L38" s="38"/>
      <c r="M38" s="38">
        <v>1.0</v>
      </c>
      <c r="N38" s="38"/>
      <c r="O38" s="38">
        <f t="shared" si="2"/>
        <v>1</v>
      </c>
      <c r="P38" s="38"/>
    </row>
    <row r="39" ht="15.75" customHeight="1">
      <c r="A39" s="1"/>
      <c r="B39" s="1"/>
      <c r="C39" s="13"/>
      <c r="D39" s="26" t="s">
        <v>99</v>
      </c>
      <c r="E39" s="38">
        <v>1.0</v>
      </c>
      <c r="F39" s="38">
        <v>1.0</v>
      </c>
      <c r="G39" s="38"/>
      <c r="H39" s="38"/>
      <c r="I39" s="38">
        <f t="shared" si="1"/>
        <v>2</v>
      </c>
      <c r="J39" s="38"/>
      <c r="K39" s="38">
        <v>1.0</v>
      </c>
      <c r="L39" s="38"/>
      <c r="M39" s="38"/>
      <c r="N39" s="38"/>
      <c r="O39" s="38">
        <f t="shared" si="2"/>
        <v>1</v>
      </c>
      <c r="P39" s="38"/>
    </row>
    <row r="40" ht="15.75" customHeight="1">
      <c r="A40" s="1"/>
      <c r="B40" s="1"/>
      <c r="C40" s="13"/>
      <c r="D40" s="26" t="s">
        <v>52</v>
      </c>
      <c r="E40" s="38"/>
      <c r="F40" s="38"/>
      <c r="G40" s="38"/>
      <c r="H40" s="38"/>
      <c r="I40" s="38">
        <f t="shared" si="1"/>
        <v>0</v>
      </c>
      <c r="J40" s="38"/>
      <c r="K40" s="38"/>
      <c r="L40" s="38"/>
      <c r="M40" s="38"/>
      <c r="N40" s="38"/>
      <c r="O40" s="38">
        <f t="shared" si="2"/>
        <v>0</v>
      </c>
      <c r="P40" s="38"/>
    </row>
    <row r="41" ht="15.75" customHeight="1">
      <c r="A41" s="1"/>
      <c r="B41" s="1"/>
      <c r="C41" s="13"/>
      <c r="D41" s="26" t="s">
        <v>104</v>
      </c>
      <c r="E41" s="38"/>
      <c r="F41" s="38"/>
      <c r="G41" s="38">
        <v>1.0</v>
      </c>
      <c r="H41" s="38"/>
      <c r="I41" s="38">
        <f t="shared" si="1"/>
        <v>1</v>
      </c>
      <c r="J41" s="38"/>
      <c r="K41" s="38"/>
      <c r="L41" s="38"/>
      <c r="M41" s="38">
        <v>1.0</v>
      </c>
      <c r="N41" s="38"/>
      <c r="O41" s="38">
        <f t="shared" si="2"/>
        <v>1</v>
      </c>
      <c r="P41" s="38"/>
    </row>
    <row r="42" ht="15.75" customHeight="1">
      <c r="A42" s="1"/>
      <c r="B42" s="1"/>
      <c r="C42" s="13"/>
      <c r="D42" s="26" t="s">
        <v>55</v>
      </c>
      <c r="E42" s="38"/>
      <c r="F42" s="38"/>
      <c r="G42" s="38"/>
      <c r="H42" s="38"/>
      <c r="I42" s="38">
        <f t="shared" si="1"/>
        <v>0</v>
      </c>
      <c r="J42" s="38"/>
      <c r="K42" s="38"/>
      <c r="L42" s="38"/>
      <c r="M42" s="38"/>
      <c r="N42" s="38"/>
      <c r="O42" s="38">
        <f t="shared" si="2"/>
        <v>0</v>
      </c>
      <c r="P42" s="38"/>
    </row>
    <row r="43" ht="15.75" customHeight="1">
      <c r="A43" s="1"/>
      <c r="B43" s="1"/>
      <c r="C43" s="21"/>
      <c r="D43" s="26" t="s">
        <v>106</v>
      </c>
      <c r="E43" s="38"/>
      <c r="F43" s="38"/>
      <c r="G43" s="38">
        <v>1.0</v>
      </c>
      <c r="H43" s="38"/>
      <c r="I43" s="38">
        <f t="shared" si="1"/>
        <v>1</v>
      </c>
      <c r="J43" s="38"/>
      <c r="K43" s="38"/>
      <c r="L43" s="38"/>
      <c r="M43" s="38">
        <v>1.0</v>
      </c>
      <c r="N43" s="38"/>
      <c r="O43" s="38">
        <f t="shared" si="2"/>
        <v>1</v>
      </c>
      <c r="P43" s="38"/>
    </row>
    <row r="44" ht="15.75" customHeight="1">
      <c r="A44" s="1"/>
      <c r="B44" s="1"/>
      <c r="C44" s="49" t="s">
        <v>53</v>
      </c>
      <c r="D44" s="26" t="s">
        <v>53</v>
      </c>
      <c r="E44" s="38"/>
      <c r="F44" s="38"/>
      <c r="G44" s="38"/>
      <c r="H44" s="38"/>
      <c r="I44" s="38">
        <f t="shared" si="1"/>
        <v>0</v>
      </c>
      <c r="J44" s="38"/>
      <c r="K44" s="38"/>
      <c r="L44" s="38"/>
      <c r="M44" s="38"/>
      <c r="N44" s="38"/>
      <c r="O44" s="38">
        <f t="shared" si="2"/>
        <v>0</v>
      </c>
      <c r="P44" s="38"/>
    </row>
    <row r="45" ht="15.75" customHeight="1">
      <c r="A45" s="1"/>
      <c r="B45" s="1"/>
      <c r="C45" s="34" t="s">
        <v>54</v>
      </c>
      <c r="D45" s="26" t="s">
        <v>56</v>
      </c>
      <c r="E45" s="38"/>
      <c r="F45" s="38"/>
      <c r="G45" s="38"/>
      <c r="H45" s="38"/>
      <c r="I45" s="38">
        <f t="shared" si="1"/>
        <v>0</v>
      </c>
      <c r="J45" s="38"/>
      <c r="K45" s="38"/>
      <c r="L45" s="38"/>
      <c r="M45" s="38"/>
      <c r="N45" s="38"/>
      <c r="O45" s="38">
        <f t="shared" si="2"/>
        <v>0</v>
      </c>
      <c r="P45" s="38"/>
    </row>
    <row r="46" ht="15.75" customHeight="1">
      <c r="A46" s="1"/>
      <c r="B46" s="1"/>
      <c r="C46" s="13"/>
      <c r="D46" s="26" t="s">
        <v>111</v>
      </c>
      <c r="E46" s="38">
        <v>1.0</v>
      </c>
      <c r="F46" s="38"/>
      <c r="G46" s="38"/>
      <c r="H46" s="38"/>
      <c r="I46" s="38">
        <f t="shared" si="1"/>
        <v>1</v>
      </c>
      <c r="J46" s="38"/>
      <c r="K46" s="38">
        <v>1.0</v>
      </c>
      <c r="L46" s="38"/>
      <c r="M46" s="38"/>
      <c r="N46" s="38"/>
      <c r="O46" s="38">
        <f t="shared" si="2"/>
        <v>1</v>
      </c>
      <c r="P46" s="38"/>
    </row>
    <row r="47" ht="15.75" customHeight="1">
      <c r="A47" s="1"/>
      <c r="B47" s="1"/>
      <c r="C47" s="21"/>
      <c r="D47" s="26" t="s">
        <v>54</v>
      </c>
      <c r="E47" s="38"/>
      <c r="F47" s="38"/>
      <c r="G47" s="38">
        <v>6.0</v>
      </c>
      <c r="H47" s="38"/>
      <c r="I47" s="38">
        <f t="shared" si="1"/>
        <v>6</v>
      </c>
      <c r="J47" s="38"/>
      <c r="K47" s="38"/>
      <c r="L47" s="38"/>
      <c r="M47" s="38">
        <v>6.0</v>
      </c>
      <c r="N47" s="38"/>
      <c r="O47" s="38">
        <f t="shared" si="2"/>
        <v>6</v>
      </c>
      <c r="P47" s="38"/>
    </row>
    <row r="48" ht="15.75" customHeight="1">
      <c r="A48" s="1"/>
      <c r="B48" s="1"/>
      <c r="C48" s="34" t="s">
        <v>57</v>
      </c>
      <c r="D48" s="26" t="s">
        <v>59</v>
      </c>
      <c r="E48" s="38"/>
      <c r="F48" s="38"/>
      <c r="G48" s="38"/>
      <c r="H48" s="38"/>
      <c r="I48" s="38">
        <f t="shared" si="1"/>
        <v>0</v>
      </c>
      <c r="J48" s="38"/>
      <c r="K48" s="38"/>
      <c r="L48" s="38"/>
      <c r="M48" s="38"/>
      <c r="N48" s="38"/>
      <c r="O48" s="38">
        <f t="shared" si="2"/>
        <v>0</v>
      </c>
      <c r="P48" s="38"/>
    </row>
    <row r="49" ht="15.75" customHeight="1">
      <c r="A49" s="1"/>
      <c r="B49" s="1"/>
      <c r="C49" s="13"/>
      <c r="D49" s="26" t="s">
        <v>114</v>
      </c>
      <c r="E49" s="38"/>
      <c r="F49" s="38"/>
      <c r="G49" s="38"/>
      <c r="H49" s="38"/>
      <c r="I49" s="38">
        <f t="shared" si="1"/>
        <v>0</v>
      </c>
      <c r="J49" s="38"/>
      <c r="K49" s="38"/>
      <c r="L49" s="38"/>
      <c r="M49" s="38"/>
      <c r="N49" s="38"/>
      <c r="O49" s="38">
        <f t="shared" si="2"/>
        <v>0</v>
      </c>
      <c r="P49" s="38"/>
    </row>
    <row r="50" ht="15.75" customHeight="1">
      <c r="A50" s="1"/>
      <c r="B50" s="1"/>
      <c r="C50" s="13"/>
      <c r="D50" s="26" t="s">
        <v>60</v>
      </c>
      <c r="E50" s="38">
        <v>1.0</v>
      </c>
      <c r="F50" s="38">
        <v>1.0</v>
      </c>
      <c r="G50" s="38"/>
      <c r="H50" s="38"/>
      <c r="I50" s="38">
        <f t="shared" si="1"/>
        <v>2</v>
      </c>
      <c r="J50" s="38"/>
      <c r="K50" s="38">
        <v>1.0</v>
      </c>
      <c r="L50" s="38">
        <v>1.0</v>
      </c>
      <c r="M50" s="38"/>
      <c r="N50" s="38"/>
      <c r="O50" s="38">
        <f t="shared" si="2"/>
        <v>2</v>
      </c>
      <c r="P50" s="38"/>
    </row>
    <row r="51" ht="15.75" customHeight="1">
      <c r="A51" s="1"/>
      <c r="B51" s="1"/>
      <c r="C51" s="21"/>
      <c r="D51" s="26" t="s">
        <v>115</v>
      </c>
      <c r="E51" s="38"/>
      <c r="F51" s="38">
        <v>1.0</v>
      </c>
      <c r="G51" s="38"/>
      <c r="H51" s="38"/>
      <c r="I51" s="38">
        <f t="shared" si="1"/>
        <v>1</v>
      </c>
      <c r="J51" s="38"/>
      <c r="K51" s="38"/>
      <c r="L51" s="38"/>
      <c r="M51" s="38"/>
      <c r="N51" s="38"/>
      <c r="O51" s="38">
        <f t="shared" si="2"/>
        <v>0</v>
      </c>
      <c r="P51" s="38"/>
    </row>
    <row r="52" ht="15.75" customHeight="1">
      <c r="A52" s="1"/>
      <c r="B52" s="1"/>
      <c r="C52" s="34" t="s">
        <v>62</v>
      </c>
      <c r="D52" s="26" t="s">
        <v>64</v>
      </c>
      <c r="E52" s="38"/>
      <c r="F52" s="38"/>
      <c r="G52" s="38"/>
      <c r="H52" s="38"/>
      <c r="I52" s="38">
        <f t="shared" si="1"/>
        <v>0</v>
      </c>
      <c r="J52" s="38"/>
      <c r="K52" s="38"/>
      <c r="L52" s="38"/>
      <c r="M52" s="38"/>
      <c r="N52" s="38"/>
      <c r="O52" s="38">
        <f t="shared" si="2"/>
        <v>0</v>
      </c>
      <c r="P52" s="38"/>
    </row>
    <row r="53" ht="15.75" customHeight="1">
      <c r="A53" s="1"/>
      <c r="B53" s="1"/>
      <c r="C53" s="13"/>
      <c r="D53" s="26" t="s">
        <v>65</v>
      </c>
      <c r="E53" s="38">
        <v>2.0</v>
      </c>
      <c r="F53" s="38">
        <v>1.0</v>
      </c>
      <c r="G53" s="38"/>
      <c r="H53" s="38"/>
      <c r="I53" s="38">
        <f t="shared" si="1"/>
        <v>3</v>
      </c>
      <c r="J53" s="38"/>
      <c r="K53" s="38">
        <v>2.0</v>
      </c>
      <c r="L53" s="38">
        <v>1.0</v>
      </c>
      <c r="M53" s="38"/>
      <c r="N53" s="38"/>
      <c r="O53" s="38">
        <f t="shared" si="2"/>
        <v>3</v>
      </c>
      <c r="P53" s="38"/>
    </row>
    <row r="54" ht="15.75" customHeight="1">
      <c r="A54" s="1"/>
      <c r="B54" s="1"/>
      <c r="C54" s="13"/>
      <c r="D54" s="26" t="s">
        <v>66</v>
      </c>
      <c r="E54" s="38"/>
      <c r="F54" s="38"/>
      <c r="G54" s="38">
        <v>1.0</v>
      </c>
      <c r="H54" s="38"/>
      <c r="I54" s="38">
        <f t="shared" si="1"/>
        <v>1</v>
      </c>
      <c r="J54" s="38"/>
      <c r="K54" s="38"/>
      <c r="L54" s="38"/>
      <c r="M54" s="38">
        <v>1.0</v>
      </c>
      <c r="N54" s="38"/>
      <c r="O54" s="38">
        <f t="shared" si="2"/>
        <v>1</v>
      </c>
      <c r="P54" s="38"/>
    </row>
    <row r="55" ht="15.75" customHeight="1">
      <c r="A55" s="1"/>
      <c r="B55" s="1"/>
      <c r="C55" s="13"/>
      <c r="D55" s="26" t="s">
        <v>118</v>
      </c>
      <c r="E55" s="38"/>
      <c r="F55" s="38"/>
      <c r="G55" s="38">
        <v>1.0</v>
      </c>
      <c r="H55" s="38"/>
      <c r="I55" s="38">
        <f t="shared" si="1"/>
        <v>1</v>
      </c>
      <c r="J55" s="38"/>
      <c r="K55" s="38"/>
      <c r="L55" s="38"/>
      <c r="M55" s="38">
        <v>1.0</v>
      </c>
      <c r="N55" s="38"/>
      <c r="O55" s="38">
        <f t="shared" si="2"/>
        <v>1</v>
      </c>
      <c r="P55" s="38"/>
    </row>
    <row r="56" ht="15.75" customHeight="1">
      <c r="A56" s="1"/>
      <c r="B56" s="1"/>
      <c r="C56" s="13"/>
      <c r="D56" s="26" t="s">
        <v>119</v>
      </c>
      <c r="E56" s="38"/>
      <c r="F56" s="38">
        <v>2.0</v>
      </c>
      <c r="G56" s="38">
        <v>12.0</v>
      </c>
      <c r="H56" s="38"/>
      <c r="I56" s="38">
        <f t="shared" si="1"/>
        <v>14</v>
      </c>
      <c r="J56" s="38"/>
      <c r="K56" s="38"/>
      <c r="L56" s="38">
        <v>2.0</v>
      </c>
      <c r="M56" s="38">
        <v>12.0</v>
      </c>
      <c r="N56" s="38"/>
      <c r="O56" s="38">
        <f t="shared" si="2"/>
        <v>14</v>
      </c>
      <c r="P56" s="38"/>
    </row>
    <row r="57" ht="15.75" customHeight="1">
      <c r="A57" s="1"/>
      <c r="B57" s="1"/>
      <c r="C57" s="13"/>
      <c r="D57" s="26" t="s">
        <v>122</v>
      </c>
      <c r="E57" s="38"/>
      <c r="F57" s="38"/>
      <c r="G57" s="38"/>
      <c r="H57" s="38"/>
      <c r="I57" s="38">
        <f t="shared" si="1"/>
        <v>0</v>
      </c>
      <c r="J57" s="38"/>
      <c r="K57" s="38"/>
      <c r="L57" s="38"/>
      <c r="M57" s="38"/>
      <c r="N57" s="38"/>
      <c r="O57" s="38">
        <f t="shared" si="2"/>
        <v>0</v>
      </c>
      <c r="P57" s="38"/>
    </row>
    <row r="58" ht="15.75" customHeight="1">
      <c r="A58" s="1"/>
      <c r="B58" s="1"/>
      <c r="C58" s="13"/>
      <c r="D58" s="26" t="s">
        <v>124</v>
      </c>
      <c r="E58" s="38">
        <v>1.0</v>
      </c>
      <c r="F58" s="38">
        <v>3.0</v>
      </c>
      <c r="G58" s="38">
        <v>8.0</v>
      </c>
      <c r="H58" s="38"/>
      <c r="I58" s="38">
        <f t="shared" si="1"/>
        <v>12</v>
      </c>
      <c r="J58" s="38"/>
      <c r="K58" s="38">
        <v>1.0</v>
      </c>
      <c r="L58" s="38">
        <v>3.0</v>
      </c>
      <c r="M58" s="38">
        <v>8.0</v>
      </c>
      <c r="N58" s="38"/>
      <c r="O58" s="38">
        <f t="shared" si="2"/>
        <v>12</v>
      </c>
      <c r="P58" s="38"/>
    </row>
    <row r="59" ht="15.75" customHeight="1">
      <c r="A59" s="1"/>
      <c r="B59" s="1"/>
      <c r="C59" s="13"/>
      <c r="D59" s="26" t="s">
        <v>127</v>
      </c>
      <c r="E59" s="38">
        <v>1.0</v>
      </c>
      <c r="F59" s="38">
        <v>1.0</v>
      </c>
      <c r="G59" s="38">
        <v>4.0</v>
      </c>
      <c r="H59" s="38"/>
      <c r="I59" s="38">
        <f t="shared" si="1"/>
        <v>6</v>
      </c>
      <c r="J59" s="38"/>
      <c r="K59" s="38">
        <v>1.0</v>
      </c>
      <c r="L59" s="38">
        <v>1.0</v>
      </c>
      <c r="M59" s="38">
        <v>4.0</v>
      </c>
      <c r="N59" s="38"/>
      <c r="O59" s="38">
        <f t="shared" si="2"/>
        <v>6</v>
      </c>
      <c r="P59" s="38"/>
    </row>
    <row r="60" ht="15.75" customHeight="1">
      <c r="A60" s="1"/>
      <c r="B60" s="1"/>
      <c r="C60" s="13"/>
      <c r="D60" s="26" t="s">
        <v>129</v>
      </c>
      <c r="E60" s="38"/>
      <c r="F60" s="38">
        <v>3.0</v>
      </c>
      <c r="G60" s="38">
        <v>9.0</v>
      </c>
      <c r="H60" s="38"/>
      <c r="I60" s="38">
        <f t="shared" si="1"/>
        <v>12</v>
      </c>
      <c r="J60" s="38"/>
      <c r="K60" s="38"/>
      <c r="L60" s="38">
        <v>3.0</v>
      </c>
      <c r="M60" s="38">
        <v>9.0</v>
      </c>
      <c r="N60" s="38"/>
      <c r="O60" s="38">
        <f t="shared" si="2"/>
        <v>12</v>
      </c>
      <c r="P60" s="38"/>
    </row>
    <row r="61" ht="15.75" customHeight="1">
      <c r="A61" s="1"/>
      <c r="B61" s="1"/>
      <c r="C61" s="13"/>
      <c r="D61" s="26" t="s">
        <v>89</v>
      </c>
      <c r="E61" s="38"/>
      <c r="F61" s="38"/>
      <c r="G61" s="38">
        <v>2.0</v>
      </c>
      <c r="H61" s="38"/>
      <c r="I61" s="38">
        <f t="shared" si="1"/>
        <v>2</v>
      </c>
      <c r="J61" s="38"/>
      <c r="K61" s="38"/>
      <c r="L61" s="38"/>
      <c r="M61" s="38">
        <v>2.0</v>
      </c>
      <c r="N61" s="38"/>
      <c r="O61" s="38">
        <f t="shared" si="2"/>
        <v>2</v>
      </c>
      <c r="P61" s="38"/>
    </row>
    <row r="62" ht="15.75" customHeight="1">
      <c r="A62" s="1"/>
      <c r="B62" s="1"/>
      <c r="C62" s="13"/>
      <c r="D62" s="26" t="s">
        <v>130</v>
      </c>
      <c r="E62" s="38">
        <v>1.0</v>
      </c>
      <c r="F62" s="38"/>
      <c r="G62" s="38">
        <v>2.0</v>
      </c>
      <c r="H62" s="38"/>
      <c r="I62" s="38">
        <f t="shared" si="1"/>
        <v>3</v>
      </c>
      <c r="J62" s="38"/>
      <c r="K62" s="38">
        <v>1.0</v>
      </c>
      <c r="L62" s="38"/>
      <c r="M62" s="38">
        <v>2.0</v>
      </c>
      <c r="N62" s="38"/>
      <c r="O62" s="38">
        <f t="shared" si="2"/>
        <v>3</v>
      </c>
      <c r="P62" s="38"/>
    </row>
    <row r="63" ht="15.75" customHeight="1">
      <c r="A63" s="1"/>
      <c r="B63" s="1"/>
      <c r="C63" s="13"/>
      <c r="D63" s="26" t="s">
        <v>131</v>
      </c>
      <c r="E63" s="38">
        <v>1.0</v>
      </c>
      <c r="F63" s="38">
        <v>1.0</v>
      </c>
      <c r="G63" s="38">
        <v>4.0</v>
      </c>
      <c r="H63" s="38">
        <v>6.0</v>
      </c>
      <c r="I63" s="38">
        <f t="shared" si="1"/>
        <v>12</v>
      </c>
      <c r="J63" s="38"/>
      <c r="K63" s="38">
        <v>1.0</v>
      </c>
      <c r="L63" s="38">
        <v>1.0</v>
      </c>
      <c r="M63" s="38">
        <v>4.0</v>
      </c>
      <c r="N63" s="38">
        <v>6.0</v>
      </c>
      <c r="O63" s="38">
        <f t="shared" si="2"/>
        <v>12</v>
      </c>
      <c r="P63" s="38"/>
    </row>
    <row r="64" ht="15.75" customHeight="1">
      <c r="A64" s="1"/>
      <c r="B64" s="1"/>
      <c r="C64" s="13"/>
      <c r="D64" s="26" t="s">
        <v>132</v>
      </c>
      <c r="E64" s="38"/>
      <c r="F64" s="38"/>
      <c r="G64" s="38">
        <v>8.0</v>
      </c>
      <c r="H64" s="38">
        <v>72.0</v>
      </c>
      <c r="I64" s="38">
        <f t="shared" si="1"/>
        <v>80</v>
      </c>
      <c r="J64" s="38"/>
      <c r="K64" s="38"/>
      <c r="L64" s="38"/>
      <c r="M64" s="38">
        <v>8.0</v>
      </c>
      <c r="N64" s="38">
        <v>72.0</v>
      </c>
      <c r="O64" s="38">
        <f t="shared" si="2"/>
        <v>80</v>
      </c>
      <c r="P64" s="38"/>
    </row>
    <row r="65" ht="15.75" customHeight="1">
      <c r="A65" s="1"/>
      <c r="B65" s="1"/>
      <c r="C65" s="13"/>
      <c r="D65" s="26" t="s">
        <v>133</v>
      </c>
      <c r="E65" s="38"/>
      <c r="F65" s="38"/>
      <c r="G65" s="38"/>
      <c r="H65" s="38">
        <v>24.0</v>
      </c>
      <c r="I65" s="38">
        <f t="shared" si="1"/>
        <v>24</v>
      </c>
      <c r="J65" s="38"/>
      <c r="K65" s="38"/>
      <c r="L65" s="38"/>
      <c r="M65" s="38"/>
      <c r="N65" s="38">
        <v>24.0</v>
      </c>
      <c r="O65" s="38">
        <f t="shared" si="2"/>
        <v>24</v>
      </c>
      <c r="P65" s="38"/>
    </row>
    <row r="66" ht="15.75" customHeight="1">
      <c r="A66" s="1"/>
      <c r="B66" s="1"/>
      <c r="C66" s="13"/>
      <c r="D66" s="26" t="s">
        <v>135</v>
      </c>
      <c r="E66" s="38"/>
      <c r="F66" s="38"/>
      <c r="G66" s="38">
        <v>6.0</v>
      </c>
      <c r="H66" s="38"/>
      <c r="I66" s="38">
        <f t="shared" si="1"/>
        <v>6</v>
      </c>
      <c r="J66" s="38"/>
      <c r="K66" s="38"/>
      <c r="L66" s="38"/>
      <c r="M66" s="38">
        <v>6.0</v>
      </c>
      <c r="N66" s="38"/>
      <c r="O66" s="38">
        <f t="shared" si="2"/>
        <v>6</v>
      </c>
      <c r="P66" s="38"/>
    </row>
    <row r="67" ht="15.75" customHeight="1">
      <c r="A67" s="1"/>
      <c r="B67" s="1"/>
      <c r="C67" s="13"/>
      <c r="D67" s="26" t="s">
        <v>136</v>
      </c>
      <c r="E67" s="38"/>
      <c r="F67" s="38">
        <v>4.0</v>
      </c>
      <c r="G67" s="38">
        <v>5.0</v>
      </c>
      <c r="H67" s="38"/>
      <c r="I67" s="38">
        <f t="shared" si="1"/>
        <v>9</v>
      </c>
      <c r="J67" s="38"/>
      <c r="K67" s="38"/>
      <c r="L67" s="38">
        <v>4.0</v>
      </c>
      <c r="M67" s="38">
        <v>5.0</v>
      </c>
      <c r="N67" s="38"/>
      <c r="O67" s="38">
        <f t="shared" si="2"/>
        <v>9</v>
      </c>
      <c r="P67" s="38"/>
    </row>
    <row r="68" ht="15.75" customHeight="1">
      <c r="A68" s="1"/>
      <c r="B68" s="1"/>
      <c r="C68" s="21"/>
      <c r="D68" s="26" t="s">
        <v>137</v>
      </c>
      <c r="E68" s="38"/>
      <c r="F68" s="38"/>
      <c r="G68" s="38"/>
      <c r="H68" s="38"/>
      <c r="I68" s="38">
        <f t="shared" si="1"/>
        <v>0</v>
      </c>
      <c r="J68" s="38"/>
      <c r="K68" s="38"/>
      <c r="L68" s="38"/>
      <c r="M68" s="38"/>
      <c r="N68" s="38"/>
      <c r="O68" s="38">
        <f t="shared" si="2"/>
        <v>0</v>
      </c>
      <c r="P68" s="38"/>
    </row>
    <row r="69" ht="15.75" customHeight="1">
      <c r="A69" s="1"/>
      <c r="B69" s="1"/>
      <c r="C69" s="34" t="s">
        <v>139</v>
      </c>
      <c r="D69" s="26" t="s">
        <v>140</v>
      </c>
      <c r="E69" s="38"/>
      <c r="F69" s="38"/>
      <c r="G69" s="38"/>
      <c r="H69" s="38"/>
      <c r="I69" s="38">
        <f t="shared" si="1"/>
        <v>0</v>
      </c>
      <c r="J69" s="38"/>
      <c r="K69" s="38"/>
      <c r="L69" s="38"/>
      <c r="M69" s="38"/>
      <c r="N69" s="38"/>
      <c r="O69" s="38">
        <f t="shared" si="2"/>
        <v>0</v>
      </c>
      <c r="P69" s="38"/>
    </row>
    <row r="70" ht="15.75" customHeight="1">
      <c r="A70" s="1"/>
      <c r="B70" s="1"/>
      <c r="C70" s="13"/>
      <c r="D70" s="26" t="s">
        <v>107</v>
      </c>
      <c r="E70" s="38">
        <v>1.0</v>
      </c>
      <c r="F70" s="38"/>
      <c r="G70" s="38"/>
      <c r="H70" s="38"/>
      <c r="I70" s="38">
        <f t="shared" si="1"/>
        <v>1</v>
      </c>
      <c r="J70" s="38"/>
      <c r="K70" s="38">
        <v>1.0</v>
      </c>
      <c r="L70" s="38"/>
      <c r="M70" s="38"/>
      <c r="N70" s="38"/>
      <c r="O70" s="38">
        <f t="shared" si="2"/>
        <v>1</v>
      </c>
      <c r="P70" s="38"/>
    </row>
    <row r="71" ht="15.75" customHeight="1">
      <c r="A71" s="52"/>
      <c r="B71" s="52"/>
      <c r="C71" s="13"/>
      <c r="D71" s="55" t="s">
        <v>108</v>
      </c>
      <c r="E71" s="38"/>
      <c r="F71" s="38"/>
      <c r="G71" s="38">
        <v>1.0</v>
      </c>
      <c r="H71" s="38"/>
      <c r="I71" s="38">
        <f t="shared" si="1"/>
        <v>1</v>
      </c>
      <c r="J71" s="38"/>
      <c r="K71" s="38"/>
      <c r="L71" s="38"/>
      <c r="M71" s="38"/>
      <c r="N71" s="38"/>
      <c r="O71" s="38">
        <f t="shared" si="2"/>
        <v>0</v>
      </c>
      <c r="P71" s="38"/>
    </row>
    <row r="72" ht="15.75" customHeight="1">
      <c r="A72" s="52"/>
      <c r="B72" s="52"/>
      <c r="C72" s="21"/>
      <c r="D72" s="55" t="s">
        <v>112</v>
      </c>
      <c r="E72" s="38">
        <v>1.0</v>
      </c>
      <c r="F72" s="38"/>
      <c r="G72" s="38"/>
      <c r="H72" s="38"/>
      <c r="I72" s="38">
        <f t="shared" si="1"/>
        <v>1</v>
      </c>
      <c r="J72" s="38"/>
      <c r="K72" s="38">
        <v>1.0</v>
      </c>
      <c r="L72" s="38"/>
      <c r="M72" s="38"/>
      <c r="N72" s="38"/>
      <c r="O72" s="38">
        <f t="shared" si="2"/>
        <v>1</v>
      </c>
      <c r="P72" s="38"/>
    </row>
    <row r="73" ht="15.75" customHeight="1">
      <c r="A73" s="1"/>
      <c r="B73" s="1"/>
      <c r="C73" s="56" t="s">
        <v>113</v>
      </c>
      <c r="D73" s="57"/>
      <c r="E73" s="38">
        <f t="shared" ref="E73:H73" si="3">SUM(E8:E72)</f>
        <v>18</v>
      </c>
      <c r="F73" s="38">
        <f t="shared" si="3"/>
        <v>25</v>
      </c>
      <c r="G73" s="38">
        <f t="shared" si="3"/>
        <v>93</v>
      </c>
      <c r="H73" s="38">
        <f t="shared" si="3"/>
        <v>102</v>
      </c>
      <c r="I73" s="38">
        <f t="shared" si="1"/>
        <v>238</v>
      </c>
      <c r="J73" s="38"/>
      <c r="K73" s="38">
        <f t="shared" ref="K73:N73" si="4">SUM(K8:K72)</f>
        <v>18</v>
      </c>
      <c r="L73" s="38">
        <f t="shared" si="4"/>
        <v>21</v>
      </c>
      <c r="M73" s="38">
        <f t="shared" si="4"/>
        <v>92</v>
      </c>
      <c r="N73" s="38">
        <f t="shared" si="4"/>
        <v>102</v>
      </c>
      <c r="O73" s="38">
        <f t="shared" si="2"/>
        <v>233</v>
      </c>
      <c r="P73" s="38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 t="s">
        <v>144</v>
      </c>
      <c r="J74" s="1">
        <f>I73-O73</f>
        <v>5</v>
      </c>
      <c r="K74" s="1"/>
      <c r="L74" s="1"/>
      <c r="M74" s="1"/>
      <c r="N74" s="1"/>
      <c r="O74" s="67"/>
      <c r="P74" s="67"/>
    </row>
    <row r="75" ht="15.75" customHeight="1">
      <c r="A75" s="1"/>
      <c r="B75" s="1"/>
      <c r="C75" s="1"/>
      <c r="D75" s="1"/>
      <c r="E75" s="1"/>
      <c r="F75" s="1" t="s">
        <v>148</v>
      </c>
      <c r="G75" s="1"/>
      <c r="H75" s="1"/>
      <c r="I75" s="1"/>
      <c r="K75" s="1"/>
      <c r="L75" s="1"/>
      <c r="M75" s="1" t="s">
        <v>147</v>
      </c>
      <c r="N75" s="1">
        <f>M73+N73</f>
        <v>194</v>
      </c>
      <c r="O75" s="1"/>
      <c r="P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>
        <f>N75-72</f>
        <v>122</v>
      </c>
      <c r="O76" s="1"/>
      <c r="P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ht="15.75" hidden="1" customHeight="1">
      <c r="A101" s="1"/>
      <c r="B101" s="1"/>
      <c r="C101" s="4" t="s">
        <v>142</v>
      </c>
      <c r="D101" s="1"/>
      <c r="E101" s="43"/>
      <c r="F101" s="43"/>
      <c r="G101" s="43"/>
      <c r="H101" s="43"/>
      <c r="I101" s="43"/>
      <c r="J101" s="43"/>
      <c r="K101" s="43"/>
      <c r="O101" s="43"/>
      <c r="P101" s="43"/>
    </row>
    <row r="102" ht="15.75" hidden="1" customHeight="1">
      <c r="A102" s="1"/>
      <c r="B102" s="1"/>
      <c r="C102" s="10" t="s">
        <v>5</v>
      </c>
      <c r="D102" s="12" t="s">
        <v>6</v>
      </c>
      <c r="E102" s="16" t="s">
        <v>152</v>
      </c>
      <c r="F102" s="7"/>
      <c r="G102" s="7"/>
      <c r="H102" s="7"/>
      <c r="I102" s="7"/>
      <c r="J102" s="7"/>
      <c r="K102" s="7"/>
      <c r="L102" s="7"/>
      <c r="M102" s="7"/>
      <c r="N102" s="7"/>
      <c r="O102" s="8"/>
      <c r="P102" s="76"/>
    </row>
    <row r="103" ht="15.75" hidden="1" customHeight="1">
      <c r="A103" s="1"/>
      <c r="B103" s="1"/>
      <c r="C103" s="13"/>
      <c r="D103" s="14"/>
      <c r="E103" s="78" t="s">
        <v>7</v>
      </c>
      <c r="F103" s="38"/>
      <c r="G103" s="38"/>
      <c r="H103" s="38"/>
      <c r="I103" s="38"/>
      <c r="J103" s="38"/>
      <c r="K103" s="78" t="s">
        <v>143</v>
      </c>
      <c r="L103" s="78" t="s">
        <v>145</v>
      </c>
      <c r="M103" s="25" t="s">
        <v>157</v>
      </c>
      <c r="N103" s="25" t="s">
        <v>159</v>
      </c>
      <c r="O103" s="78" t="s">
        <v>147</v>
      </c>
      <c r="P103" s="38"/>
    </row>
    <row r="104" ht="15.75" hidden="1" customHeight="1">
      <c r="A104" s="1"/>
      <c r="B104" s="1"/>
      <c r="C104" s="13"/>
      <c r="D104" s="14"/>
      <c r="E104" s="14"/>
      <c r="F104" s="38"/>
      <c r="G104" s="38"/>
      <c r="H104" s="38"/>
      <c r="I104" s="38"/>
      <c r="J104" s="38"/>
      <c r="K104" s="14"/>
      <c r="L104" s="14"/>
      <c r="M104" s="14"/>
      <c r="N104" s="14"/>
      <c r="O104" s="14"/>
      <c r="P104" s="38"/>
    </row>
    <row r="105" ht="15.75" hidden="1" customHeight="1">
      <c r="A105" s="1"/>
      <c r="B105" s="1"/>
      <c r="C105" s="21"/>
      <c r="D105" s="23"/>
      <c r="E105" s="23"/>
      <c r="F105" s="38"/>
      <c r="G105" s="38"/>
      <c r="H105" s="38"/>
      <c r="I105" s="38"/>
      <c r="J105" s="38"/>
      <c r="K105" s="23"/>
      <c r="L105" s="23"/>
      <c r="M105" s="23"/>
      <c r="N105" s="23"/>
      <c r="O105" s="23"/>
      <c r="P105" s="38"/>
    </row>
    <row r="106" ht="15.75" hidden="1" customHeight="1">
      <c r="A106" s="1"/>
      <c r="B106" s="1"/>
      <c r="C106" s="24" t="s">
        <v>20</v>
      </c>
      <c r="D106" s="26" t="s">
        <v>20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>
        <f t="shared" ref="O106:O112" si="5">SUM(K106:N106)</f>
        <v>0</v>
      </c>
      <c r="P106" s="38"/>
    </row>
    <row r="107" ht="15.75" hidden="1" customHeight="1">
      <c r="A107" s="1"/>
      <c r="B107" s="1"/>
      <c r="C107" s="24" t="s">
        <v>150</v>
      </c>
      <c r="D107" s="26" t="s">
        <v>19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>
        <f t="shared" si="5"/>
        <v>0</v>
      </c>
      <c r="P107" s="38"/>
    </row>
    <row r="108" ht="15.75" hidden="1" customHeight="1">
      <c r="A108" s="1"/>
      <c r="B108" s="1"/>
      <c r="C108" s="34" t="s">
        <v>21</v>
      </c>
      <c r="D108" s="26" t="s">
        <v>25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>
        <f t="shared" si="5"/>
        <v>0</v>
      </c>
      <c r="P108" s="38"/>
    </row>
    <row r="109" ht="15.75" hidden="1" customHeight="1">
      <c r="A109" s="1"/>
      <c r="B109" s="1"/>
      <c r="C109" s="13"/>
      <c r="D109" s="26" t="s">
        <v>151</v>
      </c>
      <c r="E109" s="38">
        <v>2.0</v>
      </c>
      <c r="F109" s="38"/>
      <c r="G109" s="38"/>
      <c r="H109" s="38"/>
      <c r="I109" s="38"/>
      <c r="J109" s="38"/>
      <c r="K109" s="38"/>
      <c r="L109" s="38"/>
      <c r="M109" s="38">
        <v>2.0</v>
      </c>
      <c r="N109" s="38">
        <v>2.0</v>
      </c>
      <c r="O109" s="38">
        <f t="shared" si="5"/>
        <v>4</v>
      </c>
      <c r="P109" s="38"/>
    </row>
    <row r="110" ht="15.75" hidden="1" customHeight="1">
      <c r="A110" s="1"/>
      <c r="B110" s="1"/>
      <c r="C110" s="21"/>
      <c r="D110" s="26" t="s">
        <v>28</v>
      </c>
      <c r="E110" s="38">
        <v>4.0</v>
      </c>
      <c r="F110" s="38"/>
      <c r="G110" s="38"/>
      <c r="H110" s="38"/>
      <c r="I110" s="38"/>
      <c r="J110" s="38"/>
      <c r="K110" s="38"/>
      <c r="L110" s="38"/>
      <c r="M110" s="38">
        <v>4.0</v>
      </c>
      <c r="N110" s="38"/>
      <c r="O110" s="38">
        <f t="shared" si="5"/>
        <v>4</v>
      </c>
      <c r="P110" s="38"/>
    </row>
    <row r="111" ht="15.75" hidden="1" customHeight="1">
      <c r="A111" s="1"/>
      <c r="B111" s="1"/>
      <c r="C111" s="34" t="s">
        <v>29</v>
      </c>
      <c r="D111" s="26" t="s">
        <v>31</v>
      </c>
      <c r="E111" s="38">
        <v>3.0</v>
      </c>
      <c r="F111" s="38"/>
      <c r="G111" s="38"/>
      <c r="H111" s="38"/>
      <c r="I111" s="38"/>
      <c r="J111" s="38"/>
      <c r="K111" s="38"/>
      <c r="L111" s="38">
        <v>3.0</v>
      </c>
      <c r="M111" s="38"/>
      <c r="N111" s="38"/>
      <c r="O111" s="38">
        <f t="shared" si="5"/>
        <v>3</v>
      </c>
      <c r="P111" s="38"/>
    </row>
    <row r="112" ht="15.75" hidden="1" customHeight="1">
      <c r="A112" s="1"/>
      <c r="B112" s="1"/>
      <c r="C112" s="21"/>
      <c r="D112" s="26" t="s">
        <v>32</v>
      </c>
      <c r="E112" s="38">
        <v>1.0</v>
      </c>
      <c r="F112" s="38"/>
      <c r="G112" s="38"/>
      <c r="H112" s="38"/>
      <c r="I112" s="38"/>
      <c r="J112" s="38"/>
      <c r="K112" s="38"/>
      <c r="L112" s="38"/>
      <c r="M112" s="38">
        <v>1.0</v>
      </c>
      <c r="N112" s="38"/>
      <c r="O112" s="38">
        <f t="shared" si="5"/>
        <v>1</v>
      </c>
      <c r="P112" s="38"/>
    </row>
    <row r="113" ht="15.75" hidden="1" customHeight="1">
      <c r="A113" s="1"/>
      <c r="B113" s="1"/>
      <c r="C113" s="24" t="s">
        <v>34</v>
      </c>
      <c r="D113" s="26" t="s">
        <v>34</v>
      </c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</row>
    <row r="114" ht="15.75" hidden="1" customHeight="1">
      <c r="A114" s="1"/>
      <c r="B114" s="1"/>
      <c r="C114" s="41" t="s">
        <v>63</v>
      </c>
      <c r="D114" s="26" t="s">
        <v>41</v>
      </c>
      <c r="E114" s="80"/>
      <c r="F114" s="38"/>
      <c r="G114" s="38"/>
      <c r="H114" s="38"/>
      <c r="I114" s="38"/>
      <c r="J114" s="38"/>
      <c r="K114" s="38"/>
      <c r="L114" s="38"/>
      <c r="M114" s="38"/>
      <c r="N114" s="38"/>
      <c r="O114" s="38">
        <f t="shared" ref="O114:O168" si="6">SUM(K114:N114)</f>
        <v>0</v>
      </c>
      <c r="P114" s="38"/>
    </row>
    <row r="115" ht="15.75" hidden="1" customHeight="1">
      <c r="A115" s="1"/>
      <c r="B115" s="1"/>
      <c r="C115" s="13"/>
      <c r="D115" s="26" t="s">
        <v>38</v>
      </c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>
        <f t="shared" si="6"/>
        <v>0</v>
      </c>
      <c r="P115" s="38"/>
    </row>
    <row r="116" ht="15.75" hidden="1" customHeight="1">
      <c r="A116" s="1"/>
      <c r="B116" s="1"/>
      <c r="C116" s="13"/>
      <c r="D116" s="26" t="s">
        <v>43</v>
      </c>
      <c r="E116" s="38">
        <v>1.0</v>
      </c>
      <c r="F116" s="38"/>
      <c r="G116" s="38"/>
      <c r="H116" s="38"/>
      <c r="I116" s="38"/>
      <c r="J116" s="38"/>
      <c r="K116" s="38"/>
      <c r="L116" s="38"/>
      <c r="M116" s="38">
        <v>1.0</v>
      </c>
      <c r="N116" s="38"/>
      <c r="O116" s="38">
        <f t="shared" si="6"/>
        <v>1</v>
      </c>
      <c r="P116" s="38"/>
    </row>
    <row r="117" ht="15.75" hidden="1" customHeight="1">
      <c r="A117" s="1"/>
      <c r="B117" s="1"/>
      <c r="C117" s="13"/>
      <c r="D117" s="26" t="s">
        <v>42</v>
      </c>
      <c r="E117" s="80"/>
      <c r="F117" s="38"/>
      <c r="G117" s="38"/>
      <c r="H117" s="38"/>
      <c r="I117" s="38"/>
      <c r="J117" s="38"/>
      <c r="K117" s="38"/>
      <c r="L117" s="38"/>
      <c r="M117" s="38"/>
      <c r="N117" s="38"/>
      <c r="O117" s="38">
        <f t="shared" si="6"/>
        <v>0</v>
      </c>
      <c r="P117" s="38"/>
    </row>
    <row r="118" ht="15.75" hidden="1" customHeight="1">
      <c r="A118" s="1" t="s">
        <v>153</v>
      </c>
      <c r="B118" s="1"/>
      <c r="C118" s="13"/>
      <c r="D118" s="26" t="s">
        <v>154</v>
      </c>
      <c r="E118" s="38"/>
      <c r="F118" s="38"/>
      <c r="G118" s="38"/>
      <c r="H118" s="38"/>
      <c r="I118" s="38"/>
      <c r="J118" s="38"/>
      <c r="K118" s="38"/>
      <c r="L118" s="76"/>
      <c r="M118" s="76"/>
      <c r="N118" s="76">
        <v>3.0</v>
      </c>
      <c r="O118" s="38">
        <f t="shared" si="6"/>
        <v>3</v>
      </c>
      <c r="P118" s="38"/>
    </row>
    <row r="119" ht="15.75" hidden="1" customHeight="1">
      <c r="A119" s="43"/>
      <c r="B119" s="43"/>
      <c r="C119" s="21"/>
      <c r="D119" s="26" t="s">
        <v>44</v>
      </c>
      <c r="E119" s="38">
        <v>1.0</v>
      </c>
      <c r="F119" s="38"/>
      <c r="G119" s="38"/>
      <c r="H119" s="38"/>
      <c r="I119" s="38"/>
      <c r="J119" s="38"/>
      <c r="K119" s="38"/>
      <c r="L119" s="38">
        <v>1.0</v>
      </c>
      <c r="M119" s="38"/>
      <c r="N119" s="38">
        <v>1.0</v>
      </c>
      <c r="O119" s="38">
        <f t="shared" si="6"/>
        <v>2</v>
      </c>
      <c r="P119" s="38"/>
    </row>
    <row r="120" ht="15.75" hidden="1" customHeight="1">
      <c r="A120" s="1"/>
      <c r="B120" s="1"/>
      <c r="C120" s="41" t="s">
        <v>49</v>
      </c>
      <c r="D120" s="26" t="s">
        <v>155</v>
      </c>
      <c r="E120" s="80"/>
      <c r="F120" s="38"/>
      <c r="G120" s="38"/>
      <c r="H120" s="38"/>
      <c r="I120" s="38"/>
      <c r="J120" s="38"/>
      <c r="K120" s="38"/>
      <c r="L120" s="38"/>
      <c r="M120" s="38"/>
      <c r="N120" s="38"/>
      <c r="O120" s="38">
        <f t="shared" si="6"/>
        <v>0</v>
      </c>
      <c r="P120" s="38"/>
    </row>
    <row r="121" ht="15.75" hidden="1" customHeight="1">
      <c r="A121" s="1"/>
      <c r="B121" s="1"/>
      <c r="C121" s="13"/>
      <c r="D121" s="26" t="s">
        <v>51</v>
      </c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>
        <f t="shared" si="6"/>
        <v>0</v>
      </c>
      <c r="P121" s="38"/>
    </row>
    <row r="122" ht="15.75" hidden="1" customHeight="1">
      <c r="A122" s="1"/>
      <c r="B122" s="1"/>
      <c r="C122" s="13"/>
      <c r="D122" s="26" t="s">
        <v>156</v>
      </c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>
        <f t="shared" si="6"/>
        <v>0</v>
      </c>
      <c r="P122" s="38"/>
    </row>
    <row r="123" ht="15.75" hidden="1" customHeight="1">
      <c r="A123" s="1"/>
      <c r="B123" s="1"/>
      <c r="C123" s="21"/>
      <c r="D123" s="26" t="s">
        <v>55</v>
      </c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>
        <f t="shared" si="6"/>
        <v>0</v>
      </c>
      <c r="P123" s="38"/>
    </row>
    <row r="124" ht="15.75" hidden="1" customHeight="1">
      <c r="A124" s="1"/>
      <c r="B124" s="1"/>
      <c r="C124" s="49" t="s">
        <v>53</v>
      </c>
      <c r="D124" s="26" t="s">
        <v>53</v>
      </c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>
        <f t="shared" si="6"/>
        <v>0</v>
      </c>
      <c r="P124" s="38"/>
    </row>
    <row r="125" ht="15.75" hidden="1" customHeight="1">
      <c r="A125" s="1"/>
      <c r="B125" s="1"/>
      <c r="C125" s="24" t="s">
        <v>54</v>
      </c>
      <c r="D125" s="26" t="s">
        <v>54</v>
      </c>
      <c r="E125" s="80">
        <v>1.0</v>
      </c>
      <c r="F125" s="38"/>
      <c r="G125" s="38"/>
      <c r="H125" s="38"/>
      <c r="I125" s="38"/>
      <c r="J125" s="38"/>
      <c r="K125" s="38"/>
      <c r="L125" s="38"/>
      <c r="M125" s="38">
        <v>1.0</v>
      </c>
      <c r="N125" s="38">
        <v>1.0</v>
      </c>
      <c r="O125" s="38">
        <f t="shared" si="6"/>
        <v>2</v>
      </c>
      <c r="P125" s="38"/>
    </row>
    <row r="126" ht="15.75" hidden="1" customHeight="1">
      <c r="A126" s="1"/>
      <c r="B126" s="1"/>
      <c r="C126" s="34" t="s">
        <v>57</v>
      </c>
      <c r="D126" s="26" t="s">
        <v>114</v>
      </c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>
        <f t="shared" si="6"/>
        <v>0</v>
      </c>
      <c r="P126" s="38"/>
    </row>
    <row r="127" ht="15.75" hidden="1" customHeight="1">
      <c r="A127" s="1"/>
      <c r="B127" s="1"/>
      <c r="C127" s="21"/>
      <c r="D127" s="26" t="s">
        <v>60</v>
      </c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>
        <f t="shared" si="6"/>
        <v>0</v>
      </c>
      <c r="P127" s="38"/>
    </row>
    <row r="128" ht="15.75" hidden="1" customHeight="1">
      <c r="A128" s="1"/>
      <c r="B128" s="1"/>
      <c r="C128" s="24" t="s">
        <v>162</v>
      </c>
      <c r="D128" s="26" t="s">
        <v>163</v>
      </c>
      <c r="E128" s="80"/>
      <c r="F128" s="38"/>
      <c r="G128" s="38"/>
      <c r="H128" s="38"/>
      <c r="I128" s="38"/>
      <c r="J128" s="38"/>
      <c r="K128" s="38"/>
      <c r="L128" s="38"/>
      <c r="M128" s="38"/>
      <c r="N128" s="38"/>
      <c r="O128" s="38">
        <f t="shared" si="6"/>
        <v>0</v>
      </c>
      <c r="P128" s="38"/>
    </row>
    <row r="129" ht="15.75" hidden="1" customHeight="1">
      <c r="A129" s="1"/>
      <c r="B129" s="1"/>
      <c r="C129" s="34" t="s">
        <v>62</v>
      </c>
      <c r="D129" s="26" t="s">
        <v>165</v>
      </c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>
        <f t="shared" si="6"/>
        <v>0</v>
      </c>
      <c r="P129" s="38"/>
    </row>
    <row r="130" ht="15.75" hidden="1" customHeight="1">
      <c r="A130" s="1"/>
      <c r="B130" s="1"/>
      <c r="C130" s="13"/>
      <c r="D130" s="26" t="s">
        <v>167</v>
      </c>
      <c r="E130" s="38">
        <v>1.0</v>
      </c>
      <c r="F130" s="38"/>
      <c r="G130" s="38"/>
      <c r="H130" s="38"/>
      <c r="I130" s="38"/>
      <c r="J130" s="38"/>
      <c r="K130" s="38">
        <v>1.0</v>
      </c>
      <c r="L130" s="38"/>
      <c r="M130" s="38"/>
      <c r="N130" s="38"/>
      <c r="O130" s="38">
        <f t="shared" si="6"/>
        <v>1</v>
      </c>
      <c r="P130" s="38"/>
    </row>
    <row r="131" ht="15.75" hidden="1" customHeight="1">
      <c r="A131" s="1"/>
      <c r="B131" s="1"/>
      <c r="C131" s="13"/>
      <c r="D131" s="26" t="s">
        <v>168</v>
      </c>
      <c r="E131" s="80"/>
      <c r="F131" s="38"/>
      <c r="G131" s="38"/>
      <c r="H131" s="38"/>
      <c r="I131" s="38"/>
      <c r="J131" s="38"/>
      <c r="K131" s="38"/>
      <c r="L131" s="38"/>
      <c r="M131" s="38"/>
      <c r="N131" s="38"/>
      <c r="O131" s="38">
        <f t="shared" si="6"/>
        <v>0</v>
      </c>
      <c r="P131" s="38"/>
    </row>
    <row r="132" ht="15.75" hidden="1" customHeight="1">
      <c r="A132" s="1"/>
      <c r="B132" s="1"/>
      <c r="C132" s="21"/>
      <c r="D132" s="26" t="s">
        <v>66</v>
      </c>
      <c r="E132" s="38">
        <v>1.0</v>
      </c>
      <c r="F132" s="38"/>
      <c r="G132" s="38"/>
      <c r="H132" s="38"/>
      <c r="I132" s="38"/>
      <c r="J132" s="38"/>
      <c r="K132" s="38"/>
      <c r="L132" s="38"/>
      <c r="M132" s="38">
        <v>1.0</v>
      </c>
      <c r="N132" s="38"/>
      <c r="O132" s="38">
        <f t="shared" si="6"/>
        <v>1</v>
      </c>
      <c r="P132" s="38"/>
    </row>
    <row r="133" ht="15.75" hidden="1" customHeight="1">
      <c r="A133" s="1"/>
      <c r="B133" s="1"/>
      <c r="C133" s="34" t="s">
        <v>62</v>
      </c>
      <c r="D133" s="26" t="s">
        <v>169</v>
      </c>
      <c r="E133" s="38"/>
      <c r="F133" s="76"/>
      <c r="G133" s="76"/>
      <c r="H133" s="76"/>
      <c r="I133" s="76"/>
      <c r="J133" s="76"/>
      <c r="K133" s="76"/>
      <c r="L133" s="76"/>
      <c r="M133" s="76"/>
      <c r="N133" s="76"/>
      <c r="O133" s="38">
        <f t="shared" si="6"/>
        <v>0</v>
      </c>
      <c r="P133" s="38"/>
    </row>
    <row r="134" ht="15.75" hidden="1" customHeight="1">
      <c r="A134" s="1"/>
      <c r="B134" s="1"/>
      <c r="C134" s="13"/>
      <c r="D134" s="26" t="s">
        <v>171</v>
      </c>
      <c r="E134" s="38"/>
      <c r="F134" s="76"/>
      <c r="G134" s="76"/>
      <c r="H134" s="76"/>
      <c r="I134" s="76"/>
      <c r="J134" s="76"/>
      <c r="K134" s="76"/>
      <c r="L134" s="76"/>
      <c r="M134" s="76"/>
      <c r="N134" s="76"/>
      <c r="O134" s="38">
        <f t="shared" si="6"/>
        <v>0</v>
      </c>
      <c r="P134" s="38"/>
    </row>
    <row r="135" ht="15.75" hidden="1" customHeight="1">
      <c r="A135" s="1"/>
      <c r="B135" s="1"/>
      <c r="C135" s="13"/>
      <c r="D135" s="26" t="s">
        <v>160</v>
      </c>
      <c r="E135" s="38"/>
      <c r="F135" s="76"/>
      <c r="G135" s="76"/>
      <c r="H135" s="76"/>
      <c r="I135" s="76"/>
      <c r="J135" s="76"/>
      <c r="K135" s="76"/>
      <c r="L135" s="76"/>
      <c r="M135" s="76"/>
      <c r="N135" s="76"/>
      <c r="O135" s="38">
        <f t="shared" si="6"/>
        <v>0</v>
      </c>
      <c r="P135" s="38"/>
    </row>
    <row r="136" ht="15.75" hidden="1" customHeight="1">
      <c r="A136" s="1"/>
      <c r="B136" s="1"/>
      <c r="C136" s="13"/>
      <c r="D136" s="26" t="s">
        <v>69</v>
      </c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>
        <f t="shared" si="6"/>
        <v>0</v>
      </c>
      <c r="P136" s="38"/>
    </row>
    <row r="137" ht="15.75" hidden="1" customHeight="1">
      <c r="A137" s="1"/>
      <c r="B137" s="1"/>
      <c r="C137" s="13"/>
      <c r="D137" s="26" t="s">
        <v>73</v>
      </c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>
        <f t="shared" si="6"/>
        <v>0</v>
      </c>
      <c r="P137" s="38"/>
    </row>
    <row r="138" ht="15.75" hidden="1" customHeight="1">
      <c r="A138" s="1"/>
      <c r="B138" s="1"/>
      <c r="C138" s="13"/>
      <c r="D138" s="26" t="s">
        <v>77</v>
      </c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>
        <f t="shared" si="6"/>
        <v>0</v>
      </c>
      <c r="P138" s="38"/>
    </row>
    <row r="139" ht="15.75" hidden="1" customHeight="1">
      <c r="A139" s="1"/>
      <c r="B139" s="1"/>
      <c r="C139" s="13"/>
      <c r="D139" s="26" t="s">
        <v>174</v>
      </c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>
        <f t="shared" si="6"/>
        <v>0</v>
      </c>
      <c r="P139" s="38"/>
    </row>
    <row r="140" ht="15.75" hidden="1" customHeight="1">
      <c r="A140" s="1"/>
      <c r="B140" s="1"/>
      <c r="C140" s="13"/>
      <c r="D140" s="26" t="s">
        <v>175</v>
      </c>
      <c r="E140" s="38"/>
      <c r="F140" s="76"/>
      <c r="G140" s="76"/>
      <c r="H140" s="76"/>
      <c r="I140" s="76"/>
      <c r="J140" s="76"/>
      <c r="K140" s="76"/>
      <c r="L140" s="76"/>
      <c r="M140" s="76"/>
      <c r="N140" s="38"/>
      <c r="O140" s="38">
        <f t="shared" si="6"/>
        <v>0</v>
      </c>
      <c r="P140" s="38"/>
    </row>
    <row r="141" ht="15.75" hidden="1" customHeight="1">
      <c r="A141" s="1"/>
      <c r="B141" s="1"/>
      <c r="C141" s="13"/>
      <c r="D141" s="26" t="s">
        <v>177</v>
      </c>
      <c r="E141" s="38"/>
      <c r="F141" s="76"/>
      <c r="G141" s="76"/>
      <c r="H141" s="76"/>
      <c r="I141" s="76"/>
      <c r="J141" s="76"/>
      <c r="K141" s="76"/>
      <c r="L141" s="76"/>
      <c r="M141" s="76"/>
      <c r="N141" s="76"/>
      <c r="O141" s="38">
        <f t="shared" si="6"/>
        <v>0</v>
      </c>
      <c r="P141" s="38"/>
    </row>
    <row r="142" ht="15.75" hidden="1" customHeight="1">
      <c r="A142" s="1"/>
      <c r="B142" s="1"/>
      <c r="C142" s="13"/>
      <c r="D142" s="79" t="s">
        <v>178</v>
      </c>
      <c r="E142" s="38"/>
      <c r="F142" s="76"/>
      <c r="G142" s="76"/>
      <c r="H142" s="76"/>
      <c r="I142" s="76"/>
      <c r="J142" s="76"/>
      <c r="K142" s="76"/>
      <c r="L142" s="76"/>
      <c r="M142" s="76"/>
      <c r="N142" s="76"/>
      <c r="O142" s="38">
        <f t="shared" si="6"/>
        <v>0</v>
      </c>
      <c r="P142" s="38"/>
    </row>
    <row r="143" ht="15.75" hidden="1" customHeight="1">
      <c r="A143" s="1"/>
      <c r="B143" s="1"/>
      <c r="C143" s="13"/>
      <c r="D143" s="26" t="s">
        <v>172</v>
      </c>
      <c r="E143" s="38"/>
      <c r="F143" s="76"/>
      <c r="G143" s="76"/>
      <c r="H143" s="76"/>
      <c r="I143" s="76"/>
      <c r="J143" s="76"/>
      <c r="K143" s="76"/>
      <c r="L143" s="76"/>
      <c r="M143" s="76"/>
      <c r="N143" s="76"/>
      <c r="O143" s="38">
        <f t="shared" si="6"/>
        <v>0</v>
      </c>
      <c r="P143" s="38"/>
    </row>
    <row r="144" ht="15.75" hidden="1" customHeight="1">
      <c r="A144" s="1"/>
      <c r="B144" s="1"/>
      <c r="C144" s="13"/>
      <c r="D144" s="26" t="s">
        <v>179</v>
      </c>
      <c r="E144" s="38"/>
      <c r="F144" s="76"/>
      <c r="G144" s="76"/>
      <c r="H144" s="76"/>
      <c r="I144" s="76"/>
      <c r="J144" s="76"/>
      <c r="K144" s="76"/>
      <c r="L144" s="76"/>
      <c r="M144" s="76"/>
      <c r="N144" s="76"/>
      <c r="O144" s="38">
        <f t="shared" si="6"/>
        <v>0</v>
      </c>
      <c r="P144" s="38"/>
    </row>
    <row r="145" ht="15.75" hidden="1" customHeight="1">
      <c r="A145" s="1"/>
      <c r="B145" s="1"/>
      <c r="C145" s="13"/>
      <c r="D145" s="26" t="s">
        <v>180</v>
      </c>
      <c r="E145" s="38"/>
      <c r="F145" s="76"/>
      <c r="G145" s="76"/>
      <c r="H145" s="76"/>
      <c r="I145" s="76"/>
      <c r="J145" s="76"/>
      <c r="K145" s="76"/>
      <c r="L145" s="76"/>
      <c r="M145" s="76"/>
      <c r="N145" s="76"/>
      <c r="O145" s="38">
        <f t="shared" si="6"/>
        <v>0</v>
      </c>
      <c r="P145" s="38"/>
    </row>
    <row r="146" ht="15.75" hidden="1" customHeight="1">
      <c r="A146" s="1"/>
      <c r="B146" s="1"/>
      <c r="C146" s="13"/>
      <c r="D146" s="26" t="s">
        <v>182</v>
      </c>
      <c r="E146" s="38"/>
      <c r="F146" s="76"/>
      <c r="G146" s="76"/>
      <c r="H146" s="76"/>
      <c r="I146" s="76"/>
      <c r="J146" s="76"/>
      <c r="K146" s="76"/>
      <c r="L146" s="76"/>
      <c r="M146" s="76"/>
      <c r="N146" s="76"/>
      <c r="O146" s="38">
        <f t="shared" si="6"/>
        <v>0</v>
      </c>
      <c r="P146" s="38"/>
    </row>
    <row r="147" ht="15.75" hidden="1" customHeight="1">
      <c r="A147" s="1"/>
      <c r="B147" s="1"/>
      <c r="C147" s="13"/>
      <c r="D147" s="26" t="s">
        <v>119</v>
      </c>
      <c r="E147" s="38">
        <v>7.0</v>
      </c>
      <c r="F147" s="76"/>
      <c r="G147" s="76"/>
      <c r="H147" s="76"/>
      <c r="I147" s="76"/>
      <c r="J147" s="76"/>
      <c r="K147" s="76"/>
      <c r="L147" s="76">
        <v>3.0</v>
      </c>
      <c r="M147" s="76">
        <v>4.0</v>
      </c>
      <c r="N147" s="76">
        <v>5.0</v>
      </c>
      <c r="O147" s="38">
        <f t="shared" si="6"/>
        <v>12</v>
      </c>
      <c r="P147" s="38"/>
    </row>
    <row r="148" ht="15.75" hidden="1" customHeight="1">
      <c r="A148" s="1"/>
      <c r="B148" s="1"/>
      <c r="C148" s="13"/>
      <c r="D148" s="26" t="s">
        <v>122</v>
      </c>
      <c r="E148" s="38">
        <v>7.0</v>
      </c>
      <c r="F148" s="76"/>
      <c r="G148" s="76"/>
      <c r="H148" s="76"/>
      <c r="I148" s="76"/>
      <c r="J148" s="76"/>
      <c r="K148" s="76"/>
      <c r="L148" s="76">
        <v>3.0</v>
      </c>
      <c r="M148" s="76">
        <v>4.0</v>
      </c>
      <c r="N148" s="76">
        <v>5.0</v>
      </c>
      <c r="O148" s="38">
        <f t="shared" si="6"/>
        <v>12</v>
      </c>
      <c r="P148" s="38"/>
    </row>
    <row r="149" ht="15.75" hidden="1" customHeight="1">
      <c r="A149" s="1"/>
      <c r="B149" s="1"/>
      <c r="C149" s="13"/>
      <c r="D149" s="26" t="s">
        <v>89</v>
      </c>
      <c r="E149" s="38"/>
      <c r="F149" s="76"/>
      <c r="G149" s="76"/>
      <c r="H149" s="76"/>
      <c r="I149" s="76"/>
      <c r="J149" s="76"/>
      <c r="K149" s="76"/>
      <c r="L149" s="76"/>
      <c r="M149" s="76"/>
      <c r="N149" s="76"/>
      <c r="O149" s="38">
        <f t="shared" si="6"/>
        <v>0</v>
      </c>
      <c r="P149" s="38"/>
    </row>
    <row r="150" ht="15.75" hidden="1" customHeight="1">
      <c r="A150" s="1"/>
      <c r="B150" s="1"/>
      <c r="C150" s="13"/>
      <c r="D150" s="26" t="s">
        <v>130</v>
      </c>
      <c r="E150" s="38">
        <v>1.0</v>
      </c>
      <c r="F150" s="76"/>
      <c r="G150" s="76"/>
      <c r="H150" s="76"/>
      <c r="I150" s="76"/>
      <c r="J150" s="76"/>
      <c r="K150" s="76"/>
      <c r="L150" s="76">
        <v>1.0</v>
      </c>
      <c r="M150" s="76"/>
      <c r="N150" s="76"/>
      <c r="O150" s="38">
        <f t="shared" si="6"/>
        <v>1</v>
      </c>
      <c r="P150" s="38"/>
    </row>
    <row r="151" ht="15.75" hidden="1" customHeight="1">
      <c r="A151" s="1"/>
      <c r="B151" s="1"/>
      <c r="C151" s="13"/>
      <c r="D151" s="26" t="s">
        <v>185</v>
      </c>
      <c r="E151" s="38">
        <v>3.0</v>
      </c>
      <c r="F151" s="76"/>
      <c r="G151" s="76"/>
      <c r="H151" s="76"/>
      <c r="I151" s="76"/>
      <c r="J151" s="76"/>
      <c r="K151" s="76"/>
      <c r="L151" s="76"/>
      <c r="M151" s="76">
        <v>3.0</v>
      </c>
      <c r="N151" s="76">
        <v>3.0</v>
      </c>
      <c r="O151" s="38">
        <f t="shared" si="6"/>
        <v>6</v>
      </c>
      <c r="P151" s="38"/>
    </row>
    <row r="152" ht="15.75" hidden="1" customHeight="1">
      <c r="A152" s="1"/>
      <c r="B152" s="1"/>
      <c r="C152" s="13"/>
      <c r="D152" s="26" t="s">
        <v>91</v>
      </c>
      <c r="E152" s="38"/>
      <c r="F152" s="76"/>
      <c r="G152" s="76"/>
      <c r="H152" s="76"/>
      <c r="I152" s="76"/>
      <c r="J152" s="76"/>
      <c r="K152" s="76"/>
      <c r="L152" s="76"/>
      <c r="M152" s="76"/>
      <c r="N152" s="76"/>
      <c r="O152" s="38">
        <f t="shared" si="6"/>
        <v>0</v>
      </c>
      <c r="P152" s="38"/>
    </row>
    <row r="153" ht="15.75" hidden="1" customHeight="1">
      <c r="A153" s="1"/>
      <c r="B153" s="1"/>
      <c r="C153" s="13"/>
      <c r="D153" s="26" t="s">
        <v>92</v>
      </c>
      <c r="E153" s="38"/>
      <c r="F153" s="76"/>
      <c r="G153" s="76"/>
      <c r="H153" s="76"/>
      <c r="I153" s="76"/>
      <c r="J153" s="76"/>
      <c r="K153" s="76"/>
      <c r="L153" s="76"/>
      <c r="M153" s="76"/>
      <c r="N153" s="76"/>
      <c r="O153" s="38">
        <f t="shared" si="6"/>
        <v>0</v>
      </c>
      <c r="P153" s="38"/>
    </row>
    <row r="154" ht="15.75" hidden="1" customHeight="1">
      <c r="A154" s="1"/>
      <c r="B154" s="1"/>
      <c r="C154" s="13"/>
      <c r="D154" s="26" t="s">
        <v>100</v>
      </c>
      <c r="E154" s="38"/>
      <c r="F154" s="76"/>
      <c r="G154" s="76"/>
      <c r="H154" s="76"/>
      <c r="I154" s="76"/>
      <c r="J154" s="76"/>
      <c r="K154" s="76"/>
      <c r="L154" s="76"/>
      <c r="M154" s="76"/>
      <c r="N154" s="76"/>
      <c r="O154" s="38">
        <f t="shared" si="6"/>
        <v>0</v>
      </c>
      <c r="P154" s="38"/>
    </row>
    <row r="155" ht="15.75" hidden="1" customHeight="1">
      <c r="A155" s="1"/>
      <c r="B155" s="1"/>
      <c r="C155" s="13"/>
      <c r="D155" s="26" t="s">
        <v>94</v>
      </c>
      <c r="E155" s="38"/>
      <c r="F155" s="76"/>
      <c r="G155" s="76"/>
      <c r="H155" s="76"/>
      <c r="I155" s="76"/>
      <c r="J155" s="76"/>
      <c r="K155" s="76"/>
      <c r="L155" s="76"/>
      <c r="M155" s="76"/>
      <c r="N155" s="76">
        <v>9.0</v>
      </c>
      <c r="O155" s="38">
        <f t="shared" si="6"/>
        <v>9</v>
      </c>
      <c r="P155" s="38"/>
    </row>
    <row r="156" ht="15.75" hidden="1" customHeight="1">
      <c r="A156" s="1"/>
      <c r="B156" s="1"/>
      <c r="C156" s="21"/>
      <c r="D156" s="26" t="s">
        <v>96</v>
      </c>
      <c r="E156" s="38"/>
      <c r="F156" s="76"/>
      <c r="G156" s="76"/>
      <c r="H156" s="76"/>
      <c r="I156" s="76"/>
      <c r="J156" s="76"/>
      <c r="K156" s="76"/>
      <c r="L156" s="76"/>
      <c r="M156" s="76"/>
      <c r="N156" s="76">
        <v>36.0</v>
      </c>
      <c r="O156" s="38">
        <f t="shared" si="6"/>
        <v>36</v>
      </c>
      <c r="P156" s="38"/>
    </row>
    <row r="157" ht="15.75" hidden="1" customHeight="1">
      <c r="A157" s="1"/>
      <c r="B157" s="1"/>
      <c r="C157" s="34"/>
      <c r="D157" s="26" t="s">
        <v>135</v>
      </c>
      <c r="E157" s="38">
        <v>2.0</v>
      </c>
      <c r="F157" s="76"/>
      <c r="G157" s="76"/>
      <c r="H157" s="76"/>
      <c r="I157" s="76"/>
      <c r="J157" s="76"/>
      <c r="K157" s="76"/>
      <c r="L157" s="76"/>
      <c r="M157" s="76">
        <v>2.0</v>
      </c>
      <c r="N157" s="76">
        <v>4.0</v>
      </c>
      <c r="O157" s="38">
        <f t="shared" si="6"/>
        <v>6</v>
      </c>
      <c r="P157" s="38"/>
    </row>
    <row r="158" ht="15.75" hidden="1" customHeight="1">
      <c r="A158" s="1"/>
      <c r="B158" s="1"/>
      <c r="C158" s="34"/>
      <c r="D158" s="26" t="s">
        <v>186</v>
      </c>
      <c r="E158" s="38"/>
      <c r="F158" s="76"/>
      <c r="G158" s="76"/>
      <c r="H158" s="76"/>
      <c r="I158" s="76"/>
      <c r="J158" s="76"/>
      <c r="K158" s="76"/>
      <c r="L158" s="76"/>
      <c r="M158" s="76"/>
      <c r="N158" s="76"/>
      <c r="O158" s="38">
        <f t="shared" si="6"/>
        <v>0</v>
      </c>
      <c r="P158" s="38"/>
    </row>
    <row r="159" ht="15.75" hidden="1" customHeight="1">
      <c r="A159" s="1"/>
      <c r="B159" s="1"/>
      <c r="C159" s="34"/>
      <c r="D159" s="26" t="s">
        <v>105</v>
      </c>
      <c r="E159" s="38"/>
      <c r="F159" s="76"/>
      <c r="G159" s="76"/>
      <c r="H159" s="76"/>
      <c r="I159" s="76"/>
      <c r="J159" s="76"/>
      <c r="K159" s="76"/>
      <c r="L159" s="76"/>
      <c r="M159" s="76"/>
      <c r="N159" s="76"/>
      <c r="O159" s="38">
        <f t="shared" si="6"/>
        <v>0</v>
      </c>
      <c r="P159" s="38"/>
    </row>
    <row r="160" ht="15.75" hidden="1" customHeight="1">
      <c r="A160" s="1"/>
      <c r="B160" s="1"/>
      <c r="C160" s="34"/>
      <c r="D160" s="26" t="s">
        <v>181</v>
      </c>
      <c r="E160" s="38"/>
      <c r="F160" s="76"/>
      <c r="G160" s="76"/>
      <c r="H160" s="76"/>
      <c r="I160" s="76"/>
      <c r="J160" s="76"/>
      <c r="K160" s="76"/>
      <c r="L160" s="76"/>
      <c r="M160" s="76"/>
      <c r="N160" s="76"/>
      <c r="O160" s="38">
        <f t="shared" si="6"/>
        <v>0</v>
      </c>
      <c r="P160" s="38"/>
    </row>
    <row r="161" ht="15.75" hidden="1" customHeight="1">
      <c r="A161" s="1"/>
      <c r="B161" s="1"/>
      <c r="C161" s="34"/>
      <c r="D161" s="26" t="s">
        <v>183</v>
      </c>
      <c r="E161" s="38"/>
      <c r="F161" s="76"/>
      <c r="G161" s="76"/>
      <c r="H161" s="76"/>
      <c r="I161" s="76"/>
      <c r="J161" s="76"/>
      <c r="K161" s="76"/>
      <c r="L161" s="76"/>
      <c r="M161" s="76"/>
      <c r="N161" s="76"/>
      <c r="O161" s="38">
        <f t="shared" si="6"/>
        <v>0</v>
      </c>
      <c r="P161" s="38"/>
    </row>
    <row r="162" ht="15.75" hidden="1" customHeight="1">
      <c r="A162" s="1"/>
      <c r="B162" s="1"/>
      <c r="C162" s="34"/>
      <c r="D162" s="26" t="s">
        <v>136</v>
      </c>
      <c r="E162" s="38">
        <v>4.0</v>
      </c>
      <c r="F162" s="76"/>
      <c r="G162" s="76"/>
      <c r="H162" s="76"/>
      <c r="I162" s="76"/>
      <c r="J162" s="76"/>
      <c r="K162" s="76"/>
      <c r="L162" s="76">
        <v>4.0</v>
      </c>
      <c r="M162" s="76"/>
      <c r="N162" s="76">
        <v>3.0</v>
      </c>
      <c r="O162" s="38">
        <f t="shared" si="6"/>
        <v>7</v>
      </c>
      <c r="P162" s="38"/>
    </row>
    <row r="163" ht="15.75" hidden="1" customHeight="1">
      <c r="A163" s="1"/>
      <c r="B163" s="1"/>
      <c r="C163" s="34"/>
      <c r="D163" s="26" t="s">
        <v>190</v>
      </c>
      <c r="E163" s="38"/>
      <c r="F163" s="76"/>
      <c r="G163" s="76"/>
      <c r="H163" s="76"/>
      <c r="I163" s="76"/>
      <c r="J163" s="76"/>
      <c r="K163" s="76"/>
      <c r="L163" s="76"/>
      <c r="M163" s="76"/>
      <c r="N163" s="76"/>
      <c r="O163" s="38">
        <f t="shared" si="6"/>
        <v>0</v>
      </c>
      <c r="P163" s="38"/>
    </row>
    <row r="164" ht="15.75" hidden="1" customHeight="1">
      <c r="A164" s="1"/>
      <c r="B164" s="1"/>
      <c r="C164" s="34" t="s">
        <v>139</v>
      </c>
      <c r="D164" s="26" t="s">
        <v>191</v>
      </c>
      <c r="E164" s="38"/>
      <c r="F164" s="38"/>
      <c r="G164" s="38"/>
      <c r="H164" s="38"/>
      <c r="I164" s="38"/>
      <c r="J164" s="38"/>
      <c r="K164" s="38"/>
      <c r="L164" s="76"/>
      <c r="M164" s="76"/>
      <c r="N164" s="76"/>
      <c r="O164" s="38">
        <f t="shared" si="6"/>
        <v>0</v>
      </c>
      <c r="P164" s="38"/>
    </row>
    <row r="165" ht="15.75" hidden="1" customHeight="1">
      <c r="A165" s="1"/>
      <c r="B165" s="1"/>
      <c r="C165" s="13"/>
      <c r="D165" s="26" t="s">
        <v>192</v>
      </c>
      <c r="E165" s="38">
        <v>1.0</v>
      </c>
      <c r="F165" s="38"/>
      <c r="G165" s="38"/>
      <c r="H165" s="38"/>
      <c r="I165" s="38"/>
      <c r="J165" s="38"/>
      <c r="K165" s="38">
        <v>1.0</v>
      </c>
      <c r="L165" s="76"/>
      <c r="M165" s="76"/>
      <c r="N165" s="76"/>
      <c r="O165" s="38">
        <f t="shared" si="6"/>
        <v>1</v>
      </c>
      <c r="P165" s="38"/>
    </row>
    <row r="166" ht="15.75" hidden="1" customHeight="1">
      <c r="A166" s="1"/>
      <c r="B166" s="1"/>
      <c r="C166" s="21"/>
      <c r="D166" s="26" t="s">
        <v>139</v>
      </c>
      <c r="E166" s="80"/>
      <c r="F166" s="76"/>
      <c r="G166" s="76"/>
      <c r="H166" s="76"/>
      <c r="I166" s="76"/>
      <c r="J166" s="76"/>
      <c r="K166" s="76"/>
      <c r="L166" s="76"/>
      <c r="M166" s="76"/>
      <c r="N166" s="76"/>
      <c r="O166" s="38">
        <f t="shared" si="6"/>
        <v>0</v>
      </c>
      <c r="P166" s="38"/>
    </row>
    <row r="167" ht="15.75" hidden="1" customHeight="1">
      <c r="A167" s="1"/>
      <c r="B167" s="1"/>
      <c r="C167" s="24" t="s">
        <v>193</v>
      </c>
      <c r="D167" s="26" t="s">
        <v>193</v>
      </c>
      <c r="E167" s="38"/>
      <c r="F167" s="76"/>
      <c r="G167" s="76"/>
      <c r="H167" s="76"/>
      <c r="I167" s="76"/>
      <c r="J167" s="76"/>
      <c r="K167" s="76"/>
      <c r="L167" s="76"/>
      <c r="M167" s="76"/>
      <c r="N167" s="76">
        <v>1.0</v>
      </c>
      <c r="O167" s="38">
        <f t="shared" si="6"/>
        <v>1</v>
      </c>
      <c r="P167" s="38"/>
    </row>
    <row r="168" ht="15.75" hidden="1" customHeight="1">
      <c r="A168" s="1"/>
      <c r="B168" s="1"/>
      <c r="C168" s="81" t="s">
        <v>110</v>
      </c>
      <c r="D168" s="82"/>
      <c r="E168" s="38">
        <f>SUM(E106:E167)</f>
        <v>40</v>
      </c>
      <c r="F168" s="38"/>
      <c r="G168" s="38"/>
      <c r="H168" s="38"/>
      <c r="I168" s="38"/>
      <c r="J168" s="38"/>
      <c r="K168" s="38">
        <f t="shared" ref="K168:N168" si="7">SUM(K106:K167)</f>
        <v>2</v>
      </c>
      <c r="L168" s="38">
        <f t="shared" si="7"/>
        <v>15</v>
      </c>
      <c r="M168" s="38">
        <f t="shared" si="7"/>
        <v>23</v>
      </c>
      <c r="N168" s="38">
        <f t="shared" si="7"/>
        <v>73</v>
      </c>
      <c r="O168" s="38">
        <f t="shared" si="6"/>
        <v>113</v>
      </c>
      <c r="P168" s="38"/>
    </row>
    <row r="169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>
        <f>E168-O168</f>
        <v>-73</v>
      </c>
      <c r="O169" s="67">
        <f>O168/E168</f>
        <v>2.825</v>
      </c>
      <c r="P169" s="67"/>
    </row>
    <row r="170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15.75" hidden="1" customHeight="1">
      <c r="A187" s="1"/>
      <c r="B187" s="1"/>
      <c r="C187" s="1"/>
      <c r="D187" s="1"/>
      <c r="E187" s="1"/>
      <c r="F187" s="85"/>
      <c r="G187" s="85"/>
      <c r="H187" s="85"/>
      <c r="I187" s="85"/>
      <c r="J187" s="85"/>
      <c r="K187" s="85"/>
      <c r="O187" s="85"/>
      <c r="P187" s="85"/>
    </row>
    <row r="188" ht="15.75" hidden="1" customHeight="1">
      <c r="A188" s="1"/>
      <c r="B188" s="1"/>
      <c r="C188" s="1"/>
      <c r="D188" s="1"/>
      <c r="E188" s="1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</row>
    <row r="189" ht="15.75" hidden="1" customHeight="1">
      <c r="A189" s="1"/>
      <c r="B189" s="1"/>
      <c r="C189" s="1"/>
      <c r="D189" s="1"/>
      <c r="E189" s="1"/>
      <c r="F189" s="86"/>
      <c r="G189" s="86"/>
      <c r="H189" s="86"/>
      <c r="I189" s="86"/>
      <c r="J189" s="86"/>
      <c r="K189" s="86"/>
      <c r="L189" s="86"/>
      <c r="M189" s="86"/>
      <c r="N189" s="1"/>
      <c r="O189" s="1"/>
      <c r="P189" s="1"/>
    </row>
    <row r="190" ht="15.75" hidden="1" customHeight="1">
      <c r="A190" s="1"/>
      <c r="B190" s="1"/>
      <c r="C190" s="1"/>
      <c r="D190" s="1"/>
      <c r="E190" s="1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</row>
    <row r="191" ht="15.75" hidden="1" customHeight="1">
      <c r="A191" s="1"/>
      <c r="B191" s="1"/>
      <c r="C191" s="1"/>
      <c r="D191" s="1"/>
      <c r="E191" s="1"/>
      <c r="F191" s="87"/>
      <c r="G191" s="87"/>
      <c r="H191" s="87"/>
      <c r="I191" s="87"/>
      <c r="J191" s="87"/>
      <c r="K191" s="87"/>
      <c r="L191" s="1"/>
      <c r="M191" s="1"/>
      <c r="N191" s="1"/>
      <c r="O191" s="1"/>
      <c r="P191" s="1"/>
    </row>
    <row r="192" ht="15.75" hidden="1" customHeight="1">
      <c r="A192" s="1"/>
      <c r="B192" s="1"/>
      <c r="C192" s="1"/>
      <c r="D192" s="1"/>
      <c r="E192" s="1"/>
      <c r="F192" s="86"/>
      <c r="G192" s="86"/>
      <c r="H192" s="86"/>
      <c r="I192" s="86"/>
      <c r="J192" s="86"/>
      <c r="K192" s="86"/>
      <c r="L192" s="86"/>
      <c r="M192" s="86"/>
      <c r="N192" s="1"/>
      <c r="O192" s="1"/>
      <c r="P192" s="1"/>
    </row>
    <row r="193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M103:M105"/>
    <mergeCell ref="N103:N105"/>
    <mergeCell ref="K187:N187"/>
    <mergeCell ref="C45:C47"/>
    <mergeCell ref="C48:C51"/>
    <mergeCell ref="C52:C68"/>
    <mergeCell ref="C69:C72"/>
    <mergeCell ref="C73:D73"/>
    <mergeCell ref="C102:C105"/>
    <mergeCell ref="E102:O102"/>
    <mergeCell ref="O103:O105"/>
    <mergeCell ref="C129:C132"/>
    <mergeCell ref="C133:C156"/>
    <mergeCell ref="C164:C166"/>
    <mergeCell ref="D102:D105"/>
    <mergeCell ref="E103:E105"/>
    <mergeCell ref="C108:C110"/>
    <mergeCell ref="C111:C112"/>
    <mergeCell ref="C114:C119"/>
    <mergeCell ref="C120:C123"/>
    <mergeCell ref="C126:C127"/>
    <mergeCell ref="H5:H7"/>
    <mergeCell ref="I5:I7"/>
    <mergeCell ref="J5:J7"/>
    <mergeCell ref="K5:K7"/>
    <mergeCell ref="L5:L7"/>
    <mergeCell ref="M5:M7"/>
    <mergeCell ref="K101:N101"/>
    <mergeCell ref="N5:N7"/>
    <mergeCell ref="O5:O7"/>
    <mergeCell ref="C2:D2"/>
    <mergeCell ref="E3:P3"/>
    <mergeCell ref="C4:C7"/>
    <mergeCell ref="D4:D7"/>
    <mergeCell ref="E4:J4"/>
    <mergeCell ref="K4:P4"/>
    <mergeCell ref="E5:E7"/>
    <mergeCell ref="P5:P7"/>
    <mergeCell ref="F5:F7"/>
    <mergeCell ref="G5:G7"/>
    <mergeCell ref="C9:C10"/>
    <mergeCell ref="C11:C17"/>
    <mergeCell ref="C18:C21"/>
    <mergeCell ref="C23:C35"/>
    <mergeCell ref="C36:C43"/>
    <mergeCell ref="K103:K105"/>
    <mergeCell ref="L103:L10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 outlineLevelCol="2"/>
  <cols>
    <col customWidth="1" min="1" max="1" width="21.14"/>
    <col customWidth="1" min="2" max="2" width="15.71"/>
    <col customWidth="1" min="3" max="5" width="14.43"/>
    <col customWidth="1" min="6" max="6" width="15.57"/>
    <col customWidth="1" min="7" max="7" width="31.0"/>
    <col customWidth="1" min="8" max="8" width="14.43"/>
    <col customWidth="1" min="9" max="9" width="16.71"/>
    <col customWidth="1" min="10" max="13" width="14.43"/>
    <col customWidth="1" min="14" max="14" width="13.29"/>
    <col customWidth="1" min="15" max="15" width="12.71"/>
    <col customWidth="1" min="16" max="16" width="14.14"/>
    <col customWidth="1" min="17" max="21" width="17.71"/>
  </cols>
  <sheetData>
    <row r="1">
      <c r="A1" s="88" t="s">
        <v>203</v>
      </c>
      <c r="B1" s="88"/>
    </row>
    <row r="2">
      <c r="A2" s="88" t="s">
        <v>204</v>
      </c>
    </row>
    <row r="3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</row>
    <row r="4">
      <c r="A4" s="91" t="s">
        <v>205</v>
      </c>
      <c r="B4" s="92" t="s">
        <v>206</v>
      </c>
      <c r="C4" s="7"/>
      <c r="D4" s="7"/>
      <c r="E4" s="7"/>
      <c r="F4" s="7"/>
      <c r="G4" s="8"/>
      <c r="H4" s="92" t="s">
        <v>207</v>
      </c>
      <c r="I4" s="7"/>
      <c r="J4" s="7"/>
      <c r="K4" s="7"/>
      <c r="L4" s="7"/>
      <c r="M4" s="93" t="s">
        <v>144</v>
      </c>
    </row>
    <row r="5">
      <c r="A5" s="23"/>
      <c r="B5" s="94" t="s">
        <v>208</v>
      </c>
      <c r="C5" s="94" t="s">
        <v>145</v>
      </c>
      <c r="D5" s="94" t="s">
        <v>209</v>
      </c>
      <c r="E5" s="95" t="s">
        <v>210</v>
      </c>
      <c r="F5" s="94" t="s">
        <v>211</v>
      </c>
      <c r="G5" s="94" t="s">
        <v>212</v>
      </c>
      <c r="H5" s="94" t="s">
        <v>208</v>
      </c>
      <c r="I5" s="94" t="s">
        <v>145</v>
      </c>
      <c r="J5" s="94" t="s">
        <v>209</v>
      </c>
      <c r="K5" s="95" t="s">
        <v>210</v>
      </c>
      <c r="L5" s="94" t="s">
        <v>211</v>
      </c>
      <c r="M5" s="23"/>
    </row>
    <row r="6">
      <c r="A6" s="96" t="s">
        <v>213</v>
      </c>
      <c r="B6" s="98">
        <f>'10.24 MAPPING KARAH'!E55</f>
        <v>23</v>
      </c>
      <c r="C6" s="98">
        <f>'10.24 MAPPING KARAH'!F55</f>
        <v>22</v>
      </c>
      <c r="D6" s="98">
        <f>'10.24 MAPPING KARAH'!G55</f>
        <v>84</v>
      </c>
      <c r="E6" s="98">
        <f>'10.24 MAPPING KARAH'!H55</f>
        <v>38</v>
      </c>
      <c r="F6" s="98">
        <f>SUM(B6:E6)</f>
        <v>167</v>
      </c>
      <c r="G6" s="102" t="s">
        <v>221</v>
      </c>
      <c r="H6" s="98">
        <f>'10.24 MAPPING KARAH'!K55</f>
        <v>22</v>
      </c>
      <c r="I6" s="98">
        <f>'10.24 MAPPING KARAH'!L55</f>
        <v>19</v>
      </c>
      <c r="J6" s="98">
        <f>'10.24 MAPPING KARAH'!M55</f>
        <v>71</v>
      </c>
      <c r="K6" s="98">
        <f>'10.24 MAPPING KARAH'!N55</f>
        <v>38</v>
      </c>
      <c r="L6" s="98">
        <f t="shared" ref="L6:L9" si="1">SUM(H6:K6)</f>
        <v>150</v>
      </c>
      <c r="M6" s="110">
        <f t="shared" ref="M6:M9" si="2">F6-L6</f>
        <v>17</v>
      </c>
    </row>
    <row r="7">
      <c r="A7" s="96" t="s">
        <v>4</v>
      </c>
      <c r="B7" s="98">
        <f>'10.24 MAPPING PACK BEKASI'!E73</f>
        <v>20</v>
      </c>
      <c r="C7" s="98">
        <f>'10.24 MAPPING PACK BEKASI'!F73</f>
        <v>15</v>
      </c>
      <c r="D7" s="98">
        <f>'10.24 MAPPING PACK BEKASI'!G73</f>
        <v>50</v>
      </c>
      <c r="E7" s="98">
        <f>'10.24 MAPPING PACK BEKASI'!H73</f>
        <v>55</v>
      </c>
      <c r="F7" s="98">
        <f>'10.24 MAPPING PACK BEKASI'!I73</f>
        <v>140</v>
      </c>
      <c r="G7" s="112" t="s">
        <v>281</v>
      </c>
      <c r="H7" s="113">
        <f>'10.24 MAPPING PACK BEKASI'!K73</f>
        <v>20</v>
      </c>
      <c r="I7" s="113">
        <f>'10.24 MAPPING PACK BEKASI'!L73</f>
        <v>12</v>
      </c>
      <c r="J7" s="113">
        <f>'10.24 MAPPING PACK BEKASI'!M73</f>
        <v>51</v>
      </c>
      <c r="K7" s="113">
        <f>'10.24 MAPPING PACK BEKASI'!N73</f>
        <v>55</v>
      </c>
      <c r="L7" s="98">
        <f t="shared" si="1"/>
        <v>138</v>
      </c>
      <c r="M7" s="110">
        <f t="shared" si="2"/>
        <v>2</v>
      </c>
    </row>
    <row r="8">
      <c r="A8" s="96" t="s">
        <v>308</v>
      </c>
      <c r="B8" s="98">
        <f>'10.24 MAPPING SHOPPINGBAG'!E73</f>
        <v>18</v>
      </c>
      <c r="C8" s="98">
        <f>'10.24 MAPPING SHOPPINGBAG'!F73</f>
        <v>25</v>
      </c>
      <c r="D8" s="98">
        <f>'10.24 MAPPING SHOPPINGBAG'!G73</f>
        <v>93</v>
      </c>
      <c r="E8" s="98">
        <f>'10.24 MAPPING SHOPPINGBAG'!H73</f>
        <v>102</v>
      </c>
      <c r="F8" s="98">
        <f t="shared" ref="F8:F9" si="3">SUM(B8:E8)</f>
        <v>238</v>
      </c>
      <c r="G8" s="102" t="s">
        <v>329</v>
      </c>
      <c r="H8" s="98">
        <f>'10.24 MAPPING SHOPPINGBAG'!K73</f>
        <v>18</v>
      </c>
      <c r="I8" s="98">
        <f>'10.24 MAPPING SHOPPINGBAG'!L73</f>
        <v>21</v>
      </c>
      <c r="J8" s="98">
        <f>'10.24 MAPPING SHOPPINGBAG'!M73</f>
        <v>92</v>
      </c>
      <c r="K8" s="98">
        <f>'10.24 MAPPING SHOPPINGBAG'!N73</f>
        <v>102</v>
      </c>
      <c r="L8" s="98">
        <f t="shared" si="1"/>
        <v>233</v>
      </c>
      <c r="M8" s="110">
        <f t="shared" si="2"/>
        <v>5</v>
      </c>
    </row>
    <row r="9">
      <c r="A9" s="96" t="s">
        <v>348</v>
      </c>
      <c r="B9" s="98">
        <f>'10.24 MAPPING TWL'!E52</f>
        <v>25</v>
      </c>
      <c r="C9" s="98">
        <f>'10.24 MAPPING TWL'!F52</f>
        <v>2</v>
      </c>
      <c r="D9" s="98">
        <f>'10.24 MAPPING TWL'!G52</f>
        <v>52</v>
      </c>
      <c r="E9" s="98">
        <f>'10.24 MAPPING TWL'!H52</f>
        <v>74</v>
      </c>
      <c r="F9" s="98">
        <f t="shared" si="3"/>
        <v>153</v>
      </c>
      <c r="G9" s="102" t="s">
        <v>365</v>
      </c>
      <c r="H9" s="98">
        <f>'10.24 MAPPING TWL'!K52</f>
        <v>23</v>
      </c>
      <c r="I9" s="98">
        <f>'10.24 MAPPING TWL'!L52</f>
        <v>4</v>
      </c>
      <c r="J9" s="98">
        <f>'10.24 MAPPING TWL'!M52</f>
        <v>48</v>
      </c>
      <c r="K9" s="98">
        <f>'10.24 MAPPING TWL'!N52</f>
        <v>56</v>
      </c>
      <c r="L9" s="98">
        <f t="shared" si="1"/>
        <v>131</v>
      </c>
      <c r="M9" s="110">
        <f t="shared" si="2"/>
        <v>22</v>
      </c>
    </row>
    <row r="10">
      <c r="A10" s="115" t="s">
        <v>381</v>
      </c>
      <c r="B10" s="116">
        <f t="shared" ref="B10:F10" si="4">SUM(B6:B9)</f>
        <v>86</v>
      </c>
      <c r="C10" s="116">
        <f t="shared" si="4"/>
        <v>64</v>
      </c>
      <c r="D10" s="116">
        <f t="shared" si="4"/>
        <v>279</v>
      </c>
      <c r="E10" s="116">
        <f t="shared" si="4"/>
        <v>269</v>
      </c>
      <c r="F10" s="116">
        <f t="shared" si="4"/>
        <v>698</v>
      </c>
      <c r="G10" s="117"/>
      <c r="H10" s="116">
        <f t="shared" ref="H10:M10" si="5">SUM(H6:H9)</f>
        <v>83</v>
      </c>
      <c r="I10" s="116">
        <f t="shared" si="5"/>
        <v>56</v>
      </c>
      <c r="J10" s="116">
        <f t="shared" si="5"/>
        <v>262</v>
      </c>
      <c r="K10" s="116">
        <f t="shared" si="5"/>
        <v>251</v>
      </c>
      <c r="L10" s="116">
        <f t="shared" si="5"/>
        <v>652</v>
      </c>
      <c r="M10" s="118">
        <f t="shared" si="5"/>
        <v>46</v>
      </c>
    </row>
    <row r="11">
      <c r="U11" s="119"/>
    </row>
    <row r="12">
      <c r="A12" s="88" t="s">
        <v>407</v>
      </c>
      <c r="U12" s="119"/>
    </row>
    <row r="13">
      <c r="A13" s="91" t="s">
        <v>205</v>
      </c>
      <c r="B13" s="92" t="s">
        <v>206</v>
      </c>
      <c r="C13" s="7"/>
      <c r="D13" s="7"/>
      <c r="E13" s="7"/>
      <c r="F13" s="7"/>
      <c r="G13" s="8"/>
      <c r="H13" s="92" t="s">
        <v>207</v>
      </c>
      <c r="I13" s="7"/>
      <c r="J13" s="7"/>
      <c r="K13" s="7"/>
      <c r="L13" s="8"/>
      <c r="M13" s="120" t="s">
        <v>144</v>
      </c>
      <c r="N13" s="121" t="s">
        <v>428</v>
      </c>
      <c r="O13" s="122" t="s">
        <v>431</v>
      </c>
      <c r="P13" s="122" t="s">
        <v>435</v>
      </c>
      <c r="Q13" s="123" t="s">
        <v>438</v>
      </c>
      <c r="R13" s="123" t="s">
        <v>441</v>
      </c>
      <c r="S13" s="123" t="s">
        <v>443</v>
      </c>
      <c r="T13" s="123" t="s">
        <v>446</v>
      </c>
      <c r="U13" s="123" t="s">
        <v>447</v>
      </c>
    </row>
    <row r="14">
      <c r="A14" s="23"/>
      <c r="B14" s="94" t="s">
        <v>208</v>
      </c>
      <c r="C14" s="94" t="s">
        <v>145</v>
      </c>
      <c r="D14" s="94" t="s">
        <v>209</v>
      </c>
      <c r="E14" s="95" t="s">
        <v>210</v>
      </c>
      <c r="F14" s="94" t="s">
        <v>211</v>
      </c>
      <c r="G14" s="94" t="s">
        <v>212</v>
      </c>
      <c r="H14" s="94" t="s">
        <v>208</v>
      </c>
      <c r="I14" s="94" t="s">
        <v>145</v>
      </c>
      <c r="J14" s="94" t="s">
        <v>209</v>
      </c>
      <c r="K14" s="95" t="s">
        <v>210</v>
      </c>
      <c r="L14" s="94" t="s">
        <v>211</v>
      </c>
      <c r="M14" s="23"/>
      <c r="N14" s="96"/>
      <c r="O14" s="96"/>
      <c r="P14" s="96"/>
      <c r="Q14" s="123" t="s">
        <v>458</v>
      </c>
      <c r="R14" s="123" t="s">
        <v>458</v>
      </c>
      <c r="S14" s="123" t="s">
        <v>458</v>
      </c>
      <c r="T14" s="123" t="s">
        <v>458</v>
      </c>
      <c r="U14" s="123" t="s">
        <v>458</v>
      </c>
    </row>
    <row r="15">
      <c r="A15" s="96" t="s">
        <v>213</v>
      </c>
      <c r="B15" s="98">
        <f t="shared" ref="B15:B18" si="6">(5%*H15)+H15</f>
        <v>142706090.1</v>
      </c>
      <c r="C15" s="98">
        <f>(5%*I15)+I15+(2*5000000)</f>
        <v>130640571.1</v>
      </c>
      <c r="D15" s="98">
        <f>(5%*J15)+J15+(2*100000)</f>
        <v>183293750</v>
      </c>
      <c r="E15" s="98">
        <f>(5%*K15)+K15</f>
        <v>74812500</v>
      </c>
      <c r="F15" s="98">
        <f t="shared" ref="F15:F18" si="8">SUM(B15:E15)</f>
        <v>531452911.2</v>
      </c>
      <c r="G15" s="102"/>
      <c r="H15" s="98">
        <f>133160562+2750000</f>
        <v>135910562</v>
      </c>
      <c r="I15" s="98">
        <f>112095782+2800000</f>
        <v>114895782</v>
      </c>
      <c r="J15" s="98">
        <f>(30*130000*25)+(41*75000*25)</f>
        <v>174375000</v>
      </c>
      <c r="K15" s="98">
        <f>(38*75000*25)</f>
        <v>71250000</v>
      </c>
      <c r="L15" s="98">
        <f t="shared" ref="L15:L18" si="9">SUM(H15:K15)</f>
        <v>496431344</v>
      </c>
      <c r="M15" s="110">
        <f t="shared" ref="M15:M19" si="10">F15-L15</f>
        <v>35021567.2</v>
      </c>
      <c r="N15" s="124">
        <v>3.0E9</v>
      </c>
      <c r="O15" s="125">
        <f t="shared" ref="O15:O18" si="11">F15/N15</f>
        <v>0.1771509704</v>
      </c>
      <c r="P15" s="125">
        <f t="shared" ref="P15:P18" si="12">L15/N15</f>
        <v>0.1654771147</v>
      </c>
      <c r="Q15" s="127">
        <v>2.57519161E8</v>
      </c>
      <c r="R15" s="127">
        <f t="shared" ref="R15:R18" si="13">(Q15/12)+(D15/12)+(E15/12)</f>
        <v>42968784.25</v>
      </c>
      <c r="S15" s="127">
        <f t="shared" ref="S15:S18" si="14">(10.89%*Q15)+(2%*D15)+(2%*E15)</f>
        <v>33205961.63</v>
      </c>
      <c r="T15" s="127">
        <f t="shared" ref="T15:T18" si="15">1%*Q15</f>
        <v>2575191.61</v>
      </c>
      <c r="U15" s="135">
        <f t="shared" ref="U15:U18" si="16">1.5%*Q15</f>
        <v>3862787.415</v>
      </c>
    </row>
    <row r="16">
      <c r="A16" s="96" t="s">
        <v>4</v>
      </c>
      <c r="B16" s="98">
        <f t="shared" si="6"/>
        <v>131042974.7</v>
      </c>
      <c r="C16" s="98">
        <f>(5%*I16)+I16+(3*5500000)</f>
        <v>98112649.65</v>
      </c>
      <c r="D16" s="98">
        <f t="shared" ref="D16:E16" si="7">(5%*J16)+J16</f>
        <v>137812500</v>
      </c>
      <c r="E16" s="98">
        <f t="shared" si="7"/>
        <v>101062500</v>
      </c>
      <c r="F16" s="98">
        <f t="shared" si="8"/>
        <v>468030624.3</v>
      </c>
      <c r="G16" s="102"/>
      <c r="H16" s="98">
        <f>122902833+1900000</f>
        <v>124802833</v>
      </c>
      <c r="I16" s="98">
        <f>76176333+1550000</f>
        <v>77726333</v>
      </c>
      <c r="J16" s="98">
        <f>(22*140000*25)+(31*70000*25)</f>
        <v>131250000</v>
      </c>
      <c r="K16" s="98">
        <f>70000*55*25</f>
        <v>96250000</v>
      </c>
      <c r="L16" s="98">
        <f t="shared" si="9"/>
        <v>430029166</v>
      </c>
      <c r="M16" s="110">
        <f t="shared" si="10"/>
        <v>38001458.3</v>
      </c>
      <c r="N16" s="124">
        <v>2.7E9</v>
      </c>
      <c r="O16" s="125">
        <f t="shared" si="11"/>
        <v>0.1733446757</v>
      </c>
      <c r="P16" s="125">
        <f t="shared" si="12"/>
        <v>0.1592700615</v>
      </c>
      <c r="Q16" s="127">
        <v>2.09033124E8</v>
      </c>
      <c r="R16" s="127">
        <f t="shared" si="13"/>
        <v>37325677</v>
      </c>
      <c r="S16" s="127">
        <f t="shared" si="14"/>
        <v>27541207.2</v>
      </c>
      <c r="T16" s="127">
        <f t="shared" si="15"/>
        <v>2090331.24</v>
      </c>
      <c r="U16" s="135">
        <f t="shared" si="16"/>
        <v>3135496.86</v>
      </c>
    </row>
    <row r="17">
      <c r="A17" s="96" t="s">
        <v>308</v>
      </c>
      <c r="B17" s="98">
        <f t="shared" si="6"/>
        <v>135820930.4</v>
      </c>
      <c r="C17" s="98">
        <f>(5%*I17)+I17+(4*5500000)</f>
        <v>140375682.3</v>
      </c>
      <c r="D17" s="98">
        <f t="shared" ref="D17:E17" si="17">(5%*J17)+J17</f>
        <v>187031250</v>
      </c>
      <c r="E17" s="98">
        <f t="shared" si="17"/>
        <v>174037500</v>
      </c>
      <c r="F17" s="98">
        <f t="shared" si="8"/>
        <v>637265362.6</v>
      </c>
      <c r="G17" s="102"/>
      <c r="H17" s="98">
        <f>126203267+3150000</f>
        <v>129353267</v>
      </c>
      <c r="I17" s="98">
        <f>111938745+800000</f>
        <v>112738745</v>
      </c>
      <c r="J17" s="98">
        <f>(125000*15*25)+(70000*75*25)</f>
        <v>178125000</v>
      </c>
      <c r="K17" s="98">
        <f>65000*102*25</f>
        <v>165750000</v>
      </c>
      <c r="L17" s="98">
        <f t="shared" si="9"/>
        <v>585967012</v>
      </c>
      <c r="M17" s="110">
        <f t="shared" si="10"/>
        <v>51298350.6</v>
      </c>
      <c r="N17" s="124">
        <v>2.5E9</v>
      </c>
      <c r="O17" s="125">
        <f t="shared" si="11"/>
        <v>0.254906145</v>
      </c>
      <c r="P17" s="125">
        <f t="shared" si="12"/>
        <v>0.2343868048</v>
      </c>
      <c r="Q17" s="127">
        <v>2.50049113E8</v>
      </c>
      <c r="R17" s="127">
        <f t="shared" si="13"/>
        <v>50926488.58</v>
      </c>
      <c r="S17" s="127">
        <f t="shared" si="14"/>
        <v>34451723.41</v>
      </c>
      <c r="T17" s="127">
        <f t="shared" si="15"/>
        <v>2500491.13</v>
      </c>
      <c r="U17" s="135">
        <f t="shared" si="16"/>
        <v>3750736.695</v>
      </c>
    </row>
    <row r="18">
      <c r="A18" s="96" t="s">
        <v>348</v>
      </c>
      <c r="B18" s="98">
        <f t="shared" si="6"/>
        <v>116683567.4</v>
      </c>
      <c r="C18" s="98">
        <f>(5%*I18)+I18</f>
        <v>19218255</v>
      </c>
      <c r="D18" s="98">
        <f>(5%*J18)+J18+6000000</f>
        <v>95617500</v>
      </c>
      <c r="E18" s="98">
        <f>(5%*K18)+K18+27000000</f>
        <v>115423125</v>
      </c>
      <c r="F18" s="98">
        <f t="shared" si="8"/>
        <v>346942447.4</v>
      </c>
      <c r="G18" s="102" t="s">
        <v>622</v>
      </c>
      <c r="H18" s="98">
        <f>107877207+3250000</f>
        <v>111127207</v>
      </c>
      <c r="I18" s="98">
        <v>1.83031E7</v>
      </c>
      <c r="J18" s="98">
        <v>8.535E7</v>
      </c>
      <c r="K18" s="98">
        <v>8.42125E7</v>
      </c>
      <c r="L18" s="98">
        <f t="shared" si="9"/>
        <v>298992807</v>
      </c>
      <c r="M18" s="110">
        <f t="shared" si="10"/>
        <v>47949640.35</v>
      </c>
      <c r="N18" s="124">
        <v>4.0E9</v>
      </c>
      <c r="O18" s="125">
        <f t="shared" si="11"/>
        <v>0.08673561184</v>
      </c>
      <c r="P18" s="125">
        <f t="shared" si="12"/>
        <v>0.07474820175</v>
      </c>
      <c r="Q18" s="127">
        <v>1.32489322E8</v>
      </c>
      <c r="R18" s="127">
        <f t="shared" si="13"/>
        <v>28627495.58</v>
      </c>
      <c r="S18" s="127">
        <f t="shared" si="14"/>
        <v>18648899.67</v>
      </c>
      <c r="T18" s="127">
        <f t="shared" si="15"/>
        <v>1324893.22</v>
      </c>
      <c r="U18" s="135">
        <f t="shared" si="16"/>
        <v>1987339.83</v>
      </c>
    </row>
    <row r="19">
      <c r="A19" s="115" t="s">
        <v>381</v>
      </c>
      <c r="B19" s="116">
        <f t="shared" ref="B19:F19" si="18">SUM(B15:B18)</f>
        <v>526253562.5</v>
      </c>
      <c r="C19" s="116">
        <f t="shared" si="18"/>
        <v>388347158</v>
      </c>
      <c r="D19" s="116">
        <f t="shared" si="18"/>
        <v>603755000</v>
      </c>
      <c r="E19" s="116">
        <f t="shared" si="18"/>
        <v>465335625</v>
      </c>
      <c r="F19" s="116">
        <f t="shared" si="18"/>
        <v>1983691345</v>
      </c>
      <c r="G19" s="117"/>
      <c r="H19" s="116">
        <f t="shared" ref="H19:L19" si="19">SUM(H15:H18)</f>
        <v>501193869</v>
      </c>
      <c r="I19" s="116">
        <f t="shared" si="19"/>
        <v>323663960</v>
      </c>
      <c r="J19" s="116">
        <f t="shared" si="19"/>
        <v>569100000</v>
      </c>
      <c r="K19" s="116">
        <f t="shared" si="19"/>
        <v>417462500</v>
      </c>
      <c r="L19" s="116">
        <f t="shared" si="19"/>
        <v>1811420329</v>
      </c>
      <c r="M19" s="136">
        <f t="shared" si="10"/>
        <v>172271016.5</v>
      </c>
      <c r="N19" s="96"/>
      <c r="O19" s="96"/>
      <c r="P19" s="96"/>
      <c r="Q19" s="137">
        <f t="shared" ref="Q19:U19" si="20">SUM(Q15:Q18)</f>
        <v>849090720</v>
      </c>
      <c r="R19" s="137">
        <f t="shared" si="20"/>
        <v>159848445.4</v>
      </c>
      <c r="S19" s="137">
        <f t="shared" si="20"/>
        <v>113847791.9</v>
      </c>
      <c r="T19" s="137">
        <f t="shared" si="20"/>
        <v>8490907.2</v>
      </c>
      <c r="U19" s="137">
        <f t="shared" si="20"/>
        <v>12736360.8</v>
      </c>
    </row>
    <row r="20">
      <c r="A20" s="88"/>
      <c r="B20" s="139"/>
      <c r="C20" s="139"/>
      <c r="D20" s="139"/>
      <c r="E20" s="139"/>
      <c r="F20" s="139"/>
      <c r="G20" s="140"/>
      <c r="H20" s="139"/>
      <c r="I20" s="139"/>
      <c r="J20" s="139"/>
      <c r="K20" s="139"/>
      <c r="L20" s="139"/>
      <c r="M20" s="139"/>
      <c r="N20" s="142"/>
      <c r="O20" s="142"/>
      <c r="P20" s="142"/>
      <c r="Q20" s="142"/>
      <c r="R20" s="142"/>
      <c r="S20" s="142"/>
      <c r="T20" s="142"/>
      <c r="U20" s="119"/>
      <c r="V20" s="142"/>
      <c r="W20" s="142"/>
      <c r="X20" s="142"/>
      <c r="Y20" s="142"/>
      <c r="Z20" s="142"/>
    </row>
    <row r="21" ht="15.75" customHeight="1">
      <c r="A21" s="88"/>
      <c r="B21" s="139"/>
      <c r="C21" s="139"/>
      <c r="D21" s="139"/>
      <c r="E21" s="139"/>
      <c r="F21" s="139"/>
      <c r="G21" s="140"/>
      <c r="H21" s="139"/>
      <c r="I21" s="139"/>
      <c r="J21" s="139"/>
      <c r="K21" s="139"/>
      <c r="L21" s="139"/>
      <c r="M21" s="139"/>
      <c r="N21" s="142"/>
      <c r="O21" s="142"/>
      <c r="P21" s="142"/>
      <c r="Q21" s="142"/>
      <c r="R21" s="142"/>
      <c r="S21" s="142"/>
      <c r="T21" s="142"/>
      <c r="U21" s="119"/>
      <c r="V21" s="142"/>
      <c r="W21" s="142"/>
      <c r="X21" s="142"/>
      <c r="Y21" s="142"/>
      <c r="Z21" s="142"/>
    </row>
    <row r="22" ht="15.75" customHeight="1">
      <c r="A22" s="143"/>
      <c r="B22" s="144"/>
      <c r="C22" s="144"/>
      <c r="D22" s="144"/>
      <c r="E22" s="144"/>
    </row>
    <row r="23" ht="15.75" customHeight="1">
      <c r="A23" s="143" t="s">
        <v>668</v>
      </c>
      <c r="B23" s="144"/>
      <c r="C23" s="144"/>
      <c r="D23" s="144"/>
      <c r="E23" s="144"/>
    </row>
    <row r="24" ht="15.75" customHeight="1">
      <c r="A24" s="143" t="s">
        <v>669</v>
      </c>
      <c r="B24" s="144"/>
      <c r="C24" s="144"/>
      <c r="D24" s="144"/>
      <c r="E24" s="144"/>
    </row>
    <row r="25" ht="15.75" customHeight="1">
      <c r="A25" s="120" t="s">
        <v>670</v>
      </c>
      <c r="B25" s="93" t="s">
        <v>671</v>
      </c>
      <c r="C25" s="145" t="s">
        <v>672</v>
      </c>
      <c r="D25" s="145" t="s">
        <v>675</v>
      </c>
      <c r="E25" s="93" t="s">
        <v>678</v>
      </c>
      <c r="F25" s="120" t="s">
        <v>680</v>
      </c>
      <c r="G25" s="93" t="s">
        <v>685</v>
      </c>
      <c r="H25" s="93" t="s">
        <v>688</v>
      </c>
      <c r="I25" s="93" t="s">
        <v>690</v>
      </c>
      <c r="J25" s="147" t="s">
        <v>693</v>
      </c>
      <c r="K25" s="8"/>
    </row>
    <row r="26" ht="27.75" customHeight="1">
      <c r="A26" s="23"/>
      <c r="B26" s="23"/>
      <c r="C26" s="23"/>
      <c r="D26" s="23"/>
      <c r="E26" s="23"/>
      <c r="F26" s="23"/>
      <c r="G26" s="23"/>
      <c r="H26" s="23"/>
      <c r="I26" s="23"/>
      <c r="J26" s="150" t="s">
        <v>702</v>
      </c>
      <c r="K26" s="150" t="s">
        <v>704</v>
      </c>
    </row>
    <row r="27" ht="15.75" customHeight="1">
      <c r="A27" s="152" t="s">
        <v>707</v>
      </c>
      <c r="B27" s="153">
        <f t="shared" ref="B27:B30" si="22">B6+C6</f>
        <v>45</v>
      </c>
      <c r="C27" s="153">
        <f t="shared" ref="C27:C30" si="23">D6+E6</f>
        <v>122</v>
      </c>
      <c r="D27" s="153">
        <f t="shared" ref="D27:D30" si="24">SUM(B27:C27)</f>
        <v>167</v>
      </c>
      <c r="E27" s="153">
        <f t="shared" ref="E27:E30" si="25">H6+I6</f>
        <v>41</v>
      </c>
      <c r="F27" s="153">
        <f t="shared" ref="F27:F30" si="26">J6+K6</f>
        <v>109</v>
      </c>
      <c r="G27" s="153">
        <f t="shared" ref="G27:G30" si="27">SUM(E27:F27)</f>
        <v>150</v>
      </c>
      <c r="H27" s="159">
        <f t="shared" ref="H27:I27" si="21">(E27-B27)/B27</f>
        <v>-0.08888888889</v>
      </c>
      <c r="I27" s="162">
        <f t="shared" si="21"/>
        <v>-0.106557377</v>
      </c>
      <c r="J27" s="153">
        <f t="shared" ref="J27:J30" si="29">G27-D27</f>
        <v>-17</v>
      </c>
      <c r="K27" s="162">
        <f t="shared" ref="K27:K31" si="30">(G27-D27)/D27</f>
        <v>-0.1017964072</v>
      </c>
    </row>
    <row r="28" ht="15.75" customHeight="1">
      <c r="A28" s="152" t="s">
        <v>738</v>
      </c>
      <c r="B28" s="153">
        <f t="shared" si="22"/>
        <v>35</v>
      </c>
      <c r="C28" s="153">
        <f t="shared" si="23"/>
        <v>105</v>
      </c>
      <c r="D28" s="153">
        <f t="shared" si="24"/>
        <v>140</v>
      </c>
      <c r="E28" s="152">
        <f t="shared" si="25"/>
        <v>32</v>
      </c>
      <c r="F28" s="152">
        <f t="shared" si="26"/>
        <v>106</v>
      </c>
      <c r="G28" s="152">
        <f t="shared" si="27"/>
        <v>138</v>
      </c>
      <c r="H28" s="159">
        <f t="shared" ref="H28:I28" si="28">(E28-B28)/B28</f>
        <v>-0.08571428571</v>
      </c>
      <c r="I28" s="162">
        <f t="shared" si="28"/>
        <v>0.009523809524</v>
      </c>
      <c r="J28" s="153">
        <f t="shared" si="29"/>
        <v>-2</v>
      </c>
      <c r="K28" s="162">
        <f t="shared" si="30"/>
        <v>-0.01428571429</v>
      </c>
    </row>
    <row r="29" ht="15.75" customHeight="1">
      <c r="A29" s="152" t="s">
        <v>753</v>
      </c>
      <c r="B29" s="153">
        <f t="shared" si="22"/>
        <v>43</v>
      </c>
      <c r="C29" s="153">
        <f t="shared" si="23"/>
        <v>195</v>
      </c>
      <c r="D29" s="153">
        <f t="shared" si="24"/>
        <v>238</v>
      </c>
      <c r="E29" s="153">
        <f t="shared" si="25"/>
        <v>39</v>
      </c>
      <c r="F29" s="153">
        <f t="shared" si="26"/>
        <v>194</v>
      </c>
      <c r="G29" s="153">
        <f t="shared" si="27"/>
        <v>233</v>
      </c>
      <c r="H29" s="159">
        <f t="shared" ref="H29:I29" si="31">(E29-B29)/B29</f>
        <v>-0.09302325581</v>
      </c>
      <c r="I29" s="162">
        <f t="shared" si="31"/>
        <v>-0.005128205128</v>
      </c>
      <c r="J29" s="153">
        <f t="shared" si="29"/>
        <v>-5</v>
      </c>
      <c r="K29" s="162">
        <f t="shared" si="30"/>
        <v>-0.02100840336</v>
      </c>
    </row>
    <row r="30" ht="15.75" customHeight="1">
      <c r="A30" s="152" t="s">
        <v>766</v>
      </c>
      <c r="B30" s="153">
        <f t="shared" si="22"/>
        <v>27</v>
      </c>
      <c r="C30" s="153">
        <f t="shared" si="23"/>
        <v>126</v>
      </c>
      <c r="D30" s="153">
        <f t="shared" si="24"/>
        <v>153</v>
      </c>
      <c r="E30" s="153">
        <f t="shared" si="25"/>
        <v>27</v>
      </c>
      <c r="F30" s="153">
        <f t="shared" si="26"/>
        <v>104</v>
      </c>
      <c r="G30" s="153">
        <f t="shared" si="27"/>
        <v>131</v>
      </c>
      <c r="H30" s="159">
        <f t="shared" ref="H30:I30" si="32">(E30-B30)/B30</f>
        <v>0</v>
      </c>
      <c r="I30" s="162">
        <f t="shared" si="32"/>
        <v>-0.1746031746</v>
      </c>
      <c r="J30" s="153">
        <f t="shared" si="29"/>
        <v>-22</v>
      </c>
      <c r="K30" s="162">
        <f t="shared" si="30"/>
        <v>-0.1437908497</v>
      </c>
    </row>
    <row r="31" ht="15.75" customHeight="1">
      <c r="A31" s="165" t="s">
        <v>525</v>
      </c>
      <c r="B31" s="166">
        <f t="shared" ref="B31:G31" si="33">SUM(B27:B30)</f>
        <v>150</v>
      </c>
      <c r="C31" s="166">
        <f t="shared" si="33"/>
        <v>548</v>
      </c>
      <c r="D31" s="166">
        <f t="shared" si="33"/>
        <v>698</v>
      </c>
      <c r="E31" s="166">
        <f t="shared" si="33"/>
        <v>139</v>
      </c>
      <c r="F31" s="166">
        <f t="shared" si="33"/>
        <v>513</v>
      </c>
      <c r="G31" s="166">
        <f t="shared" si="33"/>
        <v>652</v>
      </c>
      <c r="H31" s="167">
        <f t="shared" ref="H31:I31" si="34">(E31-B31)/B31</f>
        <v>-0.07333333333</v>
      </c>
      <c r="I31" s="168">
        <f t="shared" si="34"/>
        <v>-0.06386861314</v>
      </c>
      <c r="J31" s="165">
        <f>SUM(J26:J30)</f>
        <v>-46</v>
      </c>
      <c r="K31" s="168">
        <f t="shared" si="30"/>
        <v>-0.0659025788</v>
      </c>
    </row>
    <row r="32" ht="15.75" customHeight="1">
      <c r="A32" s="88"/>
      <c r="U32" s="119"/>
    </row>
    <row r="33" ht="15.75" customHeight="1">
      <c r="A33" s="88" t="s">
        <v>771</v>
      </c>
      <c r="U33" s="119"/>
    </row>
    <row r="34" ht="47.25" customHeight="1">
      <c r="A34" s="115" t="s">
        <v>670</v>
      </c>
      <c r="B34" s="170" t="s">
        <v>772</v>
      </c>
      <c r="C34" s="170" t="s">
        <v>773</v>
      </c>
      <c r="D34" s="170" t="s">
        <v>774</v>
      </c>
      <c r="E34" s="170" t="s">
        <v>775</v>
      </c>
      <c r="F34" s="170" t="s">
        <v>776</v>
      </c>
      <c r="G34" s="170" t="s">
        <v>777</v>
      </c>
      <c r="H34" s="170" t="s">
        <v>778</v>
      </c>
      <c r="I34" s="170" t="s">
        <v>779</v>
      </c>
      <c r="J34" s="171" t="s">
        <v>780</v>
      </c>
      <c r="K34" s="115" t="s">
        <v>781</v>
      </c>
      <c r="M34" s="172"/>
      <c r="U34" s="119"/>
    </row>
    <row r="35" ht="15.75" customHeight="1">
      <c r="A35" s="152" t="s">
        <v>707</v>
      </c>
      <c r="B35" s="173">
        <f t="shared" ref="B35:B38" si="36">B15+C15</f>
        <v>273346661.2</v>
      </c>
      <c r="C35" s="173">
        <f t="shared" ref="C35:C38" si="37">D15+E15</f>
        <v>258106250</v>
      </c>
      <c r="D35" s="173">
        <f>$B$35+C35</f>
        <v>531452911.2</v>
      </c>
      <c r="E35" s="173">
        <f t="shared" ref="E35:E38" si="38">H15+I15</f>
        <v>250806344</v>
      </c>
      <c r="F35" s="173">
        <f t="shared" ref="F35:F38" si="39">J15+K15</f>
        <v>245625000</v>
      </c>
      <c r="G35" s="173">
        <f t="shared" ref="G35:G38" si="40">E35+F35</f>
        <v>496431344</v>
      </c>
      <c r="H35" s="125">
        <f t="shared" ref="H35:I35" si="35">(E35-B35)/B35</f>
        <v>-0.08246055431</v>
      </c>
      <c r="I35" s="96">
        <f t="shared" si="35"/>
        <v>-0.04835702351</v>
      </c>
      <c r="J35" s="177">
        <v>3.0E9</v>
      </c>
      <c r="K35" s="125">
        <f t="shared" ref="K35:K38" si="42">G35/J35</f>
        <v>0.1654771147</v>
      </c>
      <c r="M35" s="146"/>
      <c r="U35" s="119"/>
    </row>
    <row r="36" ht="15.75" customHeight="1">
      <c r="A36" s="152" t="s">
        <v>738</v>
      </c>
      <c r="B36" s="173">
        <f t="shared" si="36"/>
        <v>229155624.3</v>
      </c>
      <c r="C36" s="173">
        <f t="shared" si="37"/>
        <v>238875000</v>
      </c>
      <c r="D36" s="173">
        <f t="shared" ref="D36:D38" si="43">B36+C36</f>
        <v>468030624.3</v>
      </c>
      <c r="E36" s="173">
        <f t="shared" si="38"/>
        <v>202529166</v>
      </c>
      <c r="F36" s="173">
        <f t="shared" si="39"/>
        <v>227500000</v>
      </c>
      <c r="G36" s="173">
        <f t="shared" si="40"/>
        <v>430029166</v>
      </c>
      <c r="H36" s="125">
        <f t="shared" ref="H36:I36" si="41">(E36-B36)/B36</f>
        <v>-0.1161937805</v>
      </c>
      <c r="I36" s="96">
        <f t="shared" si="41"/>
        <v>-0.04761904762</v>
      </c>
      <c r="J36" s="177">
        <v>2.7E9</v>
      </c>
      <c r="K36" s="125">
        <f t="shared" si="42"/>
        <v>0.1592700615</v>
      </c>
      <c r="M36" s="146"/>
      <c r="U36" s="119"/>
    </row>
    <row r="37" ht="15.75" customHeight="1">
      <c r="A37" s="152" t="s">
        <v>753</v>
      </c>
      <c r="B37" s="173">
        <f t="shared" si="36"/>
        <v>276196612.6</v>
      </c>
      <c r="C37" s="173">
        <f t="shared" si="37"/>
        <v>361068750</v>
      </c>
      <c r="D37" s="173">
        <f t="shared" si="43"/>
        <v>637265362.6</v>
      </c>
      <c r="E37" s="173">
        <f t="shared" si="38"/>
        <v>242092012</v>
      </c>
      <c r="F37" s="173">
        <f t="shared" si="39"/>
        <v>343875000</v>
      </c>
      <c r="G37" s="173">
        <f t="shared" si="40"/>
        <v>585967012</v>
      </c>
      <c r="H37" s="125">
        <f t="shared" ref="H37:I37" si="44">(E37-B37)/B37</f>
        <v>-0.1234794311</v>
      </c>
      <c r="I37" s="96">
        <f t="shared" si="44"/>
        <v>-0.04761904762</v>
      </c>
      <c r="J37" s="177">
        <v>2.5E9</v>
      </c>
      <c r="K37" s="125">
        <f t="shared" si="42"/>
        <v>0.2343868048</v>
      </c>
      <c r="M37" s="146"/>
      <c r="U37" s="119"/>
    </row>
    <row r="38" ht="15.75" customHeight="1">
      <c r="A38" s="152" t="s">
        <v>766</v>
      </c>
      <c r="B38" s="173">
        <f t="shared" si="36"/>
        <v>135901822.4</v>
      </c>
      <c r="C38" s="173">
        <f t="shared" si="37"/>
        <v>211040625</v>
      </c>
      <c r="D38" s="173">
        <f t="shared" si="43"/>
        <v>346942447.4</v>
      </c>
      <c r="E38" s="173">
        <f t="shared" si="38"/>
        <v>129430307</v>
      </c>
      <c r="F38" s="173">
        <f t="shared" si="39"/>
        <v>169562500</v>
      </c>
      <c r="G38" s="173">
        <f t="shared" si="40"/>
        <v>298992807</v>
      </c>
      <c r="H38" s="125">
        <f t="shared" ref="H38:I38" si="45">(E38-B38)/B38</f>
        <v>-0.04761904762</v>
      </c>
      <c r="I38" s="96">
        <f t="shared" si="45"/>
        <v>-0.1965409504</v>
      </c>
      <c r="J38" s="177">
        <v>4.0E9</v>
      </c>
      <c r="K38" s="125">
        <f t="shared" si="42"/>
        <v>0.07474820175</v>
      </c>
      <c r="M38" s="146"/>
      <c r="U38" s="119"/>
    </row>
    <row r="39" ht="15.75" customHeight="1">
      <c r="A39" s="165" t="s">
        <v>525</v>
      </c>
      <c r="B39" s="166">
        <f t="shared" ref="B39:G39" si="46">SUM(B35:B38)</f>
        <v>914600720.5</v>
      </c>
      <c r="C39" s="166">
        <f t="shared" si="46"/>
        <v>1069090625</v>
      </c>
      <c r="D39" s="166">
        <f t="shared" si="46"/>
        <v>1983691345</v>
      </c>
      <c r="E39" s="166">
        <f t="shared" si="46"/>
        <v>824857829</v>
      </c>
      <c r="F39" s="166">
        <f t="shared" si="46"/>
        <v>986562500</v>
      </c>
      <c r="G39" s="166">
        <f t="shared" si="46"/>
        <v>1811420329</v>
      </c>
      <c r="H39" s="167">
        <f t="shared" ref="H39:I39" si="47">(E39-B39)/B39</f>
        <v>-0.0981224806</v>
      </c>
      <c r="I39" s="168">
        <f t="shared" si="47"/>
        <v>-0.07719469526</v>
      </c>
      <c r="J39" s="180">
        <f>SUM(J34:J38)</f>
        <v>12200000000</v>
      </c>
      <c r="K39" s="168">
        <f>(G39-D39)/D39</f>
        <v>-0.08684365985</v>
      </c>
      <c r="M39" s="146"/>
      <c r="U39" s="119"/>
    </row>
    <row r="40" ht="15.75" customHeight="1">
      <c r="A40" s="88"/>
      <c r="U40" s="119"/>
    </row>
    <row r="41" ht="15.75" customHeight="1">
      <c r="A41" s="88"/>
      <c r="U41" s="119"/>
    </row>
    <row r="42" ht="15.75" customHeight="1">
      <c r="A42" s="88"/>
      <c r="U42" s="119"/>
    </row>
    <row r="43" ht="15.75" customHeight="1">
      <c r="A43" s="88"/>
      <c r="U43" s="119"/>
    </row>
    <row r="44" ht="15.75" customHeight="1">
      <c r="A44" s="88"/>
      <c r="U44" s="119"/>
    </row>
    <row r="45" ht="15.75" customHeight="1">
      <c r="A45" s="88"/>
      <c r="U45" s="119"/>
    </row>
    <row r="46" ht="15.75" customHeight="1">
      <c r="A46" s="88"/>
      <c r="U46" s="119"/>
    </row>
    <row r="47" ht="15.75" customHeight="1">
      <c r="A47" s="88"/>
      <c r="U47" s="119"/>
    </row>
    <row r="48" ht="15.75" customHeight="1">
      <c r="A48" s="88"/>
      <c r="U48" s="119"/>
    </row>
    <row r="49" ht="15.75" customHeight="1">
      <c r="A49" s="88"/>
      <c r="U49" s="119"/>
    </row>
    <row r="50" ht="15.75" customHeight="1">
      <c r="A50" s="88"/>
      <c r="U50" s="119"/>
    </row>
    <row r="51" ht="15.75" customHeight="1">
      <c r="A51" s="88"/>
      <c r="U51" s="119"/>
    </row>
    <row r="52" ht="15.75" hidden="1" customHeight="1">
      <c r="A52" s="88" t="s">
        <v>883</v>
      </c>
      <c r="U52" s="119"/>
    </row>
    <row r="53" ht="15.75" hidden="1" customHeight="1">
      <c r="A53" s="121" t="s">
        <v>205</v>
      </c>
      <c r="B53" s="121" t="s">
        <v>211</v>
      </c>
      <c r="C53" s="182" t="s">
        <v>195</v>
      </c>
      <c r="D53" s="7"/>
      <c r="E53" s="8"/>
    </row>
    <row r="54" ht="15.75" hidden="1" customHeight="1">
      <c r="A54" s="96" t="s">
        <v>213</v>
      </c>
      <c r="B54" s="113">
        <f>'MAPPING ALL CABANG'!M92+'MAPPING ALL CABANG'!N92</f>
        <v>127</v>
      </c>
      <c r="C54" s="183"/>
      <c r="D54" s="7"/>
      <c r="E54" s="8"/>
    </row>
    <row r="55" ht="15.75" hidden="1" customHeight="1">
      <c r="A55" s="96" t="s">
        <v>4</v>
      </c>
      <c r="B55" s="113">
        <f>'MAPPING ALL CABANG'!Y92+'MAPPING ALL CABANG'!Z92</f>
        <v>100</v>
      </c>
      <c r="C55" s="183"/>
      <c r="D55" s="7"/>
      <c r="E55" s="8"/>
    </row>
    <row r="56" ht="15.75" hidden="1" customHeight="1">
      <c r="A56" s="96" t="s">
        <v>308</v>
      </c>
      <c r="B56" s="113">
        <f>'MAPPING ALL CABANG'!AK92+'MAPPING ALL CABANG'!AL92</f>
        <v>135</v>
      </c>
      <c r="C56" s="183"/>
      <c r="D56" s="7"/>
      <c r="E56" s="8"/>
    </row>
    <row r="57" ht="15.75" hidden="1" customHeight="1">
      <c r="A57" s="96" t="s">
        <v>509</v>
      </c>
      <c r="B57" s="113">
        <f>'MAPPING ALL CABANG'!AW92+'MAPPING ALL CABANG'!AX92</f>
        <v>0</v>
      </c>
      <c r="C57" s="183"/>
      <c r="D57" s="7"/>
      <c r="E57" s="8"/>
    </row>
    <row r="58" ht="15.75" hidden="1" customHeight="1">
      <c r="A58" s="96" t="s">
        <v>348</v>
      </c>
      <c r="B58" s="113">
        <f>'SDM TWL 2024'!F136</f>
        <v>98</v>
      </c>
      <c r="C58" s="183" t="s">
        <v>622</v>
      </c>
      <c r="D58" s="7"/>
      <c r="E58" s="8"/>
    </row>
    <row r="59" ht="15.75" hidden="1" customHeight="1">
      <c r="A59" s="115" t="s">
        <v>908</v>
      </c>
      <c r="B59" s="171">
        <f>SUM(B54:B58)</f>
        <v>460</v>
      </c>
      <c r="C59" s="184"/>
      <c r="D59" s="7"/>
      <c r="E59" s="8"/>
    </row>
    <row r="60" ht="15.75" hidden="1" customHeight="1"/>
    <row r="61" ht="15.75" hidden="1" customHeight="1">
      <c r="A61" s="88" t="s">
        <v>918</v>
      </c>
    </row>
    <row r="62" ht="15.75" hidden="1" customHeight="1">
      <c r="A62" s="121" t="s">
        <v>205</v>
      </c>
      <c r="B62" s="121" t="s">
        <v>208</v>
      </c>
      <c r="C62" s="121" t="s">
        <v>145</v>
      </c>
      <c r="D62" s="121" t="s">
        <v>922</v>
      </c>
      <c r="E62" s="121" t="s">
        <v>211</v>
      </c>
    </row>
    <row r="63" ht="15.75" hidden="1" customHeight="1">
      <c r="A63" s="96" t="s">
        <v>213</v>
      </c>
      <c r="B63" s="98">
        <f t="shared" ref="B63:C63" si="48">H6</f>
        <v>22</v>
      </c>
      <c r="C63" s="98">
        <f t="shared" si="48"/>
        <v>19</v>
      </c>
      <c r="D63" s="113">
        <f t="shared" ref="D63:D67" si="50">B54</f>
        <v>127</v>
      </c>
      <c r="E63" s="98">
        <f t="shared" ref="E63:E67" si="51">B63+C63+D63</f>
        <v>168</v>
      </c>
    </row>
    <row r="64" ht="15.75" hidden="1" customHeight="1">
      <c r="A64" s="96" t="s">
        <v>4</v>
      </c>
      <c r="B64" s="113">
        <f t="shared" ref="B64:C64" si="49">H7</f>
        <v>20</v>
      </c>
      <c r="C64" s="113">
        <f t="shared" si="49"/>
        <v>12</v>
      </c>
      <c r="D64" s="113">
        <f t="shared" si="50"/>
        <v>100</v>
      </c>
      <c r="E64" s="113">
        <f t="shared" si="51"/>
        <v>132</v>
      </c>
    </row>
    <row r="65" ht="15.75" hidden="1" customHeight="1">
      <c r="A65" s="96" t="s">
        <v>308</v>
      </c>
      <c r="B65" s="98">
        <f t="shared" ref="B65:C65" si="52">H8</f>
        <v>18</v>
      </c>
      <c r="C65" s="98">
        <f t="shared" si="52"/>
        <v>21</v>
      </c>
      <c r="D65" s="113">
        <f t="shared" si="50"/>
        <v>135</v>
      </c>
      <c r="E65" s="98">
        <f t="shared" si="51"/>
        <v>174</v>
      </c>
    </row>
    <row r="66" ht="15.75" hidden="1" customHeight="1">
      <c r="A66" s="96" t="s">
        <v>509</v>
      </c>
      <c r="B66" s="113" t="str">
        <f t="shared" ref="B66:C66" si="53">#REF!</f>
        <v>#REF!</v>
      </c>
      <c r="C66" s="113" t="str">
        <f t="shared" si="53"/>
        <v>#REF!</v>
      </c>
      <c r="D66" s="113">
        <f t="shared" si="50"/>
        <v>0</v>
      </c>
      <c r="E66" s="113" t="str">
        <f t="shared" si="51"/>
        <v>#REF!</v>
      </c>
    </row>
    <row r="67" ht="15.75" hidden="1" customHeight="1">
      <c r="A67" s="96" t="s">
        <v>348</v>
      </c>
      <c r="B67" s="98">
        <f t="shared" ref="B67:C67" si="54">H9</f>
        <v>23</v>
      </c>
      <c r="C67" s="98">
        <f t="shared" si="54"/>
        <v>4</v>
      </c>
      <c r="D67" s="113">
        <f t="shared" si="50"/>
        <v>98</v>
      </c>
      <c r="E67" s="98">
        <f t="shared" si="51"/>
        <v>125</v>
      </c>
    </row>
    <row r="68" ht="15.75" hidden="1" customHeight="1">
      <c r="A68" s="115" t="s">
        <v>908</v>
      </c>
      <c r="B68" s="171" t="str">
        <f t="shared" ref="B68:E68" si="55">SUM(B63:B67)</f>
        <v>#REF!</v>
      </c>
      <c r="C68" s="171" t="str">
        <f t="shared" si="55"/>
        <v>#REF!</v>
      </c>
      <c r="D68" s="171">
        <f t="shared" si="55"/>
        <v>460</v>
      </c>
      <c r="E68" s="171" t="str">
        <f t="shared" si="55"/>
        <v>#REF!</v>
      </c>
    </row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>
      <c r="A73" s="88" t="s">
        <v>959</v>
      </c>
    </row>
    <row r="74" ht="15.75" hidden="1" customHeight="1">
      <c r="A74" s="88" t="s">
        <v>960</v>
      </c>
    </row>
    <row r="75" ht="15.75" hidden="1" customHeight="1">
      <c r="A75" s="90"/>
      <c r="B75" s="90"/>
      <c r="C75" s="90"/>
    </row>
    <row r="76" ht="15.75" hidden="1" customHeight="1">
      <c r="A76" s="121" t="s">
        <v>205</v>
      </c>
      <c r="B76" s="121" t="s">
        <v>208</v>
      </c>
      <c r="C76" s="121" t="s">
        <v>145</v>
      </c>
      <c r="D76" s="121" t="s">
        <v>211</v>
      </c>
      <c r="E76" s="121" t="s">
        <v>195</v>
      </c>
    </row>
    <row r="77" ht="15.75" hidden="1" customHeight="1">
      <c r="A77" s="96" t="s">
        <v>213</v>
      </c>
      <c r="B77" s="113">
        <v>20.0</v>
      </c>
      <c r="C77" s="113">
        <v>19.0</v>
      </c>
      <c r="D77" s="113">
        <f t="shared" ref="D77:D82" si="56">B77+C77</f>
        <v>39</v>
      </c>
      <c r="E77" s="102" t="s">
        <v>965</v>
      </c>
    </row>
    <row r="78" ht="15.75" hidden="1" customHeight="1">
      <c r="A78" s="96" t="s">
        <v>4</v>
      </c>
      <c r="B78" s="113">
        <v>18.0</v>
      </c>
      <c r="C78" s="113">
        <v>17.0</v>
      </c>
      <c r="D78" s="113">
        <f t="shared" si="56"/>
        <v>35</v>
      </c>
      <c r="E78" s="112" t="s">
        <v>967</v>
      </c>
    </row>
    <row r="79" ht="15.75" hidden="1" customHeight="1">
      <c r="A79" s="96" t="s">
        <v>308</v>
      </c>
      <c r="B79" s="113">
        <v>2.0</v>
      </c>
      <c r="C79" s="113">
        <v>12.0</v>
      </c>
      <c r="D79" s="113">
        <f t="shared" si="56"/>
        <v>14</v>
      </c>
      <c r="E79" s="102" t="s">
        <v>622</v>
      </c>
      <c r="H79" s="186"/>
      <c r="I79" s="187"/>
    </row>
    <row r="80" ht="15.75" hidden="1" customHeight="1">
      <c r="A80" s="96" t="s">
        <v>509</v>
      </c>
      <c r="B80" s="113">
        <v>11.0</v>
      </c>
      <c r="C80" s="113">
        <v>7.0</v>
      </c>
      <c r="D80" s="113">
        <f t="shared" si="56"/>
        <v>18</v>
      </c>
      <c r="E80" s="102" t="s">
        <v>973</v>
      </c>
      <c r="I80" s="187"/>
    </row>
    <row r="81" ht="15.75" hidden="1" customHeight="1">
      <c r="A81" s="96" t="s">
        <v>149</v>
      </c>
      <c r="B81" s="113">
        <v>24.0</v>
      </c>
      <c r="C81" s="113">
        <v>4.0</v>
      </c>
      <c r="D81" s="113">
        <f t="shared" si="56"/>
        <v>28</v>
      </c>
      <c r="E81" s="102" t="s">
        <v>622</v>
      </c>
      <c r="I81" s="187"/>
    </row>
    <row r="82" ht="15.75" hidden="1" customHeight="1">
      <c r="A82" s="115" t="s">
        <v>908</v>
      </c>
      <c r="B82" s="171">
        <f t="shared" ref="B82:C82" si="57">SUM(B77:B81)</f>
        <v>75</v>
      </c>
      <c r="C82" s="171">
        <f t="shared" si="57"/>
        <v>59</v>
      </c>
      <c r="D82" s="171">
        <f t="shared" si="56"/>
        <v>134</v>
      </c>
      <c r="E82" s="117"/>
      <c r="H82" s="186"/>
      <c r="I82" s="187"/>
    </row>
    <row r="83" ht="15.75" hidden="1" customHeight="1">
      <c r="G83" s="119"/>
      <c r="H83" s="119"/>
      <c r="I83" s="119"/>
      <c r="J83" s="119"/>
    </row>
    <row r="84" ht="15.75" hidden="1" customHeight="1">
      <c r="A84" s="88" t="s">
        <v>986</v>
      </c>
      <c r="G84" s="119"/>
      <c r="H84" s="119"/>
      <c r="I84" s="119"/>
      <c r="J84" s="119"/>
    </row>
    <row r="85" ht="15.75" hidden="1" customHeight="1">
      <c r="A85" s="121" t="s">
        <v>205</v>
      </c>
      <c r="B85" s="121" t="s">
        <v>211</v>
      </c>
      <c r="C85" s="182" t="s">
        <v>195</v>
      </c>
      <c r="D85" s="7"/>
      <c r="E85" s="8"/>
    </row>
    <row r="86" ht="15.75" hidden="1" customHeight="1">
      <c r="A86" s="96" t="s">
        <v>213</v>
      </c>
      <c r="B86" s="113">
        <v>82.0</v>
      </c>
      <c r="C86" s="183" t="s">
        <v>198</v>
      </c>
      <c r="D86" s="7"/>
      <c r="E86" s="8"/>
    </row>
    <row r="87" ht="15.75" hidden="1" customHeight="1">
      <c r="A87" s="96" t="s">
        <v>4</v>
      </c>
      <c r="B87" s="113">
        <v>72.0</v>
      </c>
      <c r="C87" s="183" t="s">
        <v>994</v>
      </c>
      <c r="D87" s="7"/>
      <c r="E87" s="8"/>
    </row>
    <row r="88" ht="15.75" hidden="1" customHeight="1">
      <c r="A88" s="96" t="s">
        <v>308</v>
      </c>
      <c r="B88" s="113">
        <v>18.0</v>
      </c>
      <c r="C88" s="183" t="s">
        <v>622</v>
      </c>
      <c r="D88" s="7"/>
      <c r="E88" s="8"/>
    </row>
    <row r="89" ht="15.75" hidden="1" customHeight="1">
      <c r="A89" s="96" t="s">
        <v>509</v>
      </c>
      <c r="B89" s="113">
        <v>9.0</v>
      </c>
      <c r="C89" s="183" t="s">
        <v>1006</v>
      </c>
      <c r="D89" s="7"/>
      <c r="E89" s="8"/>
    </row>
    <row r="90" ht="15.75" hidden="1" customHeight="1">
      <c r="A90" s="96" t="s">
        <v>149</v>
      </c>
      <c r="B90" s="113">
        <v>87.0</v>
      </c>
      <c r="C90" s="183" t="s">
        <v>622</v>
      </c>
      <c r="D90" s="7"/>
      <c r="E90" s="8"/>
    </row>
    <row r="91" ht="15.75" hidden="1" customHeight="1">
      <c r="A91" s="115" t="s">
        <v>908</v>
      </c>
      <c r="B91" s="171">
        <f>SUM(B86:B90)</f>
        <v>268</v>
      </c>
      <c r="C91" s="184"/>
      <c r="D91" s="7"/>
      <c r="E91" s="8"/>
    </row>
    <row r="92" ht="15.75" hidden="1" customHeight="1"/>
    <row r="93" ht="15.75" hidden="1" customHeight="1"/>
    <row r="94" ht="15.75" hidden="1" customHeight="1">
      <c r="A94" s="88" t="s">
        <v>1014</v>
      </c>
    </row>
    <row r="95" ht="15.75" hidden="1" customHeight="1">
      <c r="A95" s="121" t="s">
        <v>205</v>
      </c>
      <c r="B95" s="121" t="s">
        <v>208</v>
      </c>
      <c r="C95" s="121" t="s">
        <v>145</v>
      </c>
      <c r="D95" s="121" t="s">
        <v>1015</v>
      </c>
      <c r="E95" s="121" t="s">
        <v>211</v>
      </c>
    </row>
    <row r="96" ht="15.75" hidden="1" customHeight="1">
      <c r="A96" s="96" t="s">
        <v>213</v>
      </c>
      <c r="B96" s="113">
        <f t="shared" ref="B96:C96" si="58">B77</f>
        <v>20</v>
      </c>
      <c r="C96" s="113">
        <f t="shared" si="58"/>
        <v>19</v>
      </c>
      <c r="D96" s="113">
        <f t="shared" ref="D96:D97" si="60">B86</f>
        <v>82</v>
      </c>
      <c r="E96" s="113">
        <f t="shared" ref="E96:E100" si="61">B96+C96+D96</f>
        <v>121</v>
      </c>
    </row>
    <row r="97" ht="15.75" hidden="1" customHeight="1">
      <c r="A97" s="96" t="s">
        <v>4</v>
      </c>
      <c r="B97" s="113">
        <f t="shared" ref="B97:C97" si="59">B78</f>
        <v>18</v>
      </c>
      <c r="C97" s="113">
        <f t="shared" si="59"/>
        <v>17</v>
      </c>
      <c r="D97" s="113">
        <f t="shared" si="60"/>
        <v>72</v>
      </c>
      <c r="E97" s="113">
        <f t="shared" si="61"/>
        <v>107</v>
      </c>
    </row>
    <row r="98" ht="15.75" hidden="1" customHeight="1">
      <c r="A98" s="96" t="s">
        <v>308</v>
      </c>
      <c r="B98" s="113">
        <f t="shared" ref="B98:C98" si="62">B77</f>
        <v>20</v>
      </c>
      <c r="C98" s="113">
        <f t="shared" si="62"/>
        <v>19</v>
      </c>
      <c r="D98" s="113" t="str">
        <f>#REF!</f>
        <v>#REF!</v>
      </c>
      <c r="E98" s="113" t="str">
        <f t="shared" si="61"/>
        <v>#REF!</v>
      </c>
    </row>
    <row r="99" ht="15.75" hidden="1" customHeight="1">
      <c r="A99" s="96" t="s">
        <v>509</v>
      </c>
      <c r="B99" s="113">
        <f t="shared" ref="B99:C99" si="63">B80</f>
        <v>11</v>
      </c>
      <c r="C99" s="113">
        <f t="shared" si="63"/>
        <v>7</v>
      </c>
      <c r="D99" s="113">
        <f>B89</f>
        <v>9</v>
      </c>
      <c r="E99" s="113">
        <f t="shared" si="61"/>
        <v>27</v>
      </c>
    </row>
    <row r="100" ht="15.75" hidden="1" customHeight="1">
      <c r="A100" s="96" t="s">
        <v>149</v>
      </c>
      <c r="B100" s="113">
        <v>24.0</v>
      </c>
      <c r="C100" s="113">
        <v>4.0</v>
      </c>
      <c r="D100" s="113">
        <v>87.0</v>
      </c>
      <c r="E100" s="113">
        <f t="shared" si="61"/>
        <v>115</v>
      </c>
    </row>
    <row r="101" ht="15.75" hidden="1" customHeight="1">
      <c r="A101" s="115" t="s">
        <v>908</v>
      </c>
      <c r="B101" s="171">
        <f t="shared" ref="B101:E101" si="64">SUM(B96:B100)</f>
        <v>93</v>
      </c>
      <c r="C101" s="171">
        <f t="shared" si="64"/>
        <v>66</v>
      </c>
      <c r="D101" s="171" t="str">
        <f t="shared" si="64"/>
        <v>#REF!</v>
      </c>
      <c r="E101" s="171" t="str">
        <f t="shared" si="64"/>
        <v>#REF!</v>
      </c>
    </row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4:A5"/>
    <mergeCell ref="B4:G4"/>
    <mergeCell ref="H4:L4"/>
    <mergeCell ref="M4:M5"/>
    <mergeCell ref="B13:G13"/>
    <mergeCell ref="H13:L13"/>
    <mergeCell ref="M13:M14"/>
    <mergeCell ref="G25:G26"/>
    <mergeCell ref="H25:H26"/>
    <mergeCell ref="I25:I26"/>
    <mergeCell ref="J25:K25"/>
    <mergeCell ref="A13:A14"/>
    <mergeCell ref="A25:A26"/>
    <mergeCell ref="B25:B26"/>
    <mergeCell ref="C25:C26"/>
    <mergeCell ref="D25:D26"/>
    <mergeCell ref="E25:E26"/>
    <mergeCell ref="F25:F26"/>
    <mergeCell ref="C85:E85"/>
    <mergeCell ref="C86:E86"/>
    <mergeCell ref="C87:E87"/>
    <mergeCell ref="C88:E88"/>
    <mergeCell ref="C89:E89"/>
    <mergeCell ref="C90:E90"/>
    <mergeCell ref="C91:E91"/>
    <mergeCell ref="C53:E53"/>
    <mergeCell ref="C54:E54"/>
    <mergeCell ref="C55:E55"/>
    <mergeCell ref="C56:E56"/>
    <mergeCell ref="C57:E57"/>
    <mergeCell ref="C58:E58"/>
    <mergeCell ref="C59:E59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 outlineLevelCol="2"/>
  <cols>
    <col customWidth="1" min="1" max="1" width="8.71"/>
    <col customWidth="1" min="2" max="2" width="3.14"/>
    <col customWidth="1" min="3" max="3" width="6.29"/>
    <col customWidth="1" min="4" max="4" width="32.29"/>
    <col customWidth="1" min="5" max="5" width="11.57"/>
    <col customWidth="1" min="6" max="6" width="33.57"/>
    <col customWidth="1" min="7" max="7" width="25.86"/>
    <col customWidth="1" min="8" max="8" width="16.71"/>
    <col customWidth="1" min="9" max="9" width="23.57"/>
    <col customWidth="1" min="10" max="10" width="14.57"/>
    <col customWidth="1" min="11" max="11" width="8.0"/>
    <col customWidth="1" min="12" max="12" width="9.0"/>
    <col customWidth="1" min="13" max="13" width="7.71"/>
    <col customWidth="1" min="14" max="14" width="13.43"/>
    <col customWidth="1" min="15" max="15" width="8.71"/>
    <col customWidth="1" min="16" max="16" width="4.86"/>
    <col customWidth="1" min="17" max="17" width="7.57"/>
    <col customWidth="1" min="18" max="18" width="3.14"/>
    <col customWidth="1" min="19" max="19" width="13.43"/>
    <col customWidth="1" min="20" max="26" width="8.71"/>
  </cols>
  <sheetData>
    <row r="1">
      <c r="A1" s="97" t="s">
        <v>214</v>
      </c>
      <c r="B1" s="99" t="s">
        <v>215</v>
      </c>
      <c r="T1" s="100"/>
      <c r="U1" s="100"/>
      <c r="V1" s="100"/>
      <c r="W1" s="100"/>
      <c r="X1" s="100"/>
      <c r="Y1" s="100"/>
      <c r="Z1" s="100"/>
    </row>
    <row r="2">
      <c r="A2" s="100"/>
      <c r="B2" s="101"/>
      <c r="C2" s="101"/>
      <c r="D2" s="101"/>
      <c r="E2" s="101"/>
      <c r="F2" s="101"/>
      <c r="G2" s="101"/>
      <c r="H2" s="101"/>
      <c r="I2" s="101"/>
      <c r="J2" s="99" t="s">
        <v>216</v>
      </c>
      <c r="K2" s="99" t="s">
        <v>217</v>
      </c>
      <c r="L2" s="99" t="s">
        <v>218</v>
      </c>
      <c r="M2" s="99" t="s">
        <v>219</v>
      </c>
      <c r="N2" s="99" t="s">
        <v>220</v>
      </c>
      <c r="O2" s="101"/>
      <c r="P2" s="101"/>
      <c r="Q2" s="101"/>
      <c r="R2" s="101"/>
      <c r="S2" s="101"/>
      <c r="T2" s="100"/>
      <c r="U2" s="100"/>
      <c r="V2" s="100"/>
      <c r="W2" s="100"/>
      <c r="X2" s="100"/>
      <c r="Y2" s="100"/>
      <c r="Z2" s="100"/>
    </row>
    <row r="3">
      <c r="A3" s="100"/>
      <c r="B3" s="101"/>
      <c r="C3" s="101"/>
      <c r="D3" s="99" t="s">
        <v>222</v>
      </c>
      <c r="E3" s="99" t="s">
        <v>223</v>
      </c>
      <c r="F3" s="99" t="s">
        <v>224</v>
      </c>
      <c r="G3" s="99" t="s">
        <v>225</v>
      </c>
      <c r="H3" s="99" t="s">
        <v>226</v>
      </c>
      <c r="I3" s="99" t="s">
        <v>227</v>
      </c>
      <c r="O3" s="99" t="s">
        <v>228</v>
      </c>
      <c r="P3" s="101"/>
      <c r="Q3" s="101"/>
      <c r="R3" s="101"/>
      <c r="S3" s="99" t="s">
        <v>229</v>
      </c>
      <c r="T3" s="100"/>
      <c r="U3" s="100"/>
      <c r="V3" s="100"/>
      <c r="W3" s="100"/>
      <c r="X3" s="100"/>
      <c r="Y3" s="100"/>
      <c r="Z3" s="100"/>
    </row>
    <row r="4">
      <c r="A4" s="100"/>
      <c r="B4" s="99" t="s">
        <v>230</v>
      </c>
      <c r="C4" s="99" t="s">
        <v>231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99" t="s">
        <v>232</v>
      </c>
      <c r="Q4" s="99" t="s">
        <v>233</v>
      </c>
      <c r="R4" s="99" t="s">
        <v>234</v>
      </c>
      <c r="S4" s="101"/>
      <c r="T4" s="100"/>
      <c r="U4" s="100"/>
      <c r="V4" s="100"/>
      <c r="W4" s="100"/>
      <c r="X4" s="100"/>
      <c r="Y4" s="100"/>
      <c r="Z4" s="100"/>
    </row>
    <row r="5">
      <c r="A5" s="100"/>
      <c r="B5" s="103">
        <v>1.0</v>
      </c>
      <c r="C5" s="99" t="s">
        <v>235</v>
      </c>
      <c r="D5" s="104" t="s">
        <v>236</v>
      </c>
      <c r="E5" s="99" t="s">
        <v>237</v>
      </c>
      <c r="F5" s="99" t="s">
        <v>238</v>
      </c>
      <c r="G5" s="104" t="s">
        <v>239</v>
      </c>
      <c r="H5" s="99" t="s">
        <v>240</v>
      </c>
      <c r="I5" s="99" t="s">
        <v>241</v>
      </c>
      <c r="J5" s="99" t="s">
        <v>242</v>
      </c>
      <c r="K5" s="99" t="s">
        <v>243</v>
      </c>
      <c r="L5" s="99" t="s">
        <v>244</v>
      </c>
      <c r="M5" s="101"/>
      <c r="N5" s="99" t="s">
        <v>244</v>
      </c>
      <c r="O5" s="105">
        <v>2012.0</v>
      </c>
      <c r="P5" s="99" t="s">
        <v>245</v>
      </c>
      <c r="Q5" s="99" t="s">
        <v>246</v>
      </c>
      <c r="R5" s="99" t="s">
        <v>247</v>
      </c>
      <c r="S5" s="99" t="s">
        <v>248</v>
      </c>
      <c r="T5" s="100"/>
      <c r="U5" s="100"/>
      <c r="V5" s="100"/>
      <c r="W5" s="100"/>
      <c r="X5" s="100"/>
      <c r="Y5" s="100"/>
      <c r="Z5" s="100"/>
    </row>
    <row r="6">
      <c r="A6" s="100"/>
      <c r="B6" s="106">
        <v>2.0</v>
      </c>
      <c r="C6" s="107">
        <v>1914410.0</v>
      </c>
      <c r="D6" s="108" t="s">
        <v>249</v>
      </c>
      <c r="E6" s="109" t="s">
        <v>250</v>
      </c>
      <c r="F6" s="109" t="s">
        <v>251</v>
      </c>
      <c r="G6" s="108" t="s">
        <v>252</v>
      </c>
      <c r="H6" s="109" t="s">
        <v>253</v>
      </c>
      <c r="I6" s="109" t="s">
        <v>254</v>
      </c>
      <c r="J6" s="109" t="s">
        <v>242</v>
      </c>
      <c r="K6" s="109" t="s">
        <v>255</v>
      </c>
      <c r="L6" s="109" t="s">
        <v>255</v>
      </c>
      <c r="M6" s="111"/>
      <c r="N6" s="109" t="s">
        <v>255</v>
      </c>
      <c r="O6" s="107">
        <v>2019.0</v>
      </c>
      <c r="P6" s="109" t="s">
        <v>256</v>
      </c>
      <c r="Q6" s="111"/>
      <c r="R6" s="109" t="s">
        <v>257</v>
      </c>
      <c r="S6" s="111"/>
      <c r="T6" s="100"/>
      <c r="U6" s="100"/>
      <c r="V6" s="100"/>
      <c r="W6" s="100"/>
      <c r="X6" s="100"/>
      <c r="Y6" s="100"/>
      <c r="Z6" s="100"/>
    </row>
    <row r="7">
      <c r="A7" s="100"/>
      <c r="B7" s="103">
        <v>3.0</v>
      </c>
      <c r="C7" s="105">
        <v>1701339.0</v>
      </c>
      <c r="D7" s="104" t="s">
        <v>258</v>
      </c>
      <c r="E7" s="99" t="s">
        <v>259</v>
      </c>
      <c r="F7" s="99" t="s">
        <v>260</v>
      </c>
      <c r="G7" s="104" t="s">
        <v>261</v>
      </c>
      <c r="H7" s="99" t="s">
        <v>262</v>
      </c>
      <c r="I7" s="99" t="s">
        <v>263</v>
      </c>
      <c r="J7" s="99" t="s">
        <v>242</v>
      </c>
      <c r="K7" s="99" t="s">
        <v>264</v>
      </c>
      <c r="L7" s="99" t="s">
        <v>255</v>
      </c>
      <c r="M7" s="101"/>
      <c r="N7" s="99" t="s">
        <v>255</v>
      </c>
      <c r="O7" s="105">
        <v>2019.0</v>
      </c>
      <c r="P7" s="99" t="s">
        <v>265</v>
      </c>
      <c r="Q7" s="99" t="s">
        <v>266</v>
      </c>
      <c r="R7" s="99" t="s">
        <v>257</v>
      </c>
      <c r="S7" s="99" t="s">
        <v>267</v>
      </c>
      <c r="T7" s="100"/>
      <c r="U7" s="100"/>
      <c r="V7" s="100"/>
      <c r="W7" s="100"/>
      <c r="X7" s="100"/>
      <c r="Y7" s="100"/>
      <c r="Z7" s="100"/>
    </row>
    <row r="8">
      <c r="A8" s="100"/>
      <c r="B8" s="103">
        <v>4.0</v>
      </c>
      <c r="C8" s="105">
        <v>1701333.0</v>
      </c>
      <c r="D8" s="104" t="s">
        <v>268</v>
      </c>
      <c r="E8" s="99" t="s">
        <v>269</v>
      </c>
      <c r="F8" s="99" t="s">
        <v>270</v>
      </c>
      <c r="G8" s="104" t="s">
        <v>239</v>
      </c>
      <c r="H8" s="99" t="s">
        <v>271</v>
      </c>
      <c r="I8" s="99" t="s">
        <v>271</v>
      </c>
      <c r="J8" s="99" t="s">
        <v>242</v>
      </c>
      <c r="K8" s="99" t="s">
        <v>272</v>
      </c>
      <c r="L8" s="99" t="s">
        <v>273</v>
      </c>
      <c r="M8" s="101"/>
      <c r="N8" s="99" t="s">
        <v>273</v>
      </c>
      <c r="O8" s="105">
        <v>2019.0</v>
      </c>
      <c r="P8" s="99" t="s">
        <v>274</v>
      </c>
      <c r="Q8" s="99" t="s">
        <v>275</v>
      </c>
      <c r="R8" s="99" t="s">
        <v>247</v>
      </c>
      <c r="S8" s="99" t="s">
        <v>276</v>
      </c>
      <c r="T8" s="100"/>
      <c r="U8" s="100"/>
      <c r="V8" s="100"/>
      <c r="W8" s="100"/>
      <c r="X8" s="100"/>
      <c r="Y8" s="100"/>
      <c r="Z8" s="100"/>
    </row>
    <row r="9">
      <c r="A9" s="100"/>
      <c r="B9" s="103">
        <v>5.0</v>
      </c>
      <c r="C9" s="105">
        <v>1914272.0</v>
      </c>
      <c r="D9" s="104" t="s">
        <v>277</v>
      </c>
      <c r="E9" s="99" t="s">
        <v>278</v>
      </c>
      <c r="F9" s="99" t="s">
        <v>279</v>
      </c>
      <c r="G9" s="104" t="s">
        <v>252</v>
      </c>
      <c r="H9" s="99" t="s">
        <v>271</v>
      </c>
      <c r="I9" s="99" t="s">
        <v>271</v>
      </c>
      <c r="J9" s="99" t="s">
        <v>242</v>
      </c>
      <c r="K9" s="99" t="s">
        <v>273</v>
      </c>
      <c r="L9" s="99" t="s">
        <v>280</v>
      </c>
      <c r="M9" s="101"/>
      <c r="N9" s="99" t="s">
        <v>280</v>
      </c>
      <c r="O9" s="105">
        <v>2020.0</v>
      </c>
      <c r="P9" s="99" t="s">
        <v>274</v>
      </c>
      <c r="Q9" s="99" t="s">
        <v>246</v>
      </c>
      <c r="R9" s="99" t="s">
        <v>247</v>
      </c>
      <c r="S9" s="99" t="s">
        <v>282</v>
      </c>
      <c r="T9" s="100"/>
      <c r="U9" s="100"/>
      <c r="V9" s="100"/>
      <c r="W9" s="100"/>
      <c r="X9" s="100"/>
      <c r="Y9" s="100"/>
      <c r="Z9" s="100"/>
    </row>
    <row r="10">
      <c r="A10" s="100"/>
      <c r="B10" s="103">
        <v>6.0</v>
      </c>
      <c r="C10" s="105">
        <v>2214702.0</v>
      </c>
      <c r="D10" s="104" t="s">
        <v>283</v>
      </c>
      <c r="E10" s="99" t="s">
        <v>284</v>
      </c>
      <c r="F10" s="99" t="s">
        <v>279</v>
      </c>
      <c r="G10" s="104" t="s">
        <v>252</v>
      </c>
      <c r="H10" s="99" t="s">
        <v>271</v>
      </c>
      <c r="I10" s="99" t="s">
        <v>271</v>
      </c>
      <c r="J10" s="99" t="s">
        <v>242</v>
      </c>
      <c r="K10" s="99" t="s">
        <v>285</v>
      </c>
      <c r="L10" s="99" t="s">
        <v>285</v>
      </c>
      <c r="M10" s="101"/>
      <c r="N10" s="99" t="s">
        <v>285</v>
      </c>
      <c r="O10" s="105">
        <v>2022.0</v>
      </c>
      <c r="P10" s="99" t="s">
        <v>265</v>
      </c>
      <c r="Q10" s="99" t="s">
        <v>246</v>
      </c>
      <c r="R10" s="99" t="s">
        <v>257</v>
      </c>
      <c r="S10" s="99" t="s">
        <v>286</v>
      </c>
      <c r="T10" s="100"/>
      <c r="U10" s="100"/>
      <c r="V10" s="100"/>
      <c r="W10" s="100"/>
      <c r="X10" s="100"/>
      <c r="Y10" s="100"/>
      <c r="Z10" s="100"/>
    </row>
    <row r="11">
      <c r="A11" s="100"/>
      <c r="B11" s="103">
        <v>7.0</v>
      </c>
      <c r="C11" s="99" t="s">
        <v>287</v>
      </c>
      <c r="D11" s="104" t="s">
        <v>288</v>
      </c>
      <c r="E11" s="105">
        <v>1106600.0</v>
      </c>
      <c r="F11" s="99" t="s">
        <v>289</v>
      </c>
      <c r="G11" s="104" t="s">
        <v>252</v>
      </c>
      <c r="H11" s="99" t="s">
        <v>290</v>
      </c>
      <c r="I11" s="99" t="s">
        <v>291</v>
      </c>
      <c r="J11" s="99" t="s">
        <v>242</v>
      </c>
      <c r="K11" s="99" t="s">
        <v>292</v>
      </c>
      <c r="L11" s="99" t="s">
        <v>244</v>
      </c>
      <c r="M11" s="101"/>
      <c r="N11" s="99" t="s">
        <v>244</v>
      </c>
      <c r="O11" s="105">
        <v>2012.0</v>
      </c>
      <c r="P11" s="99" t="s">
        <v>265</v>
      </c>
      <c r="Q11" s="99" t="s">
        <v>293</v>
      </c>
      <c r="R11" s="99" t="s">
        <v>257</v>
      </c>
      <c r="S11" s="99" t="s">
        <v>294</v>
      </c>
      <c r="T11" s="100"/>
      <c r="U11" s="100"/>
      <c r="V11" s="100"/>
      <c r="W11" s="100"/>
      <c r="X11" s="100"/>
      <c r="Y11" s="100"/>
      <c r="Z11" s="100"/>
    </row>
    <row r="12">
      <c r="A12" s="100"/>
      <c r="B12" s="103">
        <v>8.0</v>
      </c>
      <c r="C12" s="105">
        <v>2114683.0</v>
      </c>
      <c r="D12" s="104" t="s">
        <v>295</v>
      </c>
      <c r="E12" s="99" t="s">
        <v>296</v>
      </c>
      <c r="F12" s="99" t="s">
        <v>297</v>
      </c>
      <c r="G12" s="104" t="s">
        <v>239</v>
      </c>
      <c r="H12" s="99" t="s">
        <v>290</v>
      </c>
      <c r="I12" s="99" t="s">
        <v>37</v>
      </c>
      <c r="J12" s="99" t="s">
        <v>242</v>
      </c>
      <c r="K12" s="99" t="s">
        <v>298</v>
      </c>
      <c r="L12" s="99" t="s">
        <v>299</v>
      </c>
      <c r="M12" s="101"/>
      <c r="N12" s="99" t="s">
        <v>299</v>
      </c>
      <c r="O12" s="105">
        <v>2023.0</v>
      </c>
      <c r="P12" s="99" t="s">
        <v>300</v>
      </c>
      <c r="Q12" s="99" t="s">
        <v>246</v>
      </c>
      <c r="R12" s="99" t="s">
        <v>257</v>
      </c>
      <c r="S12" s="99" t="s">
        <v>301</v>
      </c>
      <c r="T12" s="100"/>
      <c r="U12" s="100"/>
      <c r="V12" s="100"/>
      <c r="W12" s="100"/>
      <c r="X12" s="100"/>
      <c r="Y12" s="100"/>
      <c r="Z12" s="100"/>
    </row>
    <row r="13">
      <c r="A13" s="100"/>
      <c r="B13" s="103">
        <v>9.0</v>
      </c>
      <c r="C13" s="99" t="s">
        <v>302</v>
      </c>
      <c r="D13" s="104" t="s">
        <v>303</v>
      </c>
      <c r="E13" s="99" t="s">
        <v>304</v>
      </c>
      <c r="F13" s="99" t="s">
        <v>305</v>
      </c>
      <c r="G13" s="104" t="s">
        <v>252</v>
      </c>
      <c r="H13" s="99" t="s">
        <v>290</v>
      </c>
      <c r="I13" s="99" t="s">
        <v>37</v>
      </c>
      <c r="J13" s="99" t="s">
        <v>242</v>
      </c>
      <c r="K13" s="99" t="s">
        <v>306</v>
      </c>
      <c r="L13" s="99" t="s">
        <v>307</v>
      </c>
      <c r="M13" s="101"/>
      <c r="N13" s="99" t="s">
        <v>307</v>
      </c>
      <c r="O13" s="105">
        <v>2010.0</v>
      </c>
      <c r="P13" s="99" t="s">
        <v>265</v>
      </c>
      <c r="Q13" s="99" t="s">
        <v>309</v>
      </c>
      <c r="R13" s="99" t="s">
        <v>257</v>
      </c>
      <c r="S13" s="99" t="s">
        <v>310</v>
      </c>
      <c r="T13" s="100"/>
      <c r="U13" s="100"/>
      <c r="V13" s="100"/>
      <c r="W13" s="100"/>
      <c r="X13" s="100"/>
      <c r="Y13" s="100"/>
      <c r="Z13" s="100"/>
    </row>
    <row r="14">
      <c r="A14" s="100"/>
      <c r="B14" s="103">
        <v>10.0</v>
      </c>
      <c r="C14" s="105">
        <v>2214701.0</v>
      </c>
      <c r="D14" s="104" t="s">
        <v>311</v>
      </c>
      <c r="E14" s="99" t="s">
        <v>312</v>
      </c>
      <c r="F14" s="99" t="s">
        <v>313</v>
      </c>
      <c r="G14" s="104" t="s">
        <v>252</v>
      </c>
      <c r="H14" s="99" t="s">
        <v>314</v>
      </c>
      <c r="I14" s="99" t="s">
        <v>315</v>
      </c>
      <c r="J14" s="99" t="s">
        <v>242</v>
      </c>
      <c r="K14" s="99" t="s">
        <v>285</v>
      </c>
      <c r="L14" s="99" t="s">
        <v>285</v>
      </c>
      <c r="M14" s="101"/>
      <c r="N14" s="99" t="s">
        <v>285</v>
      </c>
      <c r="O14" s="105">
        <v>2022.0</v>
      </c>
      <c r="P14" s="99" t="s">
        <v>245</v>
      </c>
      <c r="Q14" s="99" t="s">
        <v>246</v>
      </c>
      <c r="R14" s="99" t="s">
        <v>257</v>
      </c>
      <c r="S14" s="99" t="s">
        <v>316</v>
      </c>
      <c r="T14" s="100"/>
      <c r="U14" s="100"/>
      <c r="V14" s="100"/>
      <c r="W14" s="100"/>
      <c r="X14" s="100"/>
      <c r="Y14" s="100"/>
      <c r="Z14" s="100"/>
    </row>
    <row r="15">
      <c r="A15" s="100"/>
      <c r="B15" s="103">
        <v>11.0</v>
      </c>
      <c r="C15" s="105">
        <v>2114518.0</v>
      </c>
      <c r="D15" s="104" t="s">
        <v>317</v>
      </c>
      <c r="E15" s="99" t="s">
        <v>318</v>
      </c>
      <c r="F15" s="99" t="s">
        <v>319</v>
      </c>
      <c r="G15" s="104" t="s">
        <v>252</v>
      </c>
      <c r="H15" s="99" t="s">
        <v>314</v>
      </c>
      <c r="I15" s="99" t="s">
        <v>319</v>
      </c>
      <c r="J15" s="99" t="s">
        <v>242</v>
      </c>
      <c r="K15" s="99" t="s">
        <v>320</v>
      </c>
      <c r="L15" s="99" t="s">
        <v>321</v>
      </c>
      <c r="M15" s="101"/>
      <c r="N15" s="99" t="s">
        <v>321</v>
      </c>
      <c r="O15" s="105">
        <v>2024.0</v>
      </c>
      <c r="P15" s="99" t="s">
        <v>322</v>
      </c>
      <c r="Q15" s="99" t="s">
        <v>323</v>
      </c>
      <c r="R15" s="99" t="s">
        <v>257</v>
      </c>
      <c r="S15" s="99" t="s">
        <v>324</v>
      </c>
      <c r="T15" s="100"/>
      <c r="U15" s="100"/>
      <c r="V15" s="100"/>
      <c r="W15" s="100"/>
      <c r="X15" s="100"/>
      <c r="Y15" s="100"/>
      <c r="Z15" s="100"/>
    </row>
    <row r="16">
      <c r="A16" s="100"/>
      <c r="B16" s="103">
        <v>12.0</v>
      </c>
      <c r="C16" s="105">
        <v>1501252.0</v>
      </c>
      <c r="D16" s="104" t="s">
        <v>325</v>
      </c>
      <c r="E16" s="99" t="s">
        <v>326</v>
      </c>
      <c r="F16" s="99" t="s">
        <v>319</v>
      </c>
      <c r="G16" s="104" t="s">
        <v>252</v>
      </c>
      <c r="H16" s="99" t="s">
        <v>314</v>
      </c>
      <c r="I16" s="99" t="s">
        <v>319</v>
      </c>
      <c r="J16" s="99" t="s">
        <v>242</v>
      </c>
      <c r="K16" s="99" t="s">
        <v>327</v>
      </c>
      <c r="L16" s="99" t="s">
        <v>328</v>
      </c>
      <c r="M16" s="101"/>
      <c r="N16" s="99" t="s">
        <v>328</v>
      </c>
      <c r="O16" s="105">
        <v>2019.0</v>
      </c>
      <c r="P16" s="99" t="s">
        <v>256</v>
      </c>
      <c r="Q16" s="99" t="s">
        <v>323</v>
      </c>
      <c r="R16" s="99" t="s">
        <v>257</v>
      </c>
      <c r="S16" s="99" t="s">
        <v>330</v>
      </c>
      <c r="T16" s="100"/>
      <c r="U16" s="100"/>
      <c r="V16" s="100"/>
      <c r="W16" s="100"/>
      <c r="X16" s="100"/>
      <c r="Y16" s="100"/>
      <c r="Z16" s="100"/>
    </row>
    <row r="17">
      <c r="A17" s="100"/>
      <c r="B17" s="103">
        <v>13.0</v>
      </c>
      <c r="C17" s="99" t="s">
        <v>331</v>
      </c>
      <c r="D17" s="104" t="s">
        <v>332</v>
      </c>
      <c r="E17" s="105">
        <v>1106569.0</v>
      </c>
      <c r="F17" s="99" t="s">
        <v>319</v>
      </c>
      <c r="G17" s="104" t="s">
        <v>252</v>
      </c>
      <c r="H17" s="99" t="s">
        <v>314</v>
      </c>
      <c r="I17" s="99" t="s">
        <v>319</v>
      </c>
      <c r="J17" s="99" t="s">
        <v>242</v>
      </c>
      <c r="K17" s="99" t="s">
        <v>333</v>
      </c>
      <c r="L17" s="99" t="s">
        <v>334</v>
      </c>
      <c r="M17" s="101"/>
      <c r="N17" s="99" t="s">
        <v>334</v>
      </c>
      <c r="O17" s="105">
        <v>2015.0</v>
      </c>
      <c r="P17" s="99" t="s">
        <v>274</v>
      </c>
      <c r="Q17" s="99" t="s">
        <v>323</v>
      </c>
      <c r="R17" s="99" t="s">
        <v>257</v>
      </c>
      <c r="S17" s="99" t="s">
        <v>335</v>
      </c>
      <c r="T17" s="100"/>
      <c r="U17" s="100"/>
      <c r="V17" s="100"/>
      <c r="W17" s="100"/>
      <c r="X17" s="100"/>
      <c r="Y17" s="100"/>
      <c r="Z17" s="100"/>
    </row>
    <row r="18">
      <c r="A18" s="100"/>
      <c r="B18" s="103">
        <v>14.0</v>
      </c>
      <c r="C18" s="99" t="s">
        <v>336</v>
      </c>
      <c r="D18" s="104" t="s">
        <v>337</v>
      </c>
      <c r="E18" s="105">
        <v>1207005.0</v>
      </c>
      <c r="F18" s="99" t="s">
        <v>319</v>
      </c>
      <c r="G18" s="104" t="s">
        <v>252</v>
      </c>
      <c r="H18" s="99" t="s">
        <v>314</v>
      </c>
      <c r="I18" s="99" t="s">
        <v>319</v>
      </c>
      <c r="J18" s="99" t="s">
        <v>242</v>
      </c>
      <c r="K18" s="99" t="s">
        <v>338</v>
      </c>
      <c r="L18" s="99" t="s">
        <v>307</v>
      </c>
      <c r="M18" s="101"/>
      <c r="N18" s="99" t="s">
        <v>307</v>
      </c>
      <c r="O18" s="105">
        <v>2010.0</v>
      </c>
      <c r="P18" s="99" t="s">
        <v>265</v>
      </c>
      <c r="Q18" s="99" t="s">
        <v>309</v>
      </c>
      <c r="R18" s="99" t="s">
        <v>257</v>
      </c>
      <c r="S18" s="99" t="s">
        <v>339</v>
      </c>
      <c r="T18" s="100"/>
      <c r="U18" s="100"/>
      <c r="V18" s="100"/>
      <c r="W18" s="100"/>
      <c r="X18" s="100"/>
      <c r="Y18" s="100"/>
      <c r="Z18" s="100"/>
    </row>
    <row r="19">
      <c r="A19" s="100"/>
      <c r="B19" s="103">
        <v>15.0</v>
      </c>
      <c r="C19" s="99" t="s">
        <v>340</v>
      </c>
      <c r="D19" s="104" t="s">
        <v>341</v>
      </c>
      <c r="E19" s="99" t="s">
        <v>342</v>
      </c>
      <c r="F19" s="99" t="s">
        <v>343</v>
      </c>
      <c r="G19" s="104" t="s">
        <v>344</v>
      </c>
      <c r="H19" s="99" t="s">
        <v>314</v>
      </c>
      <c r="I19" s="99" t="s">
        <v>319</v>
      </c>
      <c r="J19" s="99" t="s">
        <v>242</v>
      </c>
      <c r="K19" s="99" t="s">
        <v>345</v>
      </c>
      <c r="L19" s="99" t="s">
        <v>346</v>
      </c>
      <c r="M19" s="101"/>
      <c r="N19" s="99" t="s">
        <v>346</v>
      </c>
      <c r="O19" s="105">
        <v>2014.0</v>
      </c>
      <c r="P19" s="99" t="s">
        <v>265</v>
      </c>
      <c r="Q19" s="99" t="s">
        <v>323</v>
      </c>
      <c r="R19" s="99" t="s">
        <v>257</v>
      </c>
      <c r="S19" s="99" t="s">
        <v>347</v>
      </c>
      <c r="T19" s="100"/>
      <c r="U19" s="100"/>
      <c r="V19" s="100"/>
      <c r="W19" s="100"/>
      <c r="X19" s="100"/>
      <c r="Y19" s="100"/>
      <c r="Z19" s="100"/>
    </row>
    <row r="20">
      <c r="A20" s="100"/>
      <c r="B20" s="103">
        <v>16.0</v>
      </c>
      <c r="C20" s="105">
        <v>1501249.0</v>
      </c>
      <c r="D20" s="104" t="s">
        <v>349</v>
      </c>
      <c r="E20" s="99" t="s">
        <v>350</v>
      </c>
      <c r="F20" s="99" t="s">
        <v>351</v>
      </c>
      <c r="G20" s="104" t="s">
        <v>344</v>
      </c>
      <c r="H20" s="99" t="s">
        <v>314</v>
      </c>
      <c r="I20" s="99" t="s">
        <v>352</v>
      </c>
      <c r="J20" s="99" t="s">
        <v>242</v>
      </c>
      <c r="K20" s="99" t="s">
        <v>353</v>
      </c>
      <c r="L20" s="99" t="s">
        <v>354</v>
      </c>
      <c r="M20" s="101"/>
      <c r="N20" s="99" t="s">
        <v>354</v>
      </c>
      <c r="O20" s="105">
        <v>2017.0</v>
      </c>
      <c r="P20" s="99" t="s">
        <v>274</v>
      </c>
      <c r="Q20" s="99" t="s">
        <v>309</v>
      </c>
      <c r="R20" s="99" t="s">
        <v>257</v>
      </c>
      <c r="S20" s="99" t="s">
        <v>355</v>
      </c>
      <c r="T20" s="100"/>
      <c r="U20" s="100"/>
      <c r="V20" s="100"/>
      <c r="W20" s="100"/>
      <c r="X20" s="100"/>
      <c r="Y20" s="100"/>
      <c r="Z20" s="100"/>
    </row>
    <row r="21" ht="15.75" customHeight="1">
      <c r="A21" s="100"/>
      <c r="B21" s="103">
        <v>17.0</v>
      </c>
      <c r="C21" s="99" t="s">
        <v>356</v>
      </c>
      <c r="D21" s="104" t="s">
        <v>357</v>
      </c>
      <c r="E21" s="105">
        <v>1106559.0</v>
      </c>
      <c r="F21" s="99" t="s">
        <v>358</v>
      </c>
      <c r="G21" s="104" t="s">
        <v>252</v>
      </c>
      <c r="H21" s="99" t="s">
        <v>314</v>
      </c>
      <c r="I21" s="99" t="s">
        <v>352</v>
      </c>
      <c r="J21" s="99" t="s">
        <v>242</v>
      </c>
      <c r="K21" s="99" t="s">
        <v>359</v>
      </c>
      <c r="L21" s="99" t="s">
        <v>360</v>
      </c>
      <c r="M21" s="101"/>
      <c r="N21" s="99" t="s">
        <v>360</v>
      </c>
      <c r="O21" s="105">
        <v>2011.0</v>
      </c>
      <c r="P21" s="99" t="s">
        <v>300</v>
      </c>
      <c r="Q21" s="99" t="s">
        <v>361</v>
      </c>
      <c r="R21" s="99" t="s">
        <v>257</v>
      </c>
      <c r="S21" s="99" t="s">
        <v>362</v>
      </c>
      <c r="T21" s="100"/>
      <c r="U21" s="100"/>
      <c r="V21" s="100"/>
      <c r="W21" s="100"/>
      <c r="X21" s="100"/>
      <c r="Y21" s="100"/>
      <c r="Z21" s="100"/>
    </row>
    <row r="22" ht="15.75" customHeight="1">
      <c r="A22" s="100"/>
      <c r="B22" s="106">
        <v>18.0</v>
      </c>
      <c r="C22" s="107">
        <v>1501261.0</v>
      </c>
      <c r="D22" s="108" t="s">
        <v>363</v>
      </c>
      <c r="E22" s="109" t="s">
        <v>364</v>
      </c>
      <c r="F22" s="109" t="s">
        <v>358</v>
      </c>
      <c r="G22" s="108" t="s">
        <v>252</v>
      </c>
      <c r="H22" s="109" t="s">
        <v>314</v>
      </c>
      <c r="I22" s="109" t="s">
        <v>352</v>
      </c>
      <c r="J22" s="109" t="s">
        <v>242</v>
      </c>
      <c r="K22" s="109" t="s">
        <v>366</v>
      </c>
      <c r="L22" s="109" t="s">
        <v>320</v>
      </c>
      <c r="M22" s="111"/>
      <c r="N22" s="109" t="s">
        <v>320</v>
      </c>
      <c r="O22" s="107">
        <v>2021.0</v>
      </c>
      <c r="P22" s="109" t="s">
        <v>322</v>
      </c>
      <c r="Q22" s="109" t="s">
        <v>293</v>
      </c>
      <c r="R22" s="109" t="s">
        <v>257</v>
      </c>
      <c r="S22" s="109" t="s">
        <v>367</v>
      </c>
      <c r="T22" s="114" t="s">
        <v>368</v>
      </c>
      <c r="U22" s="100"/>
      <c r="V22" s="100"/>
      <c r="W22" s="100"/>
      <c r="X22" s="100"/>
      <c r="Y22" s="100"/>
      <c r="Z22" s="100"/>
    </row>
    <row r="23" ht="15.75" customHeight="1">
      <c r="A23" s="100"/>
      <c r="B23" s="103">
        <v>19.0</v>
      </c>
      <c r="C23" s="105">
        <v>2114519.0</v>
      </c>
      <c r="D23" s="104" t="s">
        <v>369</v>
      </c>
      <c r="E23" s="99" t="s">
        <v>370</v>
      </c>
      <c r="F23" s="99" t="s">
        <v>371</v>
      </c>
      <c r="G23" s="104" t="s">
        <v>252</v>
      </c>
      <c r="H23" s="99" t="s">
        <v>314</v>
      </c>
      <c r="I23" s="99" t="s">
        <v>315</v>
      </c>
      <c r="J23" s="99" t="s">
        <v>242</v>
      </c>
      <c r="K23" s="99" t="s">
        <v>320</v>
      </c>
      <c r="L23" s="99" t="s">
        <v>321</v>
      </c>
      <c r="M23" s="101"/>
      <c r="N23" s="99" t="s">
        <v>321</v>
      </c>
      <c r="O23" s="105">
        <v>2024.0</v>
      </c>
      <c r="P23" s="99" t="s">
        <v>256</v>
      </c>
      <c r="Q23" s="99" t="s">
        <v>246</v>
      </c>
      <c r="R23" s="99" t="s">
        <v>247</v>
      </c>
      <c r="S23" s="99" t="s">
        <v>372</v>
      </c>
      <c r="T23" s="100"/>
      <c r="U23" s="100"/>
      <c r="V23" s="100"/>
      <c r="W23" s="100"/>
      <c r="X23" s="100"/>
      <c r="Y23" s="100"/>
      <c r="Z23" s="100"/>
    </row>
    <row r="24" ht="15.75" customHeight="1">
      <c r="A24" s="100"/>
      <c r="B24" s="103">
        <v>20.0</v>
      </c>
      <c r="C24" s="99" t="s">
        <v>373</v>
      </c>
      <c r="D24" s="104" t="s">
        <v>374</v>
      </c>
      <c r="E24" s="105">
        <v>1106188.0</v>
      </c>
      <c r="F24" s="99" t="s">
        <v>375</v>
      </c>
      <c r="G24" s="104" t="s">
        <v>239</v>
      </c>
      <c r="H24" s="99" t="s">
        <v>376</v>
      </c>
      <c r="I24" s="99" t="s">
        <v>54</v>
      </c>
      <c r="J24" s="99" t="s">
        <v>242</v>
      </c>
      <c r="K24" s="99" t="s">
        <v>377</v>
      </c>
      <c r="L24" s="99" t="s">
        <v>345</v>
      </c>
      <c r="M24" s="101"/>
      <c r="N24" s="99" t="s">
        <v>345</v>
      </c>
      <c r="O24" s="105">
        <v>2008.0</v>
      </c>
      <c r="P24" s="99" t="s">
        <v>265</v>
      </c>
      <c r="Q24" s="99" t="s">
        <v>275</v>
      </c>
      <c r="R24" s="99" t="s">
        <v>257</v>
      </c>
      <c r="S24" s="99" t="s">
        <v>378</v>
      </c>
      <c r="T24" s="100"/>
      <c r="U24" s="100"/>
      <c r="V24" s="100"/>
      <c r="W24" s="100"/>
      <c r="X24" s="100"/>
      <c r="Y24" s="100"/>
      <c r="Z24" s="100"/>
    </row>
    <row r="25" ht="15.75" customHeight="1">
      <c r="A25" s="100"/>
      <c r="B25" s="103">
        <v>21.0</v>
      </c>
      <c r="C25" s="99" t="s">
        <v>379</v>
      </c>
      <c r="D25" s="104" t="s">
        <v>380</v>
      </c>
      <c r="E25" s="105">
        <v>1207007.0</v>
      </c>
      <c r="F25" s="99" t="s">
        <v>382</v>
      </c>
      <c r="G25" s="104" t="s">
        <v>252</v>
      </c>
      <c r="H25" s="99" t="s">
        <v>376</v>
      </c>
      <c r="I25" s="99" t="s">
        <v>54</v>
      </c>
      <c r="J25" s="99" t="s">
        <v>242</v>
      </c>
      <c r="K25" s="99" t="s">
        <v>383</v>
      </c>
      <c r="L25" s="99" t="s">
        <v>307</v>
      </c>
      <c r="M25" s="101"/>
      <c r="N25" s="99" t="s">
        <v>307</v>
      </c>
      <c r="O25" s="105">
        <v>2010.0</v>
      </c>
      <c r="P25" s="99" t="s">
        <v>265</v>
      </c>
      <c r="Q25" s="99" t="s">
        <v>309</v>
      </c>
      <c r="R25" s="99" t="s">
        <v>257</v>
      </c>
      <c r="S25" s="99" t="s">
        <v>384</v>
      </c>
      <c r="T25" s="100"/>
      <c r="U25" s="100"/>
      <c r="V25" s="100"/>
      <c r="W25" s="100"/>
      <c r="X25" s="100"/>
      <c r="Y25" s="100"/>
      <c r="Z25" s="100"/>
    </row>
    <row r="26" ht="15.75" customHeight="1">
      <c r="A26" s="100"/>
      <c r="B26" s="103">
        <v>22.0</v>
      </c>
      <c r="C26" s="105">
        <v>1501251.0</v>
      </c>
      <c r="D26" s="104" t="s">
        <v>385</v>
      </c>
      <c r="E26" s="99" t="s">
        <v>386</v>
      </c>
      <c r="F26" s="99" t="s">
        <v>387</v>
      </c>
      <c r="G26" s="104" t="s">
        <v>252</v>
      </c>
      <c r="H26" s="99" t="s">
        <v>388</v>
      </c>
      <c r="I26" s="99" t="s">
        <v>387</v>
      </c>
      <c r="J26" s="99" t="s">
        <v>242</v>
      </c>
      <c r="K26" s="99" t="s">
        <v>334</v>
      </c>
      <c r="L26" s="99" t="s">
        <v>255</v>
      </c>
      <c r="M26" s="101"/>
      <c r="N26" s="99" t="s">
        <v>255</v>
      </c>
      <c r="O26" s="105">
        <v>2019.0</v>
      </c>
      <c r="P26" s="99" t="s">
        <v>256</v>
      </c>
      <c r="Q26" s="99" t="s">
        <v>323</v>
      </c>
      <c r="R26" s="99" t="s">
        <v>257</v>
      </c>
      <c r="S26" s="99" t="s">
        <v>389</v>
      </c>
      <c r="T26" s="100"/>
      <c r="U26" s="100"/>
      <c r="V26" s="100"/>
      <c r="W26" s="100"/>
      <c r="X26" s="100"/>
      <c r="Y26" s="100"/>
      <c r="Z26" s="100"/>
    </row>
    <row r="27" ht="15.75" customHeight="1">
      <c r="A27" s="100"/>
      <c r="B27" s="103">
        <v>23.0</v>
      </c>
      <c r="C27" s="105">
        <v>2114654.0</v>
      </c>
      <c r="D27" s="104" t="s">
        <v>390</v>
      </c>
      <c r="E27" s="99" t="s">
        <v>391</v>
      </c>
      <c r="F27" s="99" t="s">
        <v>392</v>
      </c>
      <c r="G27" s="104" t="s">
        <v>344</v>
      </c>
      <c r="H27" s="99" t="s">
        <v>388</v>
      </c>
      <c r="I27" s="99" t="s">
        <v>387</v>
      </c>
      <c r="J27" s="99" t="s">
        <v>242</v>
      </c>
      <c r="K27" s="99" t="s">
        <v>393</v>
      </c>
      <c r="L27" s="99" t="s">
        <v>299</v>
      </c>
      <c r="M27" s="101"/>
      <c r="N27" s="99" t="s">
        <v>299</v>
      </c>
      <c r="O27" s="105">
        <v>2023.0</v>
      </c>
      <c r="P27" s="99" t="s">
        <v>265</v>
      </c>
      <c r="Q27" s="99" t="s">
        <v>275</v>
      </c>
      <c r="R27" s="99" t="s">
        <v>257</v>
      </c>
      <c r="S27" s="99" t="s">
        <v>394</v>
      </c>
      <c r="T27" s="100"/>
      <c r="U27" s="100"/>
      <c r="V27" s="100"/>
      <c r="W27" s="100"/>
      <c r="X27" s="100"/>
      <c r="Y27" s="100"/>
      <c r="Z27" s="100"/>
    </row>
    <row r="28" ht="15.75" customHeight="1">
      <c r="A28" s="100"/>
      <c r="B28" s="103">
        <v>24.0</v>
      </c>
      <c r="C28" s="99" t="s">
        <v>395</v>
      </c>
      <c r="D28" s="104" t="s">
        <v>396</v>
      </c>
      <c r="E28" s="99" t="s">
        <v>397</v>
      </c>
      <c r="F28" s="99" t="s">
        <v>398</v>
      </c>
      <c r="G28" s="104" t="s">
        <v>252</v>
      </c>
      <c r="H28" s="99" t="s">
        <v>388</v>
      </c>
      <c r="I28" s="99" t="s">
        <v>398</v>
      </c>
      <c r="J28" s="99" t="s">
        <v>242</v>
      </c>
      <c r="K28" s="99" t="s">
        <v>345</v>
      </c>
      <c r="L28" s="99" t="s">
        <v>360</v>
      </c>
      <c r="M28" s="101"/>
      <c r="N28" s="99" t="s">
        <v>360</v>
      </c>
      <c r="O28" s="105">
        <v>2011.0</v>
      </c>
      <c r="P28" s="99" t="s">
        <v>322</v>
      </c>
      <c r="Q28" s="99" t="s">
        <v>323</v>
      </c>
      <c r="R28" s="99" t="s">
        <v>257</v>
      </c>
      <c r="S28" s="99" t="s">
        <v>399</v>
      </c>
      <c r="T28" s="100"/>
      <c r="U28" s="100"/>
      <c r="V28" s="100"/>
      <c r="W28" s="100"/>
      <c r="X28" s="100"/>
      <c r="Y28" s="100"/>
      <c r="Z28" s="100"/>
    </row>
    <row r="29" ht="15.75" customHeight="1">
      <c r="A29" s="100"/>
      <c r="B29" s="103">
        <v>25.0</v>
      </c>
      <c r="C29" s="99" t="s">
        <v>400</v>
      </c>
      <c r="D29" s="104" t="s">
        <v>401</v>
      </c>
      <c r="E29" s="99" t="s">
        <v>402</v>
      </c>
      <c r="F29" s="99" t="s">
        <v>398</v>
      </c>
      <c r="G29" s="104" t="s">
        <v>252</v>
      </c>
      <c r="H29" s="99" t="s">
        <v>388</v>
      </c>
      <c r="I29" s="99" t="s">
        <v>398</v>
      </c>
      <c r="J29" s="99" t="s">
        <v>242</v>
      </c>
      <c r="K29" s="99" t="s">
        <v>345</v>
      </c>
      <c r="L29" s="99" t="s">
        <v>403</v>
      </c>
      <c r="M29" s="101"/>
      <c r="N29" s="99" t="s">
        <v>403</v>
      </c>
      <c r="O29" s="105">
        <v>2014.0</v>
      </c>
      <c r="P29" s="99" t="s">
        <v>322</v>
      </c>
      <c r="Q29" s="99" t="s">
        <v>323</v>
      </c>
      <c r="R29" s="99" t="s">
        <v>257</v>
      </c>
      <c r="S29" s="99" t="s">
        <v>404</v>
      </c>
      <c r="T29" s="100"/>
      <c r="U29" s="100"/>
      <c r="V29" s="100"/>
      <c r="W29" s="100"/>
      <c r="X29" s="100"/>
      <c r="Y29" s="100"/>
      <c r="Z29" s="100"/>
    </row>
    <row r="30" ht="15.75" customHeight="1">
      <c r="A30" s="100"/>
      <c r="B30" s="101"/>
      <c r="C30" s="101"/>
      <c r="D30" s="99" t="s">
        <v>405</v>
      </c>
      <c r="E30" s="101"/>
      <c r="F30" s="101"/>
      <c r="G30" s="101"/>
      <c r="H30" s="101"/>
      <c r="I30" s="101"/>
      <c r="J30" s="101"/>
      <c r="K30" s="101" t="s">
        <v>406</v>
      </c>
      <c r="M30" s="101"/>
      <c r="N30" s="101"/>
      <c r="O30" s="101"/>
      <c r="P30" s="101"/>
      <c r="Q30" s="101"/>
      <c r="R30" s="101"/>
      <c r="S30" s="101"/>
      <c r="T30" s="100"/>
      <c r="U30" s="100"/>
      <c r="V30" s="100"/>
      <c r="W30" s="100"/>
      <c r="X30" s="100"/>
      <c r="Y30" s="100"/>
      <c r="Z30" s="100"/>
    </row>
    <row r="31" ht="15.75" customHeight="1">
      <c r="A31" s="100"/>
      <c r="B31" s="103">
        <v>1.0</v>
      </c>
      <c r="C31" s="105">
        <v>2114591.0</v>
      </c>
      <c r="D31" s="104" t="s">
        <v>408</v>
      </c>
      <c r="E31" s="99" t="s">
        <v>409</v>
      </c>
      <c r="F31" s="99" t="s">
        <v>410</v>
      </c>
      <c r="G31" s="104" t="s">
        <v>411</v>
      </c>
      <c r="H31" s="99" t="s">
        <v>411</v>
      </c>
      <c r="I31" s="99" t="s">
        <v>411</v>
      </c>
      <c r="J31" s="99" t="s">
        <v>412</v>
      </c>
      <c r="K31" s="99" t="s">
        <v>393</v>
      </c>
      <c r="L31" s="99" t="s">
        <v>321</v>
      </c>
      <c r="M31" s="99" t="s">
        <v>413</v>
      </c>
      <c r="N31" s="101"/>
      <c r="O31" s="101"/>
      <c r="P31" s="99" t="s">
        <v>265</v>
      </c>
      <c r="Q31" s="99" t="s">
        <v>414</v>
      </c>
      <c r="R31" s="99" t="s">
        <v>257</v>
      </c>
      <c r="S31" s="99" t="s">
        <v>415</v>
      </c>
      <c r="T31" s="100"/>
      <c r="U31" s="100"/>
      <c r="V31" s="100"/>
      <c r="W31" s="100"/>
      <c r="X31" s="100"/>
      <c r="Y31" s="100"/>
      <c r="Z31" s="100"/>
    </row>
    <row r="32" ht="15.75" customHeight="1">
      <c r="A32" s="100"/>
      <c r="B32" s="103">
        <v>2.0</v>
      </c>
      <c r="C32" s="105">
        <v>2314858.0</v>
      </c>
      <c r="D32" s="104" t="s">
        <v>416</v>
      </c>
      <c r="E32" s="99" t="s">
        <v>417</v>
      </c>
      <c r="F32" s="99" t="s">
        <v>251</v>
      </c>
      <c r="G32" s="104" t="s">
        <v>252</v>
      </c>
      <c r="H32" s="99" t="s">
        <v>253</v>
      </c>
      <c r="I32" s="99" t="s">
        <v>254</v>
      </c>
      <c r="J32" s="99" t="s">
        <v>418</v>
      </c>
      <c r="K32" s="99" t="s">
        <v>419</v>
      </c>
      <c r="L32" s="99" t="s">
        <v>419</v>
      </c>
      <c r="M32" s="99" t="s">
        <v>420</v>
      </c>
      <c r="N32" s="101"/>
      <c r="O32" s="101"/>
      <c r="P32" s="99" t="s">
        <v>256</v>
      </c>
      <c r="Q32" s="99" t="s">
        <v>266</v>
      </c>
      <c r="R32" s="99" t="s">
        <v>247</v>
      </c>
      <c r="S32" s="99" t="s">
        <v>421</v>
      </c>
      <c r="T32" s="100"/>
      <c r="U32" s="100"/>
      <c r="V32" s="100"/>
      <c r="W32" s="100"/>
      <c r="X32" s="100"/>
      <c r="Y32" s="100"/>
      <c r="Z32" s="100"/>
    </row>
    <row r="33" ht="15.75" customHeight="1">
      <c r="A33" s="100"/>
      <c r="B33" s="103">
        <v>3.0</v>
      </c>
      <c r="C33" s="105">
        <v>2314814.0</v>
      </c>
      <c r="D33" s="104" t="s">
        <v>422</v>
      </c>
      <c r="E33" s="99" t="s">
        <v>423</v>
      </c>
      <c r="F33" s="99" t="s">
        <v>424</v>
      </c>
      <c r="G33" s="104" t="s">
        <v>252</v>
      </c>
      <c r="H33" s="99" t="s">
        <v>271</v>
      </c>
      <c r="I33" s="99" t="s">
        <v>425</v>
      </c>
      <c r="J33" s="99" t="s">
        <v>426</v>
      </c>
      <c r="K33" s="99" t="s">
        <v>427</v>
      </c>
      <c r="L33" s="99" t="s">
        <v>321</v>
      </c>
      <c r="M33" s="99" t="s">
        <v>420</v>
      </c>
      <c r="N33" s="101"/>
      <c r="O33" s="101"/>
      <c r="P33" s="99" t="s">
        <v>256</v>
      </c>
      <c r="Q33" s="99" t="s">
        <v>246</v>
      </c>
      <c r="R33" s="99" t="s">
        <v>247</v>
      </c>
      <c r="S33" s="99" t="s">
        <v>429</v>
      </c>
      <c r="T33" s="100"/>
      <c r="U33" s="100"/>
      <c r="V33" s="100"/>
      <c r="W33" s="100"/>
      <c r="X33" s="100"/>
      <c r="Y33" s="100"/>
      <c r="Z33" s="100"/>
    </row>
    <row r="34" ht="15.75" customHeight="1">
      <c r="A34" s="100"/>
      <c r="B34" s="103">
        <v>4.0</v>
      </c>
      <c r="C34" s="105">
        <v>2314808.0</v>
      </c>
      <c r="D34" s="104" t="s">
        <v>430</v>
      </c>
      <c r="E34" s="99" t="s">
        <v>432</v>
      </c>
      <c r="F34" s="99" t="s">
        <v>433</v>
      </c>
      <c r="G34" s="104" t="s">
        <v>252</v>
      </c>
      <c r="H34" s="99" t="s">
        <v>434</v>
      </c>
      <c r="I34" s="99" t="s">
        <v>434</v>
      </c>
      <c r="J34" s="99" t="s">
        <v>426</v>
      </c>
      <c r="K34" s="99" t="s">
        <v>436</v>
      </c>
      <c r="L34" s="99" t="s">
        <v>321</v>
      </c>
      <c r="M34" s="99" t="s">
        <v>413</v>
      </c>
      <c r="N34" s="101"/>
      <c r="O34" s="101"/>
      <c r="P34" s="99" t="s">
        <v>322</v>
      </c>
      <c r="Q34" s="99" t="s">
        <v>246</v>
      </c>
      <c r="R34" s="99" t="s">
        <v>257</v>
      </c>
      <c r="S34" s="99" t="s">
        <v>437</v>
      </c>
      <c r="T34" s="100"/>
      <c r="U34" s="100"/>
      <c r="V34" s="100"/>
      <c r="W34" s="100"/>
      <c r="X34" s="100"/>
      <c r="Y34" s="100"/>
      <c r="Z34" s="100"/>
    </row>
    <row r="35" ht="15.75" customHeight="1">
      <c r="A35" s="100"/>
      <c r="B35" s="103">
        <v>5.0</v>
      </c>
      <c r="C35" s="105">
        <v>2214784.0</v>
      </c>
      <c r="D35" s="104" t="s">
        <v>439</v>
      </c>
      <c r="E35" s="99" t="s">
        <v>440</v>
      </c>
      <c r="F35" s="99" t="s">
        <v>442</v>
      </c>
      <c r="G35" s="104" t="s">
        <v>252</v>
      </c>
      <c r="H35" s="99" t="s">
        <v>290</v>
      </c>
      <c r="I35" s="99" t="s">
        <v>444</v>
      </c>
      <c r="J35" s="99" t="s">
        <v>426</v>
      </c>
      <c r="K35" s="99" t="s">
        <v>445</v>
      </c>
      <c r="L35" s="99" t="s">
        <v>321</v>
      </c>
      <c r="M35" s="99" t="s">
        <v>413</v>
      </c>
      <c r="N35" s="101"/>
      <c r="O35" s="101"/>
      <c r="P35" s="99" t="s">
        <v>256</v>
      </c>
      <c r="Q35" s="99" t="s">
        <v>246</v>
      </c>
      <c r="R35" s="99" t="s">
        <v>257</v>
      </c>
      <c r="S35" s="99" t="s">
        <v>448</v>
      </c>
      <c r="T35" s="100"/>
      <c r="U35" s="100"/>
      <c r="V35" s="100"/>
      <c r="W35" s="100"/>
      <c r="X35" s="100"/>
      <c r="Y35" s="100"/>
      <c r="Z35" s="100"/>
    </row>
    <row r="36" ht="15.75" customHeight="1">
      <c r="A36" s="100"/>
      <c r="B36" s="103">
        <v>6.0</v>
      </c>
      <c r="C36" s="105">
        <v>2214710.0</v>
      </c>
      <c r="D36" s="104" t="s">
        <v>449</v>
      </c>
      <c r="E36" s="99" t="s">
        <v>450</v>
      </c>
      <c r="F36" s="99" t="s">
        <v>313</v>
      </c>
      <c r="G36" s="104" t="s">
        <v>252</v>
      </c>
      <c r="H36" s="99" t="s">
        <v>314</v>
      </c>
      <c r="I36" s="99" t="s">
        <v>315</v>
      </c>
      <c r="J36" s="99" t="s">
        <v>451</v>
      </c>
      <c r="K36" s="99" t="s">
        <v>452</v>
      </c>
      <c r="L36" s="99" t="s">
        <v>453</v>
      </c>
      <c r="M36" s="99" t="s">
        <v>454</v>
      </c>
      <c r="N36" s="101"/>
      <c r="O36" s="101"/>
      <c r="P36" s="99" t="s">
        <v>256</v>
      </c>
      <c r="Q36" s="99" t="s">
        <v>323</v>
      </c>
      <c r="R36" s="99" t="s">
        <v>257</v>
      </c>
      <c r="S36" s="99" t="s">
        <v>455</v>
      </c>
      <c r="T36" s="100"/>
      <c r="U36" s="100"/>
      <c r="V36" s="100"/>
      <c r="W36" s="100"/>
      <c r="X36" s="100"/>
      <c r="Y36" s="100"/>
      <c r="Z36" s="100"/>
    </row>
    <row r="37" ht="15.75" customHeight="1">
      <c r="A37" s="100"/>
      <c r="B37" s="103">
        <v>7.0</v>
      </c>
      <c r="C37" s="105">
        <v>2314800.0</v>
      </c>
      <c r="D37" s="104" t="s">
        <v>456</v>
      </c>
      <c r="E37" s="99" t="s">
        <v>457</v>
      </c>
      <c r="F37" s="99" t="s">
        <v>313</v>
      </c>
      <c r="G37" s="104" t="s">
        <v>252</v>
      </c>
      <c r="H37" s="99" t="s">
        <v>314</v>
      </c>
      <c r="I37" s="99" t="s">
        <v>315</v>
      </c>
      <c r="J37" s="99" t="s">
        <v>426</v>
      </c>
      <c r="K37" s="99" t="s">
        <v>459</v>
      </c>
      <c r="L37" s="99" t="s">
        <v>321</v>
      </c>
      <c r="M37" s="99" t="s">
        <v>413</v>
      </c>
      <c r="N37" s="101"/>
      <c r="O37" s="101"/>
      <c r="P37" s="99" t="s">
        <v>256</v>
      </c>
      <c r="Q37" s="99" t="s">
        <v>246</v>
      </c>
      <c r="R37" s="99" t="s">
        <v>257</v>
      </c>
      <c r="S37" s="99" t="s">
        <v>460</v>
      </c>
      <c r="T37" s="100"/>
      <c r="U37" s="100"/>
      <c r="V37" s="100"/>
      <c r="W37" s="100"/>
      <c r="X37" s="100"/>
      <c r="Y37" s="100"/>
      <c r="Z37" s="100"/>
    </row>
    <row r="38" ht="15.75" customHeight="1">
      <c r="A38" s="100"/>
      <c r="B38" s="103">
        <v>8.0</v>
      </c>
      <c r="C38" s="105">
        <v>2114554.0</v>
      </c>
      <c r="D38" s="104" t="s">
        <v>461</v>
      </c>
      <c r="E38" s="99" t="s">
        <v>462</v>
      </c>
      <c r="F38" s="99" t="s">
        <v>313</v>
      </c>
      <c r="G38" s="104" t="s">
        <v>252</v>
      </c>
      <c r="H38" s="99" t="s">
        <v>314</v>
      </c>
      <c r="I38" s="99" t="s">
        <v>315</v>
      </c>
      <c r="J38" s="99" t="s">
        <v>463</v>
      </c>
      <c r="K38" s="99" t="s">
        <v>464</v>
      </c>
      <c r="L38" s="99" t="s">
        <v>321</v>
      </c>
      <c r="M38" s="99" t="s">
        <v>413</v>
      </c>
      <c r="N38" s="101"/>
      <c r="O38" s="101"/>
      <c r="P38" s="99" t="s">
        <v>245</v>
      </c>
      <c r="Q38" s="99" t="s">
        <v>275</v>
      </c>
      <c r="R38" s="99" t="s">
        <v>257</v>
      </c>
      <c r="S38" s="99" t="s">
        <v>465</v>
      </c>
      <c r="T38" s="100"/>
      <c r="U38" s="100"/>
      <c r="V38" s="100"/>
      <c r="W38" s="100"/>
      <c r="X38" s="100"/>
      <c r="Y38" s="100"/>
      <c r="Z38" s="100"/>
    </row>
    <row r="39" ht="15.75" customHeight="1">
      <c r="A39" s="97" t="s">
        <v>466</v>
      </c>
      <c r="B39" s="99" t="s">
        <v>215</v>
      </c>
      <c r="T39" s="100"/>
      <c r="U39" s="100"/>
      <c r="V39" s="100"/>
      <c r="W39" s="100"/>
      <c r="X39" s="100"/>
      <c r="Y39" s="100"/>
      <c r="Z39" s="100"/>
    </row>
    <row r="40" ht="15.75" customHeight="1">
      <c r="A40" s="100"/>
      <c r="B40" s="101"/>
      <c r="C40" s="101"/>
      <c r="D40" s="101"/>
      <c r="E40" s="101"/>
      <c r="F40" s="101"/>
      <c r="G40" s="101"/>
      <c r="H40" s="101"/>
      <c r="I40" s="101"/>
      <c r="J40" s="99" t="s">
        <v>216</v>
      </c>
      <c r="K40" s="99" t="s">
        <v>217</v>
      </c>
      <c r="L40" s="99" t="s">
        <v>218</v>
      </c>
      <c r="M40" s="99" t="s">
        <v>219</v>
      </c>
      <c r="N40" s="99" t="s">
        <v>220</v>
      </c>
      <c r="O40" s="101"/>
      <c r="P40" s="101"/>
      <c r="Q40" s="101"/>
      <c r="R40" s="101"/>
      <c r="S40" s="101"/>
      <c r="T40" s="100"/>
      <c r="U40" s="100"/>
      <c r="V40" s="100"/>
      <c r="W40" s="100"/>
      <c r="X40" s="100"/>
      <c r="Y40" s="100"/>
      <c r="Z40" s="100"/>
    </row>
    <row r="41" ht="15.75" customHeight="1">
      <c r="A41" s="100"/>
      <c r="B41" s="101"/>
      <c r="C41" s="101"/>
      <c r="D41" s="99" t="s">
        <v>222</v>
      </c>
      <c r="E41" s="99" t="s">
        <v>223</v>
      </c>
      <c r="F41" s="99" t="s">
        <v>224</v>
      </c>
      <c r="G41" s="99" t="s">
        <v>225</v>
      </c>
      <c r="H41" s="99" t="s">
        <v>226</v>
      </c>
      <c r="I41" s="99" t="s">
        <v>227</v>
      </c>
      <c r="O41" s="99" t="s">
        <v>228</v>
      </c>
      <c r="P41" s="101"/>
      <c r="Q41" s="101"/>
      <c r="R41" s="101"/>
      <c r="S41" s="99" t="s">
        <v>229</v>
      </c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99" t="s">
        <v>230</v>
      </c>
      <c r="C42" s="99" t="s">
        <v>231</v>
      </c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99" t="s">
        <v>232</v>
      </c>
      <c r="Q42" s="99" t="s">
        <v>233</v>
      </c>
      <c r="R42" s="99" t="s">
        <v>234</v>
      </c>
      <c r="S42" s="101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103">
        <v>9.0</v>
      </c>
      <c r="C43" s="105">
        <v>2114553.0</v>
      </c>
      <c r="D43" s="104" t="s">
        <v>467</v>
      </c>
      <c r="E43" s="99" t="s">
        <v>468</v>
      </c>
      <c r="F43" s="99" t="s">
        <v>319</v>
      </c>
      <c r="G43" s="104" t="s">
        <v>252</v>
      </c>
      <c r="H43" s="99" t="s">
        <v>314</v>
      </c>
      <c r="I43" s="99" t="s">
        <v>319</v>
      </c>
      <c r="J43" s="99" t="s">
        <v>463</v>
      </c>
      <c r="K43" s="99" t="s">
        <v>469</v>
      </c>
      <c r="L43" s="99" t="s">
        <v>321</v>
      </c>
      <c r="M43" s="99" t="s">
        <v>413</v>
      </c>
      <c r="N43" s="101"/>
      <c r="O43" s="101"/>
      <c r="P43" s="99" t="s">
        <v>256</v>
      </c>
      <c r="Q43" s="99" t="s">
        <v>293</v>
      </c>
      <c r="R43" s="99" t="s">
        <v>257</v>
      </c>
      <c r="S43" s="99" t="s">
        <v>470</v>
      </c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103">
        <v>10.0</v>
      </c>
      <c r="C44" s="105">
        <v>2114650.0</v>
      </c>
      <c r="D44" s="104" t="s">
        <v>471</v>
      </c>
      <c r="E44" s="99" t="s">
        <v>472</v>
      </c>
      <c r="F44" s="99" t="s">
        <v>319</v>
      </c>
      <c r="G44" s="104" t="s">
        <v>252</v>
      </c>
      <c r="H44" s="99" t="s">
        <v>314</v>
      </c>
      <c r="I44" s="99" t="s">
        <v>319</v>
      </c>
      <c r="J44" s="99" t="s">
        <v>412</v>
      </c>
      <c r="K44" s="99" t="s">
        <v>393</v>
      </c>
      <c r="L44" s="99" t="s">
        <v>321</v>
      </c>
      <c r="M44" s="99" t="s">
        <v>413</v>
      </c>
      <c r="N44" s="101"/>
      <c r="O44" s="101"/>
      <c r="P44" s="99" t="s">
        <v>265</v>
      </c>
      <c r="Q44" s="99" t="s">
        <v>323</v>
      </c>
      <c r="R44" s="99" t="s">
        <v>257</v>
      </c>
      <c r="S44" s="99" t="s">
        <v>473</v>
      </c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103">
        <v>11.0</v>
      </c>
      <c r="C45" s="105">
        <v>2314790.0</v>
      </c>
      <c r="D45" s="104" t="s">
        <v>474</v>
      </c>
      <c r="E45" s="99" t="s">
        <v>475</v>
      </c>
      <c r="F45" s="99" t="s">
        <v>476</v>
      </c>
      <c r="G45" s="104" t="s">
        <v>239</v>
      </c>
      <c r="H45" s="99" t="s">
        <v>314</v>
      </c>
      <c r="I45" s="99" t="s">
        <v>352</v>
      </c>
      <c r="J45" s="99" t="s">
        <v>426</v>
      </c>
      <c r="K45" s="99" t="s">
        <v>477</v>
      </c>
      <c r="L45" s="99" t="s">
        <v>321</v>
      </c>
      <c r="M45" s="99" t="s">
        <v>413</v>
      </c>
      <c r="N45" s="101"/>
      <c r="O45" s="101"/>
      <c r="P45" s="99" t="s">
        <v>274</v>
      </c>
      <c r="Q45" s="99" t="s">
        <v>275</v>
      </c>
      <c r="R45" s="99" t="s">
        <v>257</v>
      </c>
      <c r="S45" s="99" t="s">
        <v>478</v>
      </c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103">
        <v>12.0</v>
      </c>
      <c r="C46" s="105">
        <v>2214756.0</v>
      </c>
      <c r="D46" s="104" t="s">
        <v>479</v>
      </c>
      <c r="E46" s="99" t="s">
        <v>480</v>
      </c>
      <c r="F46" s="99" t="s">
        <v>343</v>
      </c>
      <c r="G46" s="104" t="s">
        <v>344</v>
      </c>
      <c r="H46" s="99" t="s">
        <v>314</v>
      </c>
      <c r="I46" s="99" t="s">
        <v>319</v>
      </c>
      <c r="J46" s="99" t="s">
        <v>451</v>
      </c>
      <c r="K46" s="99" t="s">
        <v>481</v>
      </c>
      <c r="L46" s="99" t="s">
        <v>321</v>
      </c>
      <c r="M46" s="99" t="s">
        <v>413</v>
      </c>
      <c r="N46" s="101"/>
      <c r="O46" s="101"/>
      <c r="P46" s="99" t="s">
        <v>245</v>
      </c>
      <c r="Q46" s="99" t="s">
        <v>361</v>
      </c>
      <c r="R46" s="99" t="s">
        <v>257</v>
      </c>
      <c r="S46" s="99" t="s">
        <v>482</v>
      </c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3">
        <v>13.0</v>
      </c>
      <c r="C47" s="105">
        <v>2214785.0</v>
      </c>
      <c r="D47" s="104" t="s">
        <v>483</v>
      </c>
      <c r="E47" s="99" t="s">
        <v>484</v>
      </c>
      <c r="F47" s="99" t="s">
        <v>358</v>
      </c>
      <c r="G47" s="104" t="s">
        <v>252</v>
      </c>
      <c r="H47" s="99" t="s">
        <v>314</v>
      </c>
      <c r="I47" s="99" t="s">
        <v>352</v>
      </c>
      <c r="J47" s="99" t="s">
        <v>426</v>
      </c>
      <c r="K47" s="99" t="s">
        <v>445</v>
      </c>
      <c r="L47" s="99" t="s">
        <v>321</v>
      </c>
      <c r="M47" s="99" t="s">
        <v>413</v>
      </c>
      <c r="N47" s="101"/>
      <c r="O47" s="101"/>
      <c r="P47" s="99" t="s">
        <v>256</v>
      </c>
      <c r="Q47" s="99" t="s">
        <v>309</v>
      </c>
      <c r="R47" s="99" t="s">
        <v>257</v>
      </c>
      <c r="S47" s="99" t="s">
        <v>486</v>
      </c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3">
        <v>14.0</v>
      </c>
      <c r="C48" s="105">
        <v>2114652.0</v>
      </c>
      <c r="D48" s="104" t="s">
        <v>487</v>
      </c>
      <c r="E48" s="99" t="s">
        <v>488</v>
      </c>
      <c r="F48" s="99" t="s">
        <v>358</v>
      </c>
      <c r="G48" s="104" t="s">
        <v>252</v>
      </c>
      <c r="H48" s="99" t="s">
        <v>314</v>
      </c>
      <c r="I48" s="99" t="s">
        <v>352</v>
      </c>
      <c r="J48" s="99" t="s">
        <v>412</v>
      </c>
      <c r="K48" s="99" t="s">
        <v>393</v>
      </c>
      <c r="L48" s="99" t="s">
        <v>321</v>
      </c>
      <c r="M48" s="99" t="s">
        <v>413</v>
      </c>
      <c r="N48" s="101"/>
      <c r="O48" s="101"/>
      <c r="P48" s="99" t="s">
        <v>300</v>
      </c>
      <c r="Q48" s="99" t="s">
        <v>309</v>
      </c>
      <c r="R48" s="99" t="s">
        <v>257</v>
      </c>
      <c r="S48" s="99" t="s">
        <v>489</v>
      </c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3">
        <v>15.0</v>
      </c>
      <c r="C49" s="105">
        <v>2114674.0</v>
      </c>
      <c r="D49" s="104" t="s">
        <v>490</v>
      </c>
      <c r="E49" s="99" t="s">
        <v>491</v>
      </c>
      <c r="F49" s="99" t="s">
        <v>492</v>
      </c>
      <c r="G49" s="104" t="s">
        <v>252</v>
      </c>
      <c r="H49" s="99" t="s">
        <v>376</v>
      </c>
      <c r="I49" s="99" t="s">
        <v>54</v>
      </c>
      <c r="J49" s="99" t="s">
        <v>463</v>
      </c>
      <c r="K49" s="99" t="s">
        <v>493</v>
      </c>
      <c r="L49" s="99" t="s">
        <v>321</v>
      </c>
      <c r="M49" s="99" t="s">
        <v>413</v>
      </c>
      <c r="N49" s="101"/>
      <c r="O49" s="101"/>
      <c r="P49" s="99" t="s">
        <v>322</v>
      </c>
      <c r="Q49" s="99" t="s">
        <v>246</v>
      </c>
      <c r="R49" s="99" t="s">
        <v>257</v>
      </c>
      <c r="S49" s="99" t="s">
        <v>494</v>
      </c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3">
        <v>16.0</v>
      </c>
      <c r="C50" s="105">
        <v>2214738.0</v>
      </c>
      <c r="D50" s="104" t="s">
        <v>495</v>
      </c>
      <c r="E50" s="99" t="s">
        <v>496</v>
      </c>
      <c r="F50" s="99" t="s">
        <v>492</v>
      </c>
      <c r="G50" s="104" t="s">
        <v>252</v>
      </c>
      <c r="H50" s="99" t="s">
        <v>376</v>
      </c>
      <c r="I50" s="99" t="s">
        <v>54</v>
      </c>
      <c r="J50" s="99" t="s">
        <v>497</v>
      </c>
      <c r="K50" s="99" t="s">
        <v>445</v>
      </c>
      <c r="L50" s="99" t="s">
        <v>321</v>
      </c>
      <c r="M50" s="99" t="s">
        <v>413</v>
      </c>
      <c r="N50" s="101"/>
      <c r="O50" s="101"/>
      <c r="P50" s="99" t="s">
        <v>256</v>
      </c>
      <c r="Q50" s="99" t="s">
        <v>246</v>
      </c>
      <c r="R50" s="99" t="s">
        <v>257</v>
      </c>
      <c r="S50" s="99" t="s">
        <v>498</v>
      </c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3">
        <v>17.0</v>
      </c>
      <c r="C51" s="105">
        <v>1914399.0</v>
      </c>
      <c r="D51" s="104" t="s">
        <v>499</v>
      </c>
      <c r="E51" s="99" t="s">
        <v>500</v>
      </c>
      <c r="F51" s="99" t="s">
        <v>382</v>
      </c>
      <c r="G51" s="104" t="s">
        <v>252</v>
      </c>
      <c r="H51" s="99" t="s">
        <v>376</v>
      </c>
      <c r="I51" s="99" t="s">
        <v>54</v>
      </c>
      <c r="J51" s="99" t="s">
        <v>497</v>
      </c>
      <c r="K51" s="99" t="s">
        <v>501</v>
      </c>
      <c r="L51" s="99" t="s">
        <v>321</v>
      </c>
      <c r="M51" s="99" t="s">
        <v>413</v>
      </c>
      <c r="N51" s="101"/>
      <c r="O51" s="101"/>
      <c r="P51" s="99" t="s">
        <v>256</v>
      </c>
      <c r="Q51" s="99" t="s">
        <v>502</v>
      </c>
      <c r="R51" s="99" t="s">
        <v>257</v>
      </c>
      <c r="S51" s="99" t="s">
        <v>503</v>
      </c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3">
        <v>18.0</v>
      </c>
      <c r="C52" s="105">
        <v>2414871.0</v>
      </c>
      <c r="D52" s="104" t="s">
        <v>504</v>
      </c>
      <c r="E52" s="99" t="s">
        <v>505</v>
      </c>
      <c r="F52" s="99" t="s">
        <v>506</v>
      </c>
      <c r="G52" s="104" t="s">
        <v>239</v>
      </c>
      <c r="H52" s="99" t="s">
        <v>376</v>
      </c>
      <c r="I52" s="99" t="s">
        <v>54</v>
      </c>
      <c r="J52" s="99" t="s">
        <v>418</v>
      </c>
      <c r="K52" s="99" t="s">
        <v>507</v>
      </c>
      <c r="L52" s="99" t="s">
        <v>507</v>
      </c>
      <c r="M52" s="99" t="s">
        <v>420</v>
      </c>
      <c r="N52" s="101"/>
      <c r="O52" s="101"/>
      <c r="P52" s="99" t="s">
        <v>508</v>
      </c>
      <c r="Q52" s="99" t="s">
        <v>246</v>
      </c>
      <c r="R52" s="99" t="s">
        <v>257</v>
      </c>
      <c r="S52" s="99" t="s">
        <v>510</v>
      </c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1"/>
      <c r="C53" s="101"/>
      <c r="D53" s="99" t="s">
        <v>405</v>
      </c>
      <c r="E53" s="101"/>
      <c r="F53" s="101"/>
      <c r="G53" s="101"/>
      <c r="H53" s="101"/>
      <c r="I53" s="101"/>
      <c r="J53" s="101"/>
      <c r="K53" s="101" t="s">
        <v>511</v>
      </c>
      <c r="M53" s="101"/>
      <c r="N53" s="101"/>
      <c r="O53" s="101"/>
      <c r="P53" s="101"/>
      <c r="Q53" s="101"/>
      <c r="R53" s="101"/>
      <c r="S53" s="101"/>
      <c r="T53" s="100"/>
      <c r="U53" s="100"/>
      <c r="V53" s="100"/>
      <c r="W53" s="100"/>
      <c r="X53" s="100"/>
      <c r="Y53" s="100"/>
      <c r="Z53" s="100"/>
    </row>
    <row r="54" ht="15.75" customHeight="1">
      <c r="A54" s="97" t="s">
        <v>512</v>
      </c>
      <c r="B54" s="99" t="s">
        <v>513</v>
      </c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1"/>
      <c r="C55" s="101"/>
      <c r="D55" s="101"/>
      <c r="E55" s="101"/>
      <c r="F55" s="101"/>
      <c r="G55" s="101"/>
      <c r="H55" s="101"/>
      <c r="I55" s="101"/>
      <c r="J55" s="99" t="s">
        <v>216</v>
      </c>
      <c r="K55" s="99" t="s">
        <v>217</v>
      </c>
      <c r="L55" s="99" t="s">
        <v>218</v>
      </c>
      <c r="M55" s="99" t="s">
        <v>219</v>
      </c>
      <c r="N55" s="99" t="s">
        <v>220</v>
      </c>
      <c r="O55" s="101"/>
      <c r="P55" s="101"/>
      <c r="Q55" s="101"/>
      <c r="R55" s="101"/>
      <c r="S55" s="101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1"/>
      <c r="C56" s="101"/>
      <c r="D56" s="99" t="s">
        <v>222</v>
      </c>
      <c r="E56" s="99" t="s">
        <v>223</v>
      </c>
      <c r="F56" s="99" t="s">
        <v>224</v>
      </c>
      <c r="G56" s="99" t="s">
        <v>225</v>
      </c>
      <c r="H56" s="99" t="s">
        <v>226</v>
      </c>
      <c r="I56" s="99" t="s">
        <v>227</v>
      </c>
      <c r="O56" s="99" t="s">
        <v>228</v>
      </c>
      <c r="P56" s="101"/>
      <c r="Q56" s="101"/>
      <c r="R56" s="101"/>
      <c r="S56" s="99" t="s">
        <v>229</v>
      </c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99" t="s">
        <v>230</v>
      </c>
      <c r="C57" s="99" t="s">
        <v>231</v>
      </c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99" t="s">
        <v>232</v>
      </c>
      <c r="Q57" s="99" t="s">
        <v>233</v>
      </c>
      <c r="R57" s="99" t="s">
        <v>234</v>
      </c>
      <c r="S57" s="101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3">
        <v>1.0</v>
      </c>
      <c r="C58" s="105">
        <v>1301138.0</v>
      </c>
      <c r="D58" s="104" t="s">
        <v>515</v>
      </c>
      <c r="E58" s="99" t="s">
        <v>516</v>
      </c>
      <c r="F58" s="99" t="s">
        <v>517</v>
      </c>
      <c r="G58" s="104" t="s">
        <v>344</v>
      </c>
      <c r="H58" s="99" t="s">
        <v>253</v>
      </c>
      <c r="I58" s="99" t="s">
        <v>518</v>
      </c>
      <c r="J58" s="99" t="s">
        <v>242</v>
      </c>
      <c r="K58" s="99" t="s">
        <v>519</v>
      </c>
      <c r="L58" s="99" t="s">
        <v>403</v>
      </c>
      <c r="M58" s="101"/>
      <c r="N58" s="99" t="s">
        <v>403</v>
      </c>
      <c r="O58" s="105">
        <v>2014.0</v>
      </c>
      <c r="P58" s="99" t="s">
        <v>274</v>
      </c>
      <c r="Q58" s="99" t="s">
        <v>414</v>
      </c>
      <c r="R58" s="99" t="s">
        <v>247</v>
      </c>
      <c r="S58" s="99" t="s">
        <v>521</v>
      </c>
      <c r="T58" s="100"/>
      <c r="U58" s="100"/>
      <c r="V58" s="100"/>
      <c r="W58" s="100"/>
      <c r="X58" s="100"/>
      <c r="Y58" s="100"/>
      <c r="Z58" s="100"/>
    </row>
    <row r="59" ht="15.75" customHeight="1">
      <c r="A59" s="129"/>
      <c r="B59" s="130">
        <v>2.0</v>
      </c>
      <c r="C59" s="131">
        <v>2314817.0</v>
      </c>
      <c r="D59" s="132" t="s">
        <v>522</v>
      </c>
      <c r="E59" s="133" t="s">
        <v>523</v>
      </c>
      <c r="F59" s="133" t="s">
        <v>524</v>
      </c>
      <c r="G59" s="132" t="s">
        <v>252</v>
      </c>
      <c r="H59" s="133" t="s">
        <v>253</v>
      </c>
      <c r="I59" s="133" t="s">
        <v>254</v>
      </c>
      <c r="J59" s="133" t="s">
        <v>242</v>
      </c>
      <c r="K59" s="133" t="s">
        <v>299</v>
      </c>
      <c r="L59" s="133" t="s">
        <v>299</v>
      </c>
      <c r="M59" s="134"/>
      <c r="N59" s="133" t="s">
        <v>299</v>
      </c>
      <c r="O59" s="131">
        <v>2023.0</v>
      </c>
      <c r="P59" s="133" t="s">
        <v>256</v>
      </c>
      <c r="Q59" s="134"/>
      <c r="R59" s="133" t="s">
        <v>257</v>
      </c>
      <c r="S59" s="134"/>
      <c r="T59" s="129"/>
      <c r="U59" s="129"/>
      <c r="V59" s="129"/>
      <c r="W59" s="129"/>
      <c r="X59" s="129"/>
      <c r="Y59" s="129"/>
      <c r="Z59" s="129"/>
    </row>
    <row r="60" ht="15.75" customHeight="1">
      <c r="A60" s="100"/>
      <c r="B60" s="103">
        <v>3.0</v>
      </c>
      <c r="C60" s="105">
        <v>1701348.0</v>
      </c>
      <c r="D60" s="104" t="s">
        <v>526</v>
      </c>
      <c r="E60" s="99" t="s">
        <v>527</v>
      </c>
      <c r="F60" s="99" t="s">
        <v>528</v>
      </c>
      <c r="G60" s="104" t="s">
        <v>261</v>
      </c>
      <c r="H60" s="99" t="s">
        <v>262</v>
      </c>
      <c r="I60" s="99" t="s">
        <v>529</v>
      </c>
      <c r="J60" s="99" t="s">
        <v>242</v>
      </c>
      <c r="K60" s="99" t="s">
        <v>530</v>
      </c>
      <c r="L60" s="99" t="s">
        <v>255</v>
      </c>
      <c r="M60" s="101"/>
      <c r="N60" s="99" t="s">
        <v>255</v>
      </c>
      <c r="O60" s="105">
        <v>2019.0</v>
      </c>
      <c r="P60" s="99" t="s">
        <v>322</v>
      </c>
      <c r="Q60" s="99" t="s">
        <v>246</v>
      </c>
      <c r="R60" s="99" t="s">
        <v>257</v>
      </c>
      <c r="S60" s="99" t="s">
        <v>531</v>
      </c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3">
        <v>4.0</v>
      </c>
      <c r="C61" s="105">
        <v>1814215.0</v>
      </c>
      <c r="D61" s="104" t="s">
        <v>532</v>
      </c>
      <c r="E61" s="99" t="s">
        <v>533</v>
      </c>
      <c r="F61" s="99" t="s">
        <v>534</v>
      </c>
      <c r="G61" s="104" t="s">
        <v>252</v>
      </c>
      <c r="H61" s="99" t="s">
        <v>271</v>
      </c>
      <c r="I61" s="99" t="s">
        <v>425</v>
      </c>
      <c r="J61" s="99" t="s">
        <v>242</v>
      </c>
      <c r="K61" s="99" t="s">
        <v>535</v>
      </c>
      <c r="L61" s="99" t="s">
        <v>255</v>
      </c>
      <c r="M61" s="101"/>
      <c r="N61" s="99" t="s">
        <v>255</v>
      </c>
      <c r="O61" s="105">
        <v>2019.0</v>
      </c>
      <c r="P61" s="99" t="s">
        <v>274</v>
      </c>
      <c r="Q61" s="99" t="s">
        <v>275</v>
      </c>
      <c r="R61" s="99" t="s">
        <v>257</v>
      </c>
      <c r="S61" s="99" t="s">
        <v>536</v>
      </c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3">
        <v>5.0</v>
      </c>
      <c r="C62" s="105">
        <v>1301159.0</v>
      </c>
      <c r="D62" s="104" t="s">
        <v>537</v>
      </c>
      <c r="E62" s="99" t="s">
        <v>538</v>
      </c>
      <c r="F62" s="99" t="s">
        <v>433</v>
      </c>
      <c r="G62" s="104" t="s">
        <v>252</v>
      </c>
      <c r="H62" s="99" t="s">
        <v>434</v>
      </c>
      <c r="I62" s="99" t="s">
        <v>434</v>
      </c>
      <c r="J62" s="99" t="s">
        <v>242</v>
      </c>
      <c r="K62" s="99" t="s">
        <v>539</v>
      </c>
      <c r="L62" s="99" t="s">
        <v>540</v>
      </c>
      <c r="M62" s="101"/>
      <c r="N62" s="99" t="s">
        <v>540</v>
      </c>
      <c r="O62" s="105">
        <v>2016.0</v>
      </c>
      <c r="P62" s="99" t="s">
        <v>256</v>
      </c>
      <c r="Q62" s="99" t="s">
        <v>541</v>
      </c>
      <c r="R62" s="99" t="s">
        <v>257</v>
      </c>
      <c r="S62" s="99" t="s">
        <v>542</v>
      </c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3">
        <v>6.0</v>
      </c>
      <c r="C63" s="99" t="s">
        <v>543</v>
      </c>
      <c r="D63" s="104" t="s">
        <v>544</v>
      </c>
      <c r="E63" s="99" t="s">
        <v>545</v>
      </c>
      <c r="F63" s="99" t="s">
        <v>546</v>
      </c>
      <c r="G63" s="104" t="s">
        <v>252</v>
      </c>
      <c r="H63" s="99" t="s">
        <v>314</v>
      </c>
      <c r="I63" s="99" t="s">
        <v>546</v>
      </c>
      <c r="J63" s="99" t="s">
        <v>242</v>
      </c>
      <c r="K63" s="99" t="s">
        <v>547</v>
      </c>
      <c r="L63" s="99" t="s">
        <v>548</v>
      </c>
      <c r="M63" s="101"/>
      <c r="N63" s="99" t="s">
        <v>548</v>
      </c>
      <c r="O63" s="105">
        <v>2015.0</v>
      </c>
      <c r="P63" s="99" t="s">
        <v>265</v>
      </c>
      <c r="Q63" s="99" t="s">
        <v>541</v>
      </c>
      <c r="R63" s="99" t="s">
        <v>257</v>
      </c>
      <c r="S63" s="99" t="s">
        <v>549</v>
      </c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3">
        <v>7.0</v>
      </c>
      <c r="C64" s="105">
        <v>1814209.0</v>
      </c>
      <c r="D64" s="104" t="s">
        <v>550</v>
      </c>
      <c r="E64" s="99" t="s">
        <v>551</v>
      </c>
      <c r="F64" s="99" t="s">
        <v>552</v>
      </c>
      <c r="G64" s="104" t="s">
        <v>344</v>
      </c>
      <c r="H64" s="99" t="s">
        <v>314</v>
      </c>
      <c r="I64" s="99" t="s">
        <v>315</v>
      </c>
      <c r="J64" s="99" t="s">
        <v>242</v>
      </c>
      <c r="K64" s="99" t="s">
        <v>535</v>
      </c>
      <c r="L64" s="99" t="s">
        <v>255</v>
      </c>
      <c r="M64" s="101"/>
      <c r="N64" s="99" t="s">
        <v>255</v>
      </c>
      <c r="O64" s="105">
        <v>2019.0</v>
      </c>
      <c r="P64" s="99" t="s">
        <v>274</v>
      </c>
      <c r="Q64" s="99" t="s">
        <v>246</v>
      </c>
      <c r="R64" s="99" t="s">
        <v>257</v>
      </c>
      <c r="S64" s="99" t="s">
        <v>553</v>
      </c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3">
        <v>8.0</v>
      </c>
      <c r="C65" s="105">
        <v>1814186.0</v>
      </c>
      <c r="D65" s="104" t="s">
        <v>554</v>
      </c>
      <c r="E65" s="99" t="s">
        <v>555</v>
      </c>
      <c r="F65" s="99" t="s">
        <v>351</v>
      </c>
      <c r="G65" s="104" t="s">
        <v>344</v>
      </c>
      <c r="H65" s="99" t="s">
        <v>314</v>
      </c>
      <c r="I65" s="99" t="s">
        <v>352</v>
      </c>
      <c r="J65" s="99" t="s">
        <v>242</v>
      </c>
      <c r="K65" s="99" t="s">
        <v>535</v>
      </c>
      <c r="L65" s="99" t="s">
        <v>255</v>
      </c>
      <c r="M65" s="101"/>
      <c r="N65" s="99" t="s">
        <v>255</v>
      </c>
      <c r="O65" s="105">
        <v>2019.0</v>
      </c>
      <c r="P65" s="99" t="s">
        <v>274</v>
      </c>
      <c r="Q65" s="99" t="s">
        <v>541</v>
      </c>
      <c r="R65" s="99" t="s">
        <v>257</v>
      </c>
      <c r="S65" s="99" t="s">
        <v>556</v>
      </c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3">
        <v>9.0</v>
      </c>
      <c r="C66" s="105">
        <v>1814196.0</v>
      </c>
      <c r="D66" s="104" t="s">
        <v>557</v>
      </c>
      <c r="E66" s="99" t="s">
        <v>558</v>
      </c>
      <c r="F66" s="99" t="s">
        <v>559</v>
      </c>
      <c r="G66" s="104" t="s">
        <v>252</v>
      </c>
      <c r="H66" s="99" t="s">
        <v>314</v>
      </c>
      <c r="I66" s="99" t="s">
        <v>319</v>
      </c>
      <c r="J66" s="99" t="s">
        <v>242</v>
      </c>
      <c r="K66" s="99" t="s">
        <v>535</v>
      </c>
      <c r="L66" s="99" t="s">
        <v>255</v>
      </c>
      <c r="M66" s="101"/>
      <c r="N66" s="99" t="s">
        <v>255</v>
      </c>
      <c r="O66" s="105">
        <v>2019.0</v>
      </c>
      <c r="P66" s="99" t="s">
        <v>274</v>
      </c>
      <c r="Q66" s="99" t="s">
        <v>414</v>
      </c>
      <c r="R66" s="99" t="s">
        <v>257</v>
      </c>
      <c r="S66" s="99" t="s">
        <v>560</v>
      </c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3">
        <v>10.0</v>
      </c>
      <c r="C67" s="105">
        <v>1814208.0</v>
      </c>
      <c r="D67" s="104" t="s">
        <v>561</v>
      </c>
      <c r="E67" s="99" t="s">
        <v>562</v>
      </c>
      <c r="F67" s="99" t="s">
        <v>559</v>
      </c>
      <c r="G67" s="104" t="s">
        <v>252</v>
      </c>
      <c r="H67" s="99" t="s">
        <v>314</v>
      </c>
      <c r="I67" s="99" t="s">
        <v>319</v>
      </c>
      <c r="J67" s="99" t="s">
        <v>242</v>
      </c>
      <c r="K67" s="99" t="s">
        <v>535</v>
      </c>
      <c r="L67" s="99" t="s">
        <v>563</v>
      </c>
      <c r="M67" s="101"/>
      <c r="N67" s="99" t="s">
        <v>563</v>
      </c>
      <c r="O67" s="105">
        <v>2020.0</v>
      </c>
      <c r="P67" s="99" t="s">
        <v>274</v>
      </c>
      <c r="Q67" s="99" t="s">
        <v>564</v>
      </c>
      <c r="R67" s="99" t="s">
        <v>257</v>
      </c>
      <c r="S67" s="99" t="s">
        <v>565</v>
      </c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3">
        <v>11.0</v>
      </c>
      <c r="C68" s="105">
        <v>1814159.0</v>
      </c>
      <c r="D68" s="104" t="s">
        <v>566</v>
      </c>
      <c r="E68" s="99" t="s">
        <v>567</v>
      </c>
      <c r="F68" s="99" t="s">
        <v>559</v>
      </c>
      <c r="G68" s="104" t="s">
        <v>252</v>
      </c>
      <c r="H68" s="99" t="s">
        <v>314</v>
      </c>
      <c r="I68" s="99" t="s">
        <v>319</v>
      </c>
      <c r="J68" s="99" t="s">
        <v>242</v>
      </c>
      <c r="K68" s="99" t="s">
        <v>535</v>
      </c>
      <c r="L68" s="99" t="s">
        <v>563</v>
      </c>
      <c r="M68" s="101"/>
      <c r="N68" s="99" t="s">
        <v>563</v>
      </c>
      <c r="O68" s="105">
        <v>2020.0</v>
      </c>
      <c r="P68" s="99" t="s">
        <v>274</v>
      </c>
      <c r="Q68" s="99" t="s">
        <v>568</v>
      </c>
      <c r="R68" s="99" t="s">
        <v>257</v>
      </c>
      <c r="S68" s="99" t="s">
        <v>569</v>
      </c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3">
        <v>12.0</v>
      </c>
      <c r="C69" s="105">
        <v>1814199.0</v>
      </c>
      <c r="D69" s="104" t="s">
        <v>570</v>
      </c>
      <c r="E69" s="99" t="s">
        <v>571</v>
      </c>
      <c r="F69" s="99" t="s">
        <v>559</v>
      </c>
      <c r="G69" s="104" t="s">
        <v>252</v>
      </c>
      <c r="H69" s="99" t="s">
        <v>314</v>
      </c>
      <c r="I69" s="99" t="s">
        <v>319</v>
      </c>
      <c r="J69" s="99" t="s">
        <v>242</v>
      </c>
      <c r="K69" s="99" t="s">
        <v>535</v>
      </c>
      <c r="L69" s="99" t="s">
        <v>563</v>
      </c>
      <c r="M69" s="101"/>
      <c r="N69" s="99" t="s">
        <v>563</v>
      </c>
      <c r="O69" s="105">
        <v>2020.0</v>
      </c>
      <c r="P69" s="99" t="s">
        <v>245</v>
      </c>
      <c r="Q69" s="99" t="s">
        <v>323</v>
      </c>
      <c r="R69" s="99" t="s">
        <v>257</v>
      </c>
      <c r="S69" s="99" t="s">
        <v>572</v>
      </c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3">
        <v>13.0</v>
      </c>
      <c r="C70" s="105">
        <v>1814214.0</v>
      </c>
      <c r="D70" s="104" t="s">
        <v>573</v>
      </c>
      <c r="E70" s="99" t="s">
        <v>574</v>
      </c>
      <c r="F70" s="99" t="s">
        <v>559</v>
      </c>
      <c r="G70" s="104" t="s">
        <v>252</v>
      </c>
      <c r="H70" s="99" t="s">
        <v>314</v>
      </c>
      <c r="I70" s="99" t="s">
        <v>319</v>
      </c>
      <c r="J70" s="99" t="s">
        <v>242</v>
      </c>
      <c r="K70" s="99" t="s">
        <v>535</v>
      </c>
      <c r="L70" s="99" t="s">
        <v>255</v>
      </c>
      <c r="M70" s="101"/>
      <c r="N70" s="99" t="s">
        <v>255</v>
      </c>
      <c r="O70" s="105">
        <v>2019.0</v>
      </c>
      <c r="P70" s="99" t="s">
        <v>274</v>
      </c>
      <c r="Q70" s="99" t="s">
        <v>568</v>
      </c>
      <c r="R70" s="99" t="s">
        <v>257</v>
      </c>
      <c r="S70" s="99" t="s">
        <v>575</v>
      </c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3">
        <v>14.0</v>
      </c>
      <c r="C71" s="105">
        <v>1814192.0</v>
      </c>
      <c r="D71" s="104" t="s">
        <v>576</v>
      </c>
      <c r="E71" s="99" t="s">
        <v>577</v>
      </c>
      <c r="F71" s="99" t="s">
        <v>578</v>
      </c>
      <c r="G71" s="104" t="s">
        <v>252</v>
      </c>
      <c r="H71" s="99" t="s">
        <v>314</v>
      </c>
      <c r="I71" s="99" t="s">
        <v>352</v>
      </c>
      <c r="J71" s="99" t="s">
        <v>242</v>
      </c>
      <c r="K71" s="99" t="s">
        <v>535</v>
      </c>
      <c r="L71" s="99" t="s">
        <v>563</v>
      </c>
      <c r="M71" s="101"/>
      <c r="N71" s="99" t="s">
        <v>563</v>
      </c>
      <c r="O71" s="105">
        <v>2020.0</v>
      </c>
      <c r="P71" s="99" t="s">
        <v>274</v>
      </c>
      <c r="Q71" s="99" t="s">
        <v>564</v>
      </c>
      <c r="R71" s="99" t="s">
        <v>257</v>
      </c>
      <c r="S71" s="99" t="s">
        <v>579</v>
      </c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3">
        <v>15.0</v>
      </c>
      <c r="C72" s="99" t="s">
        <v>580</v>
      </c>
      <c r="D72" s="104" t="s">
        <v>581</v>
      </c>
      <c r="E72" s="105">
        <v>1106343.0</v>
      </c>
      <c r="F72" s="99" t="s">
        <v>578</v>
      </c>
      <c r="G72" s="104" t="s">
        <v>252</v>
      </c>
      <c r="H72" s="99" t="s">
        <v>314</v>
      </c>
      <c r="I72" s="99" t="s">
        <v>352</v>
      </c>
      <c r="J72" s="99" t="s">
        <v>242</v>
      </c>
      <c r="K72" s="99" t="s">
        <v>582</v>
      </c>
      <c r="L72" s="99" t="s">
        <v>583</v>
      </c>
      <c r="M72" s="101"/>
      <c r="N72" s="99" t="s">
        <v>583</v>
      </c>
      <c r="O72" s="105">
        <v>2007.0</v>
      </c>
      <c r="P72" s="99" t="s">
        <v>265</v>
      </c>
      <c r="Q72" s="99" t="s">
        <v>309</v>
      </c>
      <c r="R72" s="99" t="s">
        <v>257</v>
      </c>
      <c r="S72" s="99" t="s">
        <v>584</v>
      </c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3">
        <v>16.0</v>
      </c>
      <c r="C73" s="99" t="s">
        <v>585</v>
      </c>
      <c r="D73" s="104" t="s">
        <v>586</v>
      </c>
      <c r="E73" s="105">
        <v>1106344.0</v>
      </c>
      <c r="F73" s="99" t="s">
        <v>587</v>
      </c>
      <c r="G73" s="104" t="s">
        <v>344</v>
      </c>
      <c r="H73" s="99" t="s">
        <v>376</v>
      </c>
      <c r="I73" s="99" t="s">
        <v>54</v>
      </c>
      <c r="J73" s="99" t="s">
        <v>242</v>
      </c>
      <c r="K73" s="99" t="s">
        <v>582</v>
      </c>
      <c r="L73" s="99" t="s">
        <v>583</v>
      </c>
      <c r="M73" s="101"/>
      <c r="N73" s="99" t="s">
        <v>583</v>
      </c>
      <c r="O73" s="105">
        <v>2007.0</v>
      </c>
      <c r="P73" s="99" t="s">
        <v>322</v>
      </c>
      <c r="Q73" s="99" t="s">
        <v>309</v>
      </c>
      <c r="R73" s="99" t="s">
        <v>257</v>
      </c>
      <c r="S73" s="99" t="s">
        <v>588</v>
      </c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3">
        <v>17.0</v>
      </c>
      <c r="C74" s="105">
        <v>1814211.0</v>
      </c>
      <c r="D74" s="104" t="s">
        <v>589</v>
      </c>
      <c r="E74" s="99" t="s">
        <v>590</v>
      </c>
      <c r="F74" s="99" t="s">
        <v>587</v>
      </c>
      <c r="G74" s="104" t="s">
        <v>344</v>
      </c>
      <c r="H74" s="99" t="s">
        <v>376</v>
      </c>
      <c r="I74" s="99" t="s">
        <v>54</v>
      </c>
      <c r="J74" s="99" t="s">
        <v>242</v>
      </c>
      <c r="K74" s="99" t="s">
        <v>535</v>
      </c>
      <c r="L74" s="99" t="s">
        <v>255</v>
      </c>
      <c r="M74" s="101"/>
      <c r="N74" s="99" t="s">
        <v>255</v>
      </c>
      <c r="O74" s="105">
        <v>2019.0</v>
      </c>
      <c r="P74" s="99" t="s">
        <v>274</v>
      </c>
      <c r="Q74" s="99" t="s">
        <v>541</v>
      </c>
      <c r="R74" s="99" t="s">
        <v>257</v>
      </c>
      <c r="S74" s="99" t="s">
        <v>591</v>
      </c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3">
        <v>18.0</v>
      </c>
      <c r="C75" s="105">
        <v>1814176.0</v>
      </c>
      <c r="D75" s="104" t="s">
        <v>592</v>
      </c>
      <c r="E75" s="99" t="s">
        <v>593</v>
      </c>
      <c r="F75" s="99" t="s">
        <v>594</v>
      </c>
      <c r="G75" s="104" t="s">
        <v>252</v>
      </c>
      <c r="H75" s="99" t="s">
        <v>376</v>
      </c>
      <c r="I75" s="99" t="s">
        <v>54</v>
      </c>
      <c r="J75" s="99" t="s">
        <v>242</v>
      </c>
      <c r="K75" s="99" t="s">
        <v>535</v>
      </c>
      <c r="L75" s="99" t="s">
        <v>255</v>
      </c>
      <c r="M75" s="101"/>
      <c r="N75" s="99" t="s">
        <v>255</v>
      </c>
      <c r="O75" s="105">
        <v>2019.0</v>
      </c>
      <c r="P75" s="99" t="s">
        <v>274</v>
      </c>
      <c r="Q75" s="99" t="s">
        <v>541</v>
      </c>
      <c r="R75" s="99" t="s">
        <v>257</v>
      </c>
      <c r="S75" s="99" t="s">
        <v>595</v>
      </c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3">
        <v>19.0</v>
      </c>
      <c r="C76" s="105">
        <v>1814182.0</v>
      </c>
      <c r="D76" s="104" t="s">
        <v>596</v>
      </c>
      <c r="E76" s="99" t="s">
        <v>597</v>
      </c>
      <c r="F76" s="99" t="s">
        <v>492</v>
      </c>
      <c r="G76" s="104" t="s">
        <v>252</v>
      </c>
      <c r="H76" s="99" t="s">
        <v>376</v>
      </c>
      <c r="I76" s="99" t="s">
        <v>54</v>
      </c>
      <c r="J76" s="99" t="s">
        <v>242</v>
      </c>
      <c r="K76" s="99" t="s">
        <v>535</v>
      </c>
      <c r="L76" s="99" t="s">
        <v>563</v>
      </c>
      <c r="M76" s="101"/>
      <c r="N76" s="99" t="s">
        <v>563</v>
      </c>
      <c r="O76" s="105">
        <v>2020.0</v>
      </c>
      <c r="P76" s="99" t="s">
        <v>274</v>
      </c>
      <c r="Q76" s="99" t="s">
        <v>323</v>
      </c>
      <c r="R76" s="99" t="s">
        <v>257</v>
      </c>
      <c r="S76" s="99" t="s">
        <v>598</v>
      </c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3">
        <v>20.0</v>
      </c>
      <c r="C77" s="105">
        <v>1814152.0</v>
      </c>
      <c r="D77" s="104" t="s">
        <v>599</v>
      </c>
      <c r="E77" s="99" t="s">
        <v>600</v>
      </c>
      <c r="F77" s="99" t="s">
        <v>601</v>
      </c>
      <c r="G77" s="104" t="s">
        <v>239</v>
      </c>
      <c r="H77" s="99" t="s">
        <v>388</v>
      </c>
      <c r="I77" s="99" t="s">
        <v>398</v>
      </c>
      <c r="J77" s="99" t="s">
        <v>242</v>
      </c>
      <c r="K77" s="99" t="s">
        <v>535</v>
      </c>
      <c r="L77" s="99" t="s">
        <v>255</v>
      </c>
      <c r="M77" s="101"/>
      <c r="N77" s="99" t="s">
        <v>255</v>
      </c>
      <c r="O77" s="105">
        <v>2019.0</v>
      </c>
      <c r="P77" s="99" t="s">
        <v>274</v>
      </c>
      <c r="Q77" s="99" t="s">
        <v>541</v>
      </c>
      <c r="R77" s="99" t="s">
        <v>257</v>
      </c>
      <c r="S77" s="99" t="s">
        <v>602</v>
      </c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1"/>
      <c r="C78" s="101"/>
      <c r="D78" s="99" t="s">
        <v>405</v>
      </c>
      <c r="E78" s="101"/>
      <c r="F78" s="101"/>
      <c r="G78" s="101"/>
      <c r="H78" s="101"/>
      <c r="I78" s="101"/>
      <c r="J78" s="101"/>
      <c r="K78" s="101" t="s">
        <v>603</v>
      </c>
      <c r="M78" s="101"/>
      <c r="N78" s="101"/>
      <c r="O78" s="101"/>
      <c r="P78" s="101"/>
      <c r="Q78" s="101"/>
      <c r="R78" s="101"/>
      <c r="S78" s="101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3">
        <v>1.0</v>
      </c>
      <c r="C79" s="105">
        <v>2314857.0</v>
      </c>
      <c r="D79" s="104" t="s">
        <v>604</v>
      </c>
      <c r="E79" s="99" t="s">
        <v>605</v>
      </c>
      <c r="F79" s="99" t="s">
        <v>524</v>
      </c>
      <c r="G79" s="104" t="s">
        <v>252</v>
      </c>
      <c r="H79" s="99" t="s">
        <v>253</v>
      </c>
      <c r="I79" s="99" t="s">
        <v>254</v>
      </c>
      <c r="J79" s="99" t="s">
        <v>418</v>
      </c>
      <c r="K79" s="99" t="s">
        <v>606</v>
      </c>
      <c r="L79" s="99" t="s">
        <v>606</v>
      </c>
      <c r="M79" s="99" t="s">
        <v>413</v>
      </c>
      <c r="N79" s="101"/>
      <c r="O79" s="101"/>
      <c r="P79" s="99" t="s">
        <v>256</v>
      </c>
      <c r="Q79" s="99" t="s">
        <v>246</v>
      </c>
      <c r="R79" s="99" t="s">
        <v>247</v>
      </c>
      <c r="S79" s="99" t="s">
        <v>607</v>
      </c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3">
        <v>2.0</v>
      </c>
      <c r="C80" s="105">
        <v>2014412.0</v>
      </c>
      <c r="D80" s="104" t="s">
        <v>608</v>
      </c>
      <c r="E80" s="99" t="s">
        <v>609</v>
      </c>
      <c r="F80" s="99" t="s">
        <v>518</v>
      </c>
      <c r="G80" s="104" t="s">
        <v>252</v>
      </c>
      <c r="H80" s="99" t="s">
        <v>253</v>
      </c>
      <c r="I80" s="99" t="s">
        <v>518</v>
      </c>
      <c r="J80" s="99" t="s">
        <v>497</v>
      </c>
      <c r="K80" s="99" t="s">
        <v>610</v>
      </c>
      <c r="L80" s="99" t="s">
        <v>321</v>
      </c>
      <c r="M80" s="99" t="s">
        <v>413</v>
      </c>
      <c r="N80" s="101"/>
      <c r="O80" s="101"/>
      <c r="P80" s="99" t="s">
        <v>322</v>
      </c>
      <c r="Q80" s="99" t="s">
        <v>541</v>
      </c>
      <c r="R80" s="99" t="s">
        <v>257</v>
      </c>
      <c r="S80" s="99" t="s">
        <v>611</v>
      </c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3">
        <v>3.0</v>
      </c>
      <c r="C81" s="105">
        <v>2114505.0</v>
      </c>
      <c r="D81" s="104" t="s">
        <v>612</v>
      </c>
      <c r="E81" s="99" t="s">
        <v>613</v>
      </c>
      <c r="F81" s="99" t="s">
        <v>270</v>
      </c>
      <c r="G81" s="104" t="s">
        <v>239</v>
      </c>
      <c r="H81" s="99" t="s">
        <v>271</v>
      </c>
      <c r="I81" s="99" t="s">
        <v>271</v>
      </c>
      <c r="J81" s="99" t="s">
        <v>412</v>
      </c>
      <c r="K81" s="99" t="s">
        <v>320</v>
      </c>
      <c r="L81" s="99" t="s">
        <v>321</v>
      </c>
      <c r="M81" s="99" t="s">
        <v>413</v>
      </c>
      <c r="N81" s="101"/>
      <c r="O81" s="101"/>
      <c r="P81" s="99" t="s">
        <v>274</v>
      </c>
      <c r="Q81" s="99" t="s">
        <v>246</v>
      </c>
      <c r="R81" s="99" t="s">
        <v>247</v>
      </c>
      <c r="S81" s="99" t="s">
        <v>614</v>
      </c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3">
        <v>4.0</v>
      </c>
      <c r="C82" s="105">
        <v>2214752.0</v>
      </c>
      <c r="D82" s="104" t="s">
        <v>615</v>
      </c>
      <c r="E82" s="99" t="s">
        <v>616</v>
      </c>
      <c r="F82" s="99" t="s">
        <v>279</v>
      </c>
      <c r="G82" s="104" t="s">
        <v>252</v>
      </c>
      <c r="H82" s="99" t="s">
        <v>271</v>
      </c>
      <c r="I82" s="99" t="s">
        <v>271</v>
      </c>
      <c r="J82" s="99" t="s">
        <v>451</v>
      </c>
      <c r="K82" s="99" t="s">
        <v>617</v>
      </c>
      <c r="L82" s="99" t="s">
        <v>321</v>
      </c>
      <c r="M82" s="99" t="s">
        <v>420</v>
      </c>
      <c r="N82" s="101"/>
      <c r="O82" s="101"/>
      <c r="P82" s="99" t="s">
        <v>274</v>
      </c>
      <c r="Q82" s="99" t="s">
        <v>246</v>
      </c>
      <c r="R82" s="99" t="s">
        <v>247</v>
      </c>
      <c r="S82" s="99" t="s">
        <v>618</v>
      </c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3">
        <v>5.0</v>
      </c>
      <c r="C83" s="105">
        <v>2314782.0</v>
      </c>
      <c r="D83" s="104" t="s">
        <v>619</v>
      </c>
      <c r="E83" s="99" t="s">
        <v>620</v>
      </c>
      <c r="F83" s="99" t="s">
        <v>621</v>
      </c>
      <c r="G83" s="104" t="s">
        <v>252</v>
      </c>
      <c r="H83" s="99" t="s">
        <v>290</v>
      </c>
      <c r="I83" s="99" t="s">
        <v>444</v>
      </c>
      <c r="J83" s="99" t="s">
        <v>426</v>
      </c>
      <c r="K83" s="99" t="s">
        <v>623</v>
      </c>
      <c r="L83" s="99" t="s">
        <v>321</v>
      </c>
      <c r="M83" s="99" t="s">
        <v>624</v>
      </c>
      <c r="N83" s="101"/>
      <c r="O83" s="101"/>
      <c r="P83" s="99" t="s">
        <v>256</v>
      </c>
      <c r="Q83" s="101"/>
      <c r="R83" s="99" t="s">
        <v>257</v>
      </c>
      <c r="S83" s="99" t="s">
        <v>625</v>
      </c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3">
        <v>6.0</v>
      </c>
      <c r="C84" s="105">
        <v>2114634.0</v>
      </c>
      <c r="D84" s="104" t="s">
        <v>626</v>
      </c>
      <c r="E84" s="99" t="s">
        <v>627</v>
      </c>
      <c r="F84" s="99" t="s">
        <v>628</v>
      </c>
      <c r="G84" s="104" t="s">
        <v>252</v>
      </c>
      <c r="H84" s="99" t="s">
        <v>290</v>
      </c>
      <c r="I84" s="99" t="s">
        <v>444</v>
      </c>
      <c r="J84" s="99" t="s">
        <v>412</v>
      </c>
      <c r="K84" s="99" t="s">
        <v>393</v>
      </c>
      <c r="L84" s="99" t="s">
        <v>321</v>
      </c>
      <c r="M84" s="99" t="s">
        <v>413</v>
      </c>
      <c r="N84" s="101"/>
      <c r="O84" s="101"/>
      <c r="P84" s="99" t="s">
        <v>265</v>
      </c>
      <c r="Q84" s="99" t="s">
        <v>309</v>
      </c>
      <c r="R84" s="99" t="s">
        <v>257</v>
      </c>
      <c r="S84" s="99" t="s">
        <v>355</v>
      </c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3">
        <v>7.0</v>
      </c>
      <c r="C85" s="105">
        <v>2114677.0</v>
      </c>
      <c r="D85" s="104" t="s">
        <v>629</v>
      </c>
      <c r="E85" s="99" t="s">
        <v>630</v>
      </c>
      <c r="F85" s="99" t="s">
        <v>305</v>
      </c>
      <c r="G85" s="104" t="s">
        <v>252</v>
      </c>
      <c r="H85" s="99" t="s">
        <v>290</v>
      </c>
      <c r="I85" s="99" t="s">
        <v>37</v>
      </c>
      <c r="J85" s="99" t="s">
        <v>463</v>
      </c>
      <c r="K85" s="99" t="s">
        <v>631</v>
      </c>
      <c r="L85" s="99" t="s">
        <v>321</v>
      </c>
      <c r="M85" s="99" t="s">
        <v>413</v>
      </c>
      <c r="N85" s="101"/>
      <c r="O85" s="101"/>
      <c r="P85" s="99" t="s">
        <v>508</v>
      </c>
      <c r="Q85" s="99" t="s">
        <v>246</v>
      </c>
      <c r="R85" s="99" t="s">
        <v>257</v>
      </c>
      <c r="S85" s="99" t="s">
        <v>632</v>
      </c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3">
        <v>8.0</v>
      </c>
      <c r="C86" s="105">
        <v>2114635.0</v>
      </c>
      <c r="D86" s="104" t="s">
        <v>633</v>
      </c>
      <c r="E86" s="99" t="s">
        <v>634</v>
      </c>
      <c r="F86" s="99" t="s">
        <v>552</v>
      </c>
      <c r="G86" s="104" t="s">
        <v>344</v>
      </c>
      <c r="H86" s="99" t="s">
        <v>314</v>
      </c>
      <c r="I86" s="99" t="s">
        <v>315</v>
      </c>
      <c r="J86" s="99" t="s">
        <v>412</v>
      </c>
      <c r="K86" s="99" t="s">
        <v>393</v>
      </c>
      <c r="L86" s="99" t="s">
        <v>321</v>
      </c>
      <c r="M86" s="99" t="s">
        <v>413</v>
      </c>
      <c r="N86" s="101"/>
      <c r="O86" s="101"/>
      <c r="P86" s="99" t="s">
        <v>322</v>
      </c>
      <c r="Q86" s="99" t="s">
        <v>414</v>
      </c>
      <c r="R86" s="99" t="s">
        <v>257</v>
      </c>
      <c r="S86" s="99" t="s">
        <v>635</v>
      </c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3">
        <v>9.0</v>
      </c>
      <c r="C87" s="105">
        <v>2114675.0</v>
      </c>
      <c r="D87" s="104" t="s">
        <v>636</v>
      </c>
      <c r="E87" s="99" t="s">
        <v>637</v>
      </c>
      <c r="F87" s="99" t="s">
        <v>578</v>
      </c>
      <c r="G87" s="104" t="s">
        <v>252</v>
      </c>
      <c r="H87" s="99" t="s">
        <v>314</v>
      </c>
      <c r="I87" s="99" t="s">
        <v>352</v>
      </c>
      <c r="J87" s="99" t="s">
        <v>463</v>
      </c>
      <c r="K87" s="99" t="s">
        <v>638</v>
      </c>
      <c r="L87" s="99" t="s">
        <v>321</v>
      </c>
      <c r="M87" s="99" t="s">
        <v>413</v>
      </c>
      <c r="N87" s="101"/>
      <c r="O87" s="101"/>
      <c r="P87" s="99" t="s">
        <v>274</v>
      </c>
      <c r="Q87" s="99" t="s">
        <v>309</v>
      </c>
      <c r="R87" s="99" t="s">
        <v>257</v>
      </c>
      <c r="S87" s="99" t="s">
        <v>639</v>
      </c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3">
        <v>10.0</v>
      </c>
      <c r="C88" s="105">
        <v>2014418.0</v>
      </c>
      <c r="D88" s="104" t="s">
        <v>640</v>
      </c>
      <c r="E88" s="99" t="s">
        <v>641</v>
      </c>
      <c r="F88" s="99" t="s">
        <v>578</v>
      </c>
      <c r="G88" s="104" t="s">
        <v>252</v>
      </c>
      <c r="H88" s="99" t="s">
        <v>314</v>
      </c>
      <c r="I88" s="99" t="s">
        <v>352</v>
      </c>
      <c r="J88" s="99" t="s">
        <v>418</v>
      </c>
      <c r="K88" s="99" t="s">
        <v>610</v>
      </c>
      <c r="L88" s="99" t="s">
        <v>321</v>
      </c>
      <c r="M88" s="99" t="s">
        <v>413</v>
      </c>
      <c r="N88" s="101"/>
      <c r="O88" s="101"/>
      <c r="P88" s="99" t="s">
        <v>322</v>
      </c>
      <c r="Q88" s="99" t="s">
        <v>323</v>
      </c>
      <c r="R88" s="99" t="s">
        <v>257</v>
      </c>
      <c r="S88" s="99" t="s">
        <v>642</v>
      </c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3">
        <v>11.0</v>
      </c>
      <c r="C89" s="105">
        <v>2114539.0</v>
      </c>
      <c r="D89" s="104" t="s">
        <v>643</v>
      </c>
      <c r="E89" s="99" t="s">
        <v>644</v>
      </c>
      <c r="F89" s="99" t="s">
        <v>578</v>
      </c>
      <c r="G89" s="104" t="s">
        <v>252</v>
      </c>
      <c r="H89" s="99" t="s">
        <v>314</v>
      </c>
      <c r="I89" s="99" t="s">
        <v>352</v>
      </c>
      <c r="J89" s="99" t="s">
        <v>463</v>
      </c>
      <c r="K89" s="99" t="s">
        <v>645</v>
      </c>
      <c r="L89" s="99" t="s">
        <v>321</v>
      </c>
      <c r="M89" s="99" t="s">
        <v>413</v>
      </c>
      <c r="N89" s="101"/>
      <c r="O89" s="101"/>
      <c r="P89" s="99" t="s">
        <v>265</v>
      </c>
      <c r="Q89" s="99" t="s">
        <v>309</v>
      </c>
      <c r="R89" s="99" t="s">
        <v>257</v>
      </c>
      <c r="S89" s="99" t="s">
        <v>646</v>
      </c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3">
        <v>12.0</v>
      </c>
      <c r="C90" s="105">
        <v>2014430.0</v>
      </c>
      <c r="D90" s="104" t="s">
        <v>647</v>
      </c>
      <c r="E90" s="99" t="s">
        <v>648</v>
      </c>
      <c r="F90" s="99" t="s">
        <v>578</v>
      </c>
      <c r="G90" s="104" t="s">
        <v>252</v>
      </c>
      <c r="H90" s="99" t="s">
        <v>314</v>
      </c>
      <c r="I90" s="99" t="s">
        <v>352</v>
      </c>
      <c r="J90" s="99" t="s">
        <v>426</v>
      </c>
      <c r="K90" s="99" t="s">
        <v>320</v>
      </c>
      <c r="L90" s="99" t="s">
        <v>321</v>
      </c>
      <c r="M90" s="99" t="s">
        <v>413</v>
      </c>
      <c r="N90" s="101"/>
      <c r="O90" s="101"/>
      <c r="P90" s="99" t="s">
        <v>256</v>
      </c>
      <c r="Q90" s="99" t="s">
        <v>323</v>
      </c>
      <c r="R90" s="99" t="s">
        <v>257</v>
      </c>
      <c r="S90" s="99" t="s">
        <v>649</v>
      </c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3">
        <v>13.0</v>
      </c>
      <c r="C91" s="105">
        <v>2314781.0</v>
      </c>
      <c r="D91" s="104" t="s">
        <v>650</v>
      </c>
      <c r="E91" s="99" t="s">
        <v>651</v>
      </c>
      <c r="F91" s="99" t="s">
        <v>578</v>
      </c>
      <c r="G91" s="104" t="s">
        <v>252</v>
      </c>
      <c r="H91" s="99" t="s">
        <v>314</v>
      </c>
      <c r="I91" s="99" t="s">
        <v>352</v>
      </c>
      <c r="J91" s="99" t="s">
        <v>426</v>
      </c>
      <c r="K91" s="99" t="s">
        <v>652</v>
      </c>
      <c r="L91" s="99" t="s">
        <v>321</v>
      </c>
      <c r="M91" s="99" t="s">
        <v>413</v>
      </c>
      <c r="N91" s="101"/>
      <c r="O91" s="101"/>
      <c r="P91" s="99" t="s">
        <v>322</v>
      </c>
      <c r="Q91" s="99" t="s">
        <v>323</v>
      </c>
      <c r="R91" s="99" t="s">
        <v>257</v>
      </c>
      <c r="S91" s="99" t="s">
        <v>653</v>
      </c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3">
        <v>14.0</v>
      </c>
      <c r="C92" s="105">
        <v>2314787.0</v>
      </c>
      <c r="D92" s="104" t="s">
        <v>654</v>
      </c>
      <c r="E92" s="99" t="s">
        <v>655</v>
      </c>
      <c r="F92" s="99" t="s">
        <v>656</v>
      </c>
      <c r="G92" s="104" t="s">
        <v>252</v>
      </c>
      <c r="H92" s="99" t="s">
        <v>314</v>
      </c>
      <c r="I92" s="99" t="s">
        <v>315</v>
      </c>
      <c r="J92" s="99" t="s">
        <v>426</v>
      </c>
      <c r="K92" s="99" t="s">
        <v>657</v>
      </c>
      <c r="L92" s="99" t="s">
        <v>321</v>
      </c>
      <c r="M92" s="99" t="s">
        <v>413</v>
      </c>
      <c r="N92" s="101"/>
      <c r="O92" s="101"/>
      <c r="P92" s="99" t="s">
        <v>256</v>
      </c>
      <c r="Q92" s="99" t="s">
        <v>275</v>
      </c>
      <c r="R92" s="99" t="s">
        <v>257</v>
      </c>
      <c r="S92" s="99" t="s">
        <v>658</v>
      </c>
      <c r="T92" s="100"/>
      <c r="U92" s="100"/>
      <c r="V92" s="100"/>
      <c r="W92" s="100"/>
      <c r="X92" s="100"/>
      <c r="Y92" s="100"/>
      <c r="Z92" s="100"/>
    </row>
    <row r="93" ht="15.75" customHeight="1">
      <c r="A93" s="97" t="s">
        <v>659</v>
      </c>
      <c r="B93" s="99" t="s">
        <v>513</v>
      </c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1"/>
      <c r="C94" s="101"/>
      <c r="D94" s="101"/>
      <c r="E94" s="101"/>
      <c r="F94" s="101"/>
      <c r="G94" s="101"/>
      <c r="H94" s="101"/>
      <c r="I94" s="101"/>
      <c r="J94" s="99" t="s">
        <v>216</v>
      </c>
      <c r="K94" s="99" t="s">
        <v>217</v>
      </c>
      <c r="L94" s="99" t="s">
        <v>218</v>
      </c>
      <c r="M94" s="99" t="s">
        <v>219</v>
      </c>
      <c r="N94" s="99" t="s">
        <v>220</v>
      </c>
      <c r="O94" s="101"/>
      <c r="P94" s="101"/>
      <c r="Q94" s="101"/>
      <c r="R94" s="101"/>
      <c r="S94" s="101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1"/>
      <c r="C95" s="101"/>
      <c r="D95" s="99" t="s">
        <v>222</v>
      </c>
      <c r="E95" s="99" t="s">
        <v>223</v>
      </c>
      <c r="F95" s="99" t="s">
        <v>224</v>
      </c>
      <c r="G95" s="99" t="s">
        <v>225</v>
      </c>
      <c r="H95" s="99" t="s">
        <v>226</v>
      </c>
      <c r="I95" s="99" t="s">
        <v>227</v>
      </c>
      <c r="O95" s="99" t="s">
        <v>228</v>
      </c>
      <c r="P95" s="101"/>
      <c r="Q95" s="101"/>
      <c r="R95" s="101"/>
      <c r="S95" s="99" t="s">
        <v>229</v>
      </c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99" t="s">
        <v>230</v>
      </c>
      <c r="C96" s="99" t="s">
        <v>231</v>
      </c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99" t="s">
        <v>232</v>
      </c>
      <c r="Q96" s="99" t="s">
        <v>233</v>
      </c>
      <c r="R96" s="99" t="s">
        <v>234</v>
      </c>
      <c r="S96" s="101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1"/>
      <c r="C97" s="101"/>
      <c r="D97" s="104" t="s">
        <v>660</v>
      </c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3">
        <v>15.0</v>
      </c>
      <c r="C98" s="105">
        <v>2214711.0</v>
      </c>
      <c r="D98" s="104" t="s">
        <v>661</v>
      </c>
      <c r="E98" s="99" t="s">
        <v>662</v>
      </c>
      <c r="F98" s="99" t="s">
        <v>398</v>
      </c>
      <c r="G98" s="104" t="s">
        <v>252</v>
      </c>
      <c r="H98" s="99" t="s">
        <v>388</v>
      </c>
      <c r="I98" s="99" t="s">
        <v>398</v>
      </c>
      <c r="J98" s="99" t="s">
        <v>463</v>
      </c>
      <c r="K98" s="99" t="s">
        <v>663</v>
      </c>
      <c r="L98" s="99" t="s">
        <v>321</v>
      </c>
      <c r="M98" s="99" t="s">
        <v>413</v>
      </c>
      <c r="N98" s="101"/>
      <c r="O98" s="101"/>
      <c r="P98" s="99" t="s">
        <v>256</v>
      </c>
      <c r="Q98" s="99" t="s">
        <v>275</v>
      </c>
      <c r="R98" s="99" t="s">
        <v>257</v>
      </c>
      <c r="S98" s="99" t="s">
        <v>664</v>
      </c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1"/>
      <c r="C99" s="101"/>
      <c r="D99" s="99" t="s">
        <v>405</v>
      </c>
      <c r="E99" s="101"/>
      <c r="F99" s="101"/>
      <c r="G99" s="101"/>
      <c r="H99" s="101"/>
      <c r="I99" s="101"/>
      <c r="J99" s="101"/>
      <c r="K99" s="101" t="s">
        <v>665</v>
      </c>
      <c r="M99" s="101"/>
      <c r="N99" s="101"/>
      <c r="O99" s="101"/>
      <c r="P99" s="101"/>
      <c r="Q99" s="101"/>
      <c r="R99" s="101"/>
      <c r="S99" s="101"/>
      <c r="T99" s="100"/>
      <c r="U99" s="100"/>
      <c r="V99" s="100"/>
      <c r="W99" s="100"/>
      <c r="X99" s="100"/>
      <c r="Y99" s="100"/>
      <c r="Z99" s="100"/>
    </row>
    <row r="100" ht="15.75" customHeight="1">
      <c r="A100" s="97" t="s">
        <v>666</v>
      </c>
      <c r="B100" s="99" t="s">
        <v>667</v>
      </c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1"/>
      <c r="C101" s="101"/>
      <c r="D101" s="101"/>
      <c r="E101" s="101"/>
      <c r="F101" s="101"/>
      <c r="G101" s="101"/>
      <c r="H101" s="101"/>
      <c r="I101" s="101"/>
      <c r="J101" s="99" t="s">
        <v>216</v>
      </c>
      <c r="K101" s="99" t="s">
        <v>217</v>
      </c>
      <c r="L101" s="99" t="s">
        <v>218</v>
      </c>
      <c r="M101" s="99" t="s">
        <v>219</v>
      </c>
      <c r="N101" s="99" t="s">
        <v>220</v>
      </c>
      <c r="O101" s="101"/>
      <c r="P101" s="101"/>
      <c r="Q101" s="101"/>
      <c r="R101" s="101"/>
      <c r="S101" s="101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1"/>
      <c r="C102" s="101"/>
      <c r="D102" s="99" t="s">
        <v>222</v>
      </c>
      <c r="E102" s="99" t="s">
        <v>223</v>
      </c>
      <c r="F102" s="99" t="s">
        <v>224</v>
      </c>
      <c r="G102" s="99" t="s">
        <v>225</v>
      </c>
      <c r="H102" s="99" t="s">
        <v>226</v>
      </c>
      <c r="I102" s="99" t="s">
        <v>227</v>
      </c>
      <c r="O102" s="99" t="s">
        <v>228</v>
      </c>
      <c r="P102" s="101"/>
      <c r="Q102" s="101"/>
      <c r="R102" s="101"/>
      <c r="S102" s="99" t="s">
        <v>229</v>
      </c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99" t="s">
        <v>230</v>
      </c>
      <c r="C103" s="99" t="s">
        <v>231</v>
      </c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99" t="s">
        <v>232</v>
      </c>
      <c r="Q103" s="99" t="s">
        <v>233</v>
      </c>
      <c r="R103" s="99" t="s">
        <v>234</v>
      </c>
      <c r="S103" s="101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3">
        <v>1.0</v>
      </c>
      <c r="C104" s="105">
        <v>1401199.0</v>
      </c>
      <c r="D104" s="104" t="s">
        <v>673</v>
      </c>
      <c r="E104" s="99" t="s">
        <v>674</v>
      </c>
      <c r="F104" s="99" t="s">
        <v>238</v>
      </c>
      <c r="G104" s="104" t="s">
        <v>239</v>
      </c>
      <c r="H104" s="99" t="s">
        <v>240</v>
      </c>
      <c r="I104" s="99" t="s">
        <v>676</v>
      </c>
      <c r="J104" s="99" t="s">
        <v>242</v>
      </c>
      <c r="K104" s="99" t="s">
        <v>677</v>
      </c>
      <c r="L104" s="99" t="s">
        <v>540</v>
      </c>
      <c r="M104" s="101"/>
      <c r="N104" s="99" t="s">
        <v>540</v>
      </c>
      <c r="O104" s="105">
        <v>2016.0</v>
      </c>
      <c r="P104" s="99" t="s">
        <v>274</v>
      </c>
      <c r="Q104" s="99" t="s">
        <v>246</v>
      </c>
      <c r="R104" s="99" t="s">
        <v>247</v>
      </c>
      <c r="S104" s="99" t="s">
        <v>679</v>
      </c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3">
        <v>2.0</v>
      </c>
      <c r="C105" s="99" t="s">
        <v>681</v>
      </c>
      <c r="D105" s="104" t="s">
        <v>682</v>
      </c>
      <c r="E105" s="99" t="s">
        <v>683</v>
      </c>
      <c r="F105" s="99" t="s">
        <v>684</v>
      </c>
      <c r="G105" s="104" t="s">
        <v>252</v>
      </c>
      <c r="H105" s="99" t="s">
        <v>240</v>
      </c>
      <c r="I105" s="99" t="s">
        <v>676</v>
      </c>
      <c r="J105" s="99" t="s">
        <v>242</v>
      </c>
      <c r="K105" s="99" t="s">
        <v>686</v>
      </c>
      <c r="L105" s="99" t="s">
        <v>360</v>
      </c>
      <c r="M105" s="101"/>
      <c r="N105" s="99" t="s">
        <v>360</v>
      </c>
      <c r="O105" s="105">
        <v>2011.0</v>
      </c>
      <c r="P105" s="99" t="s">
        <v>245</v>
      </c>
      <c r="Q105" s="99" t="s">
        <v>246</v>
      </c>
      <c r="R105" s="99" t="s">
        <v>247</v>
      </c>
      <c r="S105" s="99" t="s">
        <v>687</v>
      </c>
      <c r="T105" s="100"/>
      <c r="U105" s="100"/>
      <c r="V105" s="100"/>
      <c r="W105" s="100"/>
      <c r="X105" s="100"/>
      <c r="Y105" s="100"/>
      <c r="Z105" s="100"/>
    </row>
    <row r="106" ht="15.75" customHeight="1">
      <c r="A106" s="129"/>
      <c r="B106" s="130">
        <v>3.0</v>
      </c>
      <c r="C106" s="131">
        <v>2114564.0</v>
      </c>
      <c r="D106" s="132" t="s">
        <v>689</v>
      </c>
      <c r="E106" s="133" t="s">
        <v>691</v>
      </c>
      <c r="F106" s="133" t="s">
        <v>251</v>
      </c>
      <c r="G106" s="132" t="s">
        <v>252</v>
      </c>
      <c r="H106" s="133" t="s">
        <v>253</v>
      </c>
      <c r="I106" s="133" t="s">
        <v>254</v>
      </c>
      <c r="J106" s="133" t="s">
        <v>242</v>
      </c>
      <c r="K106" s="133" t="s">
        <v>692</v>
      </c>
      <c r="L106" s="133" t="s">
        <v>692</v>
      </c>
      <c r="M106" s="134"/>
      <c r="N106" s="133" t="s">
        <v>692</v>
      </c>
      <c r="O106" s="131">
        <v>2021.0</v>
      </c>
      <c r="P106" s="133" t="s">
        <v>256</v>
      </c>
      <c r="Q106" s="134"/>
      <c r="R106" s="133" t="s">
        <v>257</v>
      </c>
      <c r="S106" s="134"/>
      <c r="T106" s="129"/>
      <c r="U106" s="129"/>
      <c r="V106" s="129"/>
      <c r="W106" s="129"/>
      <c r="X106" s="129"/>
      <c r="Y106" s="129"/>
      <c r="Z106" s="129"/>
    </row>
    <row r="107" ht="15.75" customHeight="1">
      <c r="A107" s="129"/>
      <c r="B107" s="130">
        <v>4.0</v>
      </c>
      <c r="C107" s="131">
        <v>2214726.0</v>
      </c>
      <c r="D107" s="132" t="s">
        <v>694</v>
      </c>
      <c r="E107" s="133" t="s">
        <v>695</v>
      </c>
      <c r="F107" s="133" t="s">
        <v>251</v>
      </c>
      <c r="G107" s="132" t="s">
        <v>252</v>
      </c>
      <c r="H107" s="133" t="s">
        <v>253</v>
      </c>
      <c r="I107" s="133" t="s">
        <v>254</v>
      </c>
      <c r="J107" s="133" t="s">
        <v>242</v>
      </c>
      <c r="K107" s="133" t="s">
        <v>285</v>
      </c>
      <c r="L107" s="133" t="s">
        <v>285</v>
      </c>
      <c r="M107" s="134"/>
      <c r="N107" s="133" t="s">
        <v>285</v>
      </c>
      <c r="O107" s="131">
        <v>2022.0</v>
      </c>
      <c r="P107" s="133" t="s">
        <v>256</v>
      </c>
      <c r="Q107" s="134"/>
      <c r="R107" s="133" t="s">
        <v>257</v>
      </c>
      <c r="S107" s="134"/>
      <c r="T107" s="129"/>
      <c r="U107" s="129"/>
      <c r="V107" s="129"/>
      <c r="W107" s="129"/>
      <c r="X107" s="129"/>
      <c r="Y107" s="129"/>
      <c r="Z107" s="129"/>
    </row>
    <row r="108" ht="15.75" customHeight="1">
      <c r="A108" s="100"/>
      <c r="B108" s="103">
        <v>5.0</v>
      </c>
      <c r="C108" s="99" t="s">
        <v>697</v>
      </c>
      <c r="D108" s="104" t="s">
        <v>698</v>
      </c>
      <c r="E108" s="99" t="s">
        <v>699</v>
      </c>
      <c r="F108" s="99" t="s">
        <v>700</v>
      </c>
      <c r="G108" s="104" t="s">
        <v>252</v>
      </c>
      <c r="H108" s="99" t="s">
        <v>271</v>
      </c>
      <c r="I108" s="99" t="s">
        <v>271</v>
      </c>
      <c r="J108" s="99" t="s">
        <v>242</v>
      </c>
      <c r="K108" s="99" t="s">
        <v>701</v>
      </c>
      <c r="L108" s="99" t="s">
        <v>360</v>
      </c>
      <c r="M108" s="101"/>
      <c r="N108" s="99" t="s">
        <v>360</v>
      </c>
      <c r="O108" s="105">
        <v>2011.0</v>
      </c>
      <c r="P108" s="99" t="s">
        <v>322</v>
      </c>
      <c r="Q108" s="99" t="s">
        <v>309</v>
      </c>
      <c r="R108" s="99" t="s">
        <v>257</v>
      </c>
      <c r="S108" s="99" t="s">
        <v>703</v>
      </c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3">
        <v>6.0</v>
      </c>
      <c r="C109" s="105">
        <v>1201127.0</v>
      </c>
      <c r="D109" s="104" t="s">
        <v>705</v>
      </c>
      <c r="E109" s="99" t="s">
        <v>706</v>
      </c>
      <c r="F109" s="99" t="s">
        <v>700</v>
      </c>
      <c r="G109" s="104" t="s">
        <v>252</v>
      </c>
      <c r="H109" s="99" t="s">
        <v>271</v>
      </c>
      <c r="I109" s="99" t="s">
        <v>271</v>
      </c>
      <c r="J109" s="99" t="s">
        <v>242</v>
      </c>
      <c r="K109" s="99" t="s">
        <v>708</v>
      </c>
      <c r="L109" s="99" t="s">
        <v>548</v>
      </c>
      <c r="M109" s="101"/>
      <c r="N109" s="99" t="s">
        <v>548</v>
      </c>
      <c r="O109" s="105">
        <v>2015.0</v>
      </c>
      <c r="P109" s="99" t="s">
        <v>265</v>
      </c>
      <c r="Q109" s="99" t="s">
        <v>323</v>
      </c>
      <c r="R109" s="99" t="s">
        <v>257</v>
      </c>
      <c r="S109" s="99" t="s">
        <v>709</v>
      </c>
      <c r="T109" s="100"/>
      <c r="U109" s="100"/>
      <c r="V109" s="100"/>
      <c r="W109" s="100"/>
      <c r="X109" s="100"/>
      <c r="Y109" s="100"/>
      <c r="Z109" s="100"/>
    </row>
    <row r="110" ht="15.75" customHeight="1">
      <c r="A110" s="129"/>
      <c r="B110" s="130">
        <v>7.0</v>
      </c>
      <c r="C110" s="131">
        <v>1914395.0</v>
      </c>
      <c r="D110" s="132" t="s">
        <v>710</v>
      </c>
      <c r="E110" s="133" t="s">
        <v>711</v>
      </c>
      <c r="F110" s="133" t="s">
        <v>712</v>
      </c>
      <c r="G110" s="132" t="s">
        <v>344</v>
      </c>
      <c r="H110" s="133" t="s">
        <v>290</v>
      </c>
      <c r="I110" s="133" t="s">
        <v>37</v>
      </c>
      <c r="J110" s="133" t="s">
        <v>242</v>
      </c>
      <c r="K110" s="133" t="s">
        <v>713</v>
      </c>
      <c r="L110" s="133" t="s">
        <v>713</v>
      </c>
      <c r="M110" s="134"/>
      <c r="N110" s="133" t="s">
        <v>713</v>
      </c>
      <c r="O110" s="131">
        <v>2019.0</v>
      </c>
      <c r="P110" s="133" t="s">
        <v>256</v>
      </c>
      <c r="Q110" s="134"/>
      <c r="R110" s="133" t="s">
        <v>257</v>
      </c>
      <c r="S110" s="133" t="s">
        <v>255</v>
      </c>
      <c r="T110" s="129"/>
      <c r="U110" s="129"/>
      <c r="V110" s="129"/>
      <c r="W110" s="129"/>
      <c r="X110" s="129"/>
      <c r="Y110" s="129"/>
      <c r="Z110" s="129"/>
    </row>
    <row r="111" ht="15.75" customHeight="1">
      <c r="A111" s="100"/>
      <c r="B111" s="101"/>
      <c r="C111" s="101"/>
      <c r="D111" s="99" t="s">
        <v>405</v>
      </c>
      <c r="E111" s="101"/>
      <c r="F111" s="101"/>
      <c r="G111" s="101"/>
      <c r="H111" s="101"/>
      <c r="I111" s="101"/>
      <c r="J111" s="101"/>
      <c r="K111" s="101" t="s">
        <v>714</v>
      </c>
      <c r="M111" s="101"/>
      <c r="N111" s="101"/>
      <c r="O111" s="101"/>
      <c r="P111" s="101"/>
      <c r="Q111" s="101"/>
      <c r="R111" s="101"/>
      <c r="S111" s="101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3">
        <v>1.0</v>
      </c>
      <c r="C112" s="105">
        <v>2114499.0</v>
      </c>
      <c r="D112" s="104" t="s">
        <v>715</v>
      </c>
      <c r="E112" s="99" t="s">
        <v>716</v>
      </c>
      <c r="F112" s="99" t="s">
        <v>700</v>
      </c>
      <c r="G112" s="104" t="s">
        <v>252</v>
      </c>
      <c r="H112" s="99" t="s">
        <v>271</v>
      </c>
      <c r="I112" s="99" t="s">
        <v>271</v>
      </c>
      <c r="J112" s="99" t="s">
        <v>463</v>
      </c>
      <c r="K112" s="99" t="s">
        <v>320</v>
      </c>
      <c r="L112" s="99" t="s">
        <v>321</v>
      </c>
      <c r="M112" s="99" t="s">
        <v>413</v>
      </c>
      <c r="N112" s="101"/>
      <c r="O112" s="101"/>
      <c r="P112" s="99" t="s">
        <v>508</v>
      </c>
      <c r="Q112" s="99" t="s">
        <v>275</v>
      </c>
      <c r="R112" s="99" t="s">
        <v>257</v>
      </c>
      <c r="S112" s="99" t="s">
        <v>717</v>
      </c>
      <c r="T112" s="100"/>
      <c r="U112" s="100"/>
      <c r="V112" s="100"/>
      <c r="W112" s="100"/>
      <c r="X112" s="100"/>
      <c r="Y112" s="100"/>
      <c r="Z112" s="100"/>
    </row>
    <row r="113" ht="15.75" customHeight="1">
      <c r="A113" s="129"/>
      <c r="B113" s="130">
        <v>2.0</v>
      </c>
      <c r="C113" s="131">
        <v>2414873.0</v>
      </c>
      <c r="D113" s="132" t="s">
        <v>718</v>
      </c>
      <c r="E113" s="133" t="s">
        <v>719</v>
      </c>
      <c r="F113" s="133" t="s">
        <v>720</v>
      </c>
      <c r="G113" s="132" t="s">
        <v>252</v>
      </c>
      <c r="H113" s="133" t="s">
        <v>314</v>
      </c>
      <c r="I113" s="133" t="s">
        <v>721</v>
      </c>
      <c r="J113" s="133" t="s">
        <v>418</v>
      </c>
      <c r="K113" s="133" t="s">
        <v>321</v>
      </c>
      <c r="L113" s="133" t="s">
        <v>321</v>
      </c>
      <c r="M113" s="133" t="s">
        <v>413</v>
      </c>
      <c r="N113" s="134"/>
      <c r="O113" s="134"/>
      <c r="P113" s="133" t="s">
        <v>256</v>
      </c>
      <c r="Q113" s="134"/>
      <c r="R113" s="133" t="s">
        <v>257</v>
      </c>
      <c r="S113" s="134"/>
      <c r="T113" s="129"/>
      <c r="U113" s="129"/>
      <c r="V113" s="129"/>
      <c r="W113" s="129"/>
      <c r="X113" s="129"/>
      <c r="Y113" s="129"/>
      <c r="Z113" s="129"/>
    </row>
    <row r="114" ht="15.75" customHeight="1">
      <c r="A114" s="100"/>
      <c r="B114" s="101"/>
      <c r="C114" s="101"/>
      <c r="D114" s="99" t="s">
        <v>405</v>
      </c>
      <c r="E114" s="101"/>
      <c r="F114" s="101"/>
      <c r="G114" s="101"/>
      <c r="H114" s="101"/>
      <c r="I114" s="101"/>
      <c r="J114" s="101"/>
      <c r="K114" s="101" t="s">
        <v>722</v>
      </c>
      <c r="M114" s="101"/>
      <c r="N114" s="101"/>
      <c r="O114" s="101"/>
      <c r="P114" s="101"/>
      <c r="Q114" s="101"/>
      <c r="R114" s="101"/>
      <c r="S114" s="101"/>
      <c r="T114" s="100"/>
      <c r="U114" s="100"/>
      <c r="V114" s="100"/>
      <c r="W114" s="100"/>
      <c r="X114" s="100"/>
      <c r="Y114" s="100"/>
      <c r="Z114" s="100"/>
    </row>
    <row r="115" ht="15.75" customHeight="1">
      <c r="A115" s="97" t="s">
        <v>724</v>
      </c>
      <c r="B115" s="99" t="s">
        <v>725</v>
      </c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1"/>
      <c r="C116" s="101"/>
      <c r="D116" s="101"/>
      <c r="E116" s="101"/>
      <c r="F116" s="101"/>
      <c r="G116" s="101"/>
      <c r="H116" s="101"/>
      <c r="I116" s="101"/>
      <c r="J116" s="99" t="s">
        <v>216</v>
      </c>
      <c r="K116" s="99" t="s">
        <v>217</v>
      </c>
      <c r="L116" s="99" t="s">
        <v>218</v>
      </c>
      <c r="M116" s="99" t="s">
        <v>219</v>
      </c>
      <c r="N116" s="99" t="s">
        <v>220</v>
      </c>
      <c r="O116" s="101"/>
      <c r="P116" s="101"/>
      <c r="Q116" s="101"/>
      <c r="R116" s="101"/>
      <c r="S116" s="101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1"/>
      <c r="C117" s="101"/>
      <c r="D117" s="99" t="s">
        <v>222</v>
      </c>
      <c r="E117" s="99" t="s">
        <v>223</v>
      </c>
      <c r="F117" s="99" t="s">
        <v>224</v>
      </c>
      <c r="G117" s="99" t="s">
        <v>225</v>
      </c>
      <c r="H117" s="99" t="s">
        <v>226</v>
      </c>
      <c r="I117" s="99" t="s">
        <v>227</v>
      </c>
      <c r="O117" s="99" t="s">
        <v>228</v>
      </c>
      <c r="P117" s="101"/>
      <c r="Q117" s="101"/>
      <c r="R117" s="101"/>
      <c r="S117" s="99" t="s">
        <v>229</v>
      </c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99" t="s">
        <v>230</v>
      </c>
      <c r="C118" s="99" t="s">
        <v>231</v>
      </c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99" t="s">
        <v>232</v>
      </c>
      <c r="Q118" s="99" t="s">
        <v>233</v>
      </c>
      <c r="R118" s="99" t="s">
        <v>234</v>
      </c>
      <c r="S118" s="101"/>
      <c r="T118" s="100"/>
      <c r="U118" s="100"/>
      <c r="V118" s="100"/>
      <c r="W118" s="100"/>
      <c r="X118" s="100"/>
      <c r="Y118" s="100"/>
      <c r="Z118" s="100"/>
    </row>
    <row r="119" ht="15.75" customHeight="1">
      <c r="A119" s="129"/>
      <c r="B119" s="130">
        <v>1.0</v>
      </c>
      <c r="C119" s="131">
        <v>2114678.0</v>
      </c>
      <c r="D119" s="132" t="s">
        <v>728</v>
      </c>
      <c r="E119" s="133" t="s">
        <v>729</v>
      </c>
      <c r="F119" s="133" t="s">
        <v>730</v>
      </c>
      <c r="G119" s="132" t="s">
        <v>252</v>
      </c>
      <c r="H119" s="133" t="s">
        <v>253</v>
      </c>
      <c r="I119" s="133" t="s">
        <v>254</v>
      </c>
      <c r="J119" s="133" t="s">
        <v>242</v>
      </c>
      <c r="K119" s="133" t="s">
        <v>493</v>
      </c>
      <c r="L119" s="133" t="s">
        <v>493</v>
      </c>
      <c r="M119" s="134"/>
      <c r="N119" s="133" t="s">
        <v>493</v>
      </c>
      <c r="O119" s="131">
        <v>2021.0</v>
      </c>
      <c r="P119" s="133" t="s">
        <v>256</v>
      </c>
      <c r="Q119" s="134"/>
      <c r="R119" s="133" t="s">
        <v>257</v>
      </c>
      <c r="S119" s="134"/>
      <c r="T119" s="129"/>
      <c r="U119" s="129"/>
      <c r="V119" s="129"/>
      <c r="W119" s="129"/>
      <c r="X119" s="129"/>
      <c r="Y119" s="129"/>
      <c r="Z119" s="129"/>
    </row>
    <row r="120" ht="15.75" customHeight="1">
      <c r="A120" s="129"/>
      <c r="B120" s="130">
        <v>2.0</v>
      </c>
      <c r="C120" s="131">
        <v>2314818.0</v>
      </c>
      <c r="D120" s="132" t="s">
        <v>731</v>
      </c>
      <c r="E120" s="133" t="s">
        <v>732</v>
      </c>
      <c r="F120" s="133" t="s">
        <v>730</v>
      </c>
      <c r="G120" s="132" t="s">
        <v>252</v>
      </c>
      <c r="H120" s="133" t="s">
        <v>253</v>
      </c>
      <c r="I120" s="133" t="s">
        <v>254</v>
      </c>
      <c r="J120" s="133" t="s">
        <v>242</v>
      </c>
      <c r="K120" s="133" t="s">
        <v>299</v>
      </c>
      <c r="L120" s="133" t="s">
        <v>299</v>
      </c>
      <c r="M120" s="134"/>
      <c r="N120" s="133" t="s">
        <v>299</v>
      </c>
      <c r="O120" s="131">
        <v>2023.0</v>
      </c>
      <c r="P120" s="133" t="s">
        <v>256</v>
      </c>
      <c r="Q120" s="134"/>
      <c r="R120" s="133" t="s">
        <v>257</v>
      </c>
      <c r="S120" s="134"/>
      <c r="T120" s="129"/>
      <c r="U120" s="129"/>
      <c r="V120" s="129"/>
      <c r="W120" s="129"/>
      <c r="X120" s="129"/>
      <c r="Y120" s="129"/>
      <c r="Z120" s="129"/>
    </row>
    <row r="121" ht="15.75" customHeight="1">
      <c r="A121" s="100"/>
      <c r="B121" s="103">
        <v>3.0</v>
      </c>
      <c r="C121" s="105">
        <v>2114656.0</v>
      </c>
      <c r="D121" s="104" t="s">
        <v>733</v>
      </c>
      <c r="E121" s="99" t="s">
        <v>735</v>
      </c>
      <c r="F121" s="99" t="s">
        <v>736</v>
      </c>
      <c r="G121" s="104" t="s">
        <v>261</v>
      </c>
      <c r="H121" s="99" t="s">
        <v>262</v>
      </c>
      <c r="I121" s="99" t="s">
        <v>263</v>
      </c>
      <c r="J121" s="99" t="s">
        <v>242</v>
      </c>
      <c r="K121" s="99" t="s">
        <v>393</v>
      </c>
      <c r="L121" s="99" t="s">
        <v>321</v>
      </c>
      <c r="M121" s="99" t="s">
        <v>413</v>
      </c>
      <c r="N121" s="99" t="s">
        <v>321</v>
      </c>
      <c r="O121" s="105">
        <v>2024.0</v>
      </c>
      <c r="P121" s="99" t="s">
        <v>322</v>
      </c>
      <c r="Q121" s="99" t="s">
        <v>414</v>
      </c>
      <c r="R121" s="99" t="s">
        <v>257</v>
      </c>
      <c r="S121" s="99" t="s">
        <v>737</v>
      </c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3">
        <v>4.0</v>
      </c>
      <c r="C122" s="105">
        <v>1814139.0</v>
      </c>
      <c r="D122" s="104" t="s">
        <v>739</v>
      </c>
      <c r="E122" s="99" t="s">
        <v>740</v>
      </c>
      <c r="F122" s="99" t="s">
        <v>741</v>
      </c>
      <c r="G122" s="104" t="s">
        <v>252</v>
      </c>
      <c r="H122" s="99" t="s">
        <v>271</v>
      </c>
      <c r="I122" s="99" t="s">
        <v>425</v>
      </c>
      <c r="J122" s="99" t="s">
        <v>242</v>
      </c>
      <c r="K122" s="99" t="s">
        <v>535</v>
      </c>
      <c r="L122" s="99" t="s">
        <v>255</v>
      </c>
      <c r="M122" s="101"/>
      <c r="N122" s="99" t="s">
        <v>255</v>
      </c>
      <c r="O122" s="105">
        <v>2019.0</v>
      </c>
      <c r="P122" s="99" t="s">
        <v>245</v>
      </c>
      <c r="Q122" s="99" t="s">
        <v>323</v>
      </c>
      <c r="R122" s="99" t="s">
        <v>257</v>
      </c>
      <c r="S122" s="99" t="s">
        <v>742</v>
      </c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3">
        <v>5.0</v>
      </c>
      <c r="C123" s="105">
        <v>2114578.0</v>
      </c>
      <c r="D123" s="104" t="s">
        <v>743</v>
      </c>
      <c r="E123" s="99" t="s">
        <v>744</v>
      </c>
      <c r="F123" s="99" t="s">
        <v>279</v>
      </c>
      <c r="G123" s="104" t="s">
        <v>252</v>
      </c>
      <c r="H123" s="99" t="s">
        <v>271</v>
      </c>
      <c r="I123" s="99" t="s">
        <v>271</v>
      </c>
      <c r="J123" s="99" t="s">
        <v>242</v>
      </c>
      <c r="K123" s="99" t="s">
        <v>745</v>
      </c>
      <c r="L123" s="99" t="s">
        <v>321</v>
      </c>
      <c r="M123" s="101"/>
      <c r="N123" s="99" t="s">
        <v>321</v>
      </c>
      <c r="O123" s="105">
        <v>2024.0</v>
      </c>
      <c r="P123" s="99" t="s">
        <v>245</v>
      </c>
      <c r="Q123" s="99" t="s">
        <v>246</v>
      </c>
      <c r="R123" s="99" t="s">
        <v>257</v>
      </c>
      <c r="S123" s="99" t="s">
        <v>746</v>
      </c>
      <c r="T123" s="100"/>
      <c r="U123" s="100"/>
      <c r="V123" s="100"/>
      <c r="W123" s="100"/>
      <c r="X123" s="100"/>
      <c r="Y123" s="100"/>
      <c r="Z123" s="100"/>
    </row>
    <row r="124" ht="15.75" customHeight="1">
      <c r="A124" s="129"/>
      <c r="B124" s="130">
        <v>6.0</v>
      </c>
      <c r="C124" s="131">
        <v>2314861.0</v>
      </c>
      <c r="D124" s="132" t="s">
        <v>748</v>
      </c>
      <c r="E124" s="133" t="s">
        <v>749</v>
      </c>
      <c r="F124" s="133" t="s">
        <v>750</v>
      </c>
      <c r="G124" s="132" t="s">
        <v>252</v>
      </c>
      <c r="H124" s="133" t="s">
        <v>290</v>
      </c>
      <c r="I124" s="133" t="s">
        <v>291</v>
      </c>
      <c r="J124" s="133" t="s">
        <v>242</v>
      </c>
      <c r="K124" s="133" t="s">
        <v>606</v>
      </c>
      <c r="L124" s="133" t="s">
        <v>606</v>
      </c>
      <c r="M124" s="134"/>
      <c r="N124" s="133" t="s">
        <v>606</v>
      </c>
      <c r="O124" s="131">
        <v>2023.0</v>
      </c>
      <c r="P124" s="133" t="s">
        <v>256</v>
      </c>
      <c r="Q124" s="134"/>
      <c r="R124" s="133" t="s">
        <v>257</v>
      </c>
      <c r="S124" s="134"/>
      <c r="T124" s="129"/>
      <c r="U124" s="129"/>
      <c r="V124" s="129"/>
      <c r="W124" s="129"/>
      <c r="X124" s="129"/>
      <c r="Y124" s="129"/>
      <c r="Z124" s="129"/>
    </row>
    <row r="125" ht="15.75" customHeight="1">
      <c r="A125" s="100"/>
      <c r="B125" s="103">
        <v>7.0</v>
      </c>
      <c r="C125" s="105">
        <v>1101069.0</v>
      </c>
      <c r="D125" s="104" t="s">
        <v>752</v>
      </c>
      <c r="E125" s="99" t="s">
        <v>754</v>
      </c>
      <c r="F125" s="99" t="s">
        <v>305</v>
      </c>
      <c r="G125" s="104" t="s">
        <v>252</v>
      </c>
      <c r="H125" s="99" t="s">
        <v>290</v>
      </c>
      <c r="I125" s="99" t="s">
        <v>37</v>
      </c>
      <c r="J125" s="99" t="s">
        <v>242</v>
      </c>
      <c r="K125" s="99" t="s">
        <v>755</v>
      </c>
      <c r="L125" s="99" t="s">
        <v>548</v>
      </c>
      <c r="M125" s="101"/>
      <c r="N125" s="99" t="s">
        <v>548</v>
      </c>
      <c r="O125" s="105">
        <v>2015.0</v>
      </c>
      <c r="P125" s="99" t="s">
        <v>322</v>
      </c>
      <c r="Q125" s="99" t="s">
        <v>323</v>
      </c>
      <c r="R125" s="99" t="s">
        <v>257</v>
      </c>
      <c r="S125" s="99" t="s">
        <v>756</v>
      </c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3">
        <v>8.0</v>
      </c>
      <c r="C126" s="105">
        <v>1114849.0</v>
      </c>
      <c r="D126" s="104" t="s">
        <v>757</v>
      </c>
      <c r="E126" s="99" t="s">
        <v>758</v>
      </c>
      <c r="F126" s="99" t="s">
        <v>305</v>
      </c>
      <c r="G126" s="104" t="s">
        <v>252</v>
      </c>
      <c r="H126" s="99" t="s">
        <v>290</v>
      </c>
      <c r="I126" s="99" t="s">
        <v>37</v>
      </c>
      <c r="J126" s="99" t="s">
        <v>242</v>
      </c>
      <c r="K126" s="99" t="s">
        <v>755</v>
      </c>
      <c r="L126" s="99" t="s">
        <v>548</v>
      </c>
      <c r="M126" s="101"/>
      <c r="N126" s="99" t="s">
        <v>548</v>
      </c>
      <c r="O126" s="105">
        <v>2015.0</v>
      </c>
      <c r="P126" s="99" t="s">
        <v>322</v>
      </c>
      <c r="Q126" s="99" t="s">
        <v>323</v>
      </c>
      <c r="R126" s="99" t="s">
        <v>257</v>
      </c>
      <c r="S126" s="99" t="s">
        <v>756</v>
      </c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3">
        <v>9.0</v>
      </c>
      <c r="C127" s="99" t="s">
        <v>760</v>
      </c>
      <c r="D127" s="104" t="s">
        <v>761</v>
      </c>
      <c r="E127" s="99" t="s">
        <v>762</v>
      </c>
      <c r="F127" s="99" t="s">
        <v>763</v>
      </c>
      <c r="G127" s="104" t="s">
        <v>252</v>
      </c>
      <c r="H127" s="99" t="s">
        <v>314</v>
      </c>
      <c r="I127" s="99" t="s">
        <v>352</v>
      </c>
      <c r="J127" s="99" t="s">
        <v>242</v>
      </c>
      <c r="K127" s="99" t="s">
        <v>764</v>
      </c>
      <c r="L127" s="99" t="s">
        <v>360</v>
      </c>
      <c r="M127" s="101"/>
      <c r="N127" s="99" t="s">
        <v>360</v>
      </c>
      <c r="O127" s="105">
        <v>2011.0</v>
      </c>
      <c r="P127" s="99" t="s">
        <v>322</v>
      </c>
      <c r="Q127" s="99" t="s">
        <v>323</v>
      </c>
      <c r="R127" s="99" t="s">
        <v>257</v>
      </c>
      <c r="S127" s="99" t="s">
        <v>765</v>
      </c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3">
        <v>10.0</v>
      </c>
      <c r="C128" s="105">
        <v>1914388.0</v>
      </c>
      <c r="D128" s="104" t="s">
        <v>767</v>
      </c>
      <c r="E128" s="99" t="s">
        <v>769</v>
      </c>
      <c r="F128" s="99" t="s">
        <v>763</v>
      </c>
      <c r="G128" s="104" t="s">
        <v>252</v>
      </c>
      <c r="H128" s="99" t="s">
        <v>314</v>
      </c>
      <c r="I128" s="99" t="s">
        <v>352</v>
      </c>
      <c r="J128" s="99" t="s">
        <v>242</v>
      </c>
      <c r="K128" s="99" t="s">
        <v>713</v>
      </c>
      <c r="L128" s="99" t="s">
        <v>299</v>
      </c>
      <c r="M128" s="101"/>
      <c r="N128" s="99" t="s">
        <v>299</v>
      </c>
      <c r="O128" s="105">
        <v>2023.0</v>
      </c>
      <c r="P128" s="99" t="s">
        <v>300</v>
      </c>
      <c r="Q128" s="99" t="s">
        <v>293</v>
      </c>
      <c r="R128" s="99" t="s">
        <v>257</v>
      </c>
      <c r="S128" s="99" t="s">
        <v>770</v>
      </c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3">
        <v>11.0</v>
      </c>
      <c r="C129" s="105">
        <v>1401177.0</v>
      </c>
      <c r="D129" s="104" t="s">
        <v>782</v>
      </c>
      <c r="E129" s="99" t="s">
        <v>783</v>
      </c>
      <c r="F129" s="99" t="s">
        <v>784</v>
      </c>
      <c r="G129" s="104" t="s">
        <v>252</v>
      </c>
      <c r="H129" s="99" t="s">
        <v>314</v>
      </c>
      <c r="I129" s="99" t="s">
        <v>721</v>
      </c>
      <c r="J129" s="99" t="s">
        <v>242</v>
      </c>
      <c r="K129" s="99" t="s">
        <v>785</v>
      </c>
      <c r="L129" s="99" t="s">
        <v>299</v>
      </c>
      <c r="M129" s="101"/>
      <c r="N129" s="99" t="s">
        <v>299</v>
      </c>
      <c r="O129" s="105">
        <v>2023.0</v>
      </c>
      <c r="P129" s="99" t="s">
        <v>256</v>
      </c>
      <c r="Q129" s="99" t="s">
        <v>323</v>
      </c>
      <c r="R129" s="99" t="s">
        <v>257</v>
      </c>
      <c r="S129" s="99" t="s">
        <v>786</v>
      </c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3">
        <v>12.0</v>
      </c>
      <c r="C130" s="99" t="s">
        <v>787</v>
      </c>
      <c r="D130" s="104" t="s">
        <v>788</v>
      </c>
      <c r="E130" s="99" t="s">
        <v>789</v>
      </c>
      <c r="F130" s="99" t="s">
        <v>790</v>
      </c>
      <c r="G130" s="104" t="s">
        <v>252</v>
      </c>
      <c r="H130" s="99" t="s">
        <v>314</v>
      </c>
      <c r="I130" s="99" t="s">
        <v>721</v>
      </c>
      <c r="J130" s="99" t="s">
        <v>242</v>
      </c>
      <c r="K130" s="99" t="s">
        <v>791</v>
      </c>
      <c r="L130" s="99" t="s">
        <v>403</v>
      </c>
      <c r="M130" s="101"/>
      <c r="N130" s="99" t="s">
        <v>403</v>
      </c>
      <c r="O130" s="105">
        <v>2014.0</v>
      </c>
      <c r="P130" s="99" t="s">
        <v>245</v>
      </c>
      <c r="Q130" s="99" t="s">
        <v>361</v>
      </c>
      <c r="R130" s="99" t="s">
        <v>257</v>
      </c>
      <c r="S130" s="99" t="s">
        <v>792</v>
      </c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3">
        <v>13.0</v>
      </c>
      <c r="C131" s="99" t="s">
        <v>793</v>
      </c>
      <c r="D131" s="104" t="s">
        <v>794</v>
      </c>
      <c r="E131" s="99" t="s">
        <v>795</v>
      </c>
      <c r="F131" s="99" t="s">
        <v>790</v>
      </c>
      <c r="G131" s="104" t="s">
        <v>252</v>
      </c>
      <c r="H131" s="99" t="s">
        <v>314</v>
      </c>
      <c r="I131" s="99" t="s">
        <v>721</v>
      </c>
      <c r="J131" s="99" t="s">
        <v>242</v>
      </c>
      <c r="K131" s="99" t="s">
        <v>796</v>
      </c>
      <c r="L131" s="99" t="s">
        <v>360</v>
      </c>
      <c r="M131" s="101"/>
      <c r="N131" s="99" t="s">
        <v>360</v>
      </c>
      <c r="O131" s="105">
        <v>2011.0</v>
      </c>
      <c r="P131" s="99" t="s">
        <v>265</v>
      </c>
      <c r="Q131" s="99" t="s">
        <v>323</v>
      </c>
      <c r="R131" s="99" t="s">
        <v>257</v>
      </c>
      <c r="S131" s="99" t="s">
        <v>797</v>
      </c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3">
        <v>14.0</v>
      </c>
      <c r="C132" s="105">
        <v>1914407.0</v>
      </c>
      <c r="D132" s="104" t="s">
        <v>798</v>
      </c>
      <c r="E132" s="99" t="s">
        <v>799</v>
      </c>
      <c r="F132" s="99" t="s">
        <v>578</v>
      </c>
      <c r="G132" s="104" t="s">
        <v>252</v>
      </c>
      <c r="H132" s="99" t="s">
        <v>314</v>
      </c>
      <c r="I132" s="99" t="s">
        <v>352</v>
      </c>
      <c r="J132" s="99" t="s">
        <v>242</v>
      </c>
      <c r="K132" s="99" t="s">
        <v>800</v>
      </c>
      <c r="L132" s="99" t="s">
        <v>299</v>
      </c>
      <c r="M132" s="101"/>
      <c r="N132" s="99" t="s">
        <v>299</v>
      </c>
      <c r="O132" s="105">
        <v>2023.0</v>
      </c>
      <c r="P132" s="99" t="s">
        <v>274</v>
      </c>
      <c r="Q132" s="99" t="s">
        <v>801</v>
      </c>
      <c r="R132" s="99" t="s">
        <v>257</v>
      </c>
      <c r="S132" s="99" t="s">
        <v>802</v>
      </c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3">
        <v>15.0</v>
      </c>
      <c r="C133" s="105">
        <v>1601307.0</v>
      </c>
      <c r="D133" s="104" t="s">
        <v>803</v>
      </c>
      <c r="E133" s="99" t="s">
        <v>804</v>
      </c>
      <c r="F133" s="99" t="s">
        <v>805</v>
      </c>
      <c r="G133" s="104" t="s">
        <v>252</v>
      </c>
      <c r="H133" s="99" t="s">
        <v>314</v>
      </c>
      <c r="I133" s="99" t="s">
        <v>315</v>
      </c>
      <c r="J133" s="99" t="s">
        <v>242</v>
      </c>
      <c r="K133" s="99" t="s">
        <v>806</v>
      </c>
      <c r="L133" s="99" t="s">
        <v>255</v>
      </c>
      <c r="M133" s="101"/>
      <c r="N133" s="99" t="s">
        <v>255</v>
      </c>
      <c r="O133" s="105">
        <v>2019.0</v>
      </c>
      <c r="P133" s="99" t="s">
        <v>265</v>
      </c>
      <c r="Q133" s="99" t="s">
        <v>275</v>
      </c>
      <c r="R133" s="99" t="s">
        <v>257</v>
      </c>
      <c r="S133" s="99" t="s">
        <v>807</v>
      </c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3">
        <v>16.0</v>
      </c>
      <c r="C134" s="99" t="s">
        <v>808</v>
      </c>
      <c r="D134" s="104" t="s">
        <v>809</v>
      </c>
      <c r="E134" s="105">
        <v>1106328.0</v>
      </c>
      <c r="F134" s="99" t="s">
        <v>810</v>
      </c>
      <c r="G134" s="104" t="s">
        <v>239</v>
      </c>
      <c r="H134" s="99" t="s">
        <v>314</v>
      </c>
      <c r="I134" s="99" t="s">
        <v>352</v>
      </c>
      <c r="J134" s="99" t="s">
        <v>242</v>
      </c>
      <c r="K134" s="99" t="s">
        <v>811</v>
      </c>
      <c r="L134" s="99" t="s">
        <v>812</v>
      </c>
      <c r="M134" s="101"/>
      <c r="N134" s="99" t="s">
        <v>812</v>
      </c>
      <c r="O134" s="105">
        <v>2005.0</v>
      </c>
      <c r="P134" s="99" t="s">
        <v>265</v>
      </c>
      <c r="Q134" s="99" t="s">
        <v>309</v>
      </c>
      <c r="R134" s="99" t="s">
        <v>257</v>
      </c>
      <c r="S134" s="99" t="s">
        <v>813</v>
      </c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3">
        <v>17.0</v>
      </c>
      <c r="C135" s="105">
        <v>2014452.0</v>
      </c>
      <c r="D135" s="104" t="s">
        <v>814</v>
      </c>
      <c r="E135" s="99" t="s">
        <v>815</v>
      </c>
      <c r="F135" s="99" t="s">
        <v>387</v>
      </c>
      <c r="G135" s="104" t="s">
        <v>252</v>
      </c>
      <c r="H135" s="99" t="s">
        <v>388</v>
      </c>
      <c r="I135" s="99" t="s">
        <v>387</v>
      </c>
      <c r="J135" s="99" t="s">
        <v>242</v>
      </c>
      <c r="K135" s="99" t="s">
        <v>563</v>
      </c>
      <c r="L135" s="99" t="s">
        <v>320</v>
      </c>
      <c r="M135" s="101"/>
      <c r="N135" s="99" t="s">
        <v>320</v>
      </c>
      <c r="O135" s="105">
        <v>2021.0</v>
      </c>
      <c r="P135" s="99" t="s">
        <v>245</v>
      </c>
      <c r="Q135" s="99" t="s">
        <v>246</v>
      </c>
      <c r="R135" s="99" t="s">
        <v>257</v>
      </c>
      <c r="S135" s="99" t="s">
        <v>817</v>
      </c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3">
        <v>18.0</v>
      </c>
      <c r="C136" s="99" t="s">
        <v>819</v>
      </c>
      <c r="D136" s="104" t="s">
        <v>820</v>
      </c>
      <c r="E136" s="105">
        <v>1106357.0</v>
      </c>
      <c r="F136" s="99" t="s">
        <v>392</v>
      </c>
      <c r="G136" s="104" t="s">
        <v>344</v>
      </c>
      <c r="H136" s="99" t="s">
        <v>388</v>
      </c>
      <c r="I136" s="99" t="s">
        <v>387</v>
      </c>
      <c r="J136" s="99" t="s">
        <v>242</v>
      </c>
      <c r="K136" s="99" t="s">
        <v>822</v>
      </c>
      <c r="L136" s="99" t="s">
        <v>823</v>
      </c>
      <c r="M136" s="101"/>
      <c r="N136" s="99" t="s">
        <v>823</v>
      </c>
      <c r="O136" s="105">
        <v>2006.0</v>
      </c>
      <c r="P136" s="99" t="s">
        <v>322</v>
      </c>
      <c r="Q136" s="99" t="s">
        <v>275</v>
      </c>
      <c r="R136" s="99" t="s">
        <v>257</v>
      </c>
      <c r="S136" s="99" t="s">
        <v>824</v>
      </c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1"/>
      <c r="C137" s="101"/>
      <c r="D137" s="99" t="s">
        <v>405</v>
      </c>
      <c r="E137" s="101"/>
      <c r="F137" s="101"/>
      <c r="G137" s="101"/>
      <c r="H137" s="101"/>
      <c r="I137" s="101"/>
      <c r="J137" s="101"/>
      <c r="K137" s="101" t="s">
        <v>511</v>
      </c>
      <c r="M137" s="101"/>
      <c r="N137" s="101"/>
      <c r="O137" s="101"/>
      <c r="P137" s="101"/>
      <c r="Q137" s="101"/>
      <c r="R137" s="101"/>
      <c r="S137" s="101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3">
        <v>1.0</v>
      </c>
      <c r="C138" s="105">
        <v>2214742.0</v>
      </c>
      <c r="D138" s="104" t="s">
        <v>825</v>
      </c>
      <c r="E138" s="99" t="s">
        <v>826</v>
      </c>
      <c r="F138" s="99" t="s">
        <v>684</v>
      </c>
      <c r="G138" s="104" t="s">
        <v>252</v>
      </c>
      <c r="H138" s="99" t="s">
        <v>240</v>
      </c>
      <c r="I138" s="99" t="s">
        <v>676</v>
      </c>
      <c r="J138" s="99" t="s">
        <v>451</v>
      </c>
      <c r="K138" s="99" t="s">
        <v>827</v>
      </c>
      <c r="L138" s="99" t="s">
        <v>321</v>
      </c>
      <c r="M138" s="99" t="s">
        <v>413</v>
      </c>
      <c r="N138" s="101"/>
      <c r="O138" s="101"/>
      <c r="P138" s="99" t="s">
        <v>256</v>
      </c>
      <c r="Q138" s="99" t="s">
        <v>246</v>
      </c>
      <c r="R138" s="99" t="s">
        <v>247</v>
      </c>
      <c r="S138" s="99" t="s">
        <v>828</v>
      </c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3">
        <v>2.0</v>
      </c>
      <c r="C139" s="105">
        <v>2014487.0</v>
      </c>
      <c r="D139" s="104" t="s">
        <v>829</v>
      </c>
      <c r="E139" s="99" t="s">
        <v>830</v>
      </c>
      <c r="F139" s="99" t="s">
        <v>279</v>
      </c>
      <c r="G139" s="104" t="s">
        <v>252</v>
      </c>
      <c r="H139" s="99" t="s">
        <v>271</v>
      </c>
      <c r="I139" s="99" t="s">
        <v>271</v>
      </c>
      <c r="J139" s="99" t="s">
        <v>497</v>
      </c>
      <c r="K139" s="99" t="s">
        <v>831</v>
      </c>
      <c r="L139" s="99" t="s">
        <v>321</v>
      </c>
      <c r="M139" s="99" t="s">
        <v>413</v>
      </c>
      <c r="N139" s="101"/>
      <c r="O139" s="101"/>
      <c r="P139" s="99" t="s">
        <v>256</v>
      </c>
      <c r="Q139" s="99" t="s">
        <v>246</v>
      </c>
      <c r="R139" s="99" t="s">
        <v>247</v>
      </c>
      <c r="S139" s="99" t="s">
        <v>832</v>
      </c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3">
        <v>3.0</v>
      </c>
      <c r="C140" s="105">
        <v>2214773.0</v>
      </c>
      <c r="D140" s="104" t="s">
        <v>833</v>
      </c>
      <c r="E140" s="99" t="s">
        <v>834</v>
      </c>
      <c r="F140" s="99" t="s">
        <v>279</v>
      </c>
      <c r="G140" s="104" t="s">
        <v>252</v>
      </c>
      <c r="H140" s="99" t="s">
        <v>271</v>
      </c>
      <c r="I140" s="99" t="s">
        <v>271</v>
      </c>
      <c r="J140" s="99" t="s">
        <v>426</v>
      </c>
      <c r="K140" s="99" t="s">
        <v>835</v>
      </c>
      <c r="L140" s="99" t="s">
        <v>321</v>
      </c>
      <c r="M140" s="99" t="s">
        <v>413</v>
      </c>
      <c r="N140" s="101"/>
      <c r="O140" s="101"/>
      <c r="P140" s="99" t="s">
        <v>256</v>
      </c>
      <c r="Q140" s="99" t="s">
        <v>323</v>
      </c>
      <c r="R140" s="99" t="s">
        <v>247</v>
      </c>
      <c r="S140" s="99" t="s">
        <v>836</v>
      </c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3">
        <v>4.0</v>
      </c>
      <c r="C141" s="105">
        <v>2114497.0</v>
      </c>
      <c r="D141" s="104" t="s">
        <v>837</v>
      </c>
      <c r="E141" s="99" t="s">
        <v>838</v>
      </c>
      <c r="F141" s="99" t="s">
        <v>750</v>
      </c>
      <c r="G141" s="104" t="s">
        <v>252</v>
      </c>
      <c r="H141" s="99" t="s">
        <v>290</v>
      </c>
      <c r="I141" s="99" t="s">
        <v>291</v>
      </c>
      <c r="J141" s="99" t="s">
        <v>463</v>
      </c>
      <c r="K141" s="99" t="s">
        <v>320</v>
      </c>
      <c r="L141" s="99" t="s">
        <v>321</v>
      </c>
      <c r="M141" s="99" t="s">
        <v>413</v>
      </c>
      <c r="N141" s="101"/>
      <c r="O141" s="101"/>
      <c r="P141" s="99" t="s">
        <v>256</v>
      </c>
      <c r="Q141" s="99" t="s">
        <v>246</v>
      </c>
      <c r="R141" s="99" t="s">
        <v>257</v>
      </c>
      <c r="S141" s="99" t="s">
        <v>839</v>
      </c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3">
        <v>5.0</v>
      </c>
      <c r="C142" s="105">
        <v>2114630.0</v>
      </c>
      <c r="D142" s="104" t="s">
        <v>840</v>
      </c>
      <c r="E142" s="99" t="s">
        <v>841</v>
      </c>
      <c r="F142" s="99" t="s">
        <v>842</v>
      </c>
      <c r="G142" s="104" t="s">
        <v>344</v>
      </c>
      <c r="H142" s="99" t="s">
        <v>314</v>
      </c>
      <c r="I142" s="99" t="s">
        <v>721</v>
      </c>
      <c r="J142" s="99" t="s">
        <v>412</v>
      </c>
      <c r="K142" s="99" t="s">
        <v>393</v>
      </c>
      <c r="L142" s="99" t="s">
        <v>321</v>
      </c>
      <c r="M142" s="99" t="s">
        <v>413</v>
      </c>
      <c r="N142" s="101"/>
      <c r="O142" s="101"/>
      <c r="P142" s="99" t="s">
        <v>265</v>
      </c>
      <c r="Q142" s="99" t="s">
        <v>309</v>
      </c>
      <c r="R142" s="99" t="s">
        <v>257</v>
      </c>
      <c r="S142" s="99" t="s">
        <v>843</v>
      </c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3">
        <v>6.0</v>
      </c>
      <c r="C143" s="105">
        <v>2314854.0</v>
      </c>
      <c r="D143" s="104" t="s">
        <v>844</v>
      </c>
      <c r="E143" s="99" t="s">
        <v>845</v>
      </c>
      <c r="F143" s="99" t="s">
        <v>763</v>
      </c>
      <c r="G143" s="104" t="s">
        <v>252</v>
      </c>
      <c r="H143" s="99" t="s">
        <v>314</v>
      </c>
      <c r="I143" s="99" t="s">
        <v>352</v>
      </c>
      <c r="J143" s="99" t="s">
        <v>418</v>
      </c>
      <c r="K143" s="99" t="s">
        <v>846</v>
      </c>
      <c r="L143" s="99" t="s">
        <v>846</v>
      </c>
      <c r="M143" s="99" t="s">
        <v>847</v>
      </c>
      <c r="N143" s="101"/>
      <c r="O143" s="101"/>
      <c r="P143" s="99" t="s">
        <v>256</v>
      </c>
      <c r="Q143" s="99" t="s">
        <v>323</v>
      </c>
      <c r="R143" s="99" t="s">
        <v>257</v>
      </c>
      <c r="S143" s="99" t="s">
        <v>848</v>
      </c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3">
        <v>7.0</v>
      </c>
      <c r="C144" s="105">
        <v>1914387.0</v>
      </c>
      <c r="D144" s="104" t="s">
        <v>849</v>
      </c>
      <c r="E144" s="99" t="s">
        <v>850</v>
      </c>
      <c r="F144" s="99" t="s">
        <v>763</v>
      </c>
      <c r="G144" s="104" t="s">
        <v>252</v>
      </c>
      <c r="H144" s="99" t="s">
        <v>314</v>
      </c>
      <c r="I144" s="99" t="s">
        <v>352</v>
      </c>
      <c r="J144" s="99" t="s">
        <v>418</v>
      </c>
      <c r="K144" s="99" t="s">
        <v>851</v>
      </c>
      <c r="L144" s="99" t="s">
        <v>321</v>
      </c>
      <c r="M144" s="99" t="s">
        <v>413</v>
      </c>
      <c r="N144" s="101"/>
      <c r="O144" s="101"/>
      <c r="P144" s="99" t="s">
        <v>256</v>
      </c>
      <c r="Q144" s="99" t="s">
        <v>275</v>
      </c>
      <c r="R144" s="99" t="s">
        <v>257</v>
      </c>
      <c r="S144" s="99" t="s">
        <v>852</v>
      </c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3">
        <v>8.0</v>
      </c>
      <c r="C145" s="105">
        <v>2214774.0</v>
      </c>
      <c r="D145" s="104" t="s">
        <v>853</v>
      </c>
      <c r="E145" s="99" t="s">
        <v>854</v>
      </c>
      <c r="F145" s="99" t="s">
        <v>763</v>
      </c>
      <c r="G145" s="104" t="s">
        <v>252</v>
      </c>
      <c r="H145" s="99" t="s">
        <v>314</v>
      </c>
      <c r="I145" s="99" t="s">
        <v>352</v>
      </c>
      <c r="J145" s="99" t="s">
        <v>426</v>
      </c>
      <c r="K145" s="99" t="s">
        <v>855</v>
      </c>
      <c r="L145" s="99" t="s">
        <v>321</v>
      </c>
      <c r="M145" s="99" t="s">
        <v>413</v>
      </c>
      <c r="N145" s="101"/>
      <c r="O145" s="101"/>
      <c r="P145" s="99" t="s">
        <v>256</v>
      </c>
      <c r="Q145" s="99" t="s">
        <v>323</v>
      </c>
      <c r="R145" s="99" t="s">
        <v>257</v>
      </c>
      <c r="S145" s="99" t="s">
        <v>857</v>
      </c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3">
        <v>9.0</v>
      </c>
      <c r="C146" s="105">
        <v>2114669.0</v>
      </c>
      <c r="D146" s="104" t="s">
        <v>858</v>
      </c>
      <c r="E146" s="99" t="s">
        <v>859</v>
      </c>
      <c r="F146" s="99" t="s">
        <v>763</v>
      </c>
      <c r="G146" s="104" t="s">
        <v>252</v>
      </c>
      <c r="H146" s="99" t="s">
        <v>314</v>
      </c>
      <c r="I146" s="99" t="s">
        <v>352</v>
      </c>
      <c r="J146" s="99" t="s">
        <v>463</v>
      </c>
      <c r="K146" s="99" t="s">
        <v>860</v>
      </c>
      <c r="L146" s="99" t="s">
        <v>321</v>
      </c>
      <c r="M146" s="99" t="s">
        <v>413</v>
      </c>
      <c r="N146" s="101"/>
      <c r="O146" s="101"/>
      <c r="P146" s="99" t="s">
        <v>256</v>
      </c>
      <c r="Q146" s="99" t="s">
        <v>541</v>
      </c>
      <c r="R146" s="99" t="s">
        <v>257</v>
      </c>
      <c r="S146" s="99" t="s">
        <v>861</v>
      </c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3">
        <v>10.0</v>
      </c>
      <c r="C147" s="105">
        <v>2214754.0</v>
      </c>
      <c r="D147" s="104" t="s">
        <v>862</v>
      </c>
      <c r="E147" s="99" t="s">
        <v>863</v>
      </c>
      <c r="F147" s="99" t="s">
        <v>763</v>
      </c>
      <c r="G147" s="104" t="s">
        <v>252</v>
      </c>
      <c r="H147" s="99" t="s">
        <v>314</v>
      </c>
      <c r="I147" s="99" t="s">
        <v>352</v>
      </c>
      <c r="J147" s="99" t="s">
        <v>451</v>
      </c>
      <c r="K147" s="99" t="s">
        <v>481</v>
      </c>
      <c r="L147" s="99" t="s">
        <v>321</v>
      </c>
      <c r="M147" s="99" t="s">
        <v>413</v>
      </c>
      <c r="N147" s="101"/>
      <c r="O147" s="101"/>
      <c r="P147" s="99" t="s">
        <v>256</v>
      </c>
      <c r="Q147" s="101"/>
      <c r="R147" s="99" t="s">
        <v>257</v>
      </c>
      <c r="S147" s="99" t="s">
        <v>864</v>
      </c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3">
        <v>11.0</v>
      </c>
      <c r="C148" s="105">
        <v>2314853.0</v>
      </c>
      <c r="D148" s="104" t="s">
        <v>865</v>
      </c>
      <c r="E148" s="99" t="s">
        <v>866</v>
      </c>
      <c r="F148" s="99" t="s">
        <v>763</v>
      </c>
      <c r="G148" s="104" t="s">
        <v>252</v>
      </c>
      <c r="H148" s="99" t="s">
        <v>314</v>
      </c>
      <c r="I148" s="99" t="s">
        <v>352</v>
      </c>
      <c r="J148" s="99" t="s">
        <v>418</v>
      </c>
      <c r="K148" s="99" t="s">
        <v>867</v>
      </c>
      <c r="L148" s="99" t="s">
        <v>867</v>
      </c>
      <c r="M148" s="99" t="s">
        <v>868</v>
      </c>
      <c r="N148" s="101"/>
      <c r="O148" s="101"/>
      <c r="P148" s="99" t="s">
        <v>256</v>
      </c>
      <c r="Q148" s="99" t="s">
        <v>323</v>
      </c>
      <c r="R148" s="99" t="s">
        <v>257</v>
      </c>
      <c r="S148" s="99" t="s">
        <v>869</v>
      </c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3">
        <v>12.0</v>
      </c>
      <c r="C149" s="105">
        <v>2214749.0</v>
      </c>
      <c r="D149" s="104" t="s">
        <v>870</v>
      </c>
      <c r="E149" s="99" t="s">
        <v>871</v>
      </c>
      <c r="F149" s="99" t="s">
        <v>763</v>
      </c>
      <c r="G149" s="104" t="s">
        <v>252</v>
      </c>
      <c r="H149" s="99" t="s">
        <v>314</v>
      </c>
      <c r="I149" s="99" t="s">
        <v>352</v>
      </c>
      <c r="J149" s="99" t="s">
        <v>451</v>
      </c>
      <c r="K149" s="99" t="s">
        <v>617</v>
      </c>
      <c r="L149" s="99" t="s">
        <v>321</v>
      </c>
      <c r="M149" s="99" t="s">
        <v>413</v>
      </c>
      <c r="N149" s="101"/>
      <c r="O149" s="101"/>
      <c r="P149" s="99" t="s">
        <v>322</v>
      </c>
      <c r="Q149" s="99" t="s">
        <v>801</v>
      </c>
      <c r="R149" s="99" t="s">
        <v>257</v>
      </c>
      <c r="S149" s="99" t="s">
        <v>872</v>
      </c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3">
        <v>13.0</v>
      </c>
      <c r="C150" s="105">
        <v>2214751.0</v>
      </c>
      <c r="D150" s="104" t="s">
        <v>873</v>
      </c>
      <c r="E150" s="99" t="s">
        <v>874</v>
      </c>
      <c r="F150" s="99" t="s">
        <v>784</v>
      </c>
      <c r="G150" s="104" t="s">
        <v>252</v>
      </c>
      <c r="H150" s="99" t="s">
        <v>314</v>
      </c>
      <c r="I150" s="99" t="s">
        <v>721</v>
      </c>
      <c r="J150" s="99" t="s">
        <v>497</v>
      </c>
      <c r="K150" s="99" t="s">
        <v>617</v>
      </c>
      <c r="L150" s="99" t="s">
        <v>321</v>
      </c>
      <c r="M150" s="99" t="s">
        <v>413</v>
      </c>
      <c r="N150" s="101"/>
      <c r="O150" s="101"/>
      <c r="P150" s="99" t="s">
        <v>256</v>
      </c>
      <c r="Q150" s="99" t="s">
        <v>801</v>
      </c>
      <c r="R150" s="99" t="s">
        <v>257</v>
      </c>
      <c r="S150" s="99" t="s">
        <v>875</v>
      </c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3">
        <v>14.0</v>
      </c>
      <c r="C151" s="105">
        <v>2114535.0</v>
      </c>
      <c r="D151" s="104" t="s">
        <v>876</v>
      </c>
      <c r="E151" s="99" t="s">
        <v>877</v>
      </c>
      <c r="F151" s="99" t="s">
        <v>784</v>
      </c>
      <c r="G151" s="104" t="s">
        <v>252</v>
      </c>
      <c r="H151" s="99" t="s">
        <v>314</v>
      </c>
      <c r="I151" s="99" t="s">
        <v>721</v>
      </c>
      <c r="J151" s="99" t="s">
        <v>463</v>
      </c>
      <c r="K151" s="99" t="s">
        <v>878</v>
      </c>
      <c r="L151" s="99" t="s">
        <v>321</v>
      </c>
      <c r="M151" s="99" t="s">
        <v>413</v>
      </c>
      <c r="N151" s="101"/>
      <c r="O151" s="101"/>
      <c r="P151" s="99" t="s">
        <v>256</v>
      </c>
      <c r="Q151" s="99" t="s">
        <v>541</v>
      </c>
      <c r="R151" s="99" t="s">
        <v>257</v>
      </c>
      <c r="S151" s="99" t="s">
        <v>879</v>
      </c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3">
        <v>15.0</v>
      </c>
      <c r="C152" s="105">
        <v>2214750.0</v>
      </c>
      <c r="D152" s="104" t="s">
        <v>880</v>
      </c>
      <c r="E152" s="99" t="s">
        <v>881</v>
      </c>
      <c r="F152" s="99" t="s">
        <v>784</v>
      </c>
      <c r="G152" s="104" t="s">
        <v>252</v>
      </c>
      <c r="H152" s="99" t="s">
        <v>314</v>
      </c>
      <c r="I152" s="99" t="s">
        <v>721</v>
      </c>
      <c r="J152" s="99" t="s">
        <v>451</v>
      </c>
      <c r="K152" s="99" t="s">
        <v>617</v>
      </c>
      <c r="L152" s="99" t="s">
        <v>321</v>
      </c>
      <c r="M152" s="99" t="s">
        <v>413</v>
      </c>
      <c r="N152" s="101"/>
      <c r="O152" s="101"/>
      <c r="P152" s="99" t="s">
        <v>265</v>
      </c>
      <c r="Q152" s="99" t="s">
        <v>541</v>
      </c>
      <c r="R152" s="99" t="s">
        <v>257</v>
      </c>
      <c r="S152" s="99" t="s">
        <v>882</v>
      </c>
      <c r="T152" s="100"/>
      <c r="U152" s="100"/>
      <c r="V152" s="100"/>
      <c r="W152" s="100"/>
      <c r="X152" s="100"/>
      <c r="Y152" s="100"/>
      <c r="Z152" s="100"/>
    </row>
    <row r="153" ht="15.75" customHeight="1">
      <c r="A153" s="97" t="s">
        <v>884</v>
      </c>
      <c r="B153" s="99" t="s">
        <v>725</v>
      </c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1"/>
      <c r="C154" s="101"/>
      <c r="D154" s="101"/>
      <c r="E154" s="101"/>
      <c r="F154" s="101"/>
      <c r="G154" s="101"/>
      <c r="H154" s="101"/>
      <c r="I154" s="101"/>
      <c r="J154" s="99" t="s">
        <v>216</v>
      </c>
      <c r="K154" s="99" t="s">
        <v>217</v>
      </c>
      <c r="L154" s="99" t="s">
        <v>218</v>
      </c>
      <c r="M154" s="99" t="s">
        <v>219</v>
      </c>
      <c r="N154" s="99" t="s">
        <v>220</v>
      </c>
      <c r="O154" s="101"/>
      <c r="P154" s="101"/>
      <c r="Q154" s="101"/>
      <c r="R154" s="101"/>
      <c r="S154" s="101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1"/>
      <c r="C155" s="101"/>
      <c r="D155" s="99" t="s">
        <v>222</v>
      </c>
      <c r="E155" s="99" t="s">
        <v>223</v>
      </c>
      <c r="F155" s="99" t="s">
        <v>224</v>
      </c>
      <c r="G155" s="99" t="s">
        <v>225</v>
      </c>
      <c r="H155" s="99" t="s">
        <v>226</v>
      </c>
      <c r="I155" s="99" t="s">
        <v>227</v>
      </c>
      <c r="O155" s="99" t="s">
        <v>228</v>
      </c>
      <c r="P155" s="101"/>
      <c r="Q155" s="101"/>
      <c r="R155" s="101"/>
      <c r="S155" s="99" t="s">
        <v>229</v>
      </c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99" t="s">
        <v>230</v>
      </c>
      <c r="C156" s="99" t="s">
        <v>231</v>
      </c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99" t="s">
        <v>232</v>
      </c>
      <c r="Q156" s="99" t="s">
        <v>233</v>
      </c>
      <c r="R156" s="99" t="s">
        <v>234</v>
      </c>
      <c r="S156" s="101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3">
        <v>16.0</v>
      </c>
      <c r="C157" s="105">
        <v>2314860.0</v>
      </c>
      <c r="D157" s="104" t="s">
        <v>885</v>
      </c>
      <c r="E157" s="99" t="s">
        <v>886</v>
      </c>
      <c r="F157" s="99" t="s">
        <v>790</v>
      </c>
      <c r="G157" s="104" t="s">
        <v>252</v>
      </c>
      <c r="H157" s="99" t="s">
        <v>314</v>
      </c>
      <c r="I157" s="99" t="s">
        <v>721</v>
      </c>
      <c r="J157" s="99" t="s">
        <v>418</v>
      </c>
      <c r="K157" s="99" t="s">
        <v>606</v>
      </c>
      <c r="L157" s="99" t="s">
        <v>606</v>
      </c>
      <c r="M157" s="99" t="s">
        <v>420</v>
      </c>
      <c r="N157" s="101"/>
      <c r="O157" s="101"/>
      <c r="P157" s="99" t="s">
        <v>256</v>
      </c>
      <c r="Q157" s="99" t="s">
        <v>246</v>
      </c>
      <c r="R157" s="99" t="s">
        <v>257</v>
      </c>
      <c r="S157" s="99" t="s">
        <v>887</v>
      </c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3">
        <v>17.0</v>
      </c>
      <c r="C158" s="105">
        <v>2114557.0</v>
      </c>
      <c r="D158" s="104" t="s">
        <v>888</v>
      </c>
      <c r="E158" s="99" t="s">
        <v>889</v>
      </c>
      <c r="F158" s="99" t="s">
        <v>890</v>
      </c>
      <c r="G158" s="104" t="s">
        <v>252</v>
      </c>
      <c r="H158" s="99" t="s">
        <v>314</v>
      </c>
      <c r="I158" s="99" t="s">
        <v>721</v>
      </c>
      <c r="J158" s="99" t="s">
        <v>463</v>
      </c>
      <c r="K158" s="99" t="s">
        <v>892</v>
      </c>
      <c r="L158" s="99" t="s">
        <v>321</v>
      </c>
      <c r="M158" s="99" t="s">
        <v>413</v>
      </c>
      <c r="N158" s="101"/>
      <c r="O158" s="101"/>
      <c r="P158" s="99" t="s">
        <v>256</v>
      </c>
      <c r="Q158" s="99" t="s">
        <v>801</v>
      </c>
      <c r="R158" s="99" t="s">
        <v>257</v>
      </c>
      <c r="S158" s="99" t="s">
        <v>894</v>
      </c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3">
        <v>18.0</v>
      </c>
      <c r="C159" s="105">
        <v>2114582.0</v>
      </c>
      <c r="D159" s="104" t="s">
        <v>895</v>
      </c>
      <c r="E159" s="99" t="s">
        <v>896</v>
      </c>
      <c r="F159" s="99" t="s">
        <v>897</v>
      </c>
      <c r="G159" s="104" t="s">
        <v>252</v>
      </c>
      <c r="H159" s="99" t="s">
        <v>314</v>
      </c>
      <c r="I159" s="99" t="s">
        <v>721</v>
      </c>
      <c r="J159" s="99" t="s">
        <v>497</v>
      </c>
      <c r="K159" s="99" t="s">
        <v>898</v>
      </c>
      <c r="L159" s="99" t="s">
        <v>321</v>
      </c>
      <c r="M159" s="99" t="s">
        <v>413</v>
      </c>
      <c r="N159" s="101"/>
      <c r="O159" s="101"/>
      <c r="P159" s="99" t="s">
        <v>256</v>
      </c>
      <c r="Q159" s="99" t="s">
        <v>541</v>
      </c>
      <c r="R159" s="99" t="s">
        <v>257</v>
      </c>
      <c r="S159" s="99" t="s">
        <v>899</v>
      </c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1"/>
      <c r="C160" s="101"/>
      <c r="D160" s="99" t="s">
        <v>405</v>
      </c>
      <c r="E160" s="101"/>
      <c r="F160" s="101"/>
      <c r="G160" s="101"/>
      <c r="H160" s="101"/>
      <c r="I160" s="101"/>
      <c r="J160" s="101"/>
      <c r="K160" s="101" t="s">
        <v>511</v>
      </c>
      <c r="M160" s="101"/>
      <c r="N160" s="101"/>
      <c r="O160" s="101"/>
      <c r="P160" s="101"/>
      <c r="Q160" s="101"/>
      <c r="R160" s="101"/>
      <c r="S160" s="101"/>
      <c r="T160" s="100"/>
      <c r="U160" s="100"/>
      <c r="V160" s="100"/>
      <c r="W160" s="100"/>
      <c r="X160" s="100"/>
      <c r="Y160" s="100"/>
      <c r="Z160" s="100"/>
    </row>
    <row r="161" ht="15.75" customHeight="1">
      <c r="A161" s="97" t="s">
        <v>900</v>
      </c>
      <c r="B161" s="99" t="s">
        <v>901</v>
      </c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1"/>
      <c r="C162" s="101"/>
      <c r="D162" s="101"/>
      <c r="E162" s="101"/>
      <c r="F162" s="101"/>
      <c r="G162" s="101"/>
      <c r="H162" s="101"/>
      <c r="I162" s="101"/>
      <c r="J162" s="99" t="s">
        <v>216</v>
      </c>
      <c r="K162" s="99" t="s">
        <v>217</v>
      </c>
      <c r="L162" s="99" t="s">
        <v>218</v>
      </c>
      <c r="M162" s="99" t="s">
        <v>219</v>
      </c>
      <c r="N162" s="99" t="s">
        <v>220</v>
      </c>
      <c r="O162" s="101"/>
      <c r="P162" s="101"/>
      <c r="Q162" s="101"/>
      <c r="R162" s="101"/>
      <c r="S162" s="101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1"/>
      <c r="C163" s="101"/>
      <c r="D163" s="99" t="s">
        <v>222</v>
      </c>
      <c r="E163" s="99" t="s">
        <v>223</v>
      </c>
      <c r="F163" s="99" t="s">
        <v>224</v>
      </c>
      <c r="G163" s="99" t="s">
        <v>225</v>
      </c>
      <c r="H163" s="99" t="s">
        <v>226</v>
      </c>
      <c r="I163" s="99" t="s">
        <v>227</v>
      </c>
      <c r="O163" s="99" t="s">
        <v>228</v>
      </c>
      <c r="P163" s="101"/>
      <c r="Q163" s="101"/>
      <c r="R163" s="101"/>
      <c r="S163" s="99" t="s">
        <v>229</v>
      </c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99" t="s">
        <v>230</v>
      </c>
      <c r="C164" s="99" t="s">
        <v>231</v>
      </c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99" t="s">
        <v>232</v>
      </c>
      <c r="Q164" s="99" t="s">
        <v>233</v>
      </c>
      <c r="R164" s="99" t="s">
        <v>234</v>
      </c>
      <c r="S164" s="101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3">
        <v>1.0</v>
      </c>
      <c r="C165" s="105">
        <v>1401209.0</v>
      </c>
      <c r="D165" s="104" t="s">
        <v>909</v>
      </c>
      <c r="E165" s="99" t="s">
        <v>910</v>
      </c>
      <c r="F165" s="99" t="s">
        <v>911</v>
      </c>
      <c r="G165" s="104" t="s">
        <v>239</v>
      </c>
      <c r="H165" s="99" t="s">
        <v>240</v>
      </c>
      <c r="I165" s="99" t="s">
        <v>676</v>
      </c>
      <c r="J165" s="99" t="s">
        <v>242</v>
      </c>
      <c r="K165" s="99" t="s">
        <v>912</v>
      </c>
      <c r="L165" s="99" t="s">
        <v>913</v>
      </c>
      <c r="M165" s="101"/>
      <c r="N165" s="99" t="s">
        <v>913</v>
      </c>
      <c r="O165" s="105">
        <v>2017.0</v>
      </c>
      <c r="P165" s="99" t="s">
        <v>245</v>
      </c>
      <c r="Q165" s="99" t="s">
        <v>246</v>
      </c>
      <c r="R165" s="99" t="s">
        <v>247</v>
      </c>
      <c r="S165" s="99" t="s">
        <v>914</v>
      </c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3">
        <v>2.0</v>
      </c>
      <c r="C166" s="105">
        <v>1301232.0</v>
      </c>
      <c r="D166" s="104" t="s">
        <v>915</v>
      </c>
      <c r="E166" s="99" t="s">
        <v>916</v>
      </c>
      <c r="F166" s="99" t="s">
        <v>917</v>
      </c>
      <c r="G166" s="104" t="s">
        <v>344</v>
      </c>
      <c r="H166" s="99" t="s">
        <v>240</v>
      </c>
      <c r="I166" s="99" t="s">
        <v>919</v>
      </c>
      <c r="J166" s="99" t="s">
        <v>242</v>
      </c>
      <c r="K166" s="99" t="s">
        <v>920</v>
      </c>
      <c r="L166" s="99" t="s">
        <v>913</v>
      </c>
      <c r="M166" s="101"/>
      <c r="N166" s="99" t="s">
        <v>913</v>
      </c>
      <c r="O166" s="105">
        <v>2017.0</v>
      </c>
      <c r="P166" s="99" t="s">
        <v>245</v>
      </c>
      <c r="Q166" s="99" t="s">
        <v>323</v>
      </c>
      <c r="R166" s="99" t="s">
        <v>247</v>
      </c>
      <c r="S166" s="99" t="s">
        <v>921</v>
      </c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3">
        <v>3.0</v>
      </c>
      <c r="C167" s="105">
        <v>1101067.0</v>
      </c>
      <c r="D167" s="104" t="s">
        <v>923</v>
      </c>
      <c r="E167" s="99" t="s">
        <v>924</v>
      </c>
      <c r="F167" s="99" t="s">
        <v>925</v>
      </c>
      <c r="G167" s="104" t="s">
        <v>252</v>
      </c>
      <c r="H167" s="99" t="s">
        <v>240</v>
      </c>
      <c r="I167" s="99" t="s">
        <v>676</v>
      </c>
      <c r="J167" s="99" t="s">
        <v>242</v>
      </c>
      <c r="K167" s="99" t="s">
        <v>926</v>
      </c>
      <c r="L167" s="99" t="s">
        <v>403</v>
      </c>
      <c r="M167" s="101"/>
      <c r="N167" s="99" t="s">
        <v>403</v>
      </c>
      <c r="O167" s="105">
        <v>2014.0</v>
      </c>
      <c r="P167" s="99" t="s">
        <v>274</v>
      </c>
      <c r="Q167" s="99" t="s">
        <v>275</v>
      </c>
      <c r="R167" s="99" t="s">
        <v>247</v>
      </c>
      <c r="S167" s="99" t="s">
        <v>927</v>
      </c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3">
        <v>4.0</v>
      </c>
      <c r="C168" s="105">
        <v>2214721.0</v>
      </c>
      <c r="D168" s="104" t="s">
        <v>928</v>
      </c>
      <c r="E168" s="99" t="s">
        <v>929</v>
      </c>
      <c r="F168" s="99" t="s">
        <v>930</v>
      </c>
      <c r="G168" s="104" t="s">
        <v>931</v>
      </c>
      <c r="H168" s="99" t="s">
        <v>931</v>
      </c>
      <c r="I168" s="99" t="s">
        <v>931</v>
      </c>
      <c r="J168" s="99" t="s">
        <v>242</v>
      </c>
      <c r="K168" s="99" t="s">
        <v>285</v>
      </c>
      <c r="L168" s="99" t="s">
        <v>299</v>
      </c>
      <c r="M168" s="101"/>
      <c r="N168" s="99" t="s">
        <v>299</v>
      </c>
      <c r="O168" s="105">
        <v>2023.0</v>
      </c>
      <c r="P168" s="99" t="s">
        <v>265</v>
      </c>
      <c r="Q168" s="99" t="s">
        <v>309</v>
      </c>
      <c r="R168" s="99" t="s">
        <v>257</v>
      </c>
      <c r="S168" s="99" t="s">
        <v>932</v>
      </c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3">
        <v>5.0</v>
      </c>
      <c r="C169" s="105">
        <v>1914270.0</v>
      </c>
      <c r="D169" s="104" t="s">
        <v>933</v>
      </c>
      <c r="E169" s="99" t="s">
        <v>934</v>
      </c>
      <c r="F169" s="99" t="s">
        <v>935</v>
      </c>
      <c r="G169" s="104" t="s">
        <v>344</v>
      </c>
      <c r="H169" s="99" t="s">
        <v>253</v>
      </c>
      <c r="I169" s="99" t="s">
        <v>254</v>
      </c>
      <c r="J169" s="99" t="s">
        <v>242</v>
      </c>
      <c r="K169" s="99" t="s">
        <v>255</v>
      </c>
      <c r="L169" s="99" t="s">
        <v>320</v>
      </c>
      <c r="M169" s="101"/>
      <c r="N169" s="99" t="s">
        <v>320</v>
      </c>
      <c r="O169" s="105">
        <v>2021.0</v>
      </c>
      <c r="P169" s="99" t="s">
        <v>256</v>
      </c>
      <c r="Q169" s="99" t="s">
        <v>246</v>
      </c>
      <c r="R169" s="99" t="s">
        <v>247</v>
      </c>
      <c r="S169" s="99" t="s">
        <v>936</v>
      </c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3">
        <v>6.0</v>
      </c>
      <c r="C170" s="99" t="s">
        <v>937</v>
      </c>
      <c r="D170" s="104" t="s">
        <v>938</v>
      </c>
      <c r="E170" s="99" t="s">
        <v>939</v>
      </c>
      <c r="F170" s="99" t="s">
        <v>940</v>
      </c>
      <c r="G170" s="104" t="s">
        <v>344</v>
      </c>
      <c r="H170" s="99" t="s">
        <v>253</v>
      </c>
      <c r="I170" s="99" t="s">
        <v>518</v>
      </c>
      <c r="J170" s="99" t="s">
        <v>242</v>
      </c>
      <c r="K170" s="99" t="s">
        <v>941</v>
      </c>
      <c r="L170" s="99" t="s">
        <v>942</v>
      </c>
      <c r="M170" s="101"/>
      <c r="N170" s="99" t="s">
        <v>942</v>
      </c>
      <c r="O170" s="105">
        <v>2013.0</v>
      </c>
      <c r="P170" s="99" t="s">
        <v>265</v>
      </c>
      <c r="Q170" s="99" t="s">
        <v>361</v>
      </c>
      <c r="R170" s="99" t="s">
        <v>257</v>
      </c>
      <c r="S170" s="99" t="s">
        <v>943</v>
      </c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3">
        <v>7.0</v>
      </c>
      <c r="C171" s="105">
        <v>2114590.0</v>
      </c>
      <c r="D171" s="104" t="s">
        <v>944</v>
      </c>
      <c r="E171" s="99" t="s">
        <v>945</v>
      </c>
      <c r="F171" s="99" t="s">
        <v>946</v>
      </c>
      <c r="G171" s="104" t="s">
        <v>239</v>
      </c>
      <c r="H171" s="99" t="s">
        <v>271</v>
      </c>
      <c r="I171" s="99" t="s">
        <v>271</v>
      </c>
      <c r="J171" s="99" t="s">
        <v>242</v>
      </c>
      <c r="K171" s="99" t="s">
        <v>393</v>
      </c>
      <c r="L171" s="99" t="s">
        <v>299</v>
      </c>
      <c r="M171" s="101"/>
      <c r="N171" s="99" t="s">
        <v>299</v>
      </c>
      <c r="O171" s="105">
        <v>2023.0</v>
      </c>
      <c r="P171" s="99" t="s">
        <v>300</v>
      </c>
      <c r="Q171" s="99" t="s">
        <v>309</v>
      </c>
      <c r="R171" s="99" t="s">
        <v>257</v>
      </c>
      <c r="S171" s="99" t="s">
        <v>947</v>
      </c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3">
        <v>8.0</v>
      </c>
      <c r="C172" s="105">
        <v>1101229.0</v>
      </c>
      <c r="D172" s="104" t="s">
        <v>948</v>
      </c>
      <c r="E172" s="99" t="s">
        <v>949</v>
      </c>
      <c r="F172" s="99" t="s">
        <v>950</v>
      </c>
      <c r="G172" s="104" t="s">
        <v>252</v>
      </c>
      <c r="H172" s="99" t="s">
        <v>271</v>
      </c>
      <c r="I172" s="99" t="s">
        <v>271</v>
      </c>
      <c r="J172" s="99" t="s">
        <v>242</v>
      </c>
      <c r="K172" s="99" t="s">
        <v>360</v>
      </c>
      <c r="L172" s="99" t="s">
        <v>548</v>
      </c>
      <c r="M172" s="101"/>
      <c r="N172" s="99" t="s">
        <v>548</v>
      </c>
      <c r="O172" s="105">
        <v>2015.0</v>
      </c>
      <c r="P172" s="99" t="s">
        <v>265</v>
      </c>
      <c r="Q172" s="99" t="s">
        <v>309</v>
      </c>
      <c r="R172" s="99" t="s">
        <v>257</v>
      </c>
      <c r="S172" s="99" t="s">
        <v>951</v>
      </c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3">
        <v>9.0</v>
      </c>
      <c r="C173" s="105">
        <v>1201239.0</v>
      </c>
      <c r="D173" s="104" t="s">
        <v>952</v>
      </c>
      <c r="E173" s="99" t="s">
        <v>953</v>
      </c>
      <c r="F173" s="99" t="s">
        <v>950</v>
      </c>
      <c r="G173" s="104" t="s">
        <v>252</v>
      </c>
      <c r="H173" s="99" t="s">
        <v>271</v>
      </c>
      <c r="I173" s="99" t="s">
        <v>271</v>
      </c>
      <c r="J173" s="99" t="s">
        <v>242</v>
      </c>
      <c r="K173" s="99" t="s">
        <v>954</v>
      </c>
      <c r="L173" s="99" t="s">
        <v>955</v>
      </c>
      <c r="M173" s="101"/>
      <c r="N173" s="99" t="s">
        <v>955</v>
      </c>
      <c r="O173" s="105">
        <v>2018.0</v>
      </c>
      <c r="P173" s="99" t="s">
        <v>274</v>
      </c>
      <c r="Q173" s="99" t="s">
        <v>309</v>
      </c>
      <c r="R173" s="99" t="s">
        <v>257</v>
      </c>
      <c r="S173" s="99" t="s">
        <v>956</v>
      </c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3">
        <v>10.0</v>
      </c>
      <c r="C174" s="105">
        <v>1101230.0</v>
      </c>
      <c r="D174" s="104" t="s">
        <v>957</v>
      </c>
      <c r="E174" s="99" t="s">
        <v>958</v>
      </c>
      <c r="F174" s="99" t="s">
        <v>950</v>
      </c>
      <c r="G174" s="104" t="s">
        <v>252</v>
      </c>
      <c r="H174" s="99" t="s">
        <v>271</v>
      </c>
      <c r="I174" s="99" t="s">
        <v>271</v>
      </c>
      <c r="J174" s="99" t="s">
        <v>242</v>
      </c>
      <c r="K174" s="99" t="s">
        <v>961</v>
      </c>
      <c r="L174" s="99" t="s">
        <v>955</v>
      </c>
      <c r="M174" s="101"/>
      <c r="N174" s="99" t="s">
        <v>955</v>
      </c>
      <c r="O174" s="105">
        <v>2018.0</v>
      </c>
      <c r="P174" s="99" t="s">
        <v>508</v>
      </c>
      <c r="Q174" s="99" t="s">
        <v>323</v>
      </c>
      <c r="R174" s="99" t="s">
        <v>257</v>
      </c>
      <c r="S174" s="99" t="s">
        <v>962</v>
      </c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3">
        <v>11.0</v>
      </c>
      <c r="C175" s="105">
        <v>1001228.0</v>
      </c>
      <c r="D175" s="104" t="s">
        <v>963</v>
      </c>
      <c r="E175" s="99" t="s">
        <v>964</v>
      </c>
      <c r="F175" s="99" t="s">
        <v>950</v>
      </c>
      <c r="G175" s="104" t="s">
        <v>252</v>
      </c>
      <c r="H175" s="99" t="s">
        <v>271</v>
      </c>
      <c r="I175" s="99" t="s">
        <v>271</v>
      </c>
      <c r="J175" s="99" t="s">
        <v>242</v>
      </c>
      <c r="K175" s="99" t="s">
        <v>966</v>
      </c>
      <c r="L175" s="99" t="s">
        <v>540</v>
      </c>
      <c r="M175" s="101"/>
      <c r="N175" s="99" t="s">
        <v>540</v>
      </c>
      <c r="O175" s="105">
        <v>2016.0</v>
      </c>
      <c r="P175" s="99" t="s">
        <v>274</v>
      </c>
      <c r="Q175" s="99" t="s">
        <v>323</v>
      </c>
      <c r="R175" s="99" t="s">
        <v>257</v>
      </c>
      <c r="S175" s="99" t="s">
        <v>968</v>
      </c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3">
        <v>12.0</v>
      </c>
      <c r="C176" s="99" t="s">
        <v>969</v>
      </c>
      <c r="D176" s="104" t="s">
        <v>970</v>
      </c>
      <c r="E176" s="105">
        <v>1106279.0</v>
      </c>
      <c r="F176" s="99" t="s">
        <v>971</v>
      </c>
      <c r="G176" s="104" t="s">
        <v>344</v>
      </c>
      <c r="H176" s="99" t="s">
        <v>290</v>
      </c>
      <c r="I176" s="99" t="s">
        <v>291</v>
      </c>
      <c r="J176" s="99" t="s">
        <v>242</v>
      </c>
      <c r="K176" s="99" t="s">
        <v>972</v>
      </c>
      <c r="L176" s="99" t="s">
        <v>812</v>
      </c>
      <c r="M176" s="101"/>
      <c r="N176" s="99" t="s">
        <v>812</v>
      </c>
      <c r="O176" s="105">
        <v>2005.0</v>
      </c>
      <c r="P176" s="99" t="s">
        <v>265</v>
      </c>
      <c r="Q176" s="99" t="s">
        <v>309</v>
      </c>
      <c r="R176" s="99" t="s">
        <v>257</v>
      </c>
      <c r="S176" s="99" t="s">
        <v>974</v>
      </c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3">
        <v>13.0</v>
      </c>
      <c r="C177" s="99" t="s">
        <v>975</v>
      </c>
      <c r="D177" s="104" t="s">
        <v>976</v>
      </c>
      <c r="E177" s="99" t="s">
        <v>977</v>
      </c>
      <c r="F177" s="99" t="s">
        <v>978</v>
      </c>
      <c r="G177" s="104" t="s">
        <v>344</v>
      </c>
      <c r="H177" s="99" t="s">
        <v>290</v>
      </c>
      <c r="I177" s="99" t="s">
        <v>37</v>
      </c>
      <c r="J177" s="99" t="s">
        <v>242</v>
      </c>
      <c r="K177" s="99" t="s">
        <v>979</v>
      </c>
      <c r="L177" s="99" t="s">
        <v>255</v>
      </c>
      <c r="M177" s="101"/>
      <c r="N177" s="99" t="s">
        <v>255</v>
      </c>
      <c r="O177" s="105">
        <v>2019.0</v>
      </c>
      <c r="P177" s="99" t="s">
        <v>256</v>
      </c>
      <c r="Q177" s="99" t="s">
        <v>246</v>
      </c>
      <c r="R177" s="99" t="s">
        <v>257</v>
      </c>
      <c r="S177" s="99" t="s">
        <v>980</v>
      </c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3">
        <v>14.0</v>
      </c>
      <c r="C178" s="99" t="s">
        <v>981</v>
      </c>
      <c r="D178" s="104" t="s">
        <v>982</v>
      </c>
      <c r="E178" s="99" t="s">
        <v>983</v>
      </c>
      <c r="F178" s="99" t="s">
        <v>985</v>
      </c>
      <c r="G178" s="104" t="s">
        <v>252</v>
      </c>
      <c r="H178" s="99" t="s">
        <v>290</v>
      </c>
      <c r="I178" s="99" t="s">
        <v>291</v>
      </c>
      <c r="J178" s="99" t="s">
        <v>242</v>
      </c>
      <c r="K178" s="99" t="s">
        <v>987</v>
      </c>
      <c r="L178" s="99" t="s">
        <v>255</v>
      </c>
      <c r="M178" s="101"/>
      <c r="N178" s="99" t="s">
        <v>255</v>
      </c>
      <c r="O178" s="105">
        <v>2019.0</v>
      </c>
      <c r="P178" s="99" t="s">
        <v>265</v>
      </c>
      <c r="Q178" s="99" t="s">
        <v>323</v>
      </c>
      <c r="R178" s="99" t="s">
        <v>257</v>
      </c>
      <c r="S178" s="99" t="s">
        <v>988</v>
      </c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3">
        <v>15.0</v>
      </c>
      <c r="C179" s="105">
        <v>2114503.0</v>
      </c>
      <c r="D179" s="104" t="s">
        <v>989</v>
      </c>
      <c r="E179" s="99" t="s">
        <v>990</v>
      </c>
      <c r="F179" s="99" t="s">
        <v>991</v>
      </c>
      <c r="G179" s="104" t="s">
        <v>252</v>
      </c>
      <c r="H179" s="99" t="s">
        <v>314</v>
      </c>
      <c r="I179" s="99" t="s">
        <v>546</v>
      </c>
      <c r="J179" s="99" t="s">
        <v>242</v>
      </c>
      <c r="K179" s="99" t="s">
        <v>320</v>
      </c>
      <c r="L179" s="99" t="s">
        <v>299</v>
      </c>
      <c r="M179" s="101"/>
      <c r="N179" s="99" t="s">
        <v>299</v>
      </c>
      <c r="O179" s="105">
        <v>2023.0</v>
      </c>
      <c r="P179" s="99" t="s">
        <v>274</v>
      </c>
      <c r="Q179" s="99" t="s">
        <v>323</v>
      </c>
      <c r="R179" s="99" t="s">
        <v>247</v>
      </c>
      <c r="S179" s="99" t="s">
        <v>992</v>
      </c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3">
        <v>16.0</v>
      </c>
      <c r="C180" s="99" t="s">
        <v>993</v>
      </c>
      <c r="D180" s="104" t="s">
        <v>995</v>
      </c>
      <c r="E180" s="99" t="s">
        <v>996</v>
      </c>
      <c r="F180" s="99" t="s">
        <v>997</v>
      </c>
      <c r="G180" s="104" t="s">
        <v>344</v>
      </c>
      <c r="H180" s="99" t="s">
        <v>314</v>
      </c>
      <c r="I180" s="99" t="s">
        <v>998</v>
      </c>
      <c r="J180" s="99" t="s">
        <v>242</v>
      </c>
      <c r="K180" s="99" t="s">
        <v>961</v>
      </c>
      <c r="L180" s="99" t="s">
        <v>955</v>
      </c>
      <c r="M180" s="101"/>
      <c r="N180" s="99" t="s">
        <v>955</v>
      </c>
      <c r="O180" s="105">
        <v>2018.0</v>
      </c>
      <c r="P180" s="99" t="s">
        <v>322</v>
      </c>
      <c r="Q180" s="99" t="s">
        <v>323</v>
      </c>
      <c r="R180" s="99" t="s">
        <v>257</v>
      </c>
      <c r="S180" s="99" t="s">
        <v>1001</v>
      </c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3">
        <v>17.0</v>
      </c>
      <c r="C181" s="105">
        <v>1301234.0</v>
      </c>
      <c r="D181" s="104" t="s">
        <v>1007</v>
      </c>
      <c r="E181" s="99" t="s">
        <v>1008</v>
      </c>
      <c r="F181" s="99" t="s">
        <v>997</v>
      </c>
      <c r="G181" s="104" t="s">
        <v>344</v>
      </c>
      <c r="H181" s="99" t="s">
        <v>314</v>
      </c>
      <c r="I181" s="99" t="s">
        <v>998</v>
      </c>
      <c r="J181" s="99" t="s">
        <v>242</v>
      </c>
      <c r="K181" s="99" t="s">
        <v>1009</v>
      </c>
      <c r="L181" s="99" t="s">
        <v>955</v>
      </c>
      <c r="M181" s="101"/>
      <c r="N181" s="99" t="s">
        <v>955</v>
      </c>
      <c r="O181" s="105">
        <v>2018.0</v>
      </c>
      <c r="P181" s="99" t="s">
        <v>508</v>
      </c>
      <c r="Q181" s="99" t="s">
        <v>309</v>
      </c>
      <c r="R181" s="99" t="s">
        <v>257</v>
      </c>
      <c r="S181" s="99" t="s">
        <v>1010</v>
      </c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3">
        <v>18.0</v>
      </c>
      <c r="C182" s="105">
        <v>1101233.0</v>
      </c>
      <c r="D182" s="104" t="s">
        <v>1011</v>
      </c>
      <c r="E182" s="99" t="s">
        <v>1012</v>
      </c>
      <c r="F182" s="99" t="s">
        <v>1013</v>
      </c>
      <c r="G182" s="104" t="s">
        <v>252</v>
      </c>
      <c r="H182" s="99" t="s">
        <v>314</v>
      </c>
      <c r="I182" s="99" t="s">
        <v>319</v>
      </c>
      <c r="J182" s="99" t="s">
        <v>242</v>
      </c>
      <c r="K182" s="99" t="s">
        <v>979</v>
      </c>
      <c r="L182" s="99" t="s">
        <v>255</v>
      </c>
      <c r="M182" s="101"/>
      <c r="N182" s="99" t="s">
        <v>255</v>
      </c>
      <c r="O182" s="105">
        <v>2019.0</v>
      </c>
      <c r="P182" s="99" t="s">
        <v>322</v>
      </c>
      <c r="Q182" s="99" t="s">
        <v>323</v>
      </c>
      <c r="R182" s="99" t="s">
        <v>257</v>
      </c>
      <c r="S182" s="99" t="s">
        <v>1016</v>
      </c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3">
        <v>19.0</v>
      </c>
      <c r="C183" s="99" t="s">
        <v>1017</v>
      </c>
      <c r="D183" s="104" t="s">
        <v>1018</v>
      </c>
      <c r="E183" s="99" t="s">
        <v>1019</v>
      </c>
      <c r="F183" s="99" t="s">
        <v>1020</v>
      </c>
      <c r="G183" s="104" t="s">
        <v>252</v>
      </c>
      <c r="H183" s="99" t="s">
        <v>314</v>
      </c>
      <c r="I183" s="99" t="s">
        <v>319</v>
      </c>
      <c r="J183" s="99" t="s">
        <v>242</v>
      </c>
      <c r="K183" s="99" t="s">
        <v>1021</v>
      </c>
      <c r="L183" s="99" t="s">
        <v>255</v>
      </c>
      <c r="M183" s="101"/>
      <c r="N183" s="99" t="s">
        <v>255</v>
      </c>
      <c r="O183" s="105">
        <v>2019.0</v>
      </c>
      <c r="P183" s="99" t="s">
        <v>322</v>
      </c>
      <c r="Q183" s="99" t="s">
        <v>361</v>
      </c>
      <c r="R183" s="99" t="s">
        <v>257</v>
      </c>
      <c r="S183" s="99" t="s">
        <v>1022</v>
      </c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3">
        <v>20.0</v>
      </c>
      <c r="C184" s="99" t="s">
        <v>1023</v>
      </c>
      <c r="D184" s="104" t="s">
        <v>1024</v>
      </c>
      <c r="E184" s="99" t="s">
        <v>1025</v>
      </c>
      <c r="F184" s="99" t="s">
        <v>1026</v>
      </c>
      <c r="G184" s="104" t="s">
        <v>344</v>
      </c>
      <c r="H184" s="99" t="s">
        <v>314</v>
      </c>
      <c r="I184" s="99" t="s">
        <v>998</v>
      </c>
      <c r="J184" s="99" t="s">
        <v>242</v>
      </c>
      <c r="K184" s="99" t="s">
        <v>1009</v>
      </c>
      <c r="L184" s="99" t="s">
        <v>955</v>
      </c>
      <c r="M184" s="101"/>
      <c r="N184" s="99" t="s">
        <v>955</v>
      </c>
      <c r="O184" s="105">
        <v>2018.0</v>
      </c>
      <c r="P184" s="99" t="s">
        <v>322</v>
      </c>
      <c r="Q184" s="99" t="s">
        <v>309</v>
      </c>
      <c r="R184" s="99" t="s">
        <v>257</v>
      </c>
      <c r="S184" s="99" t="s">
        <v>1027</v>
      </c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3">
        <v>21.0</v>
      </c>
      <c r="C185" s="105">
        <v>1301235.0</v>
      </c>
      <c r="D185" s="104" t="s">
        <v>1028</v>
      </c>
      <c r="E185" s="99" t="s">
        <v>1029</v>
      </c>
      <c r="F185" s="99" t="s">
        <v>1026</v>
      </c>
      <c r="G185" s="104" t="s">
        <v>344</v>
      </c>
      <c r="H185" s="99" t="s">
        <v>314</v>
      </c>
      <c r="I185" s="99" t="s">
        <v>998</v>
      </c>
      <c r="J185" s="99" t="s">
        <v>242</v>
      </c>
      <c r="K185" s="99" t="s">
        <v>1009</v>
      </c>
      <c r="L185" s="99" t="s">
        <v>955</v>
      </c>
      <c r="M185" s="101"/>
      <c r="N185" s="99" t="s">
        <v>955</v>
      </c>
      <c r="O185" s="105">
        <v>2018.0</v>
      </c>
      <c r="P185" s="99" t="s">
        <v>508</v>
      </c>
      <c r="Q185" s="99" t="s">
        <v>309</v>
      </c>
      <c r="R185" s="99" t="s">
        <v>257</v>
      </c>
      <c r="S185" s="99" t="s">
        <v>1030</v>
      </c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3">
        <v>22.0</v>
      </c>
      <c r="C186" s="99" t="s">
        <v>1031</v>
      </c>
      <c r="D186" s="104" t="s">
        <v>1032</v>
      </c>
      <c r="E186" s="99" t="s">
        <v>1033</v>
      </c>
      <c r="F186" s="99" t="s">
        <v>1034</v>
      </c>
      <c r="G186" s="104" t="s">
        <v>252</v>
      </c>
      <c r="H186" s="99" t="s">
        <v>376</v>
      </c>
      <c r="I186" s="99" t="s">
        <v>54</v>
      </c>
      <c r="J186" s="99" t="s">
        <v>242</v>
      </c>
      <c r="K186" s="99" t="s">
        <v>1035</v>
      </c>
      <c r="L186" s="99" t="s">
        <v>548</v>
      </c>
      <c r="M186" s="101"/>
      <c r="N186" s="99" t="s">
        <v>548</v>
      </c>
      <c r="O186" s="105">
        <v>2015.0</v>
      </c>
      <c r="P186" s="99" t="s">
        <v>265</v>
      </c>
      <c r="Q186" s="99" t="s">
        <v>361</v>
      </c>
      <c r="R186" s="99" t="s">
        <v>257</v>
      </c>
      <c r="S186" s="99" t="s">
        <v>1036</v>
      </c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3">
        <v>23.0</v>
      </c>
      <c r="C187" s="99" t="s">
        <v>1037</v>
      </c>
      <c r="D187" s="104" t="s">
        <v>1038</v>
      </c>
      <c r="E187" s="99" t="s">
        <v>1039</v>
      </c>
      <c r="F187" s="99" t="s">
        <v>1040</v>
      </c>
      <c r="G187" s="104" t="s">
        <v>344</v>
      </c>
      <c r="H187" s="99" t="s">
        <v>388</v>
      </c>
      <c r="I187" s="99" t="s">
        <v>387</v>
      </c>
      <c r="J187" s="99" t="s">
        <v>242</v>
      </c>
      <c r="K187" s="99" t="s">
        <v>1041</v>
      </c>
      <c r="L187" s="99" t="s">
        <v>942</v>
      </c>
      <c r="M187" s="101"/>
      <c r="N187" s="99" t="s">
        <v>942</v>
      </c>
      <c r="O187" s="105">
        <v>2013.0</v>
      </c>
      <c r="P187" s="99" t="s">
        <v>265</v>
      </c>
      <c r="Q187" s="99" t="s">
        <v>323</v>
      </c>
      <c r="R187" s="99" t="s">
        <v>257</v>
      </c>
      <c r="S187" s="99" t="s">
        <v>1042</v>
      </c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3">
        <v>24.0</v>
      </c>
      <c r="C188" s="105">
        <v>1101237.0</v>
      </c>
      <c r="D188" s="104" t="s">
        <v>1043</v>
      </c>
      <c r="E188" s="99" t="s">
        <v>1044</v>
      </c>
      <c r="F188" s="99" t="s">
        <v>1045</v>
      </c>
      <c r="G188" s="104" t="s">
        <v>252</v>
      </c>
      <c r="H188" s="99" t="s">
        <v>388</v>
      </c>
      <c r="I188" s="99" t="s">
        <v>398</v>
      </c>
      <c r="J188" s="99" t="s">
        <v>242</v>
      </c>
      <c r="K188" s="99" t="s">
        <v>961</v>
      </c>
      <c r="L188" s="99" t="s">
        <v>913</v>
      </c>
      <c r="M188" s="101"/>
      <c r="N188" s="99" t="s">
        <v>913</v>
      </c>
      <c r="O188" s="105">
        <v>2017.0</v>
      </c>
      <c r="P188" s="99" t="s">
        <v>265</v>
      </c>
      <c r="Q188" s="99" t="s">
        <v>323</v>
      </c>
      <c r="R188" s="99" t="s">
        <v>257</v>
      </c>
      <c r="S188" s="99" t="s">
        <v>1046</v>
      </c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1"/>
      <c r="C189" s="101"/>
      <c r="D189" s="99" t="s">
        <v>405</v>
      </c>
      <c r="E189" s="101"/>
      <c r="F189" s="101"/>
      <c r="G189" s="101"/>
      <c r="H189" s="101"/>
      <c r="I189" s="101"/>
      <c r="J189" s="101"/>
      <c r="K189" s="101" t="s">
        <v>1047</v>
      </c>
      <c r="M189" s="101"/>
      <c r="N189" s="101"/>
      <c r="O189" s="101"/>
      <c r="P189" s="101"/>
      <c r="Q189" s="101"/>
      <c r="R189" s="101"/>
      <c r="S189" s="101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3">
        <v>1.0</v>
      </c>
      <c r="C190" s="105">
        <v>2214769.0</v>
      </c>
      <c r="D190" s="104" t="s">
        <v>1048</v>
      </c>
      <c r="E190" s="99" t="s">
        <v>1049</v>
      </c>
      <c r="F190" s="99" t="s">
        <v>1050</v>
      </c>
      <c r="G190" s="104" t="s">
        <v>252</v>
      </c>
      <c r="H190" s="99" t="s">
        <v>1051</v>
      </c>
      <c r="I190" s="99" t="s">
        <v>34</v>
      </c>
      <c r="J190" s="99" t="s">
        <v>451</v>
      </c>
      <c r="K190" s="99" t="s">
        <v>1052</v>
      </c>
      <c r="L190" s="99" t="s">
        <v>321</v>
      </c>
      <c r="M190" s="99" t="s">
        <v>413</v>
      </c>
      <c r="N190" s="101"/>
      <c r="O190" s="101"/>
      <c r="P190" s="99" t="s">
        <v>256</v>
      </c>
      <c r="Q190" s="99" t="s">
        <v>246</v>
      </c>
      <c r="R190" s="99" t="s">
        <v>257</v>
      </c>
      <c r="S190" s="99" t="s">
        <v>1053</v>
      </c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3">
        <v>2.0</v>
      </c>
      <c r="C191" s="105">
        <v>2114592.0</v>
      </c>
      <c r="D191" s="104" t="s">
        <v>1054</v>
      </c>
      <c r="E191" s="99" t="s">
        <v>1055</v>
      </c>
      <c r="F191" s="99" t="s">
        <v>1056</v>
      </c>
      <c r="G191" s="104" t="s">
        <v>239</v>
      </c>
      <c r="H191" s="99" t="s">
        <v>314</v>
      </c>
      <c r="I191" s="99" t="s">
        <v>998</v>
      </c>
      <c r="J191" s="99" t="s">
        <v>412</v>
      </c>
      <c r="K191" s="99" t="s">
        <v>393</v>
      </c>
      <c r="L191" s="99" t="s">
        <v>321</v>
      </c>
      <c r="M191" s="99" t="s">
        <v>413</v>
      </c>
      <c r="N191" s="101"/>
      <c r="O191" s="101"/>
      <c r="P191" s="99" t="s">
        <v>265</v>
      </c>
      <c r="Q191" s="99" t="s">
        <v>246</v>
      </c>
      <c r="R191" s="99" t="s">
        <v>257</v>
      </c>
      <c r="S191" s="99" t="s">
        <v>1057</v>
      </c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3">
        <v>3.0</v>
      </c>
      <c r="C192" s="105">
        <v>2314779.0</v>
      </c>
      <c r="D192" s="104" t="s">
        <v>1058</v>
      </c>
      <c r="E192" s="99" t="s">
        <v>1059</v>
      </c>
      <c r="F192" s="99" t="s">
        <v>1060</v>
      </c>
      <c r="G192" s="104" t="s">
        <v>252</v>
      </c>
      <c r="H192" s="99" t="s">
        <v>314</v>
      </c>
      <c r="I192" s="99" t="s">
        <v>319</v>
      </c>
      <c r="J192" s="99" t="s">
        <v>426</v>
      </c>
      <c r="K192" s="99" t="s">
        <v>299</v>
      </c>
      <c r="L192" s="99" t="s">
        <v>321</v>
      </c>
      <c r="M192" s="99" t="s">
        <v>413</v>
      </c>
      <c r="N192" s="101"/>
      <c r="O192" s="101"/>
      <c r="P192" s="99" t="s">
        <v>508</v>
      </c>
      <c r="Q192" s="99" t="s">
        <v>541</v>
      </c>
      <c r="R192" s="99" t="s">
        <v>257</v>
      </c>
      <c r="S192" s="99" t="s">
        <v>1061</v>
      </c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3">
        <v>4.0</v>
      </c>
      <c r="C193" s="105">
        <v>2414864.0</v>
      </c>
      <c r="D193" s="104" t="s">
        <v>1062</v>
      </c>
      <c r="E193" s="99" t="s">
        <v>1063</v>
      </c>
      <c r="F193" s="99" t="s">
        <v>1045</v>
      </c>
      <c r="G193" s="104" t="s">
        <v>252</v>
      </c>
      <c r="H193" s="99" t="s">
        <v>388</v>
      </c>
      <c r="I193" s="99" t="s">
        <v>398</v>
      </c>
      <c r="J193" s="99" t="s">
        <v>418</v>
      </c>
      <c r="K193" s="99" t="s">
        <v>321</v>
      </c>
      <c r="L193" s="99" t="s">
        <v>321</v>
      </c>
      <c r="M193" s="99" t="s">
        <v>413</v>
      </c>
      <c r="N193" s="101"/>
      <c r="O193" s="101"/>
      <c r="P193" s="99" t="s">
        <v>508</v>
      </c>
      <c r="Q193" s="99" t="s">
        <v>323</v>
      </c>
      <c r="R193" s="99" t="s">
        <v>257</v>
      </c>
      <c r="S193" s="99" t="s">
        <v>1064</v>
      </c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1"/>
      <c r="C194" s="101"/>
      <c r="D194" s="99" t="s">
        <v>405</v>
      </c>
      <c r="E194" s="101"/>
      <c r="F194" s="101"/>
      <c r="G194" s="101"/>
      <c r="H194" s="101"/>
      <c r="I194" s="101"/>
      <c r="J194" s="101"/>
      <c r="K194" s="101" t="s">
        <v>1065</v>
      </c>
      <c r="M194" s="101"/>
      <c r="N194" s="101"/>
      <c r="O194" s="101"/>
      <c r="P194" s="101"/>
      <c r="Q194" s="101"/>
      <c r="R194" s="101"/>
      <c r="S194" s="101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B1:S1"/>
    <mergeCell ref="J2:J3"/>
    <mergeCell ref="K2:K3"/>
    <mergeCell ref="L2:L3"/>
    <mergeCell ref="M2:M3"/>
    <mergeCell ref="N2:N3"/>
    <mergeCell ref="B39:S39"/>
    <mergeCell ref="B54:S54"/>
    <mergeCell ref="K30:L30"/>
    <mergeCell ref="J40:J41"/>
    <mergeCell ref="K40:K41"/>
    <mergeCell ref="L40:L41"/>
    <mergeCell ref="M40:M41"/>
    <mergeCell ref="N40:N41"/>
    <mergeCell ref="K53:L53"/>
    <mergeCell ref="J55:J56"/>
    <mergeCell ref="K55:K56"/>
    <mergeCell ref="L55:L56"/>
    <mergeCell ref="M55:M56"/>
    <mergeCell ref="N55:N56"/>
    <mergeCell ref="K78:L78"/>
    <mergeCell ref="B93:S93"/>
    <mergeCell ref="J94:J95"/>
    <mergeCell ref="K94:K95"/>
    <mergeCell ref="L94:L95"/>
    <mergeCell ref="M94:M95"/>
    <mergeCell ref="N94:N95"/>
    <mergeCell ref="K99:L99"/>
    <mergeCell ref="B100:S100"/>
    <mergeCell ref="J101:J102"/>
    <mergeCell ref="K101:K102"/>
    <mergeCell ref="L101:L102"/>
    <mergeCell ref="M101:M102"/>
    <mergeCell ref="N101:N102"/>
    <mergeCell ref="K111:L111"/>
    <mergeCell ref="B115:S115"/>
    <mergeCell ref="K114:L114"/>
    <mergeCell ref="J116:J117"/>
    <mergeCell ref="K116:K117"/>
    <mergeCell ref="L116:L117"/>
    <mergeCell ref="M116:M117"/>
    <mergeCell ref="N116:N117"/>
    <mergeCell ref="K137:L137"/>
    <mergeCell ref="J154:J155"/>
    <mergeCell ref="J162:J163"/>
    <mergeCell ref="K162:K163"/>
    <mergeCell ref="L162:L163"/>
    <mergeCell ref="M162:M163"/>
    <mergeCell ref="N162:N163"/>
    <mergeCell ref="K189:L189"/>
    <mergeCell ref="K194:L194"/>
    <mergeCell ref="B153:S153"/>
    <mergeCell ref="K154:K155"/>
    <mergeCell ref="L154:L155"/>
    <mergeCell ref="M154:M155"/>
    <mergeCell ref="N154:N155"/>
    <mergeCell ref="K160:L160"/>
    <mergeCell ref="B161:S16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 outlineLevelCol="2"/>
  <cols>
    <col customWidth="1" hidden="1" min="1" max="2" width="5.29"/>
    <col customWidth="1" min="3" max="3" width="27.29"/>
    <col customWidth="1" min="4" max="4" width="38.43"/>
    <col customWidth="1" min="5" max="8" width="10.14"/>
    <col customWidth="1" min="9" max="10" width="14.43"/>
    <col customWidth="1" min="11" max="14" width="10.14"/>
    <col customWidth="1" min="15" max="16" width="14.43"/>
    <col customWidth="1" min="17" max="17" width="11.71"/>
    <col customWidth="1" min="18" max="18" width="11.14"/>
    <col customWidth="1" min="19" max="19" width="8.71"/>
    <col customWidth="1" min="20" max="20" width="10.86"/>
    <col customWidth="1" min="21" max="21" width="15.57"/>
    <col customWidth="1" min="22" max="22" width="14.29"/>
    <col customWidth="1" min="23" max="23" width="10.57"/>
    <col customWidth="1" min="24" max="24" width="11.71"/>
    <col customWidth="1" min="25" max="25" width="9.57"/>
    <col customWidth="1" min="26" max="26" width="12.0"/>
    <col customWidth="1" min="27" max="27" width="12.14"/>
    <col customWidth="1" min="28" max="28" width="12.29"/>
    <col customWidth="1" min="29" max="29" width="14.0" outlineLevel="2"/>
    <col customWidth="1" min="30" max="30" width="11.29"/>
    <col customWidth="1" min="31" max="31" width="12.29"/>
    <col customWidth="1" min="32" max="32" width="9.86"/>
    <col customWidth="1" min="33" max="33" width="13.29"/>
    <col customWidth="1" min="34" max="34" width="13.0"/>
    <col customWidth="1" min="35" max="35" width="10.86"/>
    <col customWidth="1" min="36" max="36" width="11.86"/>
    <col customWidth="1" min="37" max="37" width="8.0"/>
    <col customWidth="1" min="38" max="38" width="13.86"/>
    <col customWidth="1" min="39" max="39" width="12.0"/>
    <col customWidth="1" min="40" max="40" width="11.57"/>
    <col customWidth="1" min="41" max="41" width="12.86"/>
    <col customWidth="1" min="42" max="42" width="12.43"/>
    <col customWidth="1" min="43" max="43" width="11.29"/>
    <col customWidth="1" min="44" max="44" width="13.43"/>
    <col customWidth="1" min="45" max="45" width="14.0"/>
    <col customWidth="1" min="46" max="46" width="14.14"/>
    <col customWidth="1" min="47" max="47" width="10.71"/>
    <col customWidth="1" min="48" max="48" width="8.29"/>
    <col customWidth="1" min="49" max="49" width="8.14"/>
    <col customWidth="1" min="50" max="50" width="10.43"/>
    <col customWidth="1" min="51" max="51" width="13.29"/>
    <col customWidth="1" min="52" max="52" width="11.14"/>
    <col customWidth="1" min="53" max="53" width="10.86"/>
    <col customWidth="1" min="54" max="54" width="13.29"/>
    <col customWidth="1" min="55" max="55" width="10.43"/>
    <col customWidth="1" min="56" max="56" width="9.86"/>
    <col customWidth="1" min="57" max="57" width="13.86"/>
    <col customWidth="1" min="58" max="58" width="15.0"/>
    <col customWidth="1" min="59" max="59" width="10.0"/>
    <col customWidth="1" min="60" max="60" width="8.86"/>
    <col customWidth="1" min="61" max="61" width="10.57"/>
    <col customWidth="1" min="62" max="62" width="12.0"/>
    <col customWidth="1" min="63" max="63" width="15.43"/>
    <col customWidth="1" min="64" max="64" width="12.86"/>
    <col customWidth="1" min="65" max="65" width="9.57"/>
    <col customWidth="1" min="66" max="66" width="11.86"/>
    <col customWidth="1" min="67" max="67" width="9.0"/>
    <col customWidth="1" min="68" max="68" width="12.86"/>
    <col customWidth="1" min="69" max="69" width="14.0"/>
    <col customWidth="1" min="70" max="70" width="13.29"/>
    <col customWidth="1" min="71" max="71" width="10.86"/>
    <col customWidth="1" min="72" max="72" width="12.71"/>
    <col customWidth="1" min="73" max="73" width="9.43"/>
    <col customWidth="1" min="74" max="74" width="8.57"/>
    <col customWidth="1" min="75" max="76" width="12.14"/>
    <col customWidth="1" min="77" max="77" width="8.86"/>
    <col customWidth="1" min="78" max="78" width="10.29"/>
    <col customWidth="1" min="79" max="79" width="7.71"/>
    <col customWidth="1" min="80" max="80" width="12.14"/>
    <col customWidth="1" min="81" max="81" width="13.43"/>
    <col customWidth="1" min="82" max="82" width="14.86"/>
    <col customWidth="1" min="83" max="83" width="9.14"/>
    <col customWidth="1" min="84" max="84" width="10.71"/>
    <col customWidth="1" min="85" max="85" width="10.14"/>
    <col customWidth="1" min="86" max="86" width="9.86"/>
    <col customWidth="1" min="87" max="87" width="10.14"/>
    <col customWidth="1" min="88" max="92" width="12.14"/>
    <col customWidth="1" min="93" max="93" width="14.29"/>
    <col customWidth="1" min="94" max="94" width="13.29"/>
    <col customWidth="1" min="95" max="100" width="12.14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s="1"/>
      <c r="B2" s="1"/>
      <c r="C2" s="2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1"/>
      <c r="AD2" s="1"/>
      <c r="AE2" s="1"/>
      <c r="AF2" s="1"/>
      <c r="AG2" s="1"/>
      <c r="AH2" s="1"/>
      <c r="AI2" s="1"/>
      <c r="AJ2" s="1"/>
      <c r="AK2" s="1"/>
      <c r="AL2" s="1"/>
      <c r="AM2" s="2"/>
      <c r="AN2" s="2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>
      <c r="A3" s="1"/>
      <c r="B3" s="1"/>
      <c r="C3" s="3" t="s">
        <v>485</v>
      </c>
      <c r="D3" s="4"/>
      <c r="E3" s="5" t="s">
        <v>2</v>
      </c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11" t="s">
        <v>4</v>
      </c>
      <c r="R3" s="7"/>
      <c r="S3" s="7"/>
      <c r="T3" s="7"/>
      <c r="U3" s="7"/>
      <c r="V3" s="7"/>
      <c r="W3" s="7"/>
      <c r="X3" s="7"/>
      <c r="Y3" s="7"/>
      <c r="Z3" s="7"/>
      <c r="AA3" s="7"/>
      <c r="AB3" s="8"/>
      <c r="AC3" s="16" t="s">
        <v>11</v>
      </c>
      <c r="AD3" s="7"/>
      <c r="AE3" s="7"/>
      <c r="AF3" s="7"/>
      <c r="AG3" s="7"/>
      <c r="AH3" s="7"/>
      <c r="AI3" s="7"/>
      <c r="AJ3" s="7"/>
      <c r="AK3" s="7"/>
      <c r="AL3" s="7"/>
      <c r="AM3" s="7"/>
      <c r="AN3" s="8"/>
      <c r="AO3" s="126" t="s">
        <v>509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8"/>
      <c r="BA3" s="6" t="s">
        <v>3</v>
      </c>
      <c r="BB3" s="7"/>
      <c r="BC3" s="7"/>
      <c r="BD3" s="7"/>
      <c r="BE3" s="7"/>
      <c r="BF3" s="7"/>
      <c r="BG3" s="7"/>
      <c r="BH3" s="7"/>
      <c r="BI3" s="7"/>
      <c r="BJ3" s="7"/>
      <c r="BK3" s="7"/>
      <c r="BL3" s="8"/>
      <c r="BM3" s="128" t="s">
        <v>514</v>
      </c>
      <c r="BN3" s="7"/>
      <c r="BO3" s="7"/>
      <c r="BP3" s="7"/>
      <c r="BQ3" s="7"/>
      <c r="BR3" s="7"/>
      <c r="BS3" s="7"/>
      <c r="BT3" s="7"/>
      <c r="BU3" s="7"/>
      <c r="BV3" s="7"/>
      <c r="BW3" s="7"/>
      <c r="BX3" s="8"/>
      <c r="BY3" s="16" t="s">
        <v>520</v>
      </c>
      <c r="BZ3" s="7"/>
      <c r="CA3" s="7"/>
      <c r="CB3" s="7"/>
      <c r="CC3" s="7"/>
      <c r="CD3" s="7"/>
      <c r="CE3" s="7"/>
      <c r="CF3" s="7"/>
      <c r="CG3" s="7"/>
      <c r="CH3" s="7"/>
      <c r="CI3" s="7"/>
      <c r="CJ3" s="8"/>
      <c r="CK3" s="6" t="s">
        <v>525</v>
      </c>
      <c r="CL3" s="7"/>
      <c r="CM3" s="7"/>
      <c r="CN3" s="7"/>
      <c r="CO3" s="7"/>
      <c r="CP3" s="7"/>
      <c r="CQ3" s="7"/>
      <c r="CR3" s="7"/>
      <c r="CS3" s="7"/>
      <c r="CT3" s="7"/>
      <c r="CU3" s="7"/>
      <c r="CV3" s="8"/>
    </row>
    <row r="4">
      <c r="A4" s="1"/>
      <c r="B4" s="1"/>
      <c r="C4" s="10" t="s">
        <v>5</v>
      </c>
      <c r="D4" s="12" t="s">
        <v>6</v>
      </c>
      <c r="E4" s="5" t="s">
        <v>7</v>
      </c>
      <c r="F4" s="7"/>
      <c r="G4" s="7"/>
      <c r="H4" s="7"/>
      <c r="I4" s="7"/>
      <c r="J4" s="8"/>
      <c r="K4" s="5" t="s">
        <v>8</v>
      </c>
      <c r="L4" s="7"/>
      <c r="M4" s="7"/>
      <c r="N4" s="7"/>
      <c r="O4" s="7"/>
      <c r="P4" s="8"/>
      <c r="Q4" s="11" t="s">
        <v>7</v>
      </c>
      <c r="R4" s="7"/>
      <c r="S4" s="7"/>
      <c r="T4" s="7"/>
      <c r="U4" s="7"/>
      <c r="V4" s="8"/>
      <c r="W4" s="11" t="s">
        <v>8</v>
      </c>
      <c r="X4" s="7"/>
      <c r="Y4" s="7"/>
      <c r="Z4" s="7"/>
      <c r="AA4" s="7"/>
      <c r="AB4" s="8"/>
      <c r="AC4" s="16" t="s">
        <v>7</v>
      </c>
      <c r="AD4" s="7"/>
      <c r="AE4" s="7"/>
      <c r="AF4" s="7"/>
      <c r="AG4" s="7"/>
      <c r="AH4" s="8"/>
      <c r="AI4" s="16" t="s">
        <v>8</v>
      </c>
      <c r="AJ4" s="7"/>
      <c r="AK4" s="7"/>
      <c r="AL4" s="7"/>
      <c r="AM4" s="7"/>
      <c r="AN4" s="8"/>
      <c r="AO4" s="126" t="s">
        <v>7</v>
      </c>
      <c r="AP4" s="7"/>
      <c r="AQ4" s="7"/>
      <c r="AR4" s="7"/>
      <c r="AS4" s="7"/>
      <c r="AT4" s="8"/>
      <c r="AU4" s="126" t="s">
        <v>8</v>
      </c>
      <c r="AV4" s="7"/>
      <c r="AW4" s="7"/>
      <c r="AX4" s="7"/>
      <c r="AY4" s="7"/>
      <c r="AZ4" s="8"/>
      <c r="BA4" s="6" t="s">
        <v>7</v>
      </c>
      <c r="BB4" s="7"/>
      <c r="BC4" s="7"/>
      <c r="BD4" s="7"/>
      <c r="BE4" s="7"/>
      <c r="BF4" s="8"/>
      <c r="BG4" s="6" t="s">
        <v>8</v>
      </c>
      <c r="BH4" s="7"/>
      <c r="BI4" s="7"/>
      <c r="BJ4" s="7"/>
      <c r="BK4" s="7"/>
      <c r="BL4" s="8"/>
      <c r="BM4" s="128" t="s">
        <v>7</v>
      </c>
      <c r="BN4" s="7"/>
      <c r="BO4" s="7"/>
      <c r="BP4" s="7"/>
      <c r="BQ4" s="7"/>
      <c r="BR4" s="8"/>
      <c r="BS4" s="128" t="s">
        <v>8</v>
      </c>
      <c r="BT4" s="7"/>
      <c r="BU4" s="7"/>
      <c r="BV4" s="7"/>
      <c r="BW4" s="7"/>
      <c r="BX4" s="8"/>
      <c r="BY4" s="16"/>
      <c r="BZ4" s="7"/>
      <c r="CA4" s="7"/>
      <c r="CB4" s="7"/>
      <c r="CC4" s="7"/>
      <c r="CD4" s="8"/>
      <c r="CE4" s="16" t="s">
        <v>8</v>
      </c>
      <c r="CF4" s="7"/>
      <c r="CG4" s="7"/>
      <c r="CH4" s="7"/>
      <c r="CI4" s="7"/>
      <c r="CJ4" s="8"/>
      <c r="CK4" s="6" t="s">
        <v>7</v>
      </c>
      <c r="CL4" s="7"/>
      <c r="CM4" s="7"/>
      <c r="CN4" s="7"/>
      <c r="CO4" s="7"/>
      <c r="CP4" s="8"/>
      <c r="CQ4" s="6" t="s">
        <v>8</v>
      </c>
      <c r="CR4" s="7"/>
      <c r="CS4" s="7"/>
      <c r="CT4" s="7"/>
      <c r="CU4" s="7"/>
      <c r="CV4" s="8"/>
    </row>
    <row r="5">
      <c r="A5" s="1"/>
      <c r="B5" s="1"/>
      <c r="C5" s="13"/>
      <c r="D5" s="14"/>
      <c r="E5" s="18" t="s">
        <v>9</v>
      </c>
      <c r="F5" s="18" t="s">
        <v>10</v>
      </c>
      <c r="G5" s="18" t="s">
        <v>12</v>
      </c>
      <c r="H5" s="18" t="s">
        <v>13</v>
      </c>
      <c r="I5" s="20" t="s">
        <v>14</v>
      </c>
      <c r="J5" s="20" t="s">
        <v>15</v>
      </c>
      <c r="K5" s="18" t="s">
        <v>9</v>
      </c>
      <c r="L5" s="18" t="s">
        <v>10</v>
      </c>
      <c r="M5" s="18" t="s">
        <v>12</v>
      </c>
      <c r="N5" s="18" t="s">
        <v>13</v>
      </c>
      <c r="O5" s="20" t="s">
        <v>16</v>
      </c>
      <c r="P5" s="20" t="s">
        <v>17</v>
      </c>
      <c r="Q5" s="28" t="s">
        <v>9</v>
      </c>
      <c r="R5" s="28" t="s">
        <v>10</v>
      </c>
      <c r="S5" s="28" t="s">
        <v>12</v>
      </c>
      <c r="T5" s="28" t="s">
        <v>13</v>
      </c>
      <c r="U5" s="32" t="s">
        <v>14</v>
      </c>
      <c r="V5" s="32" t="s">
        <v>15</v>
      </c>
      <c r="W5" s="28" t="s">
        <v>9</v>
      </c>
      <c r="X5" s="28" t="s">
        <v>10</v>
      </c>
      <c r="Y5" s="28" t="s">
        <v>12</v>
      </c>
      <c r="Z5" s="28" t="s">
        <v>13</v>
      </c>
      <c r="AA5" s="32" t="s">
        <v>16</v>
      </c>
      <c r="AB5" s="32" t="s">
        <v>17</v>
      </c>
      <c r="AC5" s="22" t="s">
        <v>9</v>
      </c>
      <c r="AD5" s="22" t="s">
        <v>10</v>
      </c>
      <c r="AE5" s="22" t="s">
        <v>12</v>
      </c>
      <c r="AF5" s="22" t="s">
        <v>13</v>
      </c>
      <c r="AG5" s="25" t="s">
        <v>14</v>
      </c>
      <c r="AH5" s="25" t="s">
        <v>15</v>
      </c>
      <c r="AI5" s="22" t="s">
        <v>9</v>
      </c>
      <c r="AJ5" s="22" t="s">
        <v>10</v>
      </c>
      <c r="AK5" s="22" t="s">
        <v>12</v>
      </c>
      <c r="AL5" s="22" t="s">
        <v>13</v>
      </c>
      <c r="AM5" s="25" t="s">
        <v>16</v>
      </c>
      <c r="AN5" s="25" t="s">
        <v>17</v>
      </c>
      <c r="AO5" s="138" t="s">
        <v>9</v>
      </c>
      <c r="AP5" s="138" t="s">
        <v>10</v>
      </c>
      <c r="AQ5" s="138" t="s">
        <v>12</v>
      </c>
      <c r="AR5" s="138" t="s">
        <v>13</v>
      </c>
      <c r="AS5" s="141" t="s">
        <v>14</v>
      </c>
      <c r="AT5" s="141" t="s">
        <v>15</v>
      </c>
      <c r="AU5" s="138" t="s">
        <v>9</v>
      </c>
      <c r="AV5" s="138" t="s">
        <v>10</v>
      </c>
      <c r="AW5" s="138" t="s">
        <v>12</v>
      </c>
      <c r="AX5" s="138" t="s">
        <v>13</v>
      </c>
      <c r="AY5" s="141" t="s">
        <v>16</v>
      </c>
      <c r="AZ5" s="141" t="s">
        <v>17</v>
      </c>
      <c r="BA5" s="15" t="s">
        <v>9</v>
      </c>
      <c r="BB5" s="15" t="s">
        <v>10</v>
      </c>
      <c r="BC5" s="15" t="s">
        <v>12</v>
      </c>
      <c r="BD5" s="15" t="s">
        <v>13</v>
      </c>
      <c r="BE5" s="17" t="s">
        <v>14</v>
      </c>
      <c r="BF5" s="17" t="s">
        <v>15</v>
      </c>
      <c r="BG5" s="15" t="s">
        <v>9</v>
      </c>
      <c r="BH5" s="15" t="s">
        <v>10</v>
      </c>
      <c r="BI5" s="15" t="s">
        <v>12</v>
      </c>
      <c r="BJ5" s="15" t="s">
        <v>13</v>
      </c>
      <c r="BK5" s="17" t="s">
        <v>16</v>
      </c>
      <c r="BL5" s="17" t="s">
        <v>17</v>
      </c>
      <c r="BM5" s="148" t="s">
        <v>9</v>
      </c>
      <c r="BN5" s="148" t="s">
        <v>10</v>
      </c>
      <c r="BO5" s="148" t="s">
        <v>12</v>
      </c>
      <c r="BP5" s="148" t="s">
        <v>13</v>
      </c>
      <c r="BQ5" s="154" t="s">
        <v>14</v>
      </c>
      <c r="BR5" s="154" t="s">
        <v>15</v>
      </c>
      <c r="BS5" s="148" t="s">
        <v>9</v>
      </c>
      <c r="BT5" s="148" t="s">
        <v>10</v>
      </c>
      <c r="BU5" s="148" t="s">
        <v>12</v>
      </c>
      <c r="BV5" s="148" t="s">
        <v>13</v>
      </c>
      <c r="BW5" s="154" t="s">
        <v>16</v>
      </c>
      <c r="BX5" s="154" t="s">
        <v>17</v>
      </c>
      <c r="BY5" s="22" t="s">
        <v>9</v>
      </c>
      <c r="BZ5" s="22" t="s">
        <v>10</v>
      </c>
      <c r="CA5" s="22" t="s">
        <v>12</v>
      </c>
      <c r="CB5" s="22" t="s">
        <v>13</v>
      </c>
      <c r="CC5" s="25" t="s">
        <v>14</v>
      </c>
      <c r="CD5" s="25" t="s">
        <v>15</v>
      </c>
      <c r="CE5" s="22" t="s">
        <v>9</v>
      </c>
      <c r="CF5" s="22" t="s">
        <v>10</v>
      </c>
      <c r="CG5" s="22" t="s">
        <v>12</v>
      </c>
      <c r="CH5" s="22" t="s">
        <v>13</v>
      </c>
      <c r="CI5" s="25" t="s">
        <v>16</v>
      </c>
      <c r="CJ5" s="25" t="s">
        <v>17</v>
      </c>
      <c r="CK5" s="15" t="s">
        <v>9</v>
      </c>
      <c r="CL5" s="15" t="s">
        <v>10</v>
      </c>
      <c r="CM5" s="15" t="s">
        <v>12</v>
      </c>
      <c r="CN5" s="15" t="s">
        <v>13</v>
      </c>
      <c r="CO5" s="17" t="s">
        <v>14</v>
      </c>
      <c r="CP5" s="17" t="s">
        <v>15</v>
      </c>
      <c r="CQ5" s="15" t="s">
        <v>9</v>
      </c>
      <c r="CR5" s="15" t="s">
        <v>10</v>
      </c>
      <c r="CS5" s="15" t="s">
        <v>12</v>
      </c>
      <c r="CT5" s="15" t="s">
        <v>13</v>
      </c>
      <c r="CU5" s="17" t="s">
        <v>16</v>
      </c>
      <c r="CV5" s="17" t="s">
        <v>17</v>
      </c>
    </row>
    <row r="6">
      <c r="A6" s="1"/>
      <c r="B6" s="1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</row>
    <row r="7">
      <c r="A7" s="1"/>
      <c r="B7" s="1"/>
      <c r="C7" s="2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</row>
    <row r="8">
      <c r="A8" s="1"/>
      <c r="B8" s="1"/>
      <c r="C8" s="24" t="s">
        <v>20</v>
      </c>
      <c r="D8" s="26" t="s">
        <v>20</v>
      </c>
      <c r="E8" s="66"/>
      <c r="F8" s="66">
        <v>1.0</v>
      </c>
      <c r="G8" s="66"/>
      <c r="H8" s="66"/>
      <c r="I8" s="66">
        <f t="shared" ref="I8:I91" si="5">SUM(E8:H8)</f>
        <v>1</v>
      </c>
      <c r="J8" s="66"/>
      <c r="K8" s="66"/>
      <c r="L8" s="66">
        <v>1.0</v>
      </c>
      <c r="M8" s="66"/>
      <c r="N8" s="66"/>
      <c r="O8" s="66">
        <f t="shared" ref="O8:O91" si="6">SUM(K8:N8)</f>
        <v>1</v>
      </c>
      <c r="P8" s="66"/>
      <c r="Q8" s="42"/>
      <c r="R8" s="42"/>
      <c r="S8" s="42"/>
      <c r="T8" s="42"/>
      <c r="U8" s="42">
        <f t="shared" ref="U8:U91" si="7">SUM(Q8:T8)</f>
        <v>0</v>
      </c>
      <c r="V8" s="42"/>
      <c r="W8" s="42"/>
      <c r="X8" s="42"/>
      <c r="Y8" s="42"/>
      <c r="Z8" s="42"/>
      <c r="AA8" s="42">
        <f t="shared" ref="AA8:AA91" si="8">SUM(W8:Z8)</f>
        <v>0</v>
      </c>
      <c r="AB8" s="42"/>
      <c r="AC8" s="38"/>
      <c r="AD8" s="38"/>
      <c r="AE8" s="38"/>
      <c r="AF8" s="38"/>
      <c r="AG8" s="38">
        <f t="shared" ref="AG8:AG92" si="9">SUM(AC8:AF8)</f>
        <v>0</v>
      </c>
      <c r="AH8" s="38"/>
      <c r="AI8" s="38"/>
      <c r="AJ8" s="38"/>
      <c r="AK8" s="38"/>
      <c r="AL8" s="38"/>
      <c r="AM8" s="38">
        <f t="shared" ref="AM8:AM92" si="10">SUM(AI8:AL8)</f>
        <v>0</v>
      </c>
      <c r="AN8" s="38"/>
      <c r="AO8" s="178"/>
      <c r="AP8" s="178"/>
      <c r="AQ8" s="178"/>
      <c r="AR8" s="178"/>
      <c r="AS8" s="178">
        <f t="shared" ref="AS8:AS91" si="11">SUM(AO8:AR8)</f>
        <v>0</v>
      </c>
      <c r="AT8" s="178"/>
      <c r="AU8" s="178"/>
      <c r="AV8" s="178"/>
      <c r="AW8" s="178"/>
      <c r="AX8" s="178"/>
      <c r="AY8" s="178">
        <f t="shared" ref="AY8:AY91" si="12">SUM(AU8:AX8)</f>
        <v>0</v>
      </c>
      <c r="AZ8" s="178"/>
      <c r="BA8" s="27"/>
      <c r="BB8" s="27"/>
      <c r="BC8" s="27"/>
      <c r="BD8" s="27"/>
      <c r="BE8" s="27">
        <f t="shared" ref="BE8:BE91" si="13">SUM(BA8:BD8)</f>
        <v>0</v>
      </c>
      <c r="BF8" s="27"/>
      <c r="BG8" s="27"/>
      <c r="BH8" s="27"/>
      <c r="BI8" s="27"/>
      <c r="BJ8" s="27"/>
      <c r="BK8" s="27">
        <f t="shared" ref="BK8:BK91" si="14">SUM(BG8:BJ8)</f>
        <v>0</v>
      </c>
      <c r="BL8" s="27"/>
      <c r="BM8" s="181">
        <f t="shared" ref="BM8:BX8" si="1">E8+Q8</f>
        <v>0</v>
      </c>
      <c r="BN8" s="181">
        <f t="shared" si="1"/>
        <v>1</v>
      </c>
      <c r="BO8" s="181">
        <f t="shared" si="1"/>
        <v>0</v>
      </c>
      <c r="BP8" s="181">
        <f t="shared" si="1"/>
        <v>0</v>
      </c>
      <c r="BQ8" s="181">
        <f t="shared" si="1"/>
        <v>1</v>
      </c>
      <c r="BR8" s="181">
        <f t="shared" si="1"/>
        <v>0</v>
      </c>
      <c r="BS8" s="181">
        <f t="shared" si="1"/>
        <v>0</v>
      </c>
      <c r="BT8" s="181">
        <f t="shared" si="1"/>
        <v>1</v>
      </c>
      <c r="BU8" s="181">
        <f t="shared" si="1"/>
        <v>0</v>
      </c>
      <c r="BV8" s="181">
        <f t="shared" si="1"/>
        <v>0</v>
      </c>
      <c r="BW8" s="181">
        <f t="shared" si="1"/>
        <v>1</v>
      </c>
      <c r="BX8" s="181">
        <f t="shared" si="1"/>
        <v>0</v>
      </c>
      <c r="BY8" s="38">
        <f t="shared" ref="BY8:CJ8" si="2">AC8+AO8</f>
        <v>0</v>
      </c>
      <c r="BZ8" s="38">
        <f t="shared" si="2"/>
        <v>0</v>
      </c>
      <c r="CA8" s="38">
        <f t="shared" si="2"/>
        <v>0</v>
      </c>
      <c r="CB8" s="38">
        <f t="shared" si="2"/>
        <v>0</v>
      </c>
      <c r="CC8" s="38">
        <f t="shared" si="2"/>
        <v>0</v>
      </c>
      <c r="CD8" s="38">
        <f t="shared" si="2"/>
        <v>0</v>
      </c>
      <c r="CE8" s="38">
        <f t="shared" si="2"/>
        <v>0</v>
      </c>
      <c r="CF8" s="38">
        <f t="shared" si="2"/>
        <v>0</v>
      </c>
      <c r="CG8" s="38">
        <f t="shared" si="2"/>
        <v>0</v>
      </c>
      <c r="CH8" s="38">
        <f t="shared" si="2"/>
        <v>0</v>
      </c>
      <c r="CI8" s="38">
        <f t="shared" si="2"/>
        <v>0</v>
      </c>
      <c r="CJ8" s="38">
        <f t="shared" si="2"/>
        <v>0</v>
      </c>
      <c r="CK8" s="27">
        <f t="shared" ref="CK8:CN8" si="3">BA8+BM8+BY8</f>
        <v>0</v>
      </c>
      <c r="CL8" s="27">
        <f t="shared" si="3"/>
        <v>1</v>
      </c>
      <c r="CM8" s="27">
        <f t="shared" si="3"/>
        <v>0</v>
      </c>
      <c r="CN8" s="27">
        <f t="shared" si="3"/>
        <v>0</v>
      </c>
      <c r="CO8" s="27">
        <f t="shared" ref="CO8:CO91" si="18">SUM(CK8:CN8)</f>
        <v>1</v>
      </c>
      <c r="CP8" s="27">
        <f t="shared" ref="CP8:CT8" si="4">BF8+BR8+CD8</f>
        <v>0</v>
      </c>
      <c r="CQ8" s="27">
        <f t="shared" si="4"/>
        <v>0</v>
      </c>
      <c r="CR8" s="27">
        <f t="shared" si="4"/>
        <v>1</v>
      </c>
      <c r="CS8" s="27">
        <f t="shared" si="4"/>
        <v>0</v>
      </c>
      <c r="CT8" s="27">
        <f t="shared" si="4"/>
        <v>0</v>
      </c>
      <c r="CU8" s="27">
        <f t="shared" ref="CU8:CU91" si="20">SUM(CQ8:CT8)</f>
        <v>1</v>
      </c>
      <c r="CV8" s="27">
        <f t="shared" ref="CV8:CV92" si="21">BL8+BX8+CJ8</f>
        <v>0</v>
      </c>
    </row>
    <row r="9">
      <c r="A9" s="1"/>
      <c r="B9" s="1"/>
      <c r="C9" s="34" t="s">
        <v>18</v>
      </c>
      <c r="D9" s="26" t="s">
        <v>19</v>
      </c>
      <c r="E9" s="66">
        <v>1.0</v>
      </c>
      <c r="F9" s="66"/>
      <c r="G9" s="66"/>
      <c r="H9" s="66"/>
      <c r="I9" s="66">
        <f t="shared" si="5"/>
        <v>1</v>
      </c>
      <c r="J9" s="66"/>
      <c r="K9" s="66">
        <v>1.0</v>
      </c>
      <c r="L9" s="66"/>
      <c r="M9" s="66"/>
      <c r="N9" s="66"/>
      <c r="O9" s="66">
        <f t="shared" si="6"/>
        <v>1</v>
      </c>
      <c r="P9" s="66"/>
      <c r="Q9" s="42"/>
      <c r="R9" s="42"/>
      <c r="S9" s="42"/>
      <c r="T9" s="42"/>
      <c r="U9" s="42">
        <f t="shared" si="7"/>
        <v>0</v>
      </c>
      <c r="V9" s="42"/>
      <c r="W9" s="42"/>
      <c r="X9" s="42"/>
      <c r="Y9" s="42"/>
      <c r="Z9" s="42"/>
      <c r="AA9" s="42">
        <f t="shared" si="8"/>
        <v>0</v>
      </c>
      <c r="AB9" s="42"/>
      <c r="AC9" s="38">
        <v>1.0</v>
      </c>
      <c r="AD9" s="38"/>
      <c r="AE9" s="38"/>
      <c r="AF9" s="38"/>
      <c r="AG9" s="38">
        <f t="shared" si="9"/>
        <v>1</v>
      </c>
      <c r="AH9" s="38"/>
      <c r="AI9" s="38">
        <v>1.0</v>
      </c>
      <c r="AJ9" s="38"/>
      <c r="AK9" s="38"/>
      <c r="AL9" s="38"/>
      <c r="AM9" s="38">
        <f t="shared" si="10"/>
        <v>1</v>
      </c>
      <c r="AN9" s="38"/>
      <c r="AO9" s="178"/>
      <c r="AP9" s="178"/>
      <c r="AQ9" s="178"/>
      <c r="AR9" s="178"/>
      <c r="AS9" s="178">
        <f t="shared" si="11"/>
        <v>0</v>
      </c>
      <c r="AT9" s="178"/>
      <c r="AU9" s="178"/>
      <c r="AV9" s="178"/>
      <c r="AW9" s="178"/>
      <c r="AX9" s="178"/>
      <c r="AY9" s="178">
        <f t="shared" si="12"/>
        <v>0</v>
      </c>
      <c r="AZ9" s="178"/>
      <c r="BA9" s="27">
        <v>1.0</v>
      </c>
      <c r="BB9" s="27"/>
      <c r="BC9" s="27"/>
      <c r="BD9" s="27"/>
      <c r="BE9" s="27">
        <f t="shared" si="13"/>
        <v>1</v>
      </c>
      <c r="BF9" s="27"/>
      <c r="BG9" s="27">
        <v>1.0</v>
      </c>
      <c r="BH9" s="27"/>
      <c r="BI9" s="27"/>
      <c r="BJ9" s="27"/>
      <c r="BK9" s="27">
        <f t="shared" si="14"/>
        <v>1</v>
      </c>
      <c r="BL9" s="27"/>
      <c r="BM9" s="181">
        <f t="shared" ref="BM9:BX9" si="15">E9+Q9</f>
        <v>1</v>
      </c>
      <c r="BN9" s="181">
        <f t="shared" si="15"/>
        <v>0</v>
      </c>
      <c r="BO9" s="181">
        <f t="shared" si="15"/>
        <v>0</v>
      </c>
      <c r="BP9" s="181">
        <f t="shared" si="15"/>
        <v>0</v>
      </c>
      <c r="BQ9" s="181">
        <f t="shared" si="15"/>
        <v>1</v>
      </c>
      <c r="BR9" s="181">
        <f t="shared" si="15"/>
        <v>0</v>
      </c>
      <c r="BS9" s="181">
        <f t="shared" si="15"/>
        <v>1</v>
      </c>
      <c r="BT9" s="181">
        <f t="shared" si="15"/>
        <v>0</v>
      </c>
      <c r="BU9" s="181">
        <f t="shared" si="15"/>
        <v>0</v>
      </c>
      <c r="BV9" s="181">
        <f t="shared" si="15"/>
        <v>0</v>
      </c>
      <c r="BW9" s="181">
        <f t="shared" si="15"/>
        <v>1</v>
      </c>
      <c r="BX9" s="181">
        <f t="shared" si="15"/>
        <v>0</v>
      </c>
      <c r="BY9" s="38">
        <f t="shared" ref="BY9:CJ9" si="16">AC9+AO9</f>
        <v>1</v>
      </c>
      <c r="BZ9" s="38">
        <f t="shared" si="16"/>
        <v>0</v>
      </c>
      <c r="CA9" s="38">
        <f t="shared" si="16"/>
        <v>0</v>
      </c>
      <c r="CB9" s="38">
        <f t="shared" si="16"/>
        <v>0</v>
      </c>
      <c r="CC9" s="38">
        <f t="shared" si="16"/>
        <v>1</v>
      </c>
      <c r="CD9" s="38">
        <f t="shared" si="16"/>
        <v>0</v>
      </c>
      <c r="CE9" s="38">
        <f t="shared" si="16"/>
        <v>1</v>
      </c>
      <c r="CF9" s="38">
        <f t="shared" si="16"/>
        <v>0</v>
      </c>
      <c r="CG9" s="38">
        <f t="shared" si="16"/>
        <v>0</v>
      </c>
      <c r="CH9" s="38">
        <f t="shared" si="16"/>
        <v>0</v>
      </c>
      <c r="CI9" s="38">
        <f t="shared" si="16"/>
        <v>1</v>
      </c>
      <c r="CJ9" s="38">
        <f t="shared" si="16"/>
        <v>0</v>
      </c>
      <c r="CK9" s="27">
        <f t="shared" ref="CK9:CN9" si="17">BA9+BM9+BY9</f>
        <v>3</v>
      </c>
      <c r="CL9" s="27">
        <f t="shared" si="17"/>
        <v>0</v>
      </c>
      <c r="CM9" s="27">
        <f t="shared" si="17"/>
        <v>0</v>
      </c>
      <c r="CN9" s="27">
        <f t="shared" si="17"/>
        <v>0</v>
      </c>
      <c r="CO9" s="27">
        <f t="shared" si="18"/>
        <v>3</v>
      </c>
      <c r="CP9" s="27">
        <f t="shared" ref="CP9:CT9" si="19">BF9+BR9+CD9</f>
        <v>0</v>
      </c>
      <c r="CQ9" s="27">
        <f t="shared" si="19"/>
        <v>3</v>
      </c>
      <c r="CR9" s="27">
        <f t="shared" si="19"/>
        <v>0</v>
      </c>
      <c r="CS9" s="27">
        <f t="shared" si="19"/>
        <v>0</v>
      </c>
      <c r="CT9" s="27">
        <f t="shared" si="19"/>
        <v>0</v>
      </c>
      <c r="CU9" s="27">
        <f t="shared" si="20"/>
        <v>3</v>
      </c>
      <c r="CV9" s="27">
        <f t="shared" si="21"/>
        <v>0</v>
      </c>
    </row>
    <row r="10">
      <c r="A10" s="1"/>
      <c r="B10" s="1"/>
      <c r="C10" s="21"/>
      <c r="D10" s="26" t="s">
        <v>36</v>
      </c>
      <c r="E10" s="66"/>
      <c r="F10" s="66"/>
      <c r="G10" s="66"/>
      <c r="H10" s="66"/>
      <c r="I10" s="66">
        <f t="shared" si="5"/>
        <v>0</v>
      </c>
      <c r="J10" s="66"/>
      <c r="K10" s="66"/>
      <c r="L10" s="66"/>
      <c r="M10" s="66"/>
      <c r="N10" s="66"/>
      <c r="O10" s="66">
        <f t="shared" si="6"/>
        <v>0</v>
      </c>
      <c r="P10" s="66"/>
      <c r="Q10" s="42">
        <v>1.0</v>
      </c>
      <c r="R10" s="42"/>
      <c r="S10" s="42"/>
      <c r="T10" s="42"/>
      <c r="U10" s="42">
        <f t="shared" si="7"/>
        <v>1</v>
      </c>
      <c r="V10" s="42"/>
      <c r="W10" s="42">
        <v>1.0</v>
      </c>
      <c r="X10" s="42"/>
      <c r="Y10" s="42"/>
      <c r="Z10" s="42"/>
      <c r="AA10" s="42">
        <f t="shared" si="8"/>
        <v>1</v>
      </c>
      <c r="AB10" s="42"/>
      <c r="AC10" s="38"/>
      <c r="AD10" s="38"/>
      <c r="AE10" s="38"/>
      <c r="AF10" s="38"/>
      <c r="AG10" s="38">
        <f t="shared" si="9"/>
        <v>0</v>
      </c>
      <c r="AH10" s="38"/>
      <c r="AI10" s="38"/>
      <c r="AJ10" s="38"/>
      <c r="AK10" s="38"/>
      <c r="AL10" s="38"/>
      <c r="AM10" s="38">
        <f t="shared" si="10"/>
        <v>0</v>
      </c>
      <c r="AN10" s="38"/>
      <c r="AO10" s="178"/>
      <c r="AP10" s="178"/>
      <c r="AQ10" s="178"/>
      <c r="AR10" s="178"/>
      <c r="AS10" s="178">
        <f t="shared" si="11"/>
        <v>0</v>
      </c>
      <c r="AT10" s="178"/>
      <c r="AU10" s="178"/>
      <c r="AV10" s="178"/>
      <c r="AW10" s="178"/>
      <c r="AX10" s="178"/>
      <c r="AY10" s="178">
        <f t="shared" si="12"/>
        <v>0</v>
      </c>
      <c r="AZ10" s="178"/>
      <c r="BA10" s="27"/>
      <c r="BB10" s="27"/>
      <c r="BC10" s="27"/>
      <c r="BD10" s="27"/>
      <c r="BE10" s="27">
        <f t="shared" si="13"/>
        <v>0</v>
      </c>
      <c r="BF10" s="27"/>
      <c r="BG10" s="27"/>
      <c r="BH10" s="27"/>
      <c r="BI10" s="27"/>
      <c r="BJ10" s="27"/>
      <c r="BK10" s="27">
        <f t="shared" si="14"/>
        <v>0</v>
      </c>
      <c r="BL10" s="27"/>
      <c r="BM10" s="181">
        <f t="shared" ref="BM10:BX10" si="22">E10+Q10</f>
        <v>1</v>
      </c>
      <c r="BN10" s="181">
        <f t="shared" si="22"/>
        <v>0</v>
      </c>
      <c r="BO10" s="181">
        <f t="shared" si="22"/>
        <v>0</v>
      </c>
      <c r="BP10" s="181">
        <f t="shared" si="22"/>
        <v>0</v>
      </c>
      <c r="BQ10" s="181">
        <f t="shared" si="22"/>
        <v>1</v>
      </c>
      <c r="BR10" s="181">
        <f t="shared" si="22"/>
        <v>0</v>
      </c>
      <c r="BS10" s="181">
        <f t="shared" si="22"/>
        <v>1</v>
      </c>
      <c r="BT10" s="181">
        <f t="shared" si="22"/>
        <v>0</v>
      </c>
      <c r="BU10" s="181">
        <f t="shared" si="22"/>
        <v>0</v>
      </c>
      <c r="BV10" s="181">
        <f t="shared" si="22"/>
        <v>0</v>
      </c>
      <c r="BW10" s="181">
        <f t="shared" si="22"/>
        <v>1</v>
      </c>
      <c r="BX10" s="181">
        <f t="shared" si="22"/>
        <v>0</v>
      </c>
      <c r="BY10" s="38">
        <f t="shared" ref="BY10:CJ10" si="23">AC10+AO10</f>
        <v>0</v>
      </c>
      <c r="BZ10" s="38">
        <f t="shared" si="23"/>
        <v>0</v>
      </c>
      <c r="CA10" s="38">
        <f t="shared" si="23"/>
        <v>0</v>
      </c>
      <c r="CB10" s="38">
        <f t="shared" si="23"/>
        <v>0</v>
      </c>
      <c r="CC10" s="38">
        <f t="shared" si="23"/>
        <v>0</v>
      </c>
      <c r="CD10" s="38">
        <f t="shared" si="23"/>
        <v>0</v>
      </c>
      <c r="CE10" s="38">
        <f t="shared" si="23"/>
        <v>0</v>
      </c>
      <c r="CF10" s="38">
        <f t="shared" si="23"/>
        <v>0</v>
      </c>
      <c r="CG10" s="38">
        <f t="shared" si="23"/>
        <v>0</v>
      </c>
      <c r="CH10" s="38">
        <f t="shared" si="23"/>
        <v>0</v>
      </c>
      <c r="CI10" s="38">
        <f t="shared" si="23"/>
        <v>0</v>
      </c>
      <c r="CJ10" s="38">
        <f t="shared" si="23"/>
        <v>0</v>
      </c>
      <c r="CK10" s="27">
        <f t="shared" ref="CK10:CN10" si="24">BA10+BM10+BY10</f>
        <v>1</v>
      </c>
      <c r="CL10" s="27">
        <f t="shared" si="24"/>
        <v>0</v>
      </c>
      <c r="CM10" s="27">
        <f t="shared" si="24"/>
        <v>0</v>
      </c>
      <c r="CN10" s="27">
        <f t="shared" si="24"/>
        <v>0</v>
      </c>
      <c r="CO10" s="27">
        <f t="shared" si="18"/>
        <v>1</v>
      </c>
      <c r="CP10" s="27">
        <f t="shared" ref="CP10:CT10" si="25">BF10+BR10+CD10</f>
        <v>0</v>
      </c>
      <c r="CQ10" s="27">
        <f t="shared" si="25"/>
        <v>1</v>
      </c>
      <c r="CR10" s="27">
        <f t="shared" si="25"/>
        <v>0</v>
      </c>
      <c r="CS10" s="27">
        <f t="shared" si="25"/>
        <v>0</v>
      </c>
      <c r="CT10" s="27">
        <f t="shared" si="25"/>
        <v>0</v>
      </c>
      <c r="CU10" s="27">
        <f t="shared" si="20"/>
        <v>1</v>
      </c>
      <c r="CV10" s="27">
        <f t="shared" si="21"/>
        <v>0</v>
      </c>
    </row>
    <row r="11">
      <c r="A11" s="1"/>
      <c r="B11" s="1"/>
      <c r="C11" s="34" t="s">
        <v>21</v>
      </c>
      <c r="D11" s="26" t="s">
        <v>22</v>
      </c>
      <c r="E11" s="66"/>
      <c r="F11" s="66"/>
      <c r="G11" s="66"/>
      <c r="H11" s="66"/>
      <c r="I11" s="66">
        <f t="shared" si="5"/>
        <v>0</v>
      </c>
      <c r="J11" s="66"/>
      <c r="K11" s="66"/>
      <c r="L11" s="66"/>
      <c r="M11" s="66"/>
      <c r="N11" s="66"/>
      <c r="O11" s="66">
        <f t="shared" si="6"/>
        <v>0</v>
      </c>
      <c r="P11" s="66"/>
      <c r="Q11" s="42"/>
      <c r="R11" s="42"/>
      <c r="S11" s="42"/>
      <c r="T11" s="42"/>
      <c r="U11" s="42">
        <f t="shared" si="7"/>
        <v>0</v>
      </c>
      <c r="V11" s="42"/>
      <c r="W11" s="42"/>
      <c r="X11" s="42"/>
      <c r="Y11" s="42"/>
      <c r="Z11" s="42"/>
      <c r="AA11" s="42">
        <f t="shared" si="8"/>
        <v>0</v>
      </c>
      <c r="AB11" s="42"/>
      <c r="AC11" s="38"/>
      <c r="AD11" s="38"/>
      <c r="AE11" s="38"/>
      <c r="AF11" s="38"/>
      <c r="AG11" s="38">
        <f t="shared" si="9"/>
        <v>0</v>
      </c>
      <c r="AH11" s="38"/>
      <c r="AI11" s="38"/>
      <c r="AJ11" s="38"/>
      <c r="AK11" s="38"/>
      <c r="AL11" s="38"/>
      <c r="AM11" s="38">
        <f t="shared" si="10"/>
        <v>0</v>
      </c>
      <c r="AN11" s="38"/>
      <c r="AO11" s="178"/>
      <c r="AP11" s="178"/>
      <c r="AQ11" s="178"/>
      <c r="AR11" s="178"/>
      <c r="AS11" s="178">
        <f t="shared" si="11"/>
        <v>0</v>
      </c>
      <c r="AT11" s="178"/>
      <c r="AU11" s="178"/>
      <c r="AV11" s="178"/>
      <c r="AW11" s="178"/>
      <c r="AX11" s="178"/>
      <c r="AY11" s="178">
        <f t="shared" si="12"/>
        <v>0</v>
      </c>
      <c r="AZ11" s="178"/>
      <c r="BA11" s="27">
        <v>1.0</v>
      </c>
      <c r="BB11" s="27"/>
      <c r="BC11" s="27"/>
      <c r="BD11" s="27"/>
      <c r="BE11" s="27">
        <f t="shared" si="13"/>
        <v>1</v>
      </c>
      <c r="BF11" s="27"/>
      <c r="BG11" s="27">
        <v>1.0</v>
      </c>
      <c r="BH11" s="27"/>
      <c r="BI11" s="27"/>
      <c r="BJ11" s="27"/>
      <c r="BK11" s="27">
        <f t="shared" si="14"/>
        <v>1</v>
      </c>
      <c r="BL11" s="27"/>
      <c r="BM11" s="181">
        <f t="shared" ref="BM11:BX11" si="26">E11+Q11</f>
        <v>0</v>
      </c>
      <c r="BN11" s="181">
        <f t="shared" si="26"/>
        <v>0</v>
      </c>
      <c r="BO11" s="181">
        <f t="shared" si="26"/>
        <v>0</v>
      </c>
      <c r="BP11" s="181">
        <f t="shared" si="26"/>
        <v>0</v>
      </c>
      <c r="BQ11" s="181">
        <f t="shared" si="26"/>
        <v>0</v>
      </c>
      <c r="BR11" s="181">
        <f t="shared" si="26"/>
        <v>0</v>
      </c>
      <c r="BS11" s="181">
        <f t="shared" si="26"/>
        <v>0</v>
      </c>
      <c r="BT11" s="181">
        <f t="shared" si="26"/>
        <v>0</v>
      </c>
      <c r="BU11" s="181">
        <f t="shared" si="26"/>
        <v>0</v>
      </c>
      <c r="BV11" s="181">
        <f t="shared" si="26"/>
        <v>0</v>
      </c>
      <c r="BW11" s="181">
        <f t="shared" si="26"/>
        <v>0</v>
      </c>
      <c r="BX11" s="181">
        <f t="shared" si="26"/>
        <v>0</v>
      </c>
      <c r="BY11" s="38">
        <f t="shared" ref="BY11:CJ11" si="27">AC11+AO11</f>
        <v>0</v>
      </c>
      <c r="BZ11" s="38">
        <f t="shared" si="27"/>
        <v>0</v>
      </c>
      <c r="CA11" s="38">
        <f t="shared" si="27"/>
        <v>0</v>
      </c>
      <c r="CB11" s="38">
        <f t="shared" si="27"/>
        <v>0</v>
      </c>
      <c r="CC11" s="38">
        <f t="shared" si="27"/>
        <v>0</v>
      </c>
      <c r="CD11" s="38">
        <f t="shared" si="27"/>
        <v>0</v>
      </c>
      <c r="CE11" s="38">
        <f t="shared" si="27"/>
        <v>0</v>
      </c>
      <c r="CF11" s="38">
        <f t="shared" si="27"/>
        <v>0</v>
      </c>
      <c r="CG11" s="38">
        <f t="shared" si="27"/>
        <v>0</v>
      </c>
      <c r="CH11" s="38">
        <f t="shared" si="27"/>
        <v>0</v>
      </c>
      <c r="CI11" s="38">
        <f t="shared" si="27"/>
        <v>0</v>
      </c>
      <c r="CJ11" s="38">
        <f t="shared" si="27"/>
        <v>0</v>
      </c>
      <c r="CK11" s="27">
        <f t="shared" ref="CK11:CN11" si="28">BA11+BM11+BY11</f>
        <v>1</v>
      </c>
      <c r="CL11" s="27">
        <f t="shared" si="28"/>
        <v>0</v>
      </c>
      <c r="CM11" s="27">
        <f t="shared" si="28"/>
        <v>0</v>
      </c>
      <c r="CN11" s="27">
        <f t="shared" si="28"/>
        <v>0</v>
      </c>
      <c r="CO11" s="27">
        <f t="shared" si="18"/>
        <v>1</v>
      </c>
      <c r="CP11" s="27">
        <f t="shared" ref="CP11:CT11" si="29">BF11+BR11+CD11</f>
        <v>0</v>
      </c>
      <c r="CQ11" s="27">
        <f t="shared" si="29"/>
        <v>1</v>
      </c>
      <c r="CR11" s="27">
        <f t="shared" si="29"/>
        <v>0</v>
      </c>
      <c r="CS11" s="27">
        <f t="shared" si="29"/>
        <v>0</v>
      </c>
      <c r="CT11" s="27">
        <f t="shared" si="29"/>
        <v>0</v>
      </c>
      <c r="CU11" s="27">
        <f t="shared" si="20"/>
        <v>1</v>
      </c>
      <c r="CV11" s="27">
        <f t="shared" si="21"/>
        <v>0</v>
      </c>
    </row>
    <row r="12">
      <c r="A12" s="1"/>
      <c r="B12" s="1"/>
      <c r="C12" s="13"/>
      <c r="D12" s="26" t="s">
        <v>25</v>
      </c>
      <c r="E12" s="66"/>
      <c r="F12" s="66">
        <v>1.0</v>
      </c>
      <c r="G12" s="66"/>
      <c r="H12" s="66"/>
      <c r="I12" s="66">
        <f t="shared" si="5"/>
        <v>1</v>
      </c>
      <c r="J12" s="66"/>
      <c r="K12" s="66"/>
      <c r="L12" s="66">
        <v>1.0</v>
      </c>
      <c r="M12" s="66"/>
      <c r="N12" s="66"/>
      <c r="O12" s="66">
        <f t="shared" si="6"/>
        <v>1</v>
      </c>
      <c r="P12" s="66"/>
      <c r="Q12" s="42"/>
      <c r="R12" s="42">
        <v>1.0</v>
      </c>
      <c r="S12" s="42"/>
      <c r="T12" s="42"/>
      <c r="U12" s="42">
        <f t="shared" si="7"/>
        <v>1</v>
      </c>
      <c r="V12" s="42"/>
      <c r="W12" s="42"/>
      <c r="X12" s="42">
        <v>1.0</v>
      </c>
      <c r="Y12" s="42"/>
      <c r="Z12" s="42"/>
      <c r="AA12" s="42">
        <f t="shared" si="8"/>
        <v>1</v>
      </c>
      <c r="AB12" s="42"/>
      <c r="AC12" s="38"/>
      <c r="AD12" s="38"/>
      <c r="AE12" s="38"/>
      <c r="AF12" s="38"/>
      <c r="AG12" s="38">
        <f t="shared" si="9"/>
        <v>0</v>
      </c>
      <c r="AH12" s="38"/>
      <c r="AI12" s="38"/>
      <c r="AJ12" s="38"/>
      <c r="AK12" s="38"/>
      <c r="AL12" s="38"/>
      <c r="AM12" s="38">
        <f t="shared" si="10"/>
        <v>0</v>
      </c>
      <c r="AN12" s="38"/>
      <c r="AO12" s="178"/>
      <c r="AP12" s="178"/>
      <c r="AQ12" s="178"/>
      <c r="AR12" s="178"/>
      <c r="AS12" s="178">
        <f t="shared" si="11"/>
        <v>0</v>
      </c>
      <c r="AT12" s="178"/>
      <c r="AU12" s="178"/>
      <c r="AV12" s="178"/>
      <c r="AW12" s="178"/>
      <c r="AX12" s="178"/>
      <c r="AY12" s="178">
        <f t="shared" si="12"/>
        <v>0</v>
      </c>
      <c r="AZ12" s="178"/>
      <c r="BA12" s="27"/>
      <c r="BB12" s="27"/>
      <c r="BC12" s="27"/>
      <c r="BD12" s="27"/>
      <c r="BE12" s="27">
        <f t="shared" si="13"/>
        <v>0</v>
      </c>
      <c r="BF12" s="27"/>
      <c r="BG12" s="27"/>
      <c r="BH12" s="27"/>
      <c r="BI12" s="27"/>
      <c r="BJ12" s="27"/>
      <c r="BK12" s="27">
        <f t="shared" si="14"/>
        <v>0</v>
      </c>
      <c r="BL12" s="27"/>
      <c r="BM12" s="181">
        <f t="shared" ref="BM12:BX12" si="30">E12+Q12</f>
        <v>0</v>
      </c>
      <c r="BN12" s="181">
        <f t="shared" si="30"/>
        <v>2</v>
      </c>
      <c r="BO12" s="181">
        <f t="shared" si="30"/>
        <v>0</v>
      </c>
      <c r="BP12" s="181">
        <f t="shared" si="30"/>
        <v>0</v>
      </c>
      <c r="BQ12" s="181">
        <f t="shared" si="30"/>
        <v>2</v>
      </c>
      <c r="BR12" s="181">
        <f t="shared" si="30"/>
        <v>0</v>
      </c>
      <c r="BS12" s="181">
        <f t="shared" si="30"/>
        <v>0</v>
      </c>
      <c r="BT12" s="181">
        <f t="shared" si="30"/>
        <v>2</v>
      </c>
      <c r="BU12" s="181">
        <f t="shared" si="30"/>
        <v>0</v>
      </c>
      <c r="BV12" s="181">
        <f t="shared" si="30"/>
        <v>0</v>
      </c>
      <c r="BW12" s="181">
        <f t="shared" si="30"/>
        <v>2</v>
      </c>
      <c r="BX12" s="181">
        <f t="shared" si="30"/>
        <v>0</v>
      </c>
      <c r="BY12" s="38">
        <f t="shared" ref="BY12:CJ12" si="31">AC12+AO12</f>
        <v>0</v>
      </c>
      <c r="BZ12" s="38">
        <f t="shared" si="31"/>
        <v>0</v>
      </c>
      <c r="CA12" s="38">
        <f t="shared" si="31"/>
        <v>0</v>
      </c>
      <c r="CB12" s="38">
        <f t="shared" si="31"/>
        <v>0</v>
      </c>
      <c r="CC12" s="38">
        <f t="shared" si="31"/>
        <v>0</v>
      </c>
      <c r="CD12" s="38">
        <f t="shared" si="31"/>
        <v>0</v>
      </c>
      <c r="CE12" s="38">
        <f t="shared" si="31"/>
        <v>0</v>
      </c>
      <c r="CF12" s="38">
        <f t="shared" si="31"/>
        <v>0</v>
      </c>
      <c r="CG12" s="38">
        <f t="shared" si="31"/>
        <v>0</v>
      </c>
      <c r="CH12" s="38">
        <f t="shared" si="31"/>
        <v>0</v>
      </c>
      <c r="CI12" s="38">
        <f t="shared" si="31"/>
        <v>0</v>
      </c>
      <c r="CJ12" s="38">
        <f t="shared" si="31"/>
        <v>0</v>
      </c>
      <c r="CK12" s="27">
        <f t="shared" ref="CK12:CN12" si="32">BA12+BM12+BY12</f>
        <v>0</v>
      </c>
      <c r="CL12" s="27">
        <f t="shared" si="32"/>
        <v>2</v>
      </c>
      <c r="CM12" s="27">
        <f t="shared" si="32"/>
        <v>0</v>
      </c>
      <c r="CN12" s="27">
        <f t="shared" si="32"/>
        <v>0</v>
      </c>
      <c r="CO12" s="27">
        <f t="shared" si="18"/>
        <v>2</v>
      </c>
      <c r="CP12" s="27">
        <f t="shared" ref="CP12:CT12" si="33">BF12+BR12+CD12</f>
        <v>0</v>
      </c>
      <c r="CQ12" s="27">
        <f t="shared" si="33"/>
        <v>0</v>
      </c>
      <c r="CR12" s="27">
        <f t="shared" si="33"/>
        <v>2</v>
      </c>
      <c r="CS12" s="27">
        <f t="shared" si="33"/>
        <v>0</v>
      </c>
      <c r="CT12" s="27">
        <f t="shared" si="33"/>
        <v>0</v>
      </c>
      <c r="CU12" s="27">
        <f t="shared" si="20"/>
        <v>2</v>
      </c>
      <c r="CV12" s="27">
        <f t="shared" si="21"/>
        <v>0</v>
      </c>
    </row>
    <row r="13">
      <c r="A13" s="1"/>
      <c r="B13" s="1"/>
      <c r="C13" s="13"/>
      <c r="D13" s="26" t="s">
        <v>23</v>
      </c>
      <c r="E13" s="66"/>
      <c r="F13" s="66"/>
      <c r="G13" s="66"/>
      <c r="H13" s="66"/>
      <c r="I13" s="66">
        <f t="shared" si="5"/>
        <v>0</v>
      </c>
      <c r="J13" s="66"/>
      <c r="K13" s="66"/>
      <c r="L13" s="66"/>
      <c r="M13" s="66"/>
      <c r="N13" s="66"/>
      <c r="O13" s="66">
        <f t="shared" si="6"/>
        <v>0</v>
      </c>
      <c r="P13" s="66"/>
      <c r="Q13" s="42">
        <v>1.0</v>
      </c>
      <c r="R13" s="42"/>
      <c r="S13" s="42"/>
      <c r="T13" s="42"/>
      <c r="U13" s="42">
        <f t="shared" si="7"/>
        <v>1</v>
      </c>
      <c r="V13" s="42"/>
      <c r="W13" s="42">
        <v>1.0</v>
      </c>
      <c r="X13" s="42"/>
      <c r="Y13" s="42"/>
      <c r="Z13" s="42"/>
      <c r="AA13" s="42">
        <f t="shared" si="8"/>
        <v>1</v>
      </c>
      <c r="AB13" s="42"/>
      <c r="AC13" s="38"/>
      <c r="AD13" s="38"/>
      <c r="AE13" s="38"/>
      <c r="AF13" s="38"/>
      <c r="AG13" s="38">
        <f t="shared" si="9"/>
        <v>0</v>
      </c>
      <c r="AH13" s="38"/>
      <c r="AI13" s="38"/>
      <c r="AJ13" s="38"/>
      <c r="AK13" s="38"/>
      <c r="AL13" s="38"/>
      <c r="AM13" s="38">
        <f t="shared" si="10"/>
        <v>0</v>
      </c>
      <c r="AN13" s="38"/>
      <c r="AO13" s="178"/>
      <c r="AP13" s="178"/>
      <c r="AQ13" s="178"/>
      <c r="AR13" s="178"/>
      <c r="AS13" s="178">
        <f t="shared" si="11"/>
        <v>0</v>
      </c>
      <c r="AT13" s="178"/>
      <c r="AU13" s="178"/>
      <c r="AV13" s="178"/>
      <c r="AW13" s="178"/>
      <c r="AX13" s="178"/>
      <c r="AY13" s="178">
        <f t="shared" si="12"/>
        <v>0</v>
      </c>
      <c r="AZ13" s="178"/>
      <c r="BA13" s="27">
        <v>1.0</v>
      </c>
      <c r="BB13" s="27"/>
      <c r="BC13" s="27"/>
      <c r="BD13" s="27"/>
      <c r="BE13" s="27">
        <f t="shared" si="13"/>
        <v>1</v>
      </c>
      <c r="BF13" s="27"/>
      <c r="BG13" s="27">
        <v>1.0</v>
      </c>
      <c r="BH13" s="27"/>
      <c r="BI13" s="27"/>
      <c r="BJ13" s="27"/>
      <c r="BK13" s="27">
        <f t="shared" si="14"/>
        <v>1</v>
      </c>
      <c r="BL13" s="27"/>
      <c r="BM13" s="181">
        <f t="shared" ref="BM13:BX13" si="34">E13+Q13</f>
        <v>1</v>
      </c>
      <c r="BN13" s="181">
        <f t="shared" si="34"/>
        <v>0</v>
      </c>
      <c r="BO13" s="181">
        <f t="shared" si="34"/>
        <v>0</v>
      </c>
      <c r="BP13" s="181">
        <f t="shared" si="34"/>
        <v>0</v>
      </c>
      <c r="BQ13" s="181">
        <f t="shared" si="34"/>
        <v>1</v>
      </c>
      <c r="BR13" s="181">
        <f t="shared" si="34"/>
        <v>0</v>
      </c>
      <c r="BS13" s="181">
        <f t="shared" si="34"/>
        <v>1</v>
      </c>
      <c r="BT13" s="181">
        <f t="shared" si="34"/>
        <v>0</v>
      </c>
      <c r="BU13" s="181">
        <f t="shared" si="34"/>
        <v>0</v>
      </c>
      <c r="BV13" s="181">
        <f t="shared" si="34"/>
        <v>0</v>
      </c>
      <c r="BW13" s="181">
        <f t="shared" si="34"/>
        <v>1</v>
      </c>
      <c r="BX13" s="181">
        <f t="shared" si="34"/>
        <v>0</v>
      </c>
      <c r="BY13" s="38">
        <f t="shared" ref="BY13:CJ13" si="35">AC13+AO13</f>
        <v>0</v>
      </c>
      <c r="BZ13" s="38">
        <f t="shared" si="35"/>
        <v>0</v>
      </c>
      <c r="CA13" s="38">
        <f t="shared" si="35"/>
        <v>0</v>
      </c>
      <c r="CB13" s="38">
        <f t="shared" si="35"/>
        <v>0</v>
      </c>
      <c r="CC13" s="38">
        <f t="shared" si="35"/>
        <v>0</v>
      </c>
      <c r="CD13" s="38">
        <f t="shared" si="35"/>
        <v>0</v>
      </c>
      <c r="CE13" s="38">
        <f t="shared" si="35"/>
        <v>0</v>
      </c>
      <c r="CF13" s="38">
        <f t="shared" si="35"/>
        <v>0</v>
      </c>
      <c r="CG13" s="38">
        <f t="shared" si="35"/>
        <v>0</v>
      </c>
      <c r="CH13" s="38">
        <f t="shared" si="35"/>
        <v>0</v>
      </c>
      <c r="CI13" s="38">
        <f t="shared" si="35"/>
        <v>0</v>
      </c>
      <c r="CJ13" s="38">
        <f t="shared" si="35"/>
        <v>0</v>
      </c>
      <c r="CK13" s="27">
        <f t="shared" ref="CK13:CN13" si="36">BA13+BM13+BY13</f>
        <v>2</v>
      </c>
      <c r="CL13" s="27">
        <f t="shared" si="36"/>
        <v>0</v>
      </c>
      <c r="CM13" s="27">
        <f t="shared" si="36"/>
        <v>0</v>
      </c>
      <c r="CN13" s="27">
        <f t="shared" si="36"/>
        <v>0</v>
      </c>
      <c r="CO13" s="27">
        <f t="shared" si="18"/>
        <v>2</v>
      </c>
      <c r="CP13" s="27">
        <f t="shared" ref="CP13:CT13" si="37">BF13+BR13+CD13</f>
        <v>0</v>
      </c>
      <c r="CQ13" s="27">
        <f t="shared" si="37"/>
        <v>2</v>
      </c>
      <c r="CR13" s="27">
        <f t="shared" si="37"/>
        <v>0</v>
      </c>
      <c r="CS13" s="27">
        <f t="shared" si="37"/>
        <v>0</v>
      </c>
      <c r="CT13" s="27">
        <f t="shared" si="37"/>
        <v>0</v>
      </c>
      <c r="CU13" s="27">
        <f t="shared" si="20"/>
        <v>2</v>
      </c>
      <c r="CV13" s="27">
        <f t="shared" si="21"/>
        <v>0</v>
      </c>
    </row>
    <row r="14">
      <c r="A14" s="1"/>
      <c r="B14" s="1"/>
      <c r="C14" s="13"/>
      <c r="D14" s="26" t="s">
        <v>151</v>
      </c>
      <c r="E14" s="66"/>
      <c r="F14" s="66"/>
      <c r="G14" s="66"/>
      <c r="H14" s="66"/>
      <c r="I14" s="66">
        <f t="shared" si="5"/>
        <v>0</v>
      </c>
      <c r="J14" s="66"/>
      <c r="K14" s="66"/>
      <c r="L14" s="66"/>
      <c r="M14" s="66"/>
      <c r="N14" s="66"/>
      <c r="O14" s="66">
        <f t="shared" si="6"/>
        <v>0</v>
      </c>
      <c r="P14" s="66"/>
      <c r="Q14" s="42"/>
      <c r="R14" s="42">
        <v>1.0</v>
      </c>
      <c r="S14" s="42">
        <v>4.0</v>
      </c>
      <c r="T14" s="42"/>
      <c r="U14" s="42">
        <f t="shared" si="7"/>
        <v>5</v>
      </c>
      <c r="V14" s="42"/>
      <c r="W14" s="42"/>
      <c r="X14" s="42">
        <v>1.0</v>
      </c>
      <c r="Y14" s="42">
        <v>4.0</v>
      </c>
      <c r="Z14" s="42"/>
      <c r="AA14" s="42">
        <f t="shared" si="8"/>
        <v>5</v>
      </c>
      <c r="AB14" s="42"/>
      <c r="AC14" s="38"/>
      <c r="AD14" s="38"/>
      <c r="AE14" s="38">
        <v>4.0</v>
      </c>
      <c r="AF14" s="38"/>
      <c r="AG14" s="38">
        <f t="shared" si="9"/>
        <v>4</v>
      </c>
      <c r="AH14" s="38"/>
      <c r="AI14" s="38"/>
      <c r="AJ14" s="38"/>
      <c r="AK14" s="38">
        <v>4.0</v>
      </c>
      <c r="AL14" s="38"/>
      <c r="AM14" s="38">
        <f t="shared" si="10"/>
        <v>4</v>
      </c>
      <c r="AN14" s="38"/>
      <c r="AO14" s="178"/>
      <c r="AP14" s="178"/>
      <c r="AQ14" s="178"/>
      <c r="AR14" s="178"/>
      <c r="AS14" s="178">
        <f t="shared" si="11"/>
        <v>0</v>
      </c>
      <c r="AT14" s="178"/>
      <c r="AU14" s="178"/>
      <c r="AV14" s="178"/>
      <c r="AW14" s="178"/>
      <c r="AX14" s="178"/>
      <c r="AY14" s="178">
        <f t="shared" si="12"/>
        <v>0</v>
      </c>
      <c r="AZ14" s="178"/>
      <c r="BA14" s="27"/>
      <c r="BB14" s="27"/>
      <c r="BC14" s="27">
        <v>4.0</v>
      </c>
      <c r="BD14" s="27"/>
      <c r="BE14" s="27">
        <f t="shared" si="13"/>
        <v>4</v>
      </c>
      <c r="BF14" s="27"/>
      <c r="BG14" s="27"/>
      <c r="BH14" s="27"/>
      <c r="BI14" s="27">
        <v>4.0</v>
      </c>
      <c r="BJ14" s="27"/>
      <c r="BK14" s="27">
        <f t="shared" si="14"/>
        <v>4</v>
      </c>
      <c r="BL14" s="27"/>
      <c r="BM14" s="181">
        <f t="shared" ref="BM14:BX14" si="38">E14+Q14</f>
        <v>0</v>
      </c>
      <c r="BN14" s="181">
        <f t="shared" si="38"/>
        <v>1</v>
      </c>
      <c r="BO14" s="181">
        <f t="shared" si="38"/>
        <v>4</v>
      </c>
      <c r="BP14" s="181">
        <f t="shared" si="38"/>
        <v>0</v>
      </c>
      <c r="BQ14" s="181">
        <f t="shared" si="38"/>
        <v>5</v>
      </c>
      <c r="BR14" s="181">
        <f t="shared" si="38"/>
        <v>0</v>
      </c>
      <c r="BS14" s="181">
        <f t="shared" si="38"/>
        <v>0</v>
      </c>
      <c r="BT14" s="181">
        <f t="shared" si="38"/>
        <v>1</v>
      </c>
      <c r="BU14" s="181">
        <f t="shared" si="38"/>
        <v>4</v>
      </c>
      <c r="BV14" s="181">
        <f t="shared" si="38"/>
        <v>0</v>
      </c>
      <c r="BW14" s="181">
        <f t="shared" si="38"/>
        <v>5</v>
      </c>
      <c r="BX14" s="181">
        <f t="shared" si="38"/>
        <v>0</v>
      </c>
      <c r="BY14" s="38">
        <f t="shared" ref="BY14:CJ14" si="39">AC14+AO14</f>
        <v>0</v>
      </c>
      <c r="BZ14" s="38">
        <f t="shared" si="39"/>
        <v>0</v>
      </c>
      <c r="CA14" s="38">
        <f t="shared" si="39"/>
        <v>4</v>
      </c>
      <c r="CB14" s="38">
        <f t="shared" si="39"/>
        <v>0</v>
      </c>
      <c r="CC14" s="38">
        <f t="shared" si="39"/>
        <v>4</v>
      </c>
      <c r="CD14" s="38">
        <f t="shared" si="39"/>
        <v>0</v>
      </c>
      <c r="CE14" s="38">
        <f t="shared" si="39"/>
        <v>0</v>
      </c>
      <c r="CF14" s="38">
        <f t="shared" si="39"/>
        <v>0</v>
      </c>
      <c r="CG14" s="38">
        <f t="shared" si="39"/>
        <v>4</v>
      </c>
      <c r="CH14" s="38">
        <f t="shared" si="39"/>
        <v>0</v>
      </c>
      <c r="CI14" s="38">
        <f t="shared" si="39"/>
        <v>4</v>
      </c>
      <c r="CJ14" s="38">
        <f t="shared" si="39"/>
        <v>0</v>
      </c>
      <c r="CK14" s="27">
        <f t="shared" ref="CK14:CN14" si="40">BA14+BM14+BY14</f>
        <v>0</v>
      </c>
      <c r="CL14" s="27">
        <f t="shared" si="40"/>
        <v>1</v>
      </c>
      <c r="CM14" s="27">
        <f t="shared" si="40"/>
        <v>12</v>
      </c>
      <c r="CN14" s="27">
        <f t="shared" si="40"/>
        <v>0</v>
      </c>
      <c r="CO14" s="27">
        <f t="shared" si="18"/>
        <v>13</v>
      </c>
      <c r="CP14" s="27">
        <f t="shared" ref="CP14:CT14" si="41">BF14+BR14+CD14</f>
        <v>0</v>
      </c>
      <c r="CQ14" s="27">
        <f t="shared" si="41"/>
        <v>0</v>
      </c>
      <c r="CR14" s="27">
        <f t="shared" si="41"/>
        <v>1</v>
      </c>
      <c r="CS14" s="27">
        <f t="shared" si="41"/>
        <v>12</v>
      </c>
      <c r="CT14" s="27">
        <f t="shared" si="41"/>
        <v>0</v>
      </c>
      <c r="CU14" s="27">
        <f t="shared" si="20"/>
        <v>13</v>
      </c>
      <c r="CV14" s="27">
        <f t="shared" si="21"/>
        <v>0</v>
      </c>
    </row>
    <row r="15">
      <c r="A15" s="1"/>
      <c r="B15" s="1"/>
      <c r="C15" s="21"/>
      <c r="D15" s="26" t="s">
        <v>28</v>
      </c>
      <c r="E15" s="66"/>
      <c r="F15" s="66"/>
      <c r="G15" s="66"/>
      <c r="H15" s="66"/>
      <c r="I15" s="66">
        <f t="shared" si="5"/>
        <v>0</v>
      </c>
      <c r="J15" s="66"/>
      <c r="K15" s="66"/>
      <c r="L15" s="66"/>
      <c r="M15" s="66"/>
      <c r="N15" s="66"/>
      <c r="O15" s="66">
        <f t="shared" si="6"/>
        <v>0</v>
      </c>
      <c r="P15" s="66"/>
      <c r="Q15" s="42"/>
      <c r="R15" s="42"/>
      <c r="S15" s="42">
        <v>2.0</v>
      </c>
      <c r="T15" s="42"/>
      <c r="U15" s="42">
        <f t="shared" si="7"/>
        <v>2</v>
      </c>
      <c r="V15" s="42"/>
      <c r="W15" s="42"/>
      <c r="X15" s="42"/>
      <c r="Y15" s="42">
        <v>2.0</v>
      </c>
      <c r="Z15" s="42"/>
      <c r="AA15" s="42">
        <f t="shared" si="8"/>
        <v>2</v>
      </c>
      <c r="AB15" s="42"/>
      <c r="AC15" s="38"/>
      <c r="AD15" s="38"/>
      <c r="AE15" s="38">
        <v>2.0</v>
      </c>
      <c r="AF15" s="38"/>
      <c r="AG15" s="38">
        <f t="shared" si="9"/>
        <v>2</v>
      </c>
      <c r="AH15" s="38"/>
      <c r="AI15" s="38"/>
      <c r="AJ15" s="38"/>
      <c r="AK15" s="38">
        <v>2.0</v>
      </c>
      <c r="AL15" s="38"/>
      <c r="AM15" s="38">
        <f t="shared" si="10"/>
        <v>2</v>
      </c>
      <c r="AN15" s="38"/>
      <c r="AO15" s="178"/>
      <c r="AP15" s="178"/>
      <c r="AQ15" s="178"/>
      <c r="AR15" s="178"/>
      <c r="AS15" s="178">
        <f t="shared" si="11"/>
        <v>0</v>
      </c>
      <c r="AT15" s="178"/>
      <c r="AU15" s="178"/>
      <c r="AV15" s="178"/>
      <c r="AW15" s="178"/>
      <c r="AX15" s="178"/>
      <c r="AY15" s="178">
        <f t="shared" si="12"/>
        <v>0</v>
      </c>
      <c r="AZ15" s="178"/>
      <c r="BA15" s="27"/>
      <c r="BB15" s="27"/>
      <c r="BC15" s="27">
        <v>7.0</v>
      </c>
      <c r="BD15" s="27"/>
      <c r="BE15" s="27">
        <f t="shared" si="13"/>
        <v>7</v>
      </c>
      <c r="BF15" s="27"/>
      <c r="BG15" s="27"/>
      <c r="BH15" s="27"/>
      <c r="BI15" s="27">
        <v>7.0</v>
      </c>
      <c r="BJ15" s="27"/>
      <c r="BK15" s="27">
        <f t="shared" si="14"/>
        <v>7</v>
      </c>
      <c r="BL15" s="27"/>
      <c r="BM15" s="181">
        <f t="shared" ref="BM15:BX15" si="42">E15+Q15</f>
        <v>0</v>
      </c>
      <c r="BN15" s="181">
        <f t="shared" si="42"/>
        <v>0</v>
      </c>
      <c r="BO15" s="181">
        <f t="shared" si="42"/>
        <v>2</v>
      </c>
      <c r="BP15" s="181">
        <f t="shared" si="42"/>
        <v>0</v>
      </c>
      <c r="BQ15" s="181">
        <f t="shared" si="42"/>
        <v>2</v>
      </c>
      <c r="BR15" s="181">
        <f t="shared" si="42"/>
        <v>0</v>
      </c>
      <c r="BS15" s="181">
        <f t="shared" si="42"/>
        <v>0</v>
      </c>
      <c r="BT15" s="181">
        <f t="shared" si="42"/>
        <v>0</v>
      </c>
      <c r="BU15" s="181">
        <f t="shared" si="42"/>
        <v>2</v>
      </c>
      <c r="BV15" s="181">
        <f t="shared" si="42"/>
        <v>0</v>
      </c>
      <c r="BW15" s="181">
        <f t="shared" si="42"/>
        <v>2</v>
      </c>
      <c r="BX15" s="181">
        <f t="shared" si="42"/>
        <v>0</v>
      </c>
      <c r="BY15" s="38">
        <f t="shared" ref="BY15:CJ15" si="43">AC15+AO15</f>
        <v>0</v>
      </c>
      <c r="BZ15" s="38">
        <f t="shared" si="43"/>
        <v>0</v>
      </c>
      <c r="CA15" s="38">
        <f t="shared" si="43"/>
        <v>2</v>
      </c>
      <c r="CB15" s="38">
        <f t="shared" si="43"/>
        <v>0</v>
      </c>
      <c r="CC15" s="38">
        <f t="shared" si="43"/>
        <v>2</v>
      </c>
      <c r="CD15" s="38">
        <f t="shared" si="43"/>
        <v>0</v>
      </c>
      <c r="CE15" s="38">
        <f t="shared" si="43"/>
        <v>0</v>
      </c>
      <c r="CF15" s="38">
        <f t="shared" si="43"/>
        <v>0</v>
      </c>
      <c r="CG15" s="38">
        <f t="shared" si="43"/>
        <v>2</v>
      </c>
      <c r="CH15" s="38">
        <f t="shared" si="43"/>
        <v>0</v>
      </c>
      <c r="CI15" s="38">
        <f t="shared" si="43"/>
        <v>2</v>
      </c>
      <c r="CJ15" s="38">
        <f t="shared" si="43"/>
        <v>0</v>
      </c>
      <c r="CK15" s="27">
        <f t="shared" ref="CK15:CN15" si="44">BA15+BM15+BY15</f>
        <v>0</v>
      </c>
      <c r="CL15" s="27">
        <f t="shared" si="44"/>
        <v>0</v>
      </c>
      <c r="CM15" s="27">
        <f t="shared" si="44"/>
        <v>11</v>
      </c>
      <c r="CN15" s="27">
        <f t="shared" si="44"/>
        <v>0</v>
      </c>
      <c r="CO15" s="27">
        <f t="shared" si="18"/>
        <v>11</v>
      </c>
      <c r="CP15" s="27">
        <f t="shared" ref="CP15:CT15" si="45">BF15+BR15+CD15</f>
        <v>0</v>
      </c>
      <c r="CQ15" s="27">
        <f t="shared" si="45"/>
        <v>0</v>
      </c>
      <c r="CR15" s="27">
        <f t="shared" si="45"/>
        <v>0</v>
      </c>
      <c r="CS15" s="27">
        <f t="shared" si="45"/>
        <v>11</v>
      </c>
      <c r="CT15" s="27">
        <f t="shared" si="45"/>
        <v>0</v>
      </c>
      <c r="CU15" s="27">
        <f t="shared" si="20"/>
        <v>11</v>
      </c>
      <c r="CV15" s="27">
        <f t="shared" si="21"/>
        <v>0</v>
      </c>
    </row>
    <row r="16">
      <c r="A16" s="1"/>
      <c r="B16" s="1"/>
      <c r="C16" s="34" t="s">
        <v>29</v>
      </c>
      <c r="D16" s="26" t="s">
        <v>30</v>
      </c>
      <c r="E16" s="66">
        <v>1.0</v>
      </c>
      <c r="F16" s="66"/>
      <c r="G16" s="66"/>
      <c r="H16" s="66"/>
      <c r="I16" s="66">
        <f t="shared" si="5"/>
        <v>1</v>
      </c>
      <c r="J16" s="66"/>
      <c r="K16" s="66">
        <v>1.0</v>
      </c>
      <c r="L16" s="66"/>
      <c r="M16" s="66"/>
      <c r="N16" s="66"/>
      <c r="O16" s="66">
        <f t="shared" si="6"/>
        <v>1</v>
      </c>
      <c r="P16" s="66"/>
      <c r="Q16" s="42"/>
      <c r="R16" s="42">
        <v>1.0</v>
      </c>
      <c r="S16" s="42"/>
      <c r="T16" s="42"/>
      <c r="U16" s="42">
        <f t="shared" si="7"/>
        <v>1</v>
      </c>
      <c r="V16" s="42"/>
      <c r="W16" s="42"/>
      <c r="X16" s="42">
        <v>1.0</v>
      </c>
      <c r="Y16" s="42"/>
      <c r="Z16" s="42"/>
      <c r="AA16" s="42">
        <f t="shared" si="8"/>
        <v>1</v>
      </c>
      <c r="AB16" s="42"/>
      <c r="AC16" s="38"/>
      <c r="AD16" s="38"/>
      <c r="AE16" s="38"/>
      <c r="AF16" s="38"/>
      <c r="AG16" s="38">
        <f t="shared" si="9"/>
        <v>0</v>
      </c>
      <c r="AH16" s="38"/>
      <c r="AI16" s="38"/>
      <c r="AJ16" s="38"/>
      <c r="AK16" s="38"/>
      <c r="AL16" s="38"/>
      <c r="AM16" s="38">
        <f t="shared" si="10"/>
        <v>0</v>
      </c>
      <c r="AN16" s="38"/>
      <c r="AO16" s="178"/>
      <c r="AP16" s="178"/>
      <c r="AQ16" s="178"/>
      <c r="AR16" s="178"/>
      <c r="AS16" s="178">
        <f t="shared" si="11"/>
        <v>0</v>
      </c>
      <c r="AT16" s="178"/>
      <c r="AU16" s="178"/>
      <c r="AV16" s="178"/>
      <c r="AW16" s="178"/>
      <c r="AX16" s="178"/>
      <c r="AY16" s="178">
        <f t="shared" si="12"/>
        <v>0</v>
      </c>
      <c r="AZ16" s="178"/>
      <c r="BA16" s="27">
        <v>1.0</v>
      </c>
      <c r="BB16" s="27"/>
      <c r="BC16" s="27"/>
      <c r="BD16" s="27"/>
      <c r="BE16" s="27">
        <f t="shared" si="13"/>
        <v>1</v>
      </c>
      <c r="BF16" s="27"/>
      <c r="BG16" s="27">
        <v>1.0</v>
      </c>
      <c r="BH16" s="27"/>
      <c r="BI16" s="27"/>
      <c r="BJ16" s="27"/>
      <c r="BK16" s="27">
        <f t="shared" si="14"/>
        <v>1</v>
      </c>
      <c r="BL16" s="27"/>
      <c r="BM16" s="181">
        <f t="shared" ref="BM16:BX16" si="46">E16+Q16</f>
        <v>1</v>
      </c>
      <c r="BN16" s="181">
        <f t="shared" si="46"/>
        <v>1</v>
      </c>
      <c r="BO16" s="181">
        <f t="shared" si="46"/>
        <v>0</v>
      </c>
      <c r="BP16" s="181">
        <f t="shared" si="46"/>
        <v>0</v>
      </c>
      <c r="BQ16" s="181">
        <f t="shared" si="46"/>
        <v>2</v>
      </c>
      <c r="BR16" s="181">
        <f t="shared" si="46"/>
        <v>0</v>
      </c>
      <c r="BS16" s="181">
        <f t="shared" si="46"/>
        <v>1</v>
      </c>
      <c r="BT16" s="181">
        <f t="shared" si="46"/>
        <v>1</v>
      </c>
      <c r="BU16" s="181">
        <f t="shared" si="46"/>
        <v>0</v>
      </c>
      <c r="BV16" s="181">
        <f t="shared" si="46"/>
        <v>0</v>
      </c>
      <c r="BW16" s="181">
        <f t="shared" si="46"/>
        <v>2</v>
      </c>
      <c r="BX16" s="181">
        <f t="shared" si="46"/>
        <v>0</v>
      </c>
      <c r="BY16" s="38">
        <f t="shared" ref="BY16:CJ16" si="47">AC16+AO16</f>
        <v>0</v>
      </c>
      <c r="BZ16" s="38">
        <f t="shared" si="47"/>
        <v>0</v>
      </c>
      <c r="CA16" s="38">
        <f t="shared" si="47"/>
        <v>0</v>
      </c>
      <c r="CB16" s="38">
        <f t="shared" si="47"/>
        <v>0</v>
      </c>
      <c r="CC16" s="38">
        <f t="shared" si="47"/>
        <v>0</v>
      </c>
      <c r="CD16" s="38">
        <f t="shared" si="47"/>
        <v>0</v>
      </c>
      <c r="CE16" s="38">
        <f t="shared" si="47"/>
        <v>0</v>
      </c>
      <c r="CF16" s="38">
        <f t="shared" si="47"/>
        <v>0</v>
      </c>
      <c r="CG16" s="38">
        <f t="shared" si="47"/>
        <v>0</v>
      </c>
      <c r="CH16" s="38">
        <f t="shared" si="47"/>
        <v>0</v>
      </c>
      <c r="CI16" s="38">
        <f t="shared" si="47"/>
        <v>0</v>
      </c>
      <c r="CJ16" s="38">
        <f t="shared" si="47"/>
        <v>0</v>
      </c>
      <c r="CK16" s="27">
        <f t="shared" ref="CK16:CN16" si="48">BA16+BM16+BY16</f>
        <v>2</v>
      </c>
      <c r="CL16" s="27">
        <f t="shared" si="48"/>
        <v>1</v>
      </c>
      <c r="CM16" s="27">
        <f t="shared" si="48"/>
        <v>0</v>
      </c>
      <c r="CN16" s="27">
        <f t="shared" si="48"/>
        <v>0</v>
      </c>
      <c r="CO16" s="27">
        <f t="shared" si="18"/>
        <v>3</v>
      </c>
      <c r="CP16" s="27">
        <f t="shared" ref="CP16:CT16" si="49">BF16+BR16+CD16</f>
        <v>0</v>
      </c>
      <c r="CQ16" s="27">
        <f t="shared" si="49"/>
        <v>2</v>
      </c>
      <c r="CR16" s="27">
        <f t="shared" si="49"/>
        <v>1</v>
      </c>
      <c r="CS16" s="27">
        <f t="shared" si="49"/>
        <v>0</v>
      </c>
      <c r="CT16" s="27">
        <f t="shared" si="49"/>
        <v>0</v>
      </c>
      <c r="CU16" s="27">
        <f t="shared" si="20"/>
        <v>3</v>
      </c>
      <c r="CV16" s="27">
        <f t="shared" si="21"/>
        <v>0</v>
      </c>
    </row>
    <row r="17">
      <c r="A17" s="1"/>
      <c r="B17" s="1"/>
      <c r="C17" s="13"/>
      <c r="D17" s="26" t="s">
        <v>31</v>
      </c>
      <c r="E17" s="66">
        <v>3.0</v>
      </c>
      <c r="F17" s="66"/>
      <c r="G17" s="66"/>
      <c r="H17" s="66"/>
      <c r="I17" s="66">
        <f t="shared" si="5"/>
        <v>3</v>
      </c>
      <c r="J17" s="66"/>
      <c r="K17" s="66">
        <v>2.0</v>
      </c>
      <c r="L17" s="66"/>
      <c r="M17" s="66"/>
      <c r="N17" s="66"/>
      <c r="O17" s="66">
        <f t="shared" si="6"/>
        <v>2</v>
      </c>
      <c r="P17" s="66"/>
      <c r="Q17" s="42"/>
      <c r="R17" s="42">
        <v>1.0</v>
      </c>
      <c r="S17" s="42"/>
      <c r="T17" s="42"/>
      <c r="U17" s="42">
        <f t="shared" si="7"/>
        <v>1</v>
      </c>
      <c r="V17" s="42"/>
      <c r="W17" s="42"/>
      <c r="X17" s="42">
        <v>1.0</v>
      </c>
      <c r="Y17" s="42"/>
      <c r="Z17" s="42"/>
      <c r="AA17" s="42">
        <f t="shared" si="8"/>
        <v>1</v>
      </c>
      <c r="AB17" s="42"/>
      <c r="AC17" s="38">
        <v>1.0</v>
      </c>
      <c r="AD17" s="38">
        <f>2+2</f>
        <v>4</v>
      </c>
      <c r="AE17" s="38"/>
      <c r="AF17" s="38"/>
      <c r="AG17" s="38">
        <f t="shared" si="9"/>
        <v>5</v>
      </c>
      <c r="AH17" s="38"/>
      <c r="AI17" s="38">
        <v>1.0</v>
      </c>
      <c r="AJ17" s="38">
        <v>2.0</v>
      </c>
      <c r="AK17" s="38"/>
      <c r="AL17" s="38"/>
      <c r="AM17" s="38">
        <f t="shared" si="10"/>
        <v>3</v>
      </c>
      <c r="AN17" s="38"/>
      <c r="AO17" s="178">
        <v>3.0</v>
      </c>
      <c r="AP17" s="178"/>
      <c r="AQ17" s="178"/>
      <c r="AR17" s="178"/>
      <c r="AS17" s="178">
        <f t="shared" si="11"/>
        <v>3</v>
      </c>
      <c r="AT17" s="178"/>
      <c r="AU17" s="178">
        <v>2.0</v>
      </c>
      <c r="AV17" s="178">
        <v>1.0</v>
      </c>
      <c r="AW17" s="178"/>
      <c r="AX17" s="178"/>
      <c r="AY17" s="178">
        <f t="shared" si="12"/>
        <v>3</v>
      </c>
      <c r="AZ17" s="178"/>
      <c r="BA17" s="27">
        <v>4.0</v>
      </c>
      <c r="BB17" s="27"/>
      <c r="BC17" s="27"/>
      <c r="BD17" s="27"/>
      <c r="BE17" s="27">
        <f t="shared" si="13"/>
        <v>4</v>
      </c>
      <c r="BF17" s="27"/>
      <c r="BG17" s="27">
        <v>4.0</v>
      </c>
      <c r="BH17" s="27"/>
      <c r="BI17" s="27"/>
      <c r="BJ17" s="27"/>
      <c r="BK17" s="27">
        <f t="shared" si="14"/>
        <v>4</v>
      </c>
      <c r="BL17" s="27"/>
      <c r="BM17" s="181">
        <f t="shared" ref="BM17:BX17" si="50">E17+Q17</f>
        <v>3</v>
      </c>
      <c r="BN17" s="181">
        <f t="shared" si="50"/>
        <v>1</v>
      </c>
      <c r="BO17" s="181">
        <f t="shared" si="50"/>
        <v>0</v>
      </c>
      <c r="BP17" s="181">
        <f t="shared" si="50"/>
        <v>0</v>
      </c>
      <c r="BQ17" s="181">
        <f t="shared" si="50"/>
        <v>4</v>
      </c>
      <c r="BR17" s="181">
        <f t="shared" si="50"/>
        <v>0</v>
      </c>
      <c r="BS17" s="181">
        <f t="shared" si="50"/>
        <v>2</v>
      </c>
      <c r="BT17" s="181">
        <f t="shared" si="50"/>
        <v>1</v>
      </c>
      <c r="BU17" s="181">
        <f t="shared" si="50"/>
        <v>0</v>
      </c>
      <c r="BV17" s="181">
        <f t="shared" si="50"/>
        <v>0</v>
      </c>
      <c r="BW17" s="181">
        <f t="shared" si="50"/>
        <v>3</v>
      </c>
      <c r="BX17" s="181">
        <f t="shared" si="50"/>
        <v>0</v>
      </c>
      <c r="BY17" s="38">
        <f t="shared" ref="BY17:CJ17" si="51">AC17+AO17</f>
        <v>4</v>
      </c>
      <c r="BZ17" s="38">
        <f t="shared" si="51"/>
        <v>4</v>
      </c>
      <c r="CA17" s="38">
        <f t="shared" si="51"/>
        <v>0</v>
      </c>
      <c r="CB17" s="38">
        <f t="shared" si="51"/>
        <v>0</v>
      </c>
      <c r="CC17" s="38">
        <f t="shared" si="51"/>
        <v>8</v>
      </c>
      <c r="CD17" s="38">
        <f t="shared" si="51"/>
        <v>0</v>
      </c>
      <c r="CE17" s="38">
        <f t="shared" si="51"/>
        <v>3</v>
      </c>
      <c r="CF17" s="38">
        <f t="shared" si="51"/>
        <v>3</v>
      </c>
      <c r="CG17" s="38">
        <f t="shared" si="51"/>
        <v>0</v>
      </c>
      <c r="CH17" s="38">
        <f t="shared" si="51"/>
        <v>0</v>
      </c>
      <c r="CI17" s="38">
        <f t="shared" si="51"/>
        <v>6</v>
      </c>
      <c r="CJ17" s="38">
        <f t="shared" si="51"/>
        <v>0</v>
      </c>
      <c r="CK17" s="27">
        <f t="shared" ref="CK17:CN17" si="52">BA17+BM17+BY17</f>
        <v>11</v>
      </c>
      <c r="CL17" s="27">
        <f t="shared" si="52"/>
        <v>5</v>
      </c>
      <c r="CM17" s="27">
        <f t="shared" si="52"/>
        <v>0</v>
      </c>
      <c r="CN17" s="27">
        <f t="shared" si="52"/>
        <v>0</v>
      </c>
      <c r="CO17" s="27">
        <f t="shared" si="18"/>
        <v>16</v>
      </c>
      <c r="CP17" s="27">
        <f t="shared" ref="CP17:CT17" si="53">BF17+BR17+CD17</f>
        <v>0</v>
      </c>
      <c r="CQ17" s="27">
        <f t="shared" si="53"/>
        <v>9</v>
      </c>
      <c r="CR17" s="27">
        <f t="shared" si="53"/>
        <v>4</v>
      </c>
      <c r="CS17" s="27">
        <f t="shared" si="53"/>
        <v>0</v>
      </c>
      <c r="CT17" s="27">
        <f t="shared" si="53"/>
        <v>0</v>
      </c>
      <c r="CU17" s="27">
        <f t="shared" si="20"/>
        <v>13</v>
      </c>
      <c r="CV17" s="27">
        <f t="shared" si="21"/>
        <v>0</v>
      </c>
    </row>
    <row r="18">
      <c r="A18" s="1"/>
      <c r="B18" s="1"/>
      <c r="C18" s="13"/>
      <c r="D18" s="26" t="s">
        <v>32</v>
      </c>
      <c r="E18" s="66"/>
      <c r="F18" s="66"/>
      <c r="G18" s="66">
        <v>1.0</v>
      </c>
      <c r="H18" s="66"/>
      <c r="I18" s="66">
        <f t="shared" si="5"/>
        <v>1</v>
      </c>
      <c r="J18" s="66"/>
      <c r="K18" s="66"/>
      <c r="L18" s="66"/>
      <c r="M18" s="66">
        <v>1.0</v>
      </c>
      <c r="N18" s="66"/>
      <c r="O18" s="66">
        <f t="shared" si="6"/>
        <v>1</v>
      </c>
      <c r="P18" s="66"/>
      <c r="Q18" s="42">
        <v>1.0</v>
      </c>
      <c r="R18" s="42"/>
      <c r="S18" s="42"/>
      <c r="T18" s="42"/>
      <c r="U18" s="42">
        <f t="shared" si="7"/>
        <v>1</v>
      </c>
      <c r="V18" s="42"/>
      <c r="W18" s="42">
        <v>1.0</v>
      </c>
      <c r="X18" s="42"/>
      <c r="Y18" s="42"/>
      <c r="Z18" s="42"/>
      <c r="AA18" s="42">
        <f t="shared" si="8"/>
        <v>1</v>
      </c>
      <c r="AB18" s="42"/>
      <c r="AC18" s="38">
        <v>1.0</v>
      </c>
      <c r="AD18" s="38"/>
      <c r="AE18" s="38">
        <v>1.0</v>
      </c>
      <c r="AF18" s="38"/>
      <c r="AG18" s="38">
        <f t="shared" si="9"/>
        <v>2</v>
      </c>
      <c r="AH18" s="38"/>
      <c r="AI18" s="38">
        <v>1.0</v>
      </c>
      <c r="AJ18" s="38"/>
      <c r="AK18" s="38">
        <v>1.0</v>
      </c>
      <c r="AL18" s="38"/>
      <c r="AM18" s="38">
        <f t="shared" si="10"/>
        <v>2</v>
      </c>
      <c r="AN18" s="38"/>
      <c r="AO18" s="178"/>
      <c r="AP18" s="178"/>
      <c r="AQ18" s="178"/>
      <c r="AR18" s="178"/>
      <c r="AS18" s="178">
        <f t="shared" si="11"/>
        <v>0</v>
      </c>
      <c r="AT18" s="178"/>
      <c r="AU18" s="178"/>
      <c r="AV18" s="178"/>
      <c r="AW18" s="178"/>
      <c r="AX18" s="178"/>
      <c r="AY18" s="178">
        <f t="shared" si="12"/>
        <v>0</v>
      </c>
      <c r="AZ18" s="178"/>
      <c r="BA18" s="27"/>
      <c r="BB18" s="27"/>
      <c r="BC18" s="27">
        <v>1.0</v>
      </c>
      <c r="BD18" s="27"/>
      <c r="BE18" s="27">
        <f t="shared" si="13"/>
        <v>1</v>
      </c>
      <c r="BF18" s="27"/>
      <c r="BG18" s="27"/>
      <c r="BH18" s="27"/>
      <c r="BI18" s="27">
        <v>1.0</v>
      </c>
      <c r="BJ18" s="27"/>
      <c r="BK18" s="27">
        <f t="shared" si="14"/>
        <v>1</v>
      </c>
      <c r="BL18" s="27"/>
      <c r="BM18" s="181">
        <f t="shared" ref="BM18:BX18" si="54">E18+Q18</f>
        <v>1</v>
      </c>
      <c r="BN18" s="181">
        <f t="shared" si="54"/>
        <v>0</v>
      </c>
      <c r="BO18" s="181">
        <f t="shared" si="54"/>
        <v>1</v>
      </c>
      <c r="BP18" s="181">
        <f t="shared" si="54"/>
        <v>0</v>
      </c>
      <c r="BQ18" s="181">
        <f t="shared" si="54"/>
        <v>2</v>
      </c>
      <c r="BR18" s="181">
        <f t="shared" si="54"/>
        <v>0</v>
      </c>
      <c r="BS18" s="181">
        <f t="shared" si="54"/>
        <v>1</v>
      </c>
      <c r="BT18" s="181">
        <f t="shared" si="54"/>
        <v>0</v>
      </c>
      <c r="BU18" s="181">
        <f t="shared" si="54"/>
        <v>1</v>
      </c>
      <c r="BV18" s="181">
        <f t="shared" si="54"/>
        <v>0</v>
      </c>
      <c r="BW18" s="181">
        <f t="shared" si="54"/>
        <v>2</v>
      </c>
      <c r="BX18" s="181">
        <f t="shared" si="54"/>
        <v>0</v>
      </c>
      <c r="BY18" s="38">
        <f t="shared" ref="BY18:CJ18" si="55">AC18+AO18</f>
        <v>1</v>
      </c>
      <c r="BZ18" s="38">
        <f t="shared" si="55"/>
        <v>0</v>
      </c>
      <c r="CA18" s="38">
        <f t="shared" si="55"/>
        <v>1</v>
      </c>
      <c r="CB18" s="38">
        <f t="shared" si="55"/>
        <v>0</v>
      </c>
      <c r="CC18" s="38">
        <f t="shared" si="55"/>
        <v>2</v>
      </c>
      <c r="CD18" s="38">
        <f t="shared" si="55"/>
        <v>0</v>
      </c>
      <c r="CE18" s="38">
        <f t="shared" si="55"/>
        <v>1</v>
      </c>
      <c r="CF18" s="38">
        <f t="shared" si="55"/>
        <v>0</v>
      </c>
      <c r="CG18" s="38">
        <f t="shared" si="55"/>
        <v>1</v>
      </c>
      <c r="CH18" s="38">
        <f t="shared" si="55"/>
        <v>0</v>
      </c>
      <c r="CI18" s="38">
        <f t="shared" si="55"/>
        <v>2</v>
      </c>
      <c r="CJ18" s="38">
        <f t="shared" si="55"/>
        <v>0</v>
      </c>
      <c r="CK18" s="27">
        <f t="shared" ref="CK18:CN18" si="56">BA18+BM18+BY18</f>
        <v>2</v>
      </c>
      <c r="CL18" s="27">
        <f t="shared" si="56"/>
        <v>0</v>
      </c>
      <c r="CM18" s="27">
        <f t="shared" si="56"/>
        <v>3</v>
      </c>
      <c r="CN18" s="27">
        <f t="shared" si="56"/>
        <v>0</v>
      </c>
      <c r="CO18" s="27">
        <f t="shared" si="18"/>
        <v>5</v>
      </c>
      <c r="CP18" s="27">
        <f t="shared" ref="CP18:CT18" si="57">BF18+BR18+CD18</f>
        <v>0</v>
      </c>
      <c r="CQ18" s="27">
        <f t="shared" si="57"/>
        <v>2</v>
      </c>
      <c r="CR18" s="27">
        <f t="shared" si="57"/>
        <v>0</v>
      </c>
      <c r="CS18" s="27">
        <f t="shared" si="57"/>
        <v>3</v>
      </c>
      <c r="CT18" s="27">
        <f t="shared" si="57"/>
        <v>0</v>
      </c>
      <c r="CU18" s="27">
        <f t="shared" si="20"/>
        <v>5</v>
      </c>
      <c r="CV18" s="27">
        <f t="shared" si="21"/>
        <v>0</v>
      </c>
    </row>
    <row r="19">
      <c r="A19" s="1"/>
      <c r="B19" s="1"/>
      <c r="C19" s="21"/>
      <c r="D19" s="26" t="s">
        <v>33</v>
      </c>
      <c r="E19" s="66"/>
      <c r="F19" s="66">
        <v>1.0</v>
      </c>
      <c r="G19" s="66"/>
      <c r="H19" s="66"/>
      <c r="I19" s="66">
        <f t="shared" si="5"/>
        <v>1</v>
      </c>
      <c r="J19" s="66"/>
      <c r="K19" s="66"/>
      <c r="L19" s="66">
        <v>1.0</v>
      </c>
      <c r="M19" s="66"/>
      <c r="N19" s="66"/>
      <c r="O19" s="66">
        <f t="shared" si="6"/>
        <v>1</v>
      </c>
      <c r="P19" s="66"/>
      <c r="Q19" s="42"/>
      <c r="R19" s="42"/>
      <c r="S19" s="42"/>
      <c r="T19" s="42"/>
      <c r="U19" s="42">
        <f t="shared" si="7"/>
        <v>0</v>
      </c>
      <c r="V19" s="42"/>
      <c r="W19" s="42"/>
      <c r="X19" s="42"/>
      <c r="Y19" s="42"/>
      <c r="Z19" s="42"/>
      <c r="AA19" s="42">
        <f t="shared" si="8"/>
        <v>0</v>
      </c>
      <c r="AB19" s="42"/>
      <c r="AC19" s="38"/>
      <c r="AD19" s="38"/>
      <c r="AE19" s="38"/>
      <c r="AF19" s="38"/>
      <c r="AG19" s="38">
        <f t="shared" si="9"/>
        <v>0</v>
      </c>
      <c r="AH19" s="38"/>
      <c r="AI19" s="38"/>
      <c r="AJ19" s="38"/>
      <c r="AK19" s="38"/>
      <c r="AL19" s="38"/>
      <c r="AM19" s="38">
        <f t="shared" si="10"/>
        <v>0</v>
      </c>
      <c r="AN19" s="38"/>
      <c r="AO19" s="178"/>
      <c r="AP19" s="178"/>
      <c r="AQ19" s="178"/>
      <c r="AR19" s="178"/>
      <c r="AS19" s="178">
        <f t="shared" si="11"/>
        <v>0</v>
      </c>
      <c r="AT19" s="178"/>
      <c r="AU19" s="178"/>
      <c r="AV19" s="178"/>
      <c r="AW19" s="178"/>
      <c r="AX19" s="178"/>
      <c r="AY19" s="178">
        <f t="shared" si="12"/>
        <v>0</v>
      </c>
      <c r="AZ19" s="178"/>
      <c r="BA19" s="27"/>
      <c r="BB19" s="27"/>
      <c r="BC19" s="27">
        <v>1.0</v>
      </c>
      <c r="BD19" s="27"/>
      <c r="BE19" s="27">
        <f t="shared" si="13"/>
        <v>1</v>
      </c>
      <c r="BF19" s="27"/>
      <c r="BG19" s="27"/>
      <c r="BH19" s="27"/>
      <c r="BI19" s="27">
        <v>1.0</v>
      </c>
      <c r="BJ19" s="27"/>
      <c r="BK19" s="27">
        <f t="shared" si="14"/>
        <v>1</v>
      </c>
      <c r="BL19" s="27"/>
      <c r="BM19" s="181">
        <f t="shared" ref="BM19:BX19" si="58">E19+Q19</f>
        <v>0</v>
      </c>
      <c r="BN19" s="181">
        <f t="shared" si="58"/>
        <v>1</v>
      </c>
      <c r="BO19" s="181">
        <f t="shared" si="58"/>
        <v>0</v>
      </c>
      <c r="BP19" s="181">
        <f t="shared" si="58"/>
        <v>0</v>
      </c>
      <c r="BQ19" s="181">
        <f t="shared" si="58"/>
        <v>1</v>
      </c>
      <c r="BR19" s="181">
        <f t="shared" si="58"/>
        <v>0</v>
      </c>
      <c r="BS19" s="181">
        <f t="shared" si="58"/>
        <v>0</v>
      </c>
      <c r="BT19" s="181">
        <f t="shared" si="58"/>
        <v>1</v>
      </c>
      <c r="BU19" s="181">
        <f t="shared" si="58"/>
        <v>0</v>
      </c>
      <c r="BV19" s="181">
        <f t="shared" si="58"/>
        <v>0</v>
      </c>
      <c r="BW19" s="181">
        <f t="shared" si="58"/>
        <v>1</v>
      </c>
      <c r="BX19" s="181">
        <f t="shared" si="58"/>
        <v>0</v>
      </c>
      <c r="BY19" s="38">
        <f t="shared" ref="BY19:CJ19" si="59">AC19+AO19</f>
        <v>0</v>
      </c>
      <c r="BZ19" s="38">
        <f t="shared" si="59"/>
        <v>0</v>
      </c>
      <c r="CA19" s="38">
        <f t="shared" si="59"/>
        <v>0</v>
      </c>
      <c r="CB19" s="38">
        <f t="shared" si="59"/>
        <v>0</v>
      </c>
      <c r="CC19" s="38">
        <f t="shared" si="59"/>
        <v>0</v>
      </c>
      <c r="CD19" s="38">
        <f t="shared" si="59"/>
        <v>0</v>
      </c>
      <c r="CE19" s="38">
        <f t="shared" si="59"/>
        <v>0</v>
      </c>
      <c r="CF19" s="38">
        <f t="shared" si="59"/>
        <v>0</v>
      </c>
      <c r="CG19" s="38">
        <f t="shared" si="59"/>
        <v>0</v>
      </c>
      <c r="CH19" s="38">
        <f t="shared" si="59"/>
        <v>0</v>
      </c>
      <c r="CI19" s="38">
        <f t="shared" si="59"/>
        <v>0</v>
      </c>
      <c r="CJ19" s="38">
        <f t="shared" si="59"/>
        <v>0</v>
      </c>
      <c r="CK19" s="27">
        <f t="shared" ref="CK19:CN19" si="60">BA19+BM19+BY19</f>
        <v>0</v>
      </c>
      <c r="CL19" s="27">
        <f t="shared" si="60"/>
        <v>1</v>
      </c>
      <c r="CM19" s="27">
        <f t="shared" si="60"/>
        <v>1</v>
      </c>
      <c r="CN19" s="27">
        <f t="shared" si="60"/>
        <v>0</v>
      </c>
      <c r="CO19" s="27">
        <f t="shared" si="18"/>
        <v>2</v>
      </c>
      <c r="CP19" s="27">
        <f t="shared" ref="CP19:CT19" si="61">BF19+BR19+CD19</f>
        <v>0</v>
      </c>
      <c r="CQ19" s="27">
        <f t="shared" si="61"/>
        <v>0</v>
      </c>
      <c r="CR19" s="27">
        <f t="shared" si="61"/>
        <v>1</v>
      </c>
      <c r="CS19" s="27">
        <f t="shared" si="61"/>
        <v>1</v>
      </c>
      <c r="CT19" s="27">
        <f t="shared" si="61"/>
        <v>0</v>
      </c>
      <c r="CU19" s="27">
        <f t="shared" si="20"/>
        <v>2</v>
      </c>
      <c r="CV19" s="27">
        <f t="shared" si="21"/>
        <v>0</v>
      </c>
    </row>
    <row r="20">
      <c r="A20" s="1"/>
      <c r="B20" s="1"/>
      <c r="C20" s="24" t="s">
        <v>34</v>
      </c>
      <c r="D20" s="26" t="s">
        <v>35</v>
      </c>
      <c r="E20" s="66"/>
      <c r="F20" s="66"/>
      <c r="G20" s="66"/>
      <c r="H20" s="66"/>
      <c r="I20" s="66">
        <f t="shared" si="5"/>
        <v>0</v>
      </c>
      <c r="J20" s="66"/>
      <c r="K20" s="66"/>
      <c r="L20" s="66"/>
      <c r="M20" s="66"/>
      <c r="N20" s="66"/>
      <c r="O20" s="66">
        <f t="shared" si="6"/>
        <v>0</v>
      </c>
      <c r="P20" s="66"/>
      <c r="Q20" s="42"/>
      <c r="R20" s="42">
        <v>1.0</v>
      </c>
      <c r="S20" s="42"/>
      <c r="T20" s="42"/>
      <c r="U20" s="42">
        <f t="shared" si="7"/>
        <v>1</v>
      </c>
      <c r="V20" s="42"/>
      <c r="W20" s="42"/>
      <c r="X20" s="42"/>
      <c r="Y20" s="42"/>
      <c r="Z20" s="42"/>
      <c r="AA20" s="42">
        <f t="shared" si="8"/>
        <v>0</v>
      </c>
      <c r="AB20" s="42"/>
      <c r="AC20" s="38"/>
      <c r="AD20" s="38"/>
      <c r="AE20" s="38"/>
      <c r="AF20" s="38"/>
      <c r="AG20" s="38">
        <f t="shared" si="9"/>
        <v>0</v>
      </c>
      <c r="AH20" s="38"/>
      <c r="AI20" s="38"/>
      <c r="AJ20" s="38"/>
      <c r="AK20" s="38"/>
      <c r="AL20" s="38"/>
      <c r="AM20" s="38">
        <f t="shared" si="10"/>
        <v>0</v>
      </c>
      <c r="AN20" s="38"/>
      <c r="AO20" s="178"/>
      <c r="AP20" s="178"/>
      <c r="AQ20" s="178"/>
      <c r="AR20" s="178"/>
      <c r="AS20" s="178">
        <f t="shared" si="11"/>
        <v>0</v>
      </c>
      <c r="AT20" s="178"/>
      <c r="AU20" s="178"/>
      <c r="AV20" s="178"/>
      <c r="AW20" s="178"/>
      <c r="AX20" s="178"/>
      <c r="AY20" s="178">
        <f t="shared" si="12"/>
        <v>0</v>
      </c>
      <c r="AZ20" s="178"/>
      <c r="BA20" s="27"/>
      <c r="BB20" s="27">
        <v>1.0</v>
      </c>
      <c r="BC20" s="27"/>
      <c r="BD20" s="27"/>
      <c r="BE20" s="27">
        <f t="shared" si="13"/>
        <v>1</v>
      </c>
      <c r="BF20" s="27"/>
      <c r="BG20" s="27"/>
      <c r="BH20" s="27">
        <v>1.0</v>
      </c>
      <c r="BI20" s="27"/>
      <c r="BJ20" s="27"/>
      <c r="BK20" s="27">
        <f t="shared" si="14"/>
        <v>1</v>
      </c>
      <c r="BL20" s="27"/>
      <c r="BM20" s="181">
        <f t="shared" ref="BM20:BX20" si="62">E20+Q20</f>
        <v>0</v>
      </c>
      <c r="BN20" s="181">
        <f t="shared" si="62"/>
        <v>1</v>
      </c>
      <c r="BO20" s="181">
        <f t="shared" si="62"/>
        <v>0</v>
      </c>
      <c r="BP20" s="181">
        <f t="shared" si="62"/>
        <v>0</v>
      </c>
      <c r="BQ20" s="181">
        <f t="shared" si="62"/>
        <v>1</v>
      </c>
      <c r="BR20" s="181">
        <f t="shared" si="62"/>
        <v>0</v>
      </c>
      <c r="BS20" s="181">
        <f t="shared" si="62"/>
        <v>0</v>
      </c>
      <c r="BT20" s="181">
        <f t="shared" si="62"/>
        <v>0</v>
      </c>
      <c r="BU20" s="181">
        <f t="shared" si="62"/>
        <v>0</v>
      </c>
      <c r="BV20" s="181">
        <f t="shared" si="62"/>
        <v>0</v>
      </c>
      <c r="BW20" s="181">
        <f t="shared" si="62"/>
        <v>0</v>
      </c>
      <c r="BX20" s="181">
        <f t="shared" si="62"/>
        <v>0</v>
      </c>
      <c r="BY20" s="38">
        <f t="shared" ref="BY20:CJ20" si="63">AC20+AO20</f>
        <v>0</v>
      </c>
      <c r="BZ20" s="38">
        <f t="shared" si="63"/>
        <v>0</v>
      </c>
      <c r="CA20" s="38">
        <f t="shared" si="63"/>
        <v>0</v>
      </c>
      <c r="CB20" s="38">
        <f t="shared" si="63"/>
        <v>0</v>
      </c>
      <c r="CC20" s="38">
        <f t="shared" si="63"/>
        <v>0</v>
      </c>
      <c r="CD20" s="38">
        <f t="shared" si="63"/>
        <v>0</v>
      </c>
      <c r="CE20" s="38">
        <f t="shared" si="63"/>
        <v>0</v>
      </c>
      <c r="CF20" s="38">
        <f t="shared" si="63"/>
        <v>0</v>
      </c>
      <c r="CG20" s="38">
        <f t="shared" si="63"/>
        <v>0</v>
      </c>
      <c r="CH20" s="38">
        <f t="shared" si="63"/>
        <v>0</v>
      </c>
      <c r="CI20" s="38">
        <f t="shared" si="63"/>
        <v>0</v>
      </c>
      <c r="CJ20" s="38">
        <f t="shared" si="63"/>
        <v>0</v>
      </c>
      <c r="CK20" s="27">
        <f t="shared" ref="CK20:CN20" si="64">BA20+BM20+BY20</f>
        <v>0</v>
      </c>
      <c r="CL20" s="27">
        <f t="shared" si="64"/>
        <v>2</v>
      </c>
      <c r="CM20" s="27">
        <f t="shared" si="64"/>
        <v>0</v>
      </c>
      <c r="CN20" s="27">
        <f t="shared" si="64"/>
        <v>0</v>
      </c>
      <c r="CO20" s="27">
        <f t="shared" si="18"/>
        <v>2</v>
      </c>
      <c r="CP20" s="27">
        <f t="shared" ref="CP20:CT20" si="65">BF20+BR20+CD20</f>
        <v>0</v>
      </c>
      <c r="CQ20" s="27">
        <f t="shared" si="65"/>
        <v>0</v>
      </c>
      <c r="CR20" s="27">
        <f t="shared" si="65"/>
        <v>1</v>
      </c>
      <c r="CS20" s="27">
        <f t="shared" si="65"/>
        <v>0</v>
      </c>
      <c r="CT20" s="27">
        <f t="shared" si="65"/>
        <v>0</v>
      </c>
      <c r="CU20" s="27">
        <f t="shared" si="20"/>
        <v>1</v>
      </c>
      <c r="CV20" s="27">
        <f t="shared" si="21"/>
        <v>0</v>
      </c>
    </row>
    <row r="21" ht="15.75" customHeight="1">
      <c r="A21" s="1"/>
      <c r="B21" s="1"/>
      <c r="C21" s="41" t="s">
        <v>63</v>
      </c>
      <c r="D21" s="26" t="s">
        <v>38</v>
      </c>
      <c r="E21" s="66">
        <v>1.0</v>
      </c>
      <c r="F21" s="66"/>
      <c r="G21" s="66"/>
      <c r="H21" s="66"/>
      <c r="I21" s="66">
        <f t="shared" si="5"/>
        <v>1</v>
      </c>
      <c r="J21" s="66"/>
      <c r="K21" s="66">
        <v>1.0</v>
      </c>
      <c r="L21" s="66"/>
      <c r="M21" s="66"/>
      <c r="N21" s="66"/>
      <c r="O21" s="66">
        <f t="shared" si="6"/>
        <v>1</v>
      </c>
      <c r="P21" s="66"/>
      <c r="Q21" s="42"/>
      <c r="R21" s="42"/>
      <c r="S21" s="42"/>
      <c r="T21" s="42"/>
      <c r="U21" s="42">
        <f t="shared" si="7"/>
        <v>0</v>
      </c>
      <c r="V21" s="42"/>
      <c r="W21" s="42"/>
      <c r="X21" s="42"/>
      <c r="Y21" s="42"/>
      <c r="Z21" s="42"/>
      <c r="AA21" s="42">
        <f t="shared" si="8"/>
        <v>0</v>
      </c>
      <c r="AB21" s="42"/>
      <c r="AC21" s="38"/>
      <c r="AD21" s="38"/>
      <c r="AE21" s="38"/>
      <c r="AF21" s="38"/>
      <c r="AG21" s="38">
        <f t="shared" si="9"/>
        <v>0</v>
      </c>
      <c r="AH21" s="38"/>
      <c r="AI21" s="38"/>
      <c r="AJ21" s="38"/>
      <c r="AK21" s="38"/>
      <c r="AL21" s="38"/>
      <c r="AM21" s="38">
        <f t="shared" si="10"/>
        <v>0</v>
      </c>
      <c r="AN21" s="38"/>
      <c r="AO21" s="178"/>
      <c r="AP21" s="178"/>
      <c r="AQ21" s="178"/>
      <c r="AR21" s="178"/>
      <c r="AS21" s="178">
        <f t="shared" si="11"/>
        <v>0</v>
      </c>
      <c r="AT21" s="178"/>
      <c r="AU21" s="178"/>
      <c r="AV21" s="178"/>
      <c r="AW21" s="178"/>
      <c r="AX21" s="178"/>
      <c r="AY21" s="178">
        <f t="shared" si="12"/>
        <v>0</v>
      </c>
      <c r="AZ21" s="178"/>
      <c r="BA21" s="27"/>
      <c r="BB21" s="27"/>
      <c r="BC21" s="27"/>
      <c r="BD21" s="27"/>
      <c r="BE21" s="27">
        <f t="shared" si="13"/>
        <v>0</v>
      </c>
      <c r="BF21" s="27"/>
      <c r="BG21" s="27"/>
      <c r="BH21" s="27"/>
      <c r="BI21" s="27"/>
      <c r="BJ21" s="27"/>
      <c r="BK21" s="27">
        <f t="shared" si="14"/>
        <v>0</v>
      </c>
      <c r="BL21" s="27"/>
      <c r="BM21" s="181">
        <f t="shared" ref="BM21:BX21" si="66">E21+Q21</f>
        <v>1</v>
      </c>
      <c r="BN21" s="181">
        <f t="shared" si="66"/>
        <v>0</v>
      </c>
      <c r="BO21" s="181">
        <f t="shared" si="66"/>
        <v>0</v>
      </c>
      <c r="BP21" s="181">
        <f t="shared" si="66"/>
        <v>0</v>
      </c>
      <c r="BQ21" s="181">
        <f t="shared" si="66"/>
        <v>1</v>
      </c>
      <c r="BR21" s="181">
        <f t="shared" si="66"/>
        <v>0</v>
      </c>
      <c r="BS21" s="181">
        <f t="shared" si="66"/>
        <v>1</v>
      </c>
      <c r="BT21" s="181">
        <f t="shared" si="66"/>
        <v>0</v>
      </c>
      <c r="BU21" s="181">
        <f t="shared" si="66"/>
        <v>0</v>
      </c>
      <c r="BV21" s="181">
        <f t="shared" si="66"/>
        <v>0</v>
      </c>
      <c r="BW21" s="181">
        <f t="shared" si="66"/>
        <v>1</v>
      </c>
      <c r="BX21" s="181">
        <f t="shared" si="66"/>
        <v>0</v>
      </c>
      <c r="BY21" s="38">
        <f t="shared" ref="BY21:CJ21" si="67">AC21+AO21</f>
        <v>0</v>
      </c>
      <c r="BZ21" s="38">
        <f t="shared" si="67"/>
        <v>0</v>
      </c>
      <c r="CA21" s="38">
        <f t="shared" si="67"/>
        <v>0</v>
      </c>
      <c r="CB21" s="38">
        <f t="shared" si="67"/>
        <v>0</v>
      </c>
      <c r="CC21" s="38">
        <f t="shared" si="67"/>
        <v>0</v>
      </c>
      <c r="CD21" s="38">
        <f t="shared" si="67"/>
        <v>0</v>
      </c>
      <c r="CE21" s="38">
        <f t="shared" si="67"/>
        <v>0</v>
      </c>
      <c r="CF21" s="38">
        <f t="shared" si="67"/>
        <v>0</v>
      </c>
      <c r="CG21" s="38">
        <f t="shared" si="67"/>
        <v>0</v>
      </c>
      <c r="CH21" s="38">
        <f t="shared" si="67"/>
        <v>0</v>
      </c>
      <c r="CI21" s="38">
        <f t="shared" si="67"/>
        <v>0</v>
      </c>
      <c r="CJ21" s="38">
        <f t="shared" si="67"/>
        <v>0</v>
      </c>
      <c r="CK21" s="27">
        <f t="shared" ref="CK21:CN21" si="68">BA21+BM21+BY21</f>
        <v>1</v>
      </c>
      <c r="CL21" s="27">
        <f t="shared" si="68"/>
        <v>0</v>
      </c>
      <c r="CM21" s="27">
        <f t="shared" si="68"/>
        <v>0</v>
      </c>
      <c r="CN21" s="27">
        <f t="shared" si="68"/>
        <v>0</v>
      </c>
      <c r="CO21" s="27">
        <f t="shared" si="18"/>
        <v>1</v>
      </c>
      <c r="CP21" s="27">
        <f t="shared" ref="CP21:CT21" si="69">BF21+BR21+CD21</f>
        <v>0</v>
      </c>
      <c r="CQ21" s="27">
        <f t="shared" si="69"/>
        <v>1</v>
      </c>
      <c r="CR21" s="27">
        <f t="shared" si="69"/>
        <v>0</v>
      </c>
      <c r="CS21" s="27">
        <f t="shared" si="69"/>
        <v>0</v>
      </c>
      <c r="CT21" s="27">
        <f t="shared" si="69"/>
        <v>0</v>
      </c>
      <c r="CU21" s="27">
        <f t="shared" si="20"/>
        <v>1</v>
      </c>
      <c r="CV21" s="27">
        <f t="shared" si="21"/>
        <v>0</v>
      </c>
    </row>
    <row r="22" ht="15.75" customHeight="1">
      <c r="A22" s="1"/>
      <c r="B22" s="1"/>
      <c r="C22" s="13"/>
      <c r="D22" s="26" t="s">
        <v>39</v>
      </c>
      <c r="E22" s="66"/>
      <c r="F22" s="66"/>
      <c r="G22" s="66"/>
      <c r="H22" s="66"/>
      <c r="I22" s="66">
        <f t="shared" si="5"/>
        <v>0</v>
      </c>
      <c r="J22" s="66"/>
      <c r="K22" s="66"/>
      <c r="L22" s="66"/>
      <c r="M22" s="66"/>
      <c r="N22" s="66"/>
      <c r="O22" s="66">
        <f t="shared" si="6"/>
        <v>0</v>
      </c>
      <c r="P22" s="66"/>
      <c r="Q22" s="42"/>
      <c r="R22" s="42"/>
      <c r="S22" s="42"/>
      <c r="T22" s="42"/>
      <c r="U22" s="42">
        <f t="shared" si="7"/>
        <v>0</v>
      </c>
      <c r="V22" s="42"/>
      <c r="W22" s="42"/>
      <c r="X22" s="42"/>
      <c r="Y22" s="42"/>
      <c r="Z22" s="42"/>
      <c r="AA22" s="42">
        <f t="shared" si="8"/>
        <v>0</v>
      </c>
      <c r="AB22" s="42"/>
      <c r="AC22" s="38"/>
      <c r="AD22" s="38"/>
      <c r="AE22" s="38"/>
      <c r="AF22" s="38"/>
      <c r="AG22" s="38">
        <f t="shared" si="9"/>
        <v>0</v>
      </c>
      <c r="AH22" s="38"/>
      <c r="AI22" s="38"/>
      <c r="AJ22" s="38"/>
      <c r="AK22" s="38"/>
      <c r="AL22" s="38"/>
      <c r="AM22" s="38">
        <f t="shared" si="10"/>
        <v>0</v>
      </c>
      <c r="AN22" s="38"/>
      <c r="AO22" s="178"/>
      <c r="AP22" s="178"/>
      <c r="AQ22" s="178"/>
      <c r="AR22" s="178"/>
      <c r="AS22" s="178">
        <f t="shared" si="11"/>
        <v>0</v>
      </c>
      <c r="AT22" s="178"/>
      <c r="AU22" s="178"/>
      <c r="AV22" s="178"/>
      <c r="AW22" s="178"/>
      <c r="AX22" s="178"/>
      <c r="AY22" s="178">
        <f t="shared" si="12"/>
        <v>0</v>
      </c>
      <c r="AZ22" s="178"/>
      <c r="BA22" s="27">
        <v>1.0</v>
      </c>
      <c r="BB22" s="27"/>
      <c r="BC22" s="27"/>
      <c r="BD22" s="27"/>
      <c r="BE22" s="27">
        <f t="shared" si="13"/>
        <v>1</v>
      </c>
      <c r="BF22" s="27"/>
      <c r="BG22" s="27">
        <v>1.0</v>
      </c>
      <c r="BH22" s="27"/>
      <c r="BI22" s="27"/>
      <c r="BJ22" s="27"/>
      <c r="BK22" s="27">
        <f t="shared" si="14"/>
        <v>1</v>
      </c>
      <c r="BL22" s="27"/>
      <c r="BM22" s="181">
        <f t="shared" ref="BM22:BX22" si="70">E22+Q22</f>
        <v>0</v>
      </c>
      <c r="BN22" s="181">
        <f t="shared" si="70"/>
        <v>0</v>
      </c>
      <c r="BO22" s="181">
        <f t="shared" si="70"/>
        <v>0</v>
      </c>
      <c r="BP22" s="181">
        <f t="shared" si="70"/>
        <v>0</v>
      </c>
      <c r="BQ22" s="181">
        <f t="shared" si="70"/>
        <v>0</v>
      </c>
      <c r="BR22" s="181">
        <f t="shared" si="70"/>
        <v>0</v>
      </c>
      <c r="BS22" s="181">
        <f t="shared" si="70"/>
        <v>0</v>
      </c>
      <c r="BT22" s="181">
        <f t="shared" si="70"/>
        <v>0</v>
      </c>
      <c r="BU22" s="181">
        <f t="shared" si="70"/>
        <v>0</v>
      </c>
      <c r="BV22" s="181">
        <f t="shared" si="70"/>
        <v>0</v>
      </c>
      <c r="BW22" s="181">
        <f t="shared" si="70"/>
        <v>0</v>
      </c>
      <c r="BX22" s="181">
        <f t="shared" si="70"/>
        <v>0</v>
      </c>
      <c r="BY22" s="38">
        <f t="shared" ref="BY22:CJ22" si="71">AC22+AO22</f>
        <v>0</v>
      </c>
      <c r="BZ22" s="38">
        <f t="shared" si="71"/>
        <v>0</v>
      </c>
      <c r="CA22" s="38">
        <f t="shared" si="71"/>
        <v>0</v>
      </c>
      <c r="CB22" s="38">
        <f t="shared" si="71"/>
        <v>0</v>
      </c>
      <c r="CC22" s="38">
        <f t="shared" si="71"/>
        <v>0</v>
      </c>
      <c r="CD22" s="38">
        <f t="shared" si="71"/>
        <v>0</v>
      </c>
      <c r="CE22" s="38">
        <f t="shared" si="71"/>
        <v>0</v>
      </c>
      <c r="CF22" s="38">
        <f t="shared" si="71"/>
        <v>0</v>
      </c>
      <c r="CG22" s="38">
        <f t="shared" si="71"/>
        <v>0</v>
      </c>
      <c r="CH22" s="38">
        <f t="shared" si="71"/>
        <v>0</v>
      </c>
      <c r="CI22" s="38">
        <f t="shared" si="71"/>
        <v>0</v>
      </c>
      <c r="CJ22" s="38">
        <f t="shared" si="71"/>
        <v>0</v>
      </c>
      <c r="CK22" s="27">
        <f t="shared" ref="CK22:CN22" si="72">BA22+BM22+BY22</f>
        <v>1</v>
      </c>
      <c r="CL22" s="27">
        <f t="shared" si="72"/>
        <v>0</v>
      </c>
      <c r="CM22" s="27">
        <f t="shared" si="72"/>
        <v>0</v>
      </c>
      <c r="CN22" s="27">
        <f t="shared" si="72"/>
        <v>0</v>
      </c>
      <c r="CO22" s="27">
        <f t="shared" si="18"/>
        <v>1</v>
      </c>
      <c r="CP22" s="27">
        <f t="shared" ref="CP22:CT22" si="73">BF22+BR22+CD22</f>
        <v>0</v>
      </c>
      <c r="CQ22" s="27">
        <f t="shared" si="73"/>
        <v>1</v>
      </c>
      <c r="CR22" s="27">
        <f t="shared" si="73"/>
        <v>0</v>
      </c>
      <c r="CS22" s="27">
        <f t="shared" si="73"/>
        <v>0</v>
      </c>
      <c r="CT22" s="27">
        <f t="shared" si="73"/>
        <v>0</v>
      </c>
      <c r="CU22" s="27">
        <f t="shared" si="20"/>
        <v>1</v>
      </c>
      <c r="CV22" s="27">
        <f t="shared" si="21"/>
        <v>0</v>
      </c>
    </row>
    <row r="23" ht="15.75" customHeight="1">
      <c r="A23" s="1"/>
      <c r="B23" s="1"/>
      <c r="C23" s="13"/>
      <c r="D23" s="26" t="s">
        <v>41</v>
      </c>
      <c r="E23" s="66">
        <v>1.0</v>
      </c>
      <c r="F23" s="66"/>
      <c r="G23" s="66"/>
      <c r="H23" s="66"/>
      <c r="I23" s="66">
        <f t="shared" si="5"/>
        <v>1</v>
      </c>
      <c r="J23" s="66"/>
      <c r="K23" s="66">
        <v>1.0</v>
      </c>
      <c r="L23" s="66"/>
      <c r="M23" s="66"/>
      <c r="N23" s="66"/>
      <c r="O23" s="66">
        <f t="shared" si="6"/>
        <v>1</v>
      </c>
      <c r="P23" s="66"/>
      <c r="Q23" s="42"/>
      <c r="R23" s="42">
        <v>1.0</v>
      </c>
      <c r="S23" s="42"/>
      <c r="T23" s="42"/>
      <c r="U23" s="42">
        <f t="shared" si="7"/>
        <v>1</v>
      </c>
      <c r="V23" s="42"/>
      <c r="W23" s="42"/>
      <c r="X23" s="42">
        <v>1.0</v>
      </c>
      <c r="Y23" s="42"/>
      <c r="Z23" s="42"/>
      <c r="AA23" s="42">
        <f t="shared" si="8"/>
        <v>1</v>
      </c>
      <c r="AB23" s="42"/>
      <c r="AC23" s="38">
        <v>1.0</v>
      </c>
      <c r="AD23" s="38"/>
      <c r="AE23" s="38"/>
      <c r="AF23" s="38"/>
      <c r="AG23" s="38">
        <f t="shared" si="9"/>
        <v>1</v>
      </c>
      <c r="AH23" s="38"/>
      <c r="AI23" s="38">
        <v>1.0</v>
      </c>
      <c r="AJ23" s="38"/>
      <c r="AK23" s="38"/>
      <c r="AL23" s="38"/>
      <c r="AM23" s="38">
        <f t="shared" si="10"/>
        <v>1</v>
      </c>
      <c r="AN23" s="38"/>
      <c r="AO23" s="178"/>
      <c r="AP23" s="178"/>
      <c r="AQ23" s="178"/>
      <c r="AR23" s="178"/>
      <c r="AS23" s="178">
        <f t="shared" si="11"/>
        <v>0</v>
      </c>
      <c r="AT23" s="178"/>
      <c r="AU23" s="178"/>
      <c r="AV23" s="178"/>
      <c r="AW23" s="178"/>
      <c r="AX23" s="178"/>
      <c r="AY23" s="178">
        <f t="shared" si="12"/>
        <v>0</v>
      </c>
      <c r="AZ23" s="178"/>
      <c r="BA23" s="27"/>
      <c r="BB23" s="27"/>
      <c r="BC23" s="27"/>
      <c r="BD23" s="27"/>
      <c r="BE23" s="27">
        <f t="shared" si="13"/>
        <v>0</v>
      </c>
      <c r="BF23" s="27"/>
      <c r="BG23" s="27"/>
      <c r="BH23" s="27"/>
      <c r="BI23" s="27"/>
      <c r="BJ23" s="27"/>
      <c r="BK23" s="27">
        <f t="shared" si="14"/>
        <v>0</v>
      </c>
      <c r="BL23" s="27"/>
      <c r="BM23" s="181">
        <f t="shared" ref="BM23:BX23" si="74">E23+Q23</f>
        <v>1</v>
      </c>
      <c r="BN23" s="181">
        <f t="shared" si="74"/>
        <v>1</v>
      </c>
      <c r="BO23" s="181">
        <f t="shared" si="74"/>
        <v>0</v>
      </c>
      <c r="BP23" s="181">
        <f t="shared" si="74"/>
        <v>0</v>
      </c>
      <c r="BQ23" s="181">
        <f t="shared" si="74"/>
        <v>2</v>
      </c>
      <c r="BR23" s="181">
        <f t="shared" si="74"/>
        <v>0</v>
      </c>
      <c r="BS23" s="181">
        <f t="shared" si="74"/>
        <v>1</v>
      </c>
      <c r="BT23" s="181">
        <f t="shared" si="74"/>
        <v>1</v>
      </c>
      <c r="BU23" s="181">
        <f t="shared" si="74"/>
        <v>0</v>
      </c>
      <c r="BV23" s="181">
        <f t="shared" si="74"/>
        <v>0</v>
      </c>
      <c r="BW23" s="181">
        <f t="shared" si="74"/>
        <v>2</v>
      </c>
      <c r="BX23" s="181">
        <f t="shared" si="74"/>
        <v>0</v>
      </c>
      <c r="BY23" s="38">
        <f t="shared" ref="BY23:CJ23" si="75">AC23+AO23</f>
        <v>1</v>
      </c>
      <c r="BZ23" s="38">
        <f t="shared" si="75"/>
        <v>0</v>
      </c>
      <c r="CA23" s="38">
        <f t="shared" si="75"/>
        <v>0</v>
      </c>
      <c r="CB23" s="38">
        <f t="shared" si="75"/>
        <v>0</v>
      </c>
      <c r="CC23" s="38">
        <f t="shared" si="75"/>
        <v>1</v>
      </c>
      <c r="CD23" s="38">
        <f t="shared" si="75"/>
        <v>0</v>
      </c>
      <c r="CE23" s="38">
        <f t="shared" si="75"/>
        <v>1</v>
      </c>
      <c r="CF23" s="38">
        <f t="shared" si="75"/>
        <v>0</v>
      </c>
      <c r="CG23" s="38">
        <f t="shared" si="75"/>
        <v>0</v>
      </c>
      <c r="CH23" s="38">
        <f t="shared" si="75"/>
        <v>0</v>
      </c>
      <c r="CI23" s="38">
        <f t="shared" si="75"/>
        <v>1</v>
      </c>
      <c r="CJ23" s="38">
        <f t="shared" si="75"/>
        <v>0</v>
      </c>
      <c r="CK23" s="27">
        <f t="shared" ref="CK23:CN23" si="76">BA23+BM23+BY23</f>
        <v>2</v>
      </c>
      <c r="CL23" s="27">
        <f t="shared" si="76"/>
        <v>1</v>
      </c>
      <c r="CM23" s="27">
        <f t="shared" si="76"/>
        <v>0</v>
      </c>
      <c r="CN23" s="27">
        <f t="shared" si="76"/>
        <v>0</v>
      </c>
      <c r="CO23" s="27">
        <f t="shared" si="18"/>
        <v>3</v>
      </c>
      <c r="CP23" s="27">
        <f t="shared" ref="CP23:CT23" si="77">BF23+BR23+CD23</f>
        <v>0</v>
      </c>
      <c r="CQ23" s="27">
        <f t="shared" si="77"/>
        <v>2</v>
      </c>
      <c r="CR23" s="27">
        <f t="shared" si="77"/>
        <v>1</v>
      </c>
      <c r="CS23" s="27">
        <f t="shared" si="77"/>
        <v>0</v>
      </c>
      <c r="CT23" s="27">
        <f t="shared" si="77"/>
        <v>0</v>
      </c>
      <c r="CU23" s="27">
        <f t="shared" si="20"/>
        <v>3</v>
      </c>
      <c r="CV23" s="27">
        <f t="shared" si="21"/>
        <v>0</v>
      </c>
    </row>
    <row r="24" ht="15.75" customHeight="1">
      <c r="A24" s="1"/>
      <c r="B24" s="1"/>
      <c r="C24" s="13"/>
      <c r="D24" s="26" t="s">
        <v>43</v>
      </c>
      <c r="E24" s="66"/>
      <c r="F24" s="66"/>
      <c r="G24" s="66">
        <v>2.0</v>
      </c>
      <c r="H24" s="66"/>
      <c r="I24" s="66">
        <f t="shared" si="5"/>
        <v>2</v>
      </c>
      <c r="J24" s="66"/>
      <c r="K24" s="66"/>
      <c r="L24" s="66"/>
      <c r="M24" s="66">
        <v>2.0</v>
      </c>
      <c r="N24" s="66"/>
      <c r="O24" s="66">
        <f t="shared" si="6"/>
        <v>2</v>
      </c>
      <c r="P24" s="66"/>
      <c r="Q24" s="42"/>
      <c r="R24" s="42"/>
      <c r="S24" s="42"/>
      <c r="T24" s="42"/>
      <c r="U24" s="42">
        <f t="shared" si="7"/>
        <v>0</v>
      </c>
      <c r="V24" s="42"/>
      <c r="W24" s="42"/>
      <c r="X24" s="42"/>
      <c r="Y24" s="42"/>
      <c r="Z24" s="42"/>
      <c r="AA24" s="42">
        <f t="shared" si="8"/>
        <v>0</v>
      </c>
      <c r="AB24" s="42"/>
      <c r="AC24" s="38"/>
      <c r="AD24" s="38"/>
      <c r="AE24" s="38">
        <v>1.0</v>
      </c>
      <c r="AF24" s="38"/>
      <c r="AG24" s="38">
        <f t="shared" si="9"/>
        <v>1</v>
      </c>
      <c r="AH24" s="38"/>
      <c r="AI24" s="38"/>
      <c r="AJ24" s="38"/>
      <c r="AK24" s="38">
        <v>1.0</v>
      </c>
      <c r="AL24" s="38"/>
      <c r="AM24" s="38">
        <f t="shared" si="10"/>
        <v>1</v>
      </c>
      <c r="AN24" s="38"/>
      <c r="AO24" s="178"/>
      <c r="AP24" s="178"/>
      <c r="AQ24" s="178"/>
      <c r="AR24" s="178"/>
      <c r="AS24" s="178">
        <f t="shared" si="11"/>
        <v>0</v>
      </c>
      <c r="AT24" s="178"/>
      <c r="AU24" s="178"/>
      <c r="AV24" s="178"/>
      <c r="AW24" s="178"/>
      <c r="AX24" s="178"/>
      <c r="AY24" s="178">
        <f t="shared" si="12"/>
        <v>0</v>
      </c>
      <c r="AZ24" s="178"/>
      <c r="BA24" s="27"/>
      <c r="BB24" s="27"/>
      <c r="BC24" s="27"/>
      <c r="BD24" s="27"/>
      <c r="BE24" s="27">
        <f t="shared" si="13"/>
        <v>0</v>
      </c>
      <c r="BF24" s="27"/>
      <c r="BG24" s="27"/>
      <c r="BH24" s="27"/>
      <c r="BI24" s="27"/>
      <c r="BJ24" s="27"/>
      <c r="BK24" s="27">
        <f t="shared" si="14"/>
        <v>0</v>
      </c>
      <c r="BL24" s="27"/>
      <c r="BM24" s="181">
        <f t="shared" ref="BM24:BX24" si="78">E24+Q24</f>
        <v>0</v>
      </c>
      <c r="BN24" s="181">
        <f t="shared" si="78"/>
        <v>0</v>
      </c>
      <c r="BO24" s="181">
        <f t="shared" si="78"/>
        <v>2</v>
      </c>
      <c r="BP24" s="181">
        <f t="shared" si="78"/>
        <v>0</v>
      </c>
      <c r="BQ24" s="181">
        <f t="shared" si="78"/>
        <v>2</v>
      </c>
      <c r="BR24" s="181">
        <f t="shared" si="78"/>
        <v>0</v>
      </c>
      <c r="BS24" s="181">
        <f t="shared" si="78"/>
        <v>0</v>
      </c>
      <c r="BT24" s="181">
        <f t="shared" si="78"/>
        <v>0</v>
      </c>
      <c r="BU24" s="181">
        <f t="shared" si="78"/>
        <v>2</v>
      </c>
      <c r="BV24" s="181">
        <f t="shared" si="78"/>
        <v>0</v>
      </c>
      <c r="BW24" s="181">
        <f t="shared" si="78"/>
        <v>2</v>
      </c>
      <c r="BX24" s="181">
        <f t="shared" si="78"/>
        <v>0</v>
      </c>
      <c r="BY24" s="38">
        <f t="shared" ref="BY24:CJ24" si="79">AC24+AO24</f>
        <v>0</v>
      </c>
      <c r="BZ24" s="38">
        <f t="shared" si="79"/>
        <v>0</v>
      </c>
      <c r="CA24" s="38">
        <f t="shared" si="79"/>
        <v>1</v>
      </c>
      <c r="CB24" s="38">
        <f t="shared" si="79"/>
        <v>0</v>
      </c>
      <c r="CC24" s="38">
        <f t="shared" si="79"/>
        <v>1</v>
      </c>
      <c r="CD24" s="38">
        <f t="shared" si="79"/>
        <v>0</v>
      </c>
      <c r="CE24" s="38">
        <f t="shared" si="79"/>
        <v>0</v>
      </c>
      <c r="CF24" s="38">
        <f t="shared" si="79"/>
        <v>0</v>
      </c>
      <c r="CG24" s="38">
        <f t="shared" si="79"/>
        <v>1</v>
      </c>
      <c r="CH24" s="38">
        <f t="shared" si="79"/>
        <v>0</v>
      </c>
      <c r="CI24" s="38">
        <f t="shared" si="79"/>
        <v>1</v>
      </c>
      <c r="CJ24" s="38">
        <f t="shared" si="79"/>
        <v>0</v>
      </c>
      <c r="CK24" s="27">
        <f t="shared" ref="CK24:CN24" si="80">BA24+BM24+BY24</f>
        <v>0</v>
      </c>
      <c r="CL24" s="27">
        <f t="shared" si="80"/>
        <v>0</v>
      </c>
      <c r="CM24" s="27">
        <f t="shared" si="80"/>
        <v>3</v>
      </c>
      <c r="CN24" s="27">
        <f t="shared" si="80"/>
        <v>0</v>
      </c>
      <c r="CO24" s="27">
        <f t="shared" si="18"/>
        <v>3</v>
      </c>
      <c r="CP24" s="27">
        <f t="shared" ref="CP24:CT24" si="81">BF24+BR24+CD24</f>
        <v>0</v>
      </c>
      <c r="CQ24" s="27">
        <f t="shared" si="81"/>
        <v>0</v>
      </c>
      <c r="CR24" s="27">
        <f t="shared" si="81"/>
        <v>0</v>
      </c>
      <c r="CS24" s="27">
        <f t="shared" si="81"/>
        <v>3</v>
      </c>
      <c r="CT24" s="27">
        <f t="shared" si="81"/>
        <v>0</v>
      </c>
      <c r="CU24" s="27">
        <f t="shared" si="20"/>
        <v>3</v>
      </c>
      <c r="CV24" s="27">
        <f t="shared" si="21"/>
        <v>0</v>
      </c>
    </row>
    <row r="25" ht="15.75" customHeight="1">
      <c r="A25" s="1"/>
      <c r="B25" s="1"/>
      <c r="C25" s="13"/>
      <c r="D25" s="26" t="s">
        <v>40</v>
      </c>
      <c r="E25" s="66"/>
      <c r="F25" s="66"/>
      <c r="G25" s="66"/>
      <c r="H25" s="66"/>
      <c r="I25" s="66">
        <f t="shared" si="5"/>
        <v>0</v>
      </c>
      <c r="J25" s="66"/>
      <c r="K25" s="66"/>
      <c r="L25" s="66"/>
      <c r="M25" s="66"/>
      <c r="N25" s="66"/>
      <c r="O25" s="66">
        <f t="shared" si="6"/>
        <v>0</v>
      </c>
      <c r="P25" s="66"/>
      <c r="Q25" s="42"/>
      <c r="R25" s="42"/>
      <c r="S25" s="42"/>
      <c r="T25" s="42"/>
      <c r="U25" s="42">
        <f t="shared" si="7"/>
        <v>0</v>
      </c>
      <c r="V25" s="42"/>
      <c r="W25" s="42"/>
      <c r="X25" s="42"/>
      <c r="Y25" s="42"/>
      <c r="Z25" s="42"/>
      <c r="AA25" s="42">
        <f t="shared" si="8"/>
        <v>0</v>
      </c>
      <c r="AB25" s="42"/>
      <c r="AC25" s="38"/>
      <c r="AD25" s="38"/>
      <c r="AE25" s="38"/>
      <c r="AF25" s="38"/>
      <c r="AG25" s="38">
        <f t="shared" si="9"/>
        <v>0</v>
      </c>
      <c r="AH25" s="38"/>
      <c r="AI25" s="38"/>
      <c r="AJ25" s="38"/>
      <c r="AK25" s="38"/>
      <c r="AL25" s="38"/>
      <c r="AM25" s="38">
        <f t="shared" si="10"/>
        <v>0</v>
      </c>
      <c r="AN25" s="38"/>
      <c r="AO25" s="178"/>
      <c r="AP25" s="178"/>
      <c r="AQ25" s="178"/>
      <c r="AR25" s="178"/>
      <c r="AS25" s="178">
        <f t="shared" si="11"/>
        <v>0</v>
      </c>
      <c r="AT25" s="178"/>
      <c r="AU25" s="178"/>
      <c r="AV25" s="178"/>
      <c r="AW25" s="178"/>
      <c r="AX25" s="178"/>
      <c r="AY25" s="178">
        <f t="shared" si="12"/>
        <v>0</v>
      </c>
      <c r="AZ25" s="178"/>
      <c r="BA25" s="27">
        <v>1.0</v>
      </c>
      <c r="BB25" s="27"/>
      <c r="BC25" s="27"/>
      <c r="BD25" s="27"/>
      <c r="BE25" s="27">
        <f t="shared" si="13"/>
        <v>1</v>
      </c>
      <c r="BF25" s="27"/>
      <c r="BG25" s="27">
        <v>1.0</v>
      </c>
      <c r="BH25" s="27"/>
      <c r="BI25" s="27"/>
      <c r="BJ25" s="27"/>
      <c r="BK25" s="27">
        <f t="shared" si="14"/>
        <v>1</v>
      </c>
      <c r="BL25" s="27"/>
      <c r="BM25" s="181">
        <f t="shared" ref="BM25:BX25" si="82">E25+Q25</f>
        <v>0</v>
      </c>
      <c r="BN25" s="181">
        <f t="shared" si="82"/>
        <v>0</v>
      </c>
      <c r="BO25" s="181">
        <f t="shared" si="82"/>
        <v>0</v>
      </c>
      <c r="BP25" s="181">
        <f t="shared" si="82"/>
        <v>0</v>
      </c>
      <c r="BQ25" s="181">
        <f t="shared" si="82"/>
        <v>0</v>
      </c>
      <c r="BR25" s="181">
        <f t="shared" si="82"/>
        <v>0</v>
      </c>
      <c r="BS25" s="181">
        <f t="shared" si="82"/>
        <v>0</v>
      </c>
      <c r="BT25" s="181">
        <f t="shared" si="82"/>
        <v>0</v>
      </c>
      <c r="BU25" s="181">
        <f t="shared" si="82"/>
        <v>0</v>
      </c>
      <c r="BV25" s="181">
        <f t="shared" si="82"/>
        <v>0</v>
      </c>
      <c r="BW25" s="181">
        <f t="shared" si="82"/>
        <v>0</v>
      </c>
      <c r="BX25" s="181">
        <f t="shared" si="82"/>
        <v>0</v>
      </c>
      <c r="BY25" s="38">
        <f t="shared" ref="BY25:CJ25" si="83">AC25+AO25</f>
        <v>0</v>
      </c>
      <c r="BZ25" s="38">
        <f t="shared" si="83"/>
        <v>0</v>
      </c>
      <c r="CA25" s="38">
        <f t="shared" si="83"/>
        <v>0</v>
      </c>
      <c r="CB25" s="38">
        <f t="shared" si="83"/>
        <v>0</v>
      </c>
      <c r="CC25" s="38">
        <f t="shared" si="83"/>
        <v>0</v>
      </c>
      <c r="CD25" s="38">
        <f t="shared" si="83"/>
        <v>0</v>
      </c>
      <c r="CE25" s="38">
        <f t="shared" si="83"/>
        <v>0</v>
      </c>
      <c r="CF25" s="38">
        <f t="shared" si="83"/>
        <v>0</v>
      </c>
      <c r="CG25" s="38">
        <f t="shared" si="83"/>
        <v>0</v>
      </c>
      <c r="CH25" s="38">
        <f t="shared" si="83"/>
        <v>0</v>
      </c>
      <c r="CI25" s="38">
        <f t="shared" si="83"/>
        <v>0</v>
      </c>
      <c r="CJ25" s="38">
        <f t="shared" si="83"/>
        <v>0</v>
      </c>
      <c r="CK25" s="27">
        <f t="shared" ref="CK25:CN25" si="84">BA25+BM25+BY25</f>
        <v>1</v>
      </c>
      <c r="CL25" s="27">
        <f t="shared" si="84"/>
        <v>0</v>
      </c>
      <c r="CM25" s="27">
        <f t="shared" si="84"/>
        <v>0</v>
      </c>
      <c r="CN25" s="27">
        <f t="shared" si="84"/>
        <v>0</v>
      </c>
      <c r="CO25" s="27">
        <f t="shared" si="18"/>
        <v>1</v>
      </c>
      <c r="CP25" s="27">
        <f t="shared" ref="CP25:CT25" si="85">BF25+BR25+CD25</f>
        <v>0</v>
      </c>
      <c r="CQ25" s="27">
        <f t="shared" si="85"/>
        <v>1</v>
      </c>
      <c r="CR25" s="27">
        <f t="shared" si="85"/>
        <v>0</v>
      </c>
      <c r="CS25" s="27">
        <f t="shared" si="85"/>
        <v>0</v>
      </c>
      <c r="CT25" s="27">
        <f t="shared" si="85"/>
        <v>0</v>
      </c>
      <c r="CU25" s="27">
        <f t="shared" si="20"/>
        <v>1</v>
      </c>
      <c r="CV25" s="27">
        <f t="shared" si="21"/>
        <v>0</v>
      </c>
    </row>
    <row r="26" ht="15.75" customHeight="1">
      <c r="A26" s="1"/>
      <c r="B26" s="1"/>
      <c r="C26" s="13"/>
      <c r="D26" s="26" t="s">
        <v>42</v>
      </c>
      <c r="E26" s="66"/>
      <c r="F26" s="66">
        <v>1.0</v>
      </c>
      <c r="G26" s="66"/>
      <c r="H26" s="66"/>
      <c r="I26" s="66">
        <f t="shared" si="5"/>
        <v>1</v>
      </c>
      <c r="J26" s="66"/>
      <c r="K26" s="66"/>
      <c r="L26" s="66">
        <v>1.0</v>
      </c>
      <c r="M26" s="66"/>
      <c r="N26" s="66"/>
      <c r="O26" s="66">
        <f t="shared" si="6"/>
        <v>1</v>
      </c>
      <c r="P26" s="66"/>
      <c r="Q26" s="42"/>
      <c r="R26" s="42">
        <v>1.0</v>
      </c>
      <c r="S26" s="42"/>
      <c r="T26" s="42"/>
      <c r="U26" s="42">
        <f t="shared" si="7"/>
        <v>1</v>
      </c>
      <c r="V26" s="42"/>
      <c r="W26" s="42"/>
      <c r="X26" s="42">
        <v>1.0</v>
      </c>
      <c r="Y26" s="42"/>
      <c r="Z26" s="42"/>
      <c r="AA26" s="42">
        <f t="shared" si="8"/>
        <v>1</v>
      </c>
      <c r="AB26" s="42"/>
      <c r="AC26" s="38"/>
      <c r="AD26" s="38"/>
      <c r="AE26" s="38"/>
      <c r="AF26" s="38"/>
      <c r="AG26" s="38">
        <f t="shared" si="9"/>
        <v>0</v>
      </c>
      <c r="AH26" s="38"/>
      <c r="AI26" s="38"/>
      <c r="AJ26" s="38"/>
      <c r="AK26" s="38"/>
      <c r="AL26" s="38"/>
      <c r="AM26" s="38">
        <f t="shared" si="10"/>
        <v>0</v>
      </c>
      <c r="AN26" s="38"/>
      <c r="AO26" s="178"/>
      <c r="AP26" s="178"/>
      <c r="AQ26" s="178"/>
      <c r="AR26" s="178"/>
      <c r="AS26" s="178">
        <f t="shared" si="11"/>
        <v>0</v>
      </c>
      <c r="AT26" s="178"/>
      <c r="AU26" s="178"/>
      <c r="AV26" s="178"/>
      <c r="AW26" s="178"/>
      <c r="AX26" s="178"/>
      <c r="AY26" s="178">
        <f t="shared" si="12"/>
        <v>0</v>
      </c>
      <c r="AZ26" s="178"/>
      <c r="BA26" s="27">
        <v>1.0</v>
      </c>
      <c r="BB26" s="27"/>
      <c r="BC26" s="27"/>
      <c r="BD26" s="27"/>
      <c r="BE26" s="27">
        <f t="shared" si="13"/>
        <v>1</v>
      </c>
      <c r="BF26" s="27"/>
      <c r="BG26" s="27">
        <v>1.0</v>
      </c>
      <c r="BH26" s="27"/>
      <c r="BI26" s="27"/>
      <c r="BJ26" s="27"/>
      <c r="BK26" s="27">
        <f t="shared" si="14"/>
        <v>1</v>
      </c>
      <c r="BL26" s="27"/>
      <c r="BM26" s="181">
        <f t="shared" ref="BM26:BX26" si="86">E26+Q26</f>
        <v>0</v>
      </c>
      <c r="BN26" s="181">
        <f t="shared" si="86"/>
        <v>2</v>
      </c>
      <c r="BO26" s="181">
        <f t="shared" si="86"/>
        <v>0</v>
      </c>
      <c r="BP26" s="181">
        <f t="shared" si="86"/>
        <v>0</v>
      </c>
      <c r="BQ26" s="181">
        <f t="shared" si="86"/>
        <v>2</v>
      </c>
      <c r="BR26" s="181">
        <f t="shared" si="86"/>
        <v>0</v>
      </c>
      <c r="BS26" s="181">
        <f t="shared" si="86"/>
        <v>0</v>
      </c>
      <c r="BT26" s="181">
        <f t="shared" si="86"/>
        <v>2</v>
      </c>
      <c r="BU26" s="181">
        <f t="shared" si="86"/>
        <v>0</v>
      </c>
      <c r="BV26" s="181">
        <f t="shared" si="86"/>
        <v>0</v>
      </c>
      <c r="BW26" s="181">
        <f t="shared" si="86"/>
        <v>2</v>
      </c>
      <c r="BX26" s="181">
        <f t="shared" si="86"/>
        <v>0</v>
      </c>
      <c r="BY26" s="38">
        <f t="shared" ref="BY26:CJ26" si="87">AC26+AO26</f>
        <v>0</v>
      </c>
      <c r="BZ26" s="38">
        <f t="shared" si="87"/>
        <v>0</v>
      </c>
      <c r="CA26" s="38">
        <f t="shared" si="87"/>
        <v>0</v>
      </c>
      <c r="CB26" s="38">
        <f t="shared" si="87"/>
        <v>0</v>
      </c>
      <c r="CC26" s="38">
        <f t="shared" si="87"/>
        <v>0</v>
      </c>
      <c r="CD26" s="38">
        <f t="shared" si="87"/>
        <v>0</v>
      </c>
      <c r="CE26" s="38">
        <f t="shared" si="87"/>
        <v>0</v>
      </c>
      <c r="CF26" s="38">
        <f t="shared" si="87"/>
        <v>0</v>
      </c>
      <c r="CG26" s="38">
        <f t="shared" si="87"/>
        <v>0</v>
      </c>
      <c r="CH26" s="38">
        <f t="shared" si="87"/>
        <v>0</v>
      </c>
      <c r="CI26" s="38">
        <f t="shared" si="87"/>
        <v>0</v>
      </c>
      <c r="CJ26" s="38">
        <f t="shared" si="87"/>
        <v>0</v>
      </c>
      <c r="CK26" s="27">
        <f t="shared" ref="CK26:CN26" si="88">BA26+BM26+BY26</f>
        <v>1</v>
      </c>
      <c r="CL26" s="27">
        <f t="shared" si="88"/>
        <v>2</v>
      </c>
      <c r="CM26" s="27">
        <f t="shared" si="88"/>
        <v>0</v>
      </c>
      <c r="CN26" s="27">
        <f t="shared" si="88"/>
        <v>0</v>
      </c>
      <c r="CO26" s="27">
        <f t="shared" si="18"/>
        <v>3</v>
      </c>
      <c r="CP26" s="27">
        <f t="shared" ref="CP26:CT26" si="89">BF26+BR26+CD26</f>
        <v>0</v>
      </c>
      <c r="CQ26" s="27">
        <f t="shared" si="89"/>
        <v>1</v>
      </c>
      <c r="CR26" s="27">
        <f t="shared" si="89"/>
        <v>2</v>
      </c>
      <c r="CS26" s="27">
        <f t="shared" si="89"/>
        <v>0</v>
      </c>
      <c r="CT26" s="27">
        <f t="shared" si="89"/>
        <v>0</v>
      </c>
      <c r="CU26" s="27">
        <f t="shared" si="20"/>
        <v>3</v>
      </c>
      <c r="CV26" s="27">
        <f t="shared" si="21"/>
        <v>0</v>
      </c>
    </row>
    <row r="27" ht="15.75" customHeight="1">
      <c r="A27" s="1"/>
      <c r="B27" s="1"/>
      <c r="C27" s="13"/>
      <c r="D27" s="26" t="s">
        <v>78</v>
      </c>
      <c r="E27" s="66"/>
      <c r="F27" s="77"/>
      <c r="G27" s="77"/>
      <c r="H27" s="77"/>
      <c r="I27" s="66">
        <f t="shared" si="5"/>
        <v>0</v>
      </c>
      <c r="J27" s="66"/>
      <c r="K27" s="66"/>
      <c r="L27" s="77"/>
      <c r="M27" s="77"/>
      <c r="N27" s="77"/>
      <c r="O27" s="66">
        <f t="shared" si="6"/>
        <v>0</v>
      </c>
      <c r="P27" s="66"/>
      <c r="Q27" s="42"/>
      <c r="R27" s="42">
        <v>1.0</v>
      </c>
      <c r="S27" s="42"/>
      <c r="T27" s="42"/>
      <c r="U27" s="42">
        <f t="shared" si="7"/>
        <v>1</v>
      </c>
      <c r="V27" s="42"/>
      <c r="W27" s="42"/>
      <c r="X27" s="42">
        <v>1.0</v>
      </c>
      <c r="Y27" s="42"/>
      <c r="Z27" s="42"/>
      <c r="AA27" s="42">
        <f t="shared" si="8"/>
        <v>1</v>
      </c>
      <c r="AB27" s="42"/>
      <c r="AC27" s="38"/>
      <c r="AD27" s="38"/>
      <c r="AE27" s="38"/>
      <c r="AF27" s="38"/>
      <c r="AG27" s="38">
        <f t="shared" si="9"/>
        <v>0</v>
      </c>
      <c r="AH27" s="38"/>
      <c r="AI27" s="38"/>
      <c r="AJ27" s="38"/>
      <c r="AK27" s="38"/>
      <c r="AL27" s="38"/>
      <c r="AM27" s="38">
        <f t="shared" si="10"/>
        <v>0</v>
      </c>
      <c r="AN27" s="38"/>
      <c r="AO27" s="178"/>
      <c r="AP27" s="178"/>
      <c r="AQ27" s="178"/>
      <c r="AR27" s="178"/>
      <c r="AS27" s="178">
        <f t="shared" si="11"/>
        <v>0</v>
      </c>
      <c r="AT27" s="178"/>
      <c r="AU27" s="178"/>
      <c r="AV27" s="201"/>
      <c r="AW27" s="201"/>
      <c r="AX27" s="201"/>
      <c r="AY27" s="178">
        <f t="shared" si="12"/>
        <v>0</v>
      </c>
      <c r="AZ27" s="178"/>
      <c r="BA27" s="27"/>
      <c r="BB27" s="44"/>
      <c r="BC27" s="44"/>
      <c r="BD27" s="27"/>
      <c r="BE27" s="27">
        <f t="shared" si="13"/>
        <v>0</v>
      </c>
      <c r="BF27" s="27"/>
      <c r="BG27" s="27"/>
      <c r="BH27" s="44"/>
      <c r="BI27" s="44"/>
      <c r="BJ27" s="44"/>
      <c r="BK27" s="27">
        <f t="shared" si="14"/>
        <v>0</v>
      </c>
      <c r="BL27" s="27"/>
      <c r="BM27" s="181">
        <f t="shared" ref="BM27:BX27" si="90">E27+Q27</f>
        <v>0</v>
      </c>
      <c r="BN27" s="181">
        <f t="shared" si="90"/>
        <v>1</v>
      </c>
      <c r="BO27" s="181">
        <f t="shared" si="90"/>
        <v>0</v>
      </c>
      <c r="BP27" s="181">
        <f t="shared" si="90"/>
        <v>0</v>
      </c>
      <c r="BQ27" s="181">
        <f t="shared" si="90"/>
        <v>1</v>
      </c>
      <c r="BR27" s="181">
        <f t="shared" si="90"/>
        <v>0</v>
      </c>
      <c r="BS27" s="181">
        <f t="shared" si="90"/>
        <v>0</v>
      </c>
      <c r="BT27" s="181">
        <f t="shared" si="90"/>
        <v>1</v>
      </c>
      <c r="BU27" s="181">
        <f t="shared" si="90"/>
        <v>0</v>
      </c>
      <c r="BV27" s="181">
        <f t="shared" si="90"/>
        <v>0</v>
      </c>
      <c r="BW27" s="181">
        <f t="shared" si="90"/>
        <v>1</v>
      </c>
      <c r="BX27" s="181">
        <f t="shared" si="90"/>
        <v>0</v>
      </c>
      <c r="BY27" s="38">
        <f t="shared" ref="BY27:CJ27" si="91">AC27+AO27</f>
        <v>0</v>
      </c>
      <c r="BZ27" s="38">
        <f t="shared" si="91"/>
        <v>0</v>
      </c>
      <c r="CA27" s="38">
        <f t="shared" si="91"/>
        <v>0</v>
      </c>
      <c r="CB27" s="38">
        <f t="shared" si="91"/>
        <v>0</v>
      </c>
      <c r="CC27" s="38">
        <f t="shared" si="91"/>
        <v>0</v>
      </c>
      <c r="CD27" s="38">
        <f t="shared" si="91"/>
        <v>0</v>
      </c>
      <c r="CE27" s="38">
        <f t="shared" si="91"/>
        <v>0</v>
      </c>
      <c r="CF27" s="38">
        <f t="shared" si="91"/>
        <v>0</v>
      </c>
      <c r="CG27" s="38">
        <f t="shared" si="91"/>
        <v>0</v>
      </c>
      <c r="CH27" s="38">
        <f t="shared" si="91"/>
        <v>0</v>
      </c>
      <c r="CI27" s="38">
        <f t="shared" si="91"/>
        <v>0</v>
      </c>
      <c r="CJ27" s="38">
        <f t="shared" si="91"/>
        <v>0</v>
      </c>
      <c r="CK27" s="27">
        <f t="shared" ref="CK27:CN27" si="92">BA27+BM27+BY27</f>
        <v>0</v>
      </c>
      <c r="CL27" s="27">
        <f t="shared" si="92"/>
        <v>1</v>
      </c>
      <c r="CM27" s="27">
        <f t="shared" si="92"/>
        <v>0</v>
      </c>
      <c r="CN27" s="27">
        <f t="shared" si="92"/>
        <v>0</v>
      </c>
      <c r="CO27" s="27">
        <f t="shared" si="18"/>
        <v>1</v>
      </c>
      <c r="CP27" s="27">
        <f t="shared" ref="CP27:CT27" si="93">BF27+BR27+CD27</f>
        <v>0</v>
      </c>
      <c r="CQ27" s="27">
        <f t="shared" si="93"/>
        <v>0</v>
      </c>
      <c r="CR27" s="27">
        <f t="shared" si="93"/>
        <v>1</v>
      </c>
      <c r="CS27" s="27">
        <f t="shared" si="93"/>
        <v>0</v>
      </c>
      <c r="CT27" s="27">
        <f t="shared" si="93"/>
        <v>0</v>
      </c>
      <c r="CU27" s="27">
        <f t="shared" si="20"/>
        <v>1</v>
      </c>
      <c r="CV27" s="27">
        <f t="shared" si="21"/>
        <v>0</v>
      </c>
    </row>
    <row r="28" ht="15.75" customHeight="1">
      <c r="A28" s="43"/>
      <c r="B28" s="43"/>
      <c r="C28" s="13"/>
      <c r="D28" s="26" t="s">
        <v>44</v>
      </c>
      <c r="E28" s="66">
        <v>1.0</v>
      </c>
      <c r="F28" s="66"/>
      <c r="G28" s="66">
        <v>1.0</v>
      </c>
      <c r="H28" s="66"/>
      <c r="I28" s="66">
        <f t="shared" si="5"/>
        <v>2</v>
      </c>
      <c r="J28" s="66"/>
      <c r="K28" s="66">
        <v>1.0</v>
      </c>
      <c r="L28" s="66"/>
      <c r="M28" s="66">
        <v>1.0</v>
      </c>
      <c r="N28" s="66"/>
      <c r="O28" s="66">
        <f t="shared" si="6"/>
        <v>2</v>
      </c>
      <c r="P28" s="66"/>
      <c r="Q28" s="42"/>
      <c r="R28" s="42"/>
      <c r="S28" s="42">
        <v>1.0</v>
      </c>
      <c r="T28" s="42"/>
      <c r="U28" s="42">
        <f t="shared" si="7"/>
        <v>1</v>
      </c>
      <c r="V28" s="42"/>
      <c r="W28" s="42"/>
      <c r="X28" s="42"/>
      <c r="Y28" s="42">
        <v>1.0</v>
      </c>
      <c r="Z28" s="42"/>
      <c r="AA28" s="42">
        <f t="shared" si="8"/>
        <v>1</v>
      </c>
      <c r="AB28" s="42"/>
      <c r="AC28" s="38">
        <v>1.0</v>
      </c>
      <c r="AD28" s="38">
        <v>1.0</v>
      </c>
      <c r="AE28" s="38">
        <v>2.0</v>
      </c>
      <c r="AF28" s="38"/>
      <c r="AG28" s="38">
        <f t="shared" si="9"/>
        <v>4</v>
      </c>
      <c r="AH28" s="38"/>
      <c r="AI28" s="38">
        <v>1.0</v>
      </c>
      <c r="AJ28" s="38">
        <v>1.0</v>
      </c>
      <c r="AK28" s="38">
        <v>2.0</v>
      </c>
      <c r="AL28" s="38"/>
      <c r="AM28" s="38">
        <f t="shared" si="10"/>
        <v>4</v>
      </c>
      <c r="AN28" s="38"/>
      <c r="AO28" s="178"/>
      <c r="AP28" s="178"/>
      <c r="AQ28" s="178"/>
      <c r="AR28" s="178"/>
      <c r="AS28" s="178">
        <f t="shared" si="11"/>
        <v>0</v>
      </c>
      <c r="AT28" s="178"/>
      <c r="AU28" s="178"/>
      <c r="AV28" s="178"/>
      <c r="AW28" s="178"/>
      <c r="AX28" s="178"/>
      <c r="AY28" s="178">
        <f t="shared" si="12"/>
        <v>0</v>
      </c>
      <c r="AZ28" s="178"/>
      <c r="BA28" s="27"/>
      <c r="BB28" s="27"/>
      <c r="BC28" s="27">
        <v>1.0</v>
      </c>
      <c r="BD28" s="27"/>
      <c r="BE28" s="27">
        <f t="shared" si="13"/>
        <v>1</v>
      </c>
      <c r="BF28" s="27"/>
      <c r="BG28" s="27"/>
      <c r="BH28" s="27"/>
      <c r="BI28" s="27">
        <v>1.0</v>
      </c>
      <c r="BJ28" s="27"/>
      <c r="BK28" s="27">
        <f t="shared" si="14"/>
        <v>1</v>
      </c>
      <c r="BL28" s="27"/>
      <c r="BM28" s="181">
        <f t="shared" ref="BM28:BX28" si="94">E28+Q28</f>
        <v>1</v>
      </c>
      <c r="BN28" s="181">
        <f t="shared" si="94"/>
        <v>0</v>
      </c>
      <c r="BO28" s="181">
        <f t="shared" si="94"/>
        <v>2</v>
      </c>
      <c r="BP28" s="181">
        <f t="shared" si="94"/>
        <v>0</v>
      </c>
      <c r="BQ28" s="181">
        <f t="shared" si="94"/>
        <v>3</v>
      </c>
      <c r="BR28" s="181">
        <f t="shared" si="94"/>
        <v>0</v>
      </c>
      <c r="BS28" s="181">
        <f t="shared" si="94"/>
        <v>1</v>
      </c>
      <c r="BT28" s="181">
        <f t="shared" si="94"/>
        <v>0</v>
      </c>
      <c r="BU28" s="181">
        <f t="shared" si="94"/>
        <v>2</v>
      </c>
      <c r="BV28" s="181">
        <f t="shared" si="94"/>
        <v>0</v>
      </c>
      <c r="BW28" s="181">
        <f t="shared" si="94"/>
        <v>3</v>
      </c>
      <c r="BX28" s="181">
        <f t="shared" si="94"/>
        <v>0</v>
      </c>
      <c r="BY28" s="38">
        <f t="shared" ref="BY28:CJ28" si="95">AC28+AO28</f>
        <v>1</v>
      </c>
      <c r="BZ28" s="38">
        <f t="shared" si="95"/>
        <v>1</v>
      </c>
      <c r="CA28" s="38">
        <f t="shared" si="95"/>
        <v>2</v>
      </c>
      <c r="CB28" s="38">
        <f t="shared" si="95"/>
        <v>0</v>
      </c>
      <c r="CC28" s="38">
        <f t="shared" si="95"/>
        <v>4</v>
      </c>
      <c r="CD28" s="38">
        <f t="shared" si="95"/>
        <v>0</v>
      </c>
      <c r="CE28" s="38">
        <f t="shared" si="95"/>
        <v>1</v>
      </c>
      <c r="CF28" s="38">
        <f t="shared" si="95"/>
        <v>1</v>
      </c>
      <c r="CG28" s="38">
        <f t="shared" si="95"/>
        <v>2</v>
      </c>
      <c r="CH28" s="38">
        <f t="shared" si="95"/>
        <v>0</v>
      </c>
      <c r="CI28" s="38">
        <f t="shared" si="95"/>
        <v>4</v>
      </c>
      <c r="CJ28" s="38">
        <f t="shared" si="95"/>
        <v>0</v>
      </c>
      <c r="CK28" s="27">
        <f t="shared" ref="CK28:CN28" si="96">BA28+BM28+BY28</f>
        <v>2</v>
      </c>
      <c r="CL28" s="27">
        <f t="shared" si="96"/>
        <v>1</v>
      </c>
      <c r="CM28" s="27">
        <f t="shared" si="96"/>
        <v>5</v>
      </c>
      <c r="CN28" s="27">
        <f t="shared" si="96"/>
        <v>0</v>
      </c>
      <c r="CO28" s="27">
        <f t="shared" si="18"/>
        <v>8</v>
      </c>
      <c r="CP28" s="27">
        <f t="shared" ref="CP28:CT28" si="97">BF28+BR28+CD28</f>
        <v>0</v>
      </c>
      <c r="CQ28" s="27">
        <f t="shared" si="97"/>
        <v>2</v>
      </c>
      <c r="CR28" s="27">
        <f t="shared" si="97"/>
        <v>1</v>
      </c>
      <c r="CS28" s="27">
        <f t="shared" si="97"/>
        <v>5</v>
      </c>
      <c r="CT28" s="27">
        <f t="shared" si="97"/>
        <v>0</v>
      </c>
      <c r="CU28" s="27">
        <f t="shared" si="20"/>
        <v>8</v>
      </c>
      <c r="CV28" s="27">
        <f t="shared" si="21"/>
        <v>0</v>
      </c>
    </row>
    <row r="29" ht="15.75" customHeight="1">
      <c r="A29" s="1"/>
      <c r="B29" s="1"/>
      <c r="C29" s="13"/>
      <c r="D29" s="26" t="s">
        <v>154</v>
      </c>
      <c r="E29" s="66"/>
      <c r="F29" s="77"/>
      <c r="G29" s="77">
        <v>4.0</v>
      </c>
      <c r="H29" s="77"/>
      <c r="I29" s="66">
        <f t="shared" si="5"/>
        <v>4</v>
      </c>
      <c r="J29" s="66"/>
      <c r="K29" s="66"/>
      <c r="L29" s="77"/>
      <c r="M29" s="77">
        <v>4.0</v>
      </c>
      <c r="N29" s="77"/>
      <c r="O29" s="66">
        <f t="shared" si="6"/>
        <v>4</v>
      </c>
      <c r="P29" s="66"/>
      <c r="Q29" s="42">
        <v>1.0</v>
      </c>
      <c r="R29" s="42"/>
      <c r="S29" s="42">
        <f>1+5</f>
        <v>6</v>
      </c>
      <c r="T29" s="42"/>
      <c r="U29" s="42">
        <f t="shared" si="7"/>
        <v>7</v>
      </c>
      <c r="V29" s="42"/>
      <c r="W29" s="42">
        <v>1.0</v>
      </c>
      <c r="X29" s="42"/>
      <c r="Y29" s="42">
        <f>1+5</f>
        <v>6</v>
      </c>
      <c r="Z29" s="42"/>
      <c r="AA29" s="42">
        <f t="shared" si="8"/>
        <v>7</v>
      </c>
      <c r="AB29" s="42"/>
      <c r="AC29" s="38"/>
      <c r="AD29" s="38"/>
      <c r="AE29" s="38">
        <v>3.0</v>
      </c>
      <c r="AF29" s="38"/>
      <c r="AG29" s="38">
        <f t="shared" si="9"/>
        <v>3</v>
      </c>
      <c r="AH29" s="38"/>
      <c r="AI29" s="38"/>
      <c r="AJ29" s="38"/>
      <c r="AK29" s="38">
        <v>3.0</v>
      </c>
      <c r="AL29" s="38"/>
      <c r="AM29" s="38">
        <f t="shared" si="10"/>
        <v>3</v>
      </c>
      <c r="AN29" s="38"/>
      <c r="AO29" s="178"/>
      <c r="AP29" s="178"/>
      <c r="AQ29" s="178"/>
      <c r="AR29" s="178"/>
      <c r="AS29" s="178">
        <f t="shared" si="11"/>
        <v>0</v>
      </c>
      <c r="AT29" s="178"/>
      <c r="AU29" s="178"/>
      <c r="AV29" s="201"/>
      <c r="AW29" s="201"/>
      <c r="AX29" s="201"/>
      <c r="AY29" s="178">
        <f t="shared" si="12"/>
        <v>0</v>
      </c>
      <c r="AZ29" s="178"/>
      <c r="BA29" s="27">
        <v>1.0</v>
      </c>
      <c r="BB29" s="44"/>
      <c r="BC29" s="44">
        <v>8.0</v>
      </c>
      <c r="BD29" s="27"/>
      <c r="BE29" s="27">
        <f t="shared" si="13"/>
        <v>9</v>
      </c>
      <c r="BF29" s="27"/>
      <c r="BG29" s="27">
        <v>1.0</v>
      </c>
      <c r="BH29" s="44"/>
      <c r="BI29" s="44">
        <v>8.0</v>
      </c>
      <c r="BJ29" s="44"/>
      <c r="BK29" s="27">
        <f t="shared" si="14"/>
        <v>9</v>
      </c>
      <c r="BL29" s="27"/>
      <c r="BM29" s="181">
        <f t="shared" ref="BM29:BX29" si="98">E29+Q29</f>
        <v>1</v>
      </c>
      <c r="BN29" s="181">
        <f t="shared" si="98"/>
        <v>0</v>
      </c>
      <c r="BO29" s="181">
        <f t="shared" si="98"/>
        <v>10</v>
      </c>
      <c r="BP29" s="181">
        <f t="shared" si="98"/>
        <v>0</v>
      </c>
      <c r="BQ29" s="181">
        <f t="shared" si="98"/>
        <v>11</v>
      </c>
      <c r="BR29" s="181">
        <f t="shared" si="98"/>
        <v>0</v>
      </c>
      <c r="BS29" s="181">
        <f t="shared" si="98"/>
        <v>1</v>
      </c>
      <c r="BT29" s="181">
        <f t="shared" si="98"/>
        <v>0</v>
      </c>
      <c r="BU29" s="181">
        <f t="shared" si="98"/>
        <v>10</v>
      </c>
      <c r="BV29" s="181">
        <f t="shared" si="98"/>
        <v>0</v>
      </c>
      <c r="BW29" s="181">
        <f t="shared" si="98"/>
        <v>11</v>
      </c>
      <c r="BX29" s="181">
        <f t="shared" si="98"/>
        <v>0</v>
      </c>
      <c r="BY29" s="38">
        <f t="shared" ref="BY29:CJ29" si="99">AC29+AO29</f>
        <v>0</v>
      </c>
      <c r="BZ29" s="38">
        <f t="shared" si="99"/>
        <v>0</v>
      </c>
      <c r="CA29" s="38">
        <f t="shared" si="99"/>
        <v>3</v>
      </c>
      <c r="CB29" s="38">
        <f t="shared" si="99"/>
        <v>0</v>
      </c>
      <c r="CC29" s="38">
        <f t="shared" si="99"/>
        <v>3</v>
      </c>
      <c r="CD29" s="38">
        <f t="shared" si="99"/>
        <v>0</v>
      </c>
      <c r="CE29" s="38">
        <f t="shared" si="99"/>
        <v>0</v>
      </c>
      <c r="CF29" s="38">
        <f t="shared" si="99"/>
        <v>0</v>
      </c>
      <c r="CG29" s="38">
        <f t="shared" si="99"/>
        <v>3</v>
      </c>
      <c r="CH29" s="38">
        <f t="shared" si="99"/>
        <v>0</v>
      </c>
      <c r="CI29" s="38">
        <f t="shared" si="99"/>
        <v>3</v>
      </c>
      <c r="CJ29" s="38">
        <f t="shared" si="99"/>
        <v>0</v>
      </c>
      <c r="CK29" s="27">
        <f t="shared" ref="CK29:CN29" si="100">BA29+BM29+BY29</f>
        <v>2</v>
      </c>
      <c r="CL29" s="27">
        <f t="shared" si="100"/>
        <v>0</v>
      </c>
      <c r="CM29" s="27">
        <f t="shared" si="100"/>
        <v>21</v>
      </c>
      <c r="CN29" s="27">
        <f t="shared" si="100"/>
        <v>0</v>
      </c>
      <c r="CO29" s="27">
        <f t="shared" si="18"/>
        <v>23</v>
      </c>
      <c r="CP29" s="27">
        <f t="shared" ref="CP29:CT29" si="101">BF29+BR29+CD29</f>
        <v>0</v>
      </c>
      <c r="CQ29" s="27">
        <f t="shared" si="101"/>
        <v>2</v>
      </c>
      <c r="CR29" s="27">
        <f t="shared" si="101"/>
        <v>0</v>
      </c>
      <c r="CS29" s="27">
        <f t="shared" si="101"/>
        <v>21</v>
      </c>
      <c r="CT29" s="27">
        <f t="shared" si="101"/>
        <v>0</v>
      </c>
      <c r="CU29" s="27">
        <f t="shared" si="20"/>
        <v>23</v>
      </c>
      <c r="CV29" s="27">
        <f t="shared" si="21"/>
        <v>0</v>
      </c>
    </row>
    <row r="30" ht="15.75" customHeight="1">
      <c r="A30" s="1"/>
      <c r="B30" s="1"/>
      <c r="C30" s="13"/>
      <c r="D30" s="26" t="s">
        <v>48</v>
      </c>
      <c r="E30" s="66"/>
      <c r="F30" s="77"/>
      <c r="G30" s="77"/>
      <c r="H30" s="77"/>
      <c r="I30" s="66">
        <f t="shared" si="5"/>
        <v>0</v>
      </c>
      <c r="J30" s="66"/>
      <c r="K30" s="66"/>
      <c r="L30" s="77"/>
      <c r="M30" s="77"/>
      <c r="N30" s="77"/>
      <c r="O30" s="66">
        <f t="shared" si="6"/>
        <v>0</v>
      </c>
      <c r="P30" s="66"/>
      <c r="Q30" s="42"/>
      <c r="R30" s="42"/>
      <c r="S30" s="42">
        <v>2.0</v>
      </c>
      <c r="T30" s="42"/>
      <c r="U30" s="42">
        <f t="shared" si="7"/>
        <v>2</v>
      </c>
      <c r="V30" s="42"/>
      <c r="W30" s="42"/>
      <c r="X30" s="42"/>
      <c r="Y30" s="42">
        <v>2.0</v>
      </c>
      <c r="Z30" s="42"/>
      <c r="AA30" s="42">
        <f t="shared" si="8"/>
        <v>2</v>
      </c>
      <c r="AB30" s="42"/>
      <c r="AC30" s="38"/>
      <c r="AD30" s="38"/>
      <c r="AE30" s="38"/>
      <c r="AF30" s="38"/>
      <c r="AG30" s="38">
        <f t="shared" si="9"/>
        <v>0</v>
      </c>
      <c r="AH30" s="38"/>
      <c r="AI30" s="38"/>
      <c r="AJ30" s="38"/>
      <c r="AK30" s="38"/>
      <c r="AL30" s="38"/>
      <c r="AM30" s="38">
        <f t="shared" si="10"/>
        <v>0</v>
      </c>
      <c r="AN30" s="38"/>
      <c r="AO30" s="178"/>
      <c r="AP30" s="178"/>
      <c r="AQ30" s="178"/>
      <c r="AR30" s="178"/>
      <c r="AS30" s="178">
        <f t="shared" si="11"/>
        <v>0</v>
      </c>
      <c r="AT30" s="178"/>
      <c r="AU30" s="178"/>
      <c r="AV30" s="201"/>
      <c r="AW30" s="201"/>
      <c r="AX30" s="201"/>
      <c r="AY30" s="178">
        <f t="shared" si="12"/>
        <v>0</v>
      </c>
      <c r="AZ30" s="178"/>
      <c r="BA30" s="27"/>
      <c r="BB30" s="44"/>
      <c r="BC30" s="44"/>
      <c r="BD30" s="27"/>
      <c r="BE30" s="27">
        <f t="shared" si="13"/>
        <v>0</v>
      </c>
      <c r="BF30" s="27"/>
      <c r="BG30" s="27"/>
      <c r="BH30" s="44"/>
      <c r="BI30" s="44"/>
      <c r="BJ30" s="44"/>
      <c r="BK30" s="27">
        <f t="shared" si="14"/>
        <v>0</v>
      </c>
      <c r="BL30" s="27"/>
      <c r="BM30" s="181">
        <f t="shared" ref="BM30:BX30" si="102">E30+Q30</f>
        <v>0</v>
      </c>
      <c r="BN30" s="181">
        <f t="shared" si="102"/>
        <v>0</v>
      </c>
      <c r="BO30" s="181">
        <f t="shared" si="102"/>
        <v>2</v>
      </c>
      <c r="BP30" s="181">
        <f t="shared" si="102"/>
        <v>0</v>
      </c>
      <c r="BQ30" s="181">
        <f t="shared" si="102"/>
        <v>2</v>
      </c>
      <c r="BR30" s="181">
        <f t="shared" si="102"/>
        <v>0</v>
      </c>
      <c r="BS30" s="181">
        <f t="shared" si="102"/>
        <v>0</v>
      </c>
      <c r="BT30" s="181">
        <f t="shared" si="102"/>
        <v>0</v>
      </c>
      <c r="BU30" s="181">
        <f t="shared" si="102"/>
        <v>2</v>
      </c>
      <c r="BV30" s="181">
        <f t="shared" si="102"/>
        <v>0</v>
      </c>
      <c r="BW30" s="181">
        <f t="shared" si="102"/>
        <v>2</v>
      </c>
      <c r="BX30" s="181">
        <f t="shared" si="102"/>
        <v>0</v>
      </c>
      <c r="BY30" s="38">
        <f t="shared" ref="BY30:CJ30" si="103">AC30+AO30</f>
        <v>0</v>
      </c>
      <c r="BZ30" s="38">
        <f t="shared" si="103"/>
        <v>0</v>
      </c>
      <c r="CA30" s="38">
        <f t="shared" si="103"/>
        <v>0</v>
      </c>
      <c r="CB30" s="38">
        <f t="shared" si="103"/>
        <v>0</v>
      </c>
      <c r="CC30" s="38">
        <f t="shared" si="103"/>
        <v>0</v>
      </c>
      <c r="CD30" s="38">
        <f t="shared" si="103"/>
        <v>0</v>
      </c>
      <c r="CE30" s="38">
        <f t="shared" si="103"/>
        <v>0</v>
      </c>
      <c r="CF30" s="38">
        <f t="shared" si="103"/>
        <v>0</v>
      </c>
      <c r="CG30" s="38">
        <f t="shared" si="103"/>
        <v>0</v>
      </c>
      <c r="CH30" s="38">
        <f t="shared" si="103"/>
        <v>0</v>
      </c>
      <c r="CI30" s="38">
        <f t="shared" si="103"/>
        <v>0</v>
      </c>
      <c r="CJ30" s="38">
        <f t="shared" si="103"/>
        <v>0</v>
      </c>
      <c r="CK30" s="27">
        <f t="shared" ref="CK30:CN30" si="104">BA30+BM30+BY30</f>
        <v>0</v>
      </c>
      <c r="CL30" s="27">
        <f t="shared" si="104"/>
        <v>0</v>
      </c>
      <c r="CM30" s="27">
        <f t="shared" si="104"/>
        <v>2</v>
      </c>
      <c r="CN30" s="27">
        <f t="shared" si="104"/>
        <v>0</v>
      </c>
      <c r="CO30" s="27">
        <f t="shared" si="18"/>
        <v>2</v>
      </c>
      <c r="CP30" s="27">
        <f t="shared" ref="CP30:CT30" si="105">BF30+BR30+CD30</f>
        <v>0</v>
      </c>
      <c r="CQ30" s="27">
        <f t="shared" si="105"/>
        <v>0</v>
      </c>
      <c r="CR30" s="27">
        <f t="shared" si="105"/>
        <v>0</v>
      </c>
      <c r="CS30" s="27">
        <f t="shared" si="105"/>
        <v>2</v>
      </c>
      <c r="CT30" s="27">
        <f t="shared" si="105"/>
        <v>0</v>
      </c>
      <c r="CU30" s="27">
        <f t="shared" si="20"/>
        <v>2</v>
      </c>
      <c r="CV30" s="27">
        <f t="shared" si="21"/>
        <v>0</v>
      </c>
    </row>
    <row r="31" ht="15.75" customHeight="1">
      <c r="A31" s="1"/>
      <c r="B31" s="1"/>
      <c r="C31" s="41" t="s">
        <v>49</v>
      </c>
      <c r="D31" s="26" t="s">
        <v>50</v>
      </c>
      <c r="E31" s="66">
        <v>1.0</v>
      </c>
      <c r="F31" s="66"/>
      <c r="G31" s="66"/>
      <c r="H31" s="66"/>
      <c r="I31" s="66">
        <f t="shared" si="5"/>
        <v>1</v>
      </c>
      <c r="J31" s="66"/>
      <c r="K31" s="66">
        <v>1.0</v>
      </c>
      <c r="L31" s="66"/>
      <c r="M31" s="66"/>
      <c r="N31" s="66"/>
      <c r="O31" s="66">
        <f t="shared" si="6"/>
        <v>1</v>
      </c>
      <c r="P31" s="66"/>
      <c r="Q31" s="42"/>
      <c r="R31" s="42"/>
      <c r="S31" s="42"/>
      <c r="T31" s="42"/>
      <c r="U31" s="42">
        <f t="shared" si="7"/>
        <v>0</v>
      </c>
      <c r="V31" s="42"/>
      <c r="W31" s="42"/>
      <c r="X31" s="42"/>
      <c r="Y31" s="42"/>
      <c r="Z31" s="42"/>
      <c r="AA31" s="42">
        <f t="shared" si="8"/>
        <v>0</v>
      </c>
      <c r="AB31" s="42"/>
      <c r="AC31" s="38"/>
      <c r="AD31" s="38"/>
      <c r="AE31" s="38"/>
      <c r="AF31" s="38"/>
      <c r="AG31" s="38">
        <f t="shared" si="9"/>
        <v>0</v>
      </c>
      <c r="AH31" s="38"/>
      <c r="AI31" s="38"/>
      <c r="AJ31" s="38"/>
      <c r="AK31" s="38"/>
      <c r="AL31" s="38"/>
      <c r="AM31" s="38">
        <f t="shared" si="10"/>
        <v>0</v>
      </c>
      <c r="AN31" s="38"/>
      <c r="AO31" s="178">
        <v>1.0</v>
      </c>
      <c r="AP31" s="178"/>
      <c r="AQ31" s="178"/>
      <c r="AR31" s="178"/>
      <c r="AS31" s="178">
        <f t="shared" si="11"/>
        <v>1</v>
      </c>
      <c r="AT31" s="178"/>
      <c r="AU31" s="178">
        <v>1.0</v>
      </c>
      <c r="AV31" s="178"/>
      <c r="AW31" s="178"/>
      <c r="AX31" s="178"/>
      <c r="AY31" s="178">
        <f t="shared" si="12"/>
        <v>1</v>
      </c>
      <c r="AZ31" s="178"/>
      <c r="BA31" s="27">
        <v>1.0</v>
      </c>
      <c r="BB31" s="27"/>
      <c r="BC31" s="27"/>
      <c r="BD31" s="27"/>
      <c r="BE31" s="27">
        <f t="shared" si="13"/>
        <v>1</v>
      </c>
      <c r="BF31" s="27"/>
      <c r="BG31" s="27">
        <v>1.0</v>
      </c>
      <c r="BH31" s="27"/>
      <c r="BI31" s="27"/>
      <c r="BJ31" s="27"/>
      <c r="BK31" s="27">
        <f t="shared" si="14"/>
        <v>1</v>
      </c>
      <c r="BL31" s="27"/>
      <c r="BM31" s="181">
        <f t="shared" ref="BM31:BX31" si="106">E31+Q31</f>
        <v>1</v>
      </c>
      <c r="BN31" s="181">
        <f t="shared" si="106"/>
        <v>0</v>
      </c>
      <c r="BO31" s="181">
        <f t="shared" si="106"/>
        <v>0</v>
      </c>
      <c r="BP31" s="181">
        <f t="shared" si="106"/>
        <v>0</v>
      </c>
      <c r="BQ31" s="181">
        <f t="shared" si="106"/>
        <v>1</v>
      </c>
      <c r="BR31" s="181">
        <f t="shared" si="106"/>
        <v>0</v>
      </c>
      <c r="BS31" s="181">
        <f t="shared" si="106"/>
        <v>1</v>
      </c>
      <c r="BT31" s="181">
        <f t="shared" si="106"/>
        <v>0</v>
      </c>
      <c r="BU31" s="181">
        <f t="shared" si="106"/>
        <v>0</v>
      </c>
      <c r="BV31" s="181">
        <f t="shared" si="106"/>
        <v>0</v>
      </c>
      <c r="BW31" s="181">
        <f t="shared" si="106"/>
        <v>1</v>
      </c>
      <c r="BX31" s="181">
        <f t="shared" si="106"/>
        <v>0</v>
      </c>
      <c r="BY31" s="38">
        <f t="shared" ref="BY31:CJ31" si="107">AC31+AO31</f>
        <v>1</v>
      </c>
      <c r="BZ31" s="38">
        <f t="shared" si="107"/>
        <v>0</v>
      </c>
      <c r="CA31" s="38">
        <f t="shared" si="107"/>
        <v>0</v>
      </c>
      <c r="CB31" s="38">
        <f t="shared" si="107"/>
        <v>0</v>
      </c>
      <c r="CC31" s="38">
        <f t="shared" si="107"/>
        <v>1</v>
      </c>
      <c r="CD31" s="38">
        <f t="shared" si="107"/>
        <v>0</v>
      </c>
      <c r="CE31" s="38">
        <f t="shared" si="107"/>
        <v>1</v>
      </c>
      <c r="CF31" s="38">
        <f t="shared" si="107"/>
        <v>0</v>
      </c>
      <c r="CG31" s="38">
        <f t="shared" si="107"/>
        <v>0</v>
      </c>
      <c r="CH31" s="38">
        <f t="shared" si="107"/>
        <v>0</v>
      </c>
      <c r="CI31" s="38">
        <f t="shared" si="107"/>
        <v>1</v>
      </c>
      <c r="CJ31" s="38">
        <f t="shared" si="107"/>
        <v>0</v>
      </c>
      <c r="CK31" s="27">
        <f t="shared" ref="CK31:CN31" si="108">BA31+BM31+BY31</f>
        <v>3</v>
      </c>
      <c r="CL31" s="27">
        <f t="shared" si="108"/>
        <v>0</v>
      </c>
      <c r="CM31" s="27">
        <f t="shared" si="108"/>
        <v>0</v>
      </c>
      <c r="CN31" s="27">
        <f t="shared" si="108"/>
        <v>0</v>
      </c>
      <c r="CO31" s="27">
        <f t="shared" si="18"/>
        <v>3</v>
      </c>
      <c r="CP31" s="27">
        <f t="shared" ref="CP31:CT31" si="109">BF31+BR31+CD31</f>
        <v>0</v>
      </c>
      <c r="CQ31" s="27">
        <f t="shared" si="109"/>
        <v>3</v>
      </c>
      <c r="CR31" s="27">
        <f t="shared" si="109"/>
        <v>0</v>
      </c>
      <c r="CS31" s="27">
        <f t="shared" si="109"/>
        <v>0</v>
      </c>
      <c r="CT31" s="27">
        <f t="shared" si="109"/>
        <v>0</v>
      </c>
      <c r="CU31" s="27">
        <f t="shared" si="20"/>
        <v>3</v>
      </c>
      <c r="CV31" s="27">
        <f t="shared" si="21"/>
        <v>0</v>
      </c>
    </row>
    <row r="32" ht="15.75" customHeight="1">
      <c r="A32" s="1"/>
      <c r="B32" s="1"/>
      <c r="C32" s="13"/>
      <c r="D32" s="26" t="s">
        <v>95</v>
      </c>
      <c r="E32" s="66"/>
      <c r="F32" s="66"/>
      <c r="G32" s="66"/>
      <c r="H32" s="66"/>
      <c r="I32" s="66">
        <f t="shared" si="5"/>
        <v>0</v>
      </c>
      <c r="J32" s="66"/>
      <c r="K32" s="66"/>
      <c r="L32" s="66"/>
      <c r="M32" s="66"/>
      <c r="N32" s="66"/>
      <c r="O32" s="66">
        <f t="shared" si="6"/>
        <v>0</v>
      </c>
      <c r="P32" s="66"/>
      <c r="Q32" s="42"/>
      <c r="R32" s="42">
        <v>1.0</v>
      </c>
      <c r="S32" s="42">
        <v>1.0</v>
      </c>
      <c r="T32" s="42"/>
      <c r="U32" s="42">
        <f t="shared" si="7"/>
        <v>2</v>
      </c>
      <c r="V32" s="42"/>
      <c r="W32" s="42"/>
      <c r="X32" s="42"/>
      <c r="Y32" s="42">
        <v>1.0</v>
      </c>
      <c r="Z32" s="42"/>
      <c r="AA32" s="42">
        <f t="shared" si="8"/>
        <v>1</v>
      </c>
      <c r="AB32" s="42"/>
      <c r="AC32" s="38"/>
      <c r="AD32" s="38"/>
      <c r="AE32" s="38"/>
      <c r="AF32" s="38"/>
      <c r="AG32" s="38">
        <f t="shared" si="9"/>
        <v>0</v>
      </c>
      <c r="AH32" s="38"/>
      <c r="AI32" s="38"/>
      <c r="AJ32" s="38"/>
      <c r="AK32" s="38"/>
      <c r="AL32" s="38"/>
      <c r="AM32" s="38">
        <f t="shared" si="10"/>
        <v>0</v>
      </c>
      <c r="AN32" s="38"/>
      <c r="AO32" s="178"/>
      <c r="AP32" s="178"/>
      <c r="AQ32" s="178"/>
      <c r="AR32" s="178"/>
      <c r="AS32" s="178">
        <f t="shared" si="11"/>
        <v>0</v>
      </c>
      <c r="AT32" s="178"/>
      <c r="AU32" s="178"/>
      <c r="AV32" s="178"/>
      <c r="AW32" s="178"/>
      <c r="AX32" s="178"/>
      <c r="AY32" s="178">
        <f t="shared" si="12"/>
        <v>0</v>
      </c>
      <c r="AZ32" s="178"/>
      <c r="BA32" s="27"/>
      <c r="BB32" s="27"/>
      <c r="BC32" s="27"/>
      <c r="BD32" s="27"/>
      <c r="BE32" s="27">
        <f t="shared" si="13"/>
        <v>0</v>
      </c>
      <c r="BF32" s="27"/>
      <c r="BG32" s="27"/>
      <c r="BH32" s="27"/>
      <c r="BI32" s="27"/>
      <c r="BJ32" s="27"/>
      <c r="BK32" s="27">
        <f t="shared" si="14"/>
        <v>0</v>
      </c>
      <c r="BL32" s="27"/>
      <c r="BM32" s="181">
        <f t="shared" ref="BM32:BX32" si="110">E32+Q32</f>
        <v>0</v>
      </c>
      <c r="BN32" s="181">
        <f t="shared" si="110"/>
        <v>1</v>
      </c>
      <c r="BO32" s="181">
        <f t="shared" si="110"/>
        <v>1</v>
      </c>
      <c r="BP32" s="181">
        <f t="shared" si="110"/>
        <v>0</v>
      </c>
      <c r="BQ32" s="181">
        <f t="shared" si="110"/>
        <v>2</v>
      </c>
      <c r="BR32" s="181">
        <f t="shared" si="110"/>
        <v>0</v>
      </c>
      <c r="BS32" s="181">
        <f t="shared" si="110"/>
        <v>0</v>
      </c>
      <c r="BT32" s="181">
        <f t="shared" si="110"/>
        <v>0</v>
      </c>
      <c r="BU32" s="181">
        <f t="shared" si="110"/>
        <v>1</v>
      </c>
      <c r="BV32" s="181">
        <f t="shared" si="110"/>
        <v>0</v>
      </c>
      <c r="BW32" s="181">
        <f t="shared" si="110"/>
        <v>1</v>
      </c>
      <c r="BX32" s="181">
        <f t="shared" si="110"/>
        <v>0</v>
      </c>
      <c r="BY32" s="38">
        <f t="shared" ref="BY32:CJ32" si="111">AC32+AO32</f>
        <v>0</v>
      </c>
      <c r="BZ32" s="38">
        <f t="shared" si="111"/>
        <v>0</v>
      </c>
      <c r="CA32" s="38">
        <f t="shared" si="111"/>
        <v>0</v>
      </c>
      <c r="CB32" s="38">
        <f t="shared" si="111"/>
        <v>0</v>
      </c>
      <c r="CC32" s="38">
        <f t="shared" si="111"/>
        <v>0</v>
      </c>
      <c r="CD32" s="38">
        <f t="shared" si="111"/>
        <v>0</v>
      </c>
      <c r="CE32" s="38">
        <f t="shared" si="111"/>
        <v>0</v>
      </c>
      <c r="CF32" s="38">
        <f t="shared" si="111"/>
        <v>0</v>
      </c>
      <c r="CG32" s="38">
        <f t="shared" si="111"/>
        <v>0</v>
      </c>
      <c r="CH32" s="38">
        <f t="shared" si="111"/>
        <v>0</v>
      </c>
      <c r="CI32" s="38">
        <f t="shared" si="111"/>
        <v>0</v>
      </c>
      <c r="CJ32" s="38">
        <f t="shared" si="111"/>
        <v>0</v>
      </c>
      <c r="CK32" s="27">
        <f t="shared" ref="CK32:CN32" si="112">BA32+BM32+BY32</f>
        <v>0</v>
      </c>
      <c r="CL32" s="27">
        <f t="shared" si="112"/>
        <v>1</v>
      </c>
      <c r="CM32" s="27">
        <f t="shared" si="112"/>
        <v>1</v>
      </c>
      <c r="CN32" s="27">
        <f t="shared" si="112"/>
        <v>0</v>
      </c>
      <c r="CO32" s="27">
        <f t="shared" si="18"/>
        <v>2</v>
      </c>
      <c r="CP32" s="27">
        <f t="shared" ref="CP32:CT32" si="113">BF32+BR32+CD32</f>
        <v>0</v>
      </c>
      <c r="CQ32" s="27">
        <f t="shared" si="113"/>
        <v>0</v>
      </c>
      <c r="CR32" s="27">
        <f t="shared" si="113"/>
        <v>0</v>
      </c>
      <c r="CS32" s="27">
        <f t="shared" si="113"/>
        <v>1</v>
      </c>
      <c r="CT32" s="27">
        <f t="shared" si="113"/>
        <v>0</v>
      </c>
      <c r="CU32" s="27">
        <f t="shared" si="20"/>
        <v>1</v>
      </c>
      <c r="CV32" s="27">
        <f t="shared" si="21"/>
        <v>0</v>
      </c>
    </row>
    <row r="33" ht="15.75" customHeight="1">
      <c r="A33" s="1"/>
      <c r="B33" s="1"/>
      <c r="C33" s="13"/>
      <c r="D33" s="26" t="s">
        <v>51</v>
      </c>
      <c r="E33" s="66"/>
      <c r="F33" s="66"/>
      <c r="G33" s="66">
        <v>1.0</v>
      </c>
      <c r="H33" s="66"/>
      <c r="I33" s="66">
        <f t="shared" si="5"/>
        <v>1</v>
      </c>
      <c r="J33" s="66"/>
      <c r="K33" s="66"/>
      <c r="L33" s="66"/>
      <c r="M33" s="66">
        <v>1.0</v>
      </c>
      <c r="N33" s="66"/>
      <c r="O33" s="66">
        <f t="shared" si="6"/>
        <v>1</v>
      </c>
      <c r="P33" s="66"/>
      <c r="Q33" s="42"/>
      <c r="R33" s="42">
        <v>1.0</v>
      </c>
      <c r="S33" s="42">
        <v>1.0</v>
      </c>
      <c r="T33" s="42"/>
      <c r="U33" s="42">
        <f t="shared" si="7"/>
        <v>2</v>
      </c>
      <c r="V33" s="42"/>
      <c r="W33" s="42"/>
      <c r="X33" s="42"/>
      <c r="Y33" s="42">
        <v>1.0</v>
      </c>
      <c r="Z33" s="42"/>
      <c r="AA33" s="42">
        <f t="shared" si="8"/>
        <v>1</v>
      </c>
      <c r="AB33" s="42"/>
      <c r="AC33" s="38"/>
      <c r="AD33" s="38">
        <v>1.0</v>
      </c>
      <c r="AE33" s="38">
        <v>1.0</v>
      </c>
      <c r="AF33" s="38"/>
      <c r="AG33" s="38">
        <f t="shared" si="9"/>
        <v>2</v>
      </c>
      <c r="AH33" s="38"/>
      <c r="AI33" s="38"/>
      <c r="AJ33" s="38">
        <v>1.0</v>
      </c>
      <c r="AK33" s="38">
        <v>1.0</v>
      </c>
      <c r="AL33" s="38"/>
      <c r="AM33" s="38">
        <f t="shared" si="10"/>
        <v>2</v>
      </c>
      <c r="AN33" s="38"/>
      <c r="AO33" s="178">
        <v>1.0</v>
      </c>
      <c r="AP33" s="178"/>
      <c r="AQ33" s="178"/>
      <c r="AR33" s="178"/>
      <c r="AS33" s="178">
        <f t="shared" si="11"/>
        <v>1</v>
      </c>
      <c r="AT33" s="178"/>
      <c r="AU33" s="178">
        <v>1.0</v>
      </c>
      <c r="AV33" s="178"/>
      <c r="AW33" s="178"/>
      <c r="AX33" s="178"/>
      <c r="AY33" s="178">
        <f t="shared" si="12"/>
        <v>1</v>
      </c>
      <c r="AZ33" s="178"/>
      <c r="BA33" s="27">
        <v>1.0</v>
      </c>
      <c r="BB33" s="27"/>
      <c r="BC33" s="27"/>
      <c r="BD33" s="27"/>
      <c r="BE33" s="27">
        <f t="shared" si="13"/>
        <v>1</v>
      </c>
      <c r="BF33" s="27"/>
      <c r="BG33" s="27">
        <v>1.0</v>
      </c>
      <c r="BH33" s="27"/>
      <c r="BI33" s="27"/>
      <c r="BJ33" s="27"/>
      <c r="BK33" s="27">
        <f t="shared" si="14"/>
        <v>1</v>
      </c>
      <c r="BL33" s="27"/>
      <c r="BM33" s="181">
        <f t="shared" ref="BM33:BX33" si="114">E33+Q33</f>
        <v>0</v>
      </c>
      <c r="BN33" s="181">
        <f t="shared" si="114"/>
        <v>1</v>
      </c>
      <c r="BO33" s="181">
        <f t="shared" si="114"/>
        <v>2</v>
      </c>
      <c r="BP33" s="181">
        <f t="shared" si="114"/>
        <v>0</v>
      </c>
      <c r="BQ33" s="181">
        <f t="shared" si="114"/>
        <v>3</v>
      </c>
      <c r="BR33" s="181">
        <f t="shared" si="114"/>
        <v>0</v>
      </c>
      <c r="BS33" s="181">
        <f t="shared" si="114"/>
        <v>0</v>
      </c>
      <c r="BT33" s="181">
        <f t="shared" si="114"/>
        <v>0</v>
      </c>
      <c r="BU33" s="181">
        <f t="shared" si="114"/>
        <v>2</v>
      </c>
      <c r="BV33" s="181">
        <f t="shared" si="114"/>
        <v>0</v>
      </c>
      <c r="BW33" s="181">
        <f t="shared" si="114"/>
        <v>2</v>
      </c>
      <c r="BX33" s="181">
        <f t="shared" si="114"/>
        <v>0</v>
      </c>
      <c r="BY33" s="38">
        <f t="shared" ref="BY33:CJ33" si="115">AC33+AO33</f>
        <v>1</v>
      </c>
      <c r="BZ33" s="38">
        <f t="shared" si="115"/>
        <v>1</v>
      </c>
      <c r="CA33" s="38">
        <f t="shared" si="115"/>
        <v>1</v>
      </c>
      <c r="CB33" s="38">
        <f t="shared" si="115"/>
        <v>0</v>
      </c>
      <c r="CC33" s="38">
        <f t="shared" si="115"/>
        <v>3</v>
      </c>
      <c r="CD33" s="38">
        <f t="shared" si="115"/>
        <v>0</v>
      </c>
      <c r="CE33" s="38">
        <f t="shared" si="115"/>
        <v>1</v>
      </c>
      <c r="CF33" s="38">
        <f t="shared" si="115"/>
        <v>1</v>
      </c>
      <c r="CG33" s="38">
        <f t="shared" si="115"/>
        <v>1</v>
      </c>
      <c r="CH33" s="38">
        <f t="shared" si="115"/>
        <v>0</v>
      </c>
      <c r="CI33" s="38">
        <f t="shared" si="115"/>
        <v>3</v>
      </c>
      <c r="CJ33" s="38">
        <f t="shared" si="115"/>
        <v>0</v>
      </c>
      <c r="CK33" s="27">
        <f t="shared" ref="CK33:CN33" si="116">BA33+BM33+BY33</f>
        <v>2</v>
      </c>
      <c r="CL33" s="27">
        <f t="shared" si="116"/>
        <v>2</v>
      </c>
      <c r="CM33" s="27">
        <f t="shared" si="116"/>
        <v>3</v>
      </c>
      <c r="CN33" s="27">
        <f t="shared" si="116"/>
        <v>0</v>
      </c>
      <c r="CO33" s="27">
        <f t="shared" si="18"/>
        <v>7</v>
      </c>
      <c r="CP33" s="27">
        <f t="shared" ref="CP33:CT33" si="117">BF33+BR33+CD33</f>
        <v>0</v>
      </c>
      <c r="CQ33" s="27">
        <f t="shared" si="117"/>
        <v>2</v>
      </c>
      <c r="CR33" s="27">
        <f t="shared" si="117"/>
        <v>1</v>
      </c>
      <c r="CS33" s="27">
        <f t="shared" si="117"/>
        <v>3</v>
      </c>
      <c r="CT33" s="27">
        <f t="shared" si="117"/>
        <v>0</v>
      </c>
      <c r="CU33" s="27">
        <f t="shared" si="20"/>
        <v>6</v>
      </c>
      <c r="CV33" s="27">
        <f t="shared" si="21"/>
        <v>0</v>
      </c>
    </row>
    <row r="34" ht="15.75" customHeight="1">
      <c r="A34" s="1"/>
      <c r="B34" s="1"/>
      <c r="C34" s="13"/>
      <c r="D34" s="26" t="s">
        <v>52</v>
      </c>
      <c r="E34" s="66"/>
      <c r="F34" s="66"/>
      <c r="G34" s="66"/>
      <c r="H34" s="66"/>
      <c r="I34" s="66">
        <f t="shared" si="5"/>
        <v>0</v>
      </c>
      <c r="J34" s="66"/>
      <c r="K34" s="66"/>
      <c r="L34" s="66"/>
      <c r="M34" s="66"/>
      <c r="N34" s="66"/>
      <c r="O34" s="66">
        <f t="shared" si="6"/>
        <v>0</v>
      </c>
      <c r="P34" s="66"/>
      <c r="Q34" s="42"/>
      <c r="R34" s="42"/>
      <c r="S34" s="42"/>
      <c r="T34" s="42"/>
      <c r="U34" s="42">
        <f t="shared" si="7"/>
        <v>0</v>
      </c>
      <c r="V34" s="42"/>
      <c r="W34" s="42"/>
      <c r="X34" s="42"/>
      <c r="Y34" s="42"/>
      <c r="Z34" s="42"/>
      <c r="AA34" s="42">
        <f t="shared" si="8"/>
        <v>0</v>
      </c>
      <c r="AB34" s="42"/>
      <c r="AC34" s="38"/>
      <c r="AD34" s="38"/>
      <c r="AE34" s="38"/>
      <c r="AF34" s="38"/>
      <c r="AG34" s="38">
        <f t="shared" si="9"/>
        <v>0</v>
      </c>
      <c r="AH34" s="38"/>
      <c r="AI34" s="38"/>
      <c r="AJ34" s="38"/>
      <c r="AK34" s="38"/>
      <c r="AL34" s="38"/>
      <c r="AM34" s="38">
        <f t="shared" si="10"/>
        <v>0</v>
      </c>
      <c r="AN34" s="38"/>
      <c r="AO34" s="178"/>
      <c r="AP34" s="178"/>
      <c r="AQ34" s="178"/>
      <c r="AR34" s="178"/>
      <c r="AS34" s="178">
        <f t="shared" si="11"/>
        <v>0</v>
      </c>
      <c r="AT34" s="178"/>
      <c r="AU34" s="178"/>
      <c r="AV34" s="178"/>
      <c r="AW34" s="178"/>
      <c r="AX34" s="178"/>
      <c r="AY34" s="178">
        <f t="shared" si="12"/>
        <v>0</v>
      </c>
      <c r="AZ34" s="178"/>
      <c r="BA34" s="27">
        <v>1.0</v>
      </c>
      <c r="BB34" s="27"/>
      <c r="BC34" s="27"/>
      <c r="BD34" s="27"/>
      <c r="BE34" s="27">
        <f t="shared" si="13"/>
        <v>1</v>
      </c>
      <c r="BF34" s="27"/>
      <c r="BG34" s="27">
        <v>1.0</v>
      </c>
      <c r="BH34" s="27"/>
      <c r="BI34" s="27"/>
      <c r="BJ34" s="27"/>
      <c r="BK34" s="27">
        <f t="shared" si="14"/>
        <v>1</v>
      </c>
      <c r="BL34" s="27"/>
      <c r="BM34" s="181">
        <f t="shared" ref="BM34:BX34" si="118">E34+Q34</f>
        <v>0</v>
      </c>
      <c r="BN34" s="181">
        <f t="shared" si="118"/>
        <v>0</v>
      </c>
      <c r="BO34" s="181">
        <f t="shared" si="118"/>
        <v>0</v>
      </c>
      <c r="BP34" s="181">
        <f t="shared" si="118"/>
        <v>0</v>
      </c>
      <c r="BQ34" s="181">
        <f t="shared" si="118"/>
        <v>0</v>
      </c>
      <c r="BR34" s="181">
        <f t="shared" si="118"/>
        <v>0</v>
      </c>
      <c r="BS34" s="181">
        <f t="shared" si="118"/>
        <v>0</v>
      </c>
      <c r="BT34" s="181">
        <f t="shared" si="118"/>
        <v>0</v>
      </c>
      <c r="BU34" s="181">
        <f t="shared" si="118"/>
        <v>0</v>
      </c>
      <c r="BV34" s="181">
        <f t="shared" si="118"/>
        <v>0</v>
      </c>
      <c r="BW34" s="181">
        <f t="shared" si="118"/>
        <v>0</v>
      </c>
      <c r="BX34" s="181">
        <f t="shared" si="118"/>
        <v>0</v>
      </c>
      <c r="BY34" s="38">
        <f t="shared" ref="BY34:CJ34" si="119">AC34+AO34</f>
        <v>0</v>
      </c>
      <c r="BZ34" s="38">
        <f t="shared" si="119"/>
        <v>0</v>
      </c>
      <c r="CA34" s="38">
        <f t="shared" si="119"/>
        <v>0</v>
      </c>
      <c r="CB34" s="38">
        <f t="shared" si="119"/>
        <v>0</v>
      </c>
      <c r="CC34" s="38">
        <f t="shared" si="119"/>
        <v>0</v>
      </c>
      <c r="CD34" s="38">
        <f t="shared" si="119"/>
        <v>0</v>
      </c>
      <c r="CE34" s="38">
        <f t="shared" si="119"/>
        <v>0</v>
      </c>
      <c r="CF34" s="38">
        <f t="shared" si="119"/>
        <v>0</v>
      </c>
      <c r="CG34" s="38">
        <f t="shared" si="119"/>
        <v>0</v>
      </c>
      <c r="CH34" s="38">
        <f t="shared" si="119"/>
        <v>0</v>
      </c>
      <c r="CI34" s="38">
        <f t="shared" si="119"/>
        <v>0</v>
      </c>
      <c r="CJ34" s="38">
        <f t="shared" si="119"/>
        <v>0</v>
      </c>
      <c r="CK34" s="27">
        <f t="shared" ref="CK34:CN34" si="120">BA34+BM34+BY34</f>
        <v>1</v>
      </c>
      <c r="CL34" s="27">
        <f t="shared" si="120"/>
        <v>0</v>
      </c>
      <c r="CM34" s="27">
        <f t="shared" si="120"/>
        <v>0</v>
      </c>
      <c r="CN34" s="27">
        <f t="shared" si="120"/>
        <v>0</v>
      </c>
      <c r="CO34" s="27">
        <f t="shared" si="18"/>
        <v>1</v>
      </c>
      <c r="CP34" s="27">
        <f t="shared" ref="CP34:CT34" si="121">BF34+BR34+CD34</f>
        <v>0</v>
      </c>
      <c r="CQ34" s="27">
        <f t="shared" si="121"/>
        <v>1</v>
      </c>
      <c r="CR34" s="27">
        <f t="shared" si="121"/>
        <v>0</v>
      </c>
      <c r="CS34" s="27">
        <f t="shared" si="121"/>
        <v>0</v>
      </c>
      <c r="CT34" s="27">
        <f t="shared" si="121"/>
        <v>0</v>
      </c>
      <c r="CU34" s="27">
        <f t="shared" si="20"/>
        <v>1</v>
      </c>
      <c r="CV34" s="27">
        <f t="shared" si="21"/>
        <v>0</v>
      </c>
    </row>
    <row r="35" ht="15.75" customHeight="1">
      <c r="A35" s="1"/>
      <c r="B35" s="1"/>
      <c r="C35" s="13"/>
      <c r="D35" s="26" t="s">
        <v>104</v>
      </c>
      <c r="E35" s="66"/>
      <c r="F35" s="66"/>
      <c r="G35" s="66"/>
      <c r="H35" s="66"/>
      <c r="I35" s="66">
        <f t="shared" si="5"/>
        <v>0</v>
      </c>
      <c r="J35" s="66"/>
      <c r="K35" s="66"/>
      <c r="L35" s="66"/>
      <c r="M35" s="66"/>
      <c r="N35" s="66"/>
      <c r="O35" s="66">
        <f t="shared" si="6"/>
        <v>0</v>
      </c>
      <c r="P35" s="66"/>
      <c r="Q35" s="42"/>
      <c r="R35" s="42">
        <v>1.0</v>
      </c>
      <c r="S35" s="42"/>
      <c r="T35" s="42"/>
      <c r="U35" s="42">
        <f t="shared" si="7"/>
        <v>1</v>
      </c>
      <c r="V35" s="42"/>
      <c r="W35" s="42"/>
      <c r="X35" s="42"/>
      <c r="Y35" s="42"/>
      <c r="Z35" s="42"/>
      <c r="AA35" s="42">
        <f t="shared" si="8"/>
        <v>0</v>
      </c>
      <c r="AB35" s="42"/>
      <c r="AC35" s="38"/>
      <c r="AD35" s="38"/>
      <c r="AE35" s="38"/>
      <c r="AF35" s="38"/>
      <c r="AG35" s="38">
        <f t="shared" si="9"/>
        <v>0</v>
      </c>
      <c r="AH35" s="38"/>
      <c r="AI35" s="38"/>
      <c r="AJ35" s="38"/>
      <c r="AK35" s="38"/>
      <c r="AL35" s="38"/>
      <c r="AM35" s="38">
        <f t="shared" si="10"/>
        <v>0</v>
      </c>
      <c r="AN35" s="38"/>
      <c r="AO35" s="178"/>
      <c r="AP35" s="178"/>
      <c r="AQ35" s="178"/>
      <c r="AR35" s="178"/>
      <c r="AS35" s="178">
        <f t="shared" si="11"/>
        <v>0</v>
      </c>
      <c r="AT35" s="178"/>
      <c r="AU35" s="178"/>
      <c r="AV35" s="178"/>
      <c r="AW35" s="178"/>
      <c r="AX35" s="178"/>
      <c r="AY35" s="178">
        <f t="shared" si="12"/>
        <v>0</v>
      </c>
      <c r="AZ35" s="178"/>
      <c r="BA35" s="27"/>
      <c r="BB35" s="27"/>
      <c r="BC35" s="27"/>
      <c r="BD35" s="27"/>
      <c r="BE35" s="27">
        <f t="shared" si="13"/>
        <v>0</v>
      </c>
      <c r="BF35" s="27"/>
      <c r="BG35" s="27"/>
      <c r="BH35" s="27"/>
      <c r="BI35" s="27"/>
      <c r="BJ35" s="27"/>
      <c r="BK35" s="27">
        <f t="shared" si="14"/>
        <v>0</v>
      </c>
      <c r="BL35" s="27"/>
      <c r="BM35" s="181">
        <f t="shared" ref="BM35:BX35" si="122">E35+Q35</f>
        <v>0</v>
      </c>
      <c r="BN35" s="181">
        <f t="shared" si="122"/>
        <v>1</v>
      </c>
      <c r="BO35" s="181">
        <f t="shared" si="122"/>
        <v>0</v>
      </c>
      <c r="BP35" s="181">
        <f t="shared" si="122"/>
        <v>0</v>
      </c>
      <c r="BQ35" s="181">
        <f t="shared" si="122"/>
        <v>1</v>
      </c>
      <c r="BR35" s="181">
        <f t="shared" si="122"/>
        <v>0</v>
      </c>
      <c r="BS35" s="181">
        <f t="shared" si="122"/>
        <v>0</v>
      </c>
      <c r="BT35" s="181">
        <f t="shared" si="122"/>
        <v>0</v>
      </c>
      <c r="BU35" s="181">
        <f t="shared" si="122"/>
        <v>0</v>
      </c>
      <c r="BV35" s="181">
        <f t="shared" si="122"/>
        <v>0</v>
      </c>
      <c r="BW35" s="181">
        <f t="shared" si="122"/>
        <v>0</v>
      </c>
      <c r="BX35" s="181">
        <f t="shared" si="122"/>
        <v>0</v>
      </c>
      <c r="BY35" s="38">
        <f t="shared" ref="BY35:CJ35" si="123">AC35+AO35</f>
        <v>0</v>
      </c>
      <c r="BZ35" s="38">
        <f t="shared" si="123"/>
        <v>0</v>
      </c>
      <c r="CA35" s="38">
        <f t="shared" si="123"/>
        <v>0</v>
      </c>
      <c r="CB35" s="38">
        <f t="shared" si="123"/>
        <v>0</v>
      </c>
      <c r="CC35" s="38">
        <f t="shared" si="123"/>
        <v>0</v>
      </c>
      <c r="CD35" s="38">
        <f t="shared" si="123"/>
        <v>0</v>
      </c>
      <c r="CE35" s="38">
        <f t="shared" si="123"/>
        <v>0</v>
      </c>
      <c r="CF35" s="38">
        <f t="shared" si="123"/>
        <v>0</v>
      </c>
      <c r="CG35" s="38">
        <f t="shared" si="123"/>
        <v>0</v>
      </c>
      <c r="CH35" s="38">
        <f t="shared" si="123"/>
        <v>0</v>
      </c>
      <c r="CI35" s="38">
        <f t="shared" si="123"/>
        <v>0</v>
      </c>
      <c r="CJ35" s="38">
        <f t="shared" si="123"/>
        <v>0</v>
      </c>
      <c r="CK35" s="27">
        <f t="shared" ref="CK35:CN35" si="124">BA35+BM35+BY35</f>
        <v>0</v>
      </c>
      <c r="CL35" s="27">
        <f t="shared" si="124"/>
        <v>1</v>
      </c>
      <c r="CM35" s="27">
        <f t="shared" si="124"/>
        <v>0</v>
      </c>
      <c r="CN35" s="27">
        <f t="shared" si="124"/>
        <v>0</v>
      </c>
      <c r="CO35" s="27">
        <f t="shared" si="18"/>
        <v>1</v>
      </c>
      <c r="CP35" s="27">
        <f t="shared" ref="CP35:CT35" si="125">BF35+BR35+CD35</f>
        <v>0</v>
      </c>
      <c r="CQ35" s="27">
        <f t="shared" si="125"/>
        <v>0</v>
      </c>
      <c r="CR35" s="27">
        <f t="shared" si="125"/>
        <v>0</v>
      </c>
      <c r="CS35" s="27">
        <f t="shared" si="125"/>
        <v>0</v>
      </c>
      <c r="CT35" s="27">
        <f t="shared" si="125"/>
        <v>0</v>
      </c>
      <c r="CU35" s="27">
        <f t="shared" si="20"/>
        <v>0</v>
      </c>
      <c r="CV35" s="27">
        <f t="shared" si="21"/>
        <v>0</v>
      </c>
    </row>
    <row r="36" ht="15.75" customHeight="1">
      <c r="A36" s="1"/>
      <c r="B36" s="1"/>
      <c r="C36" s="13"/>
      <c r="D36" s="26" t="s">
        <v>55</v>
      </c>
      <c r="E36" s="66"/>
      <c r="F36" s="66"/>
      <c r="G36" s="66"/>
      <c r="H36" s="66"/>
      <c r="I36" s="66">
        <f t="shared" si="5"/>
        <v>0</v>
      </c>
      <c r="J36" s="66"/>
      <c r="K36" s="66"/>
      <c r="L36" s="66"/>
      <c r="M36" s="66"/>
      <c r="N36" s="66"/>
      <c r="O36" s="66">
        <f t="shared" si="6"/>
        <v>0</v>
      </c>
      <c r="P36" s="66"/>
      <c r="Q36" s="42"/>
      <c r="R36" s="42"/>
      <c r="S36" s="42"/>
      <c r="T36" s="42"/>
      <c r="U36" s="42">
        <f t="shared" si="7"/>
        <v>0</v>
      </c>
      <c r="V36" s="42"/>
      <c r="W36" s="42"/>
      <c r="X36" s="42"/>
      <c r="Y36" s="42"/>
      <c r="Z36" s="42"/>
      <c r="AA36" s="42">
        <f t="shared" si="8"/>
        <v>0</v>
      </c>
      <c r="AB36" s="42"/>
      <c r="AC36" s="38"/>
      <c r="AD36" s="38"/>
      <c r="AE36" s="38"/>
      <c r="AF36" s="38"/>
      <c r="AG36" s="38">
        <f t="shared" si="9"/>
        <v>0</v>
      </c>
      <c r="AH36" s="38"/>
      <c r="AI36" s="38"/>
      <c r="AJ36" s="38"/>
      <c r="AK36" s="38"/>
      <c r="AL36" s="38"/>
      <c r="AM36" s="38">
        <f t="shared" si="10"/>
        <v>0</v>
      </c>
      <c r="AN36" s="38"/>
      <c r="AO36" s="178"/>
      <c r="AP36" s="178"/>
      <c r="AQ36" s="178"/>
      <c r="AR36" s="178"/>
      <c r="AS36" s="178">
        <f t="shared" si="11"/>
        <v>0</v>
      </c>
      <c r="AT36" s="178"/>
      <c r="AU36" s="178"/>
      <c r="AV36" s="178"/>
      <c r="AW36" s="178"/>
      <c r="AX36" s="178"/>
      <c r="AY36" s="178">
        <f t="shared" si="12"/>
        <v>0</v>
      </c>
      <c r="AZ36" s="178"/>
      <c r="BA36" s="27"/>
      <c r="BB36" s="27"/>
      <c r="BC36" s="27"/>
      <c r="BD36" s="47"/>
      <c r="BE36" s="27">
        <f t="shared" si="13"/>
        <v>0</v>
      </c>
      <c r="BF36" s="27"/>
      <c r="BG36" s="27"/>
      <c r="BH36" s="27"/>
      <c r="BI36" s="27"/>
      <c r="BJ36" s="27"/>
      <c r="BK36" s="27">
        <f t="shared" si="14"/>
        <v>0</v>
      </c>
      <c r="BL36" s="27"/>
      <c r="BM36" s="181">
        <f t="shared" ref="BM36:BX36" si="126">E36+Q36</f>
        <v>0</v>
      </c>
      <c r="BN36" s="181">
        <f t="shared" si="126"/>
        <v>0</v>
      </c>
      <c r="BO36" s="181">
        <f t="shared" si="126"/>
        <v>0</v>
      </c>
      <c r="BP36" s="181">
        <f t="shared" si="126"/>
        <v>0</v>
      </c>
      <c r="BQ36" s="181">
        <f t="shared" si="126"/>
        <v>0</v>
      </c>
      <c r="BR36" s="181">
        <f t="shared" si="126"/>
        <v>0</v>
      </c>
      <c r="BS36" s="181">
        <f t="shared" si="126"/>
        <v>0</v>
      </c>
      <c r="BT36" s="181">
        <f t="shared" si="126"/>
        <v>0</v>
      </c>
      <c r="BU36" s="181">
        <f t="shared" si="126"/>
        <v>0</v>
      </c>
      <c r="BV36" s="181">
        <f t="shared" si="126"/>
        <v>0</v>
      </c>
      <c r="BW36" s="181">
        <f t="shared" si="126"/>
        <v>0</v>
      </c>
      <c r="BX36" s="181">
        <f t="shared" si="126"/>
        <v>0</v>
      </c>
      <c r="BY36" s="38">
        <f t="shared" ref="BY36:CJ36" si="127">AC36+AO36</f>
        <v>0</v>
      </c>
      <c r="BZ36" s="38">
        <f t="shared" si="127"/>
        <v>0</v>
      </c>
      <c r="CA36" s="38">
        <f t="shared" si="127"/>
        <v>0</v>
      </c>
      <c r="CB36" s="38">
        <f t="shared" si="127"/>
        <v>0</v>
      </c>
      <c r="CC36" s="38">
        <f t="shared" si="127"/>
        <v>0</v>
      </c>
      <c r="CD36" s="38">
        <f t="shared" si="127"/>
        <v>0</v>
      </c>
      <c r="CE36" s="38">
        <f t="shared" si="127"/>
        <v>0</v>
      </c>
      <c r="CF36" s="38">
        <f t="shared" si="127"/>
        <v>0</v>
      </c>
      <c r="CG36" s="38">
        <f t="shared" si="127"/>
        <v>0</v>
      </c>
      <c r="CH36" s="38">
        <f t="shared" si="127"/>
        <v>0</v>
      </c>
      <c r="CI36" s="38">
        <f t="shared" si="127"/>
        <v>0</v>
      </c>
      <c r="CJ36" s="38">
        <f t="shared" si="127"/>
        <v>0</v>
      </c>
      <c r="CK36" s="27">
        <f t="shared" ref="CK36:CN36" si="128">BA36+BM36+BY36</f>
        <v>0</v>
      </c>
      <c r="CL36" s="27">
        <f t="shared" si="128"/>
        <v>0</v>
      </c>
      <c r="CM36" s="27">
        <f t="shared" si="128"/>
        <v>0</v>
      </c>
      <c r="CN36" s="27">
        <f t="shared" si="128"/>
        <v>0</v>
      </c>
      <c r="CO36" s="27">
        <f t="shared" si="18"/>
        <v>0</v>
      </c>
      <c r="CP36" s="27">
        <f t="shared" ref="CP36:CT36" si="129">BF36+BR36+CD36</f>
        <v>0</v>
      </c>
      <c r="CQ36" s="27">
        <f t="shared" si="129"/>
        <v>0</v>
      </c>
      <c r="CR36" s="27">
        <f t="shared" si="129"/>
        <v>0</v>
      </c>
      <c r="CS36" s="27">
        <f t="shared" si="129"/>
        <v>0</v>
      </c>
      <c r="CT36" s="27">
        <f t="shared" si="129"/>
        <v>0</v>
      </c>
      <c r="CU36" s="27">
        <f t="shared" si="20"/>
        <v>0</v>
      </c>
      <c r="CV36" s="27">
        <f t="shared" si="21"/>
        <v>0</v>
      </c>
    </row>
    <row r="37" ht="15.75" customHeight="1">
      <c r="A37" s="1"/>
      <c r="B37" s="1"/>
      <c r="C37" s="21"/>
      <c r="D37" s="26" t="s">
        <v>106</v>
      </c>
      <c r="E37" s="66"/>
      <c r="F37" s="66"/>
      <c r="G37" s="66"/>
      <c r="H37" s="66"/>
      <c r="I37" s="66">
        <f t="shared" si="5"/>
        <v>0</v>
      </c>
      <c r="J37" s="66"/>
      <c r="K37" s="66"/>
      <c r="L37" s="66"/>
      <c r="M37" s="66"/>
      <c r="N37" s="66"/>
      <c r="O37" s="66">
        <f t="shared" si="6"/>
        <v>0</v>
      </c>
      <c r="P37" s="66"/>
      <c r="Q37" s="42"/>
      <c r="R37" s="42">
        <v>1.0</v>
      </c>
      <c r="S37" s="42">
        <v>1.0</v>
      </c>
      <c r="T37" s="42"/>
      <c r="U37" s="42">
        <f t="shared" si="7"/>
        <v>2</v>
      </c>
      <c r="V37" s="42"/>
      <c r="W37" s="42"/>
      <c r="X37" s="42"/>
      <c r="Y37" s="42">
        <v>1.0</v>
      </c>
      <c r="Z37" s="42"/>
      <c r="AA37" s="42">
        <f t="shared" si="8"/>
        <v>1</v>
      </c>
      <c r="AB37" s="42"/>
      <c r="AC37" s="38"/>
      <c r="AD37" s="38"/>
      <c r="AE37" s="38"/>
      <c r="AF37" s="38"/>
      <c r="AG37" s="38">
        <f t="shared" si="9"/>
        <v>0</v>
      </c>
      <c r="AH37" s="38"/>
      <c r="AI37" s="38"/>
      <c r="AJ37" s="38"/>
      <c r="AK37" s="38"/>
      <c r="AL37" s="38"/>
      <c r="AM37" s="38">
        <f t="shared" si="10"/>
        <v>0</v>
      </c>
      <c r="AN37" s="38"/>
      <c r="AO37" s="178"/>
      <c r="AP37" s="178"/>
      <c r="AQ37" s="178"/>
      <c r="AR37" s="178"/>
      <c r="AS37" s="178">
        <f t="shared" si="11"/>
        <v>0</v>
      </c>
      <c r="AT37" s="178"/>
      <c r="AU37" s="178"/>
      <c r="AV37" s="178"/>
      <c r="AW37" s="178"/>
      <c r="AX37" s="178"/>
      <c r="AY37" s="178">
        <f t="shared" si="12"/>
        <v>0</v>
      </c>
      <c r="AZ37" s="178"/>
      <c r="BA37" s="27"/>
      <c r="BB37" s="27"/>
      <c r="BC37" s="27"/>
      <c r="BD37" s="47"/>
      <c r="BE37" s="27">
        <f t="shared" si="13"/>
        <v>0</v>
      </c>
      <c r="BF37" s="27"/>
      <c r="BG37" s="27"/>
      <c r="BH37" s="27"/>
      <c r="BI37" s="27"/>
      <c r="BJ37" s="27"/>
      <c r="BK37" s="27">
        <f t="shared" si="14"/>
        <v>0</v>
      </c>
      <c r="BL37" s="27"/>
      <c r="BM37" s="181">
        <f t="shared" ref="BM37:BX37" si="130">E37+Q37</f>
        <v>0</v>
      </c>
      <c r="BN37" s="181">
        <f t="shared" si="130"/>
        <v>1</v>
      </c>
      <c r="BO37" s="181">
        <f t="shared" si="130"/>
        <v>1</v>
      </c>
      <c r="BP37" s="181">
        <f t="shared" si="130"/>
        <v>0</v>
      </c>
      <c r="BQ37" s="181">
        <f t="shared" si="130"/>
        <v>2</v>
      </c>
      <c r="BR37" s="181">
        <f t="shared" si="130"/>
        <v>0</v>
      </c>
      <c r="BS37" s="181">
        <f t="shared" si="130"/>
        <v>0</v>
      </c>
      <c r="BT37" s="181">
        <f t="shared" si="130"/>
        <v>0</v>
      </c>
      <c r="BU37" s="181">
        <f t="shared" si="130"/>
        <v>1</v>
      </c>
      <c r="BV37" s="181">
        <f t="shared" si="130"/>
        <v>0</v>
      </c>
      <c r="BW37" s="181">
        <f t="shared" si="130"/>
        <v>1</v>
      </c>
      <c r="BX37" s="181">
        <f t="shared" si="130"/>
        <v>0</v>
      </c>
      <c r="BY37" s="38">
        <f t="shared" ref="BY37:CJ37" si="131">AC37+AO37</f>
        <v>0</v>
      </c>
      <c r="BZ37" s="38">
        <f t="shared" si="131"/>
        <v>0</v>
      </c>
      <c r="CA37" s="38">
        <f t="shared" si="131"/>
        <v>0</v>
      </c>
      <c r="CB37" s="38">
        <f t="shared" si="131"/>
        <v>0</v>
      </c>
      <c r="CC37" s="38">
        <f t="shared" si="131"/>
        <v>0</v>
      </c>
      <c r="CD37" s="38">
        <f t="shared" si="131"/>
        <v>0</v>
      </c>
      <c r="CE37" s="38">
        <f t="shared" si="131"/>
        <v>0</v>
      </c>
      <c r="CF37" s="38">
        <f t="shared" si="131"/>
        <v>0</v>
      </c>
      <c r="CG37" s="38">
        <f t="shared" si="131"/>
        <v>0</v>
      </c>
      <c r="CH37" s="38">
        <f t="shared" si="131"/>
        <v>0</v>
      </c>
      <c r="CI37" s="38">
        <f t="shared" si="131"/>
        <v>0</v>
      </c>
      <c r="CJ37" s="38">
        <f t="shared" si="131"/>
        <v>0</v>
      </c>
      <c r="CK37" s="27">
        <f t="shared" ref="CK37:CN37" si="132">BA37+BM37+BY37</f>
        <v>0</v>
      </c>
      <c r="CL37" s="27">
        <f t="shared" si="132"/>
        <v>1</v>
      </c>
      <c r="CM37" s="27">
        <f t="shared" si="132"/>
        <v>1</v>
      </c>
      <c r="CN37" s="27">
        <f t="shared" si="132"/>
        <v>0</v>
      </c>
      <c r="CO37" s="27">
        <f t="shared" si="18"/>
        <v>2</v>
      </c>
      <c r="CP37" s="27">
        <f t="shared" ref="CP37:CT37" si="133">BF37+BR37+CD37</f>
        <v>0</v>
      </c>
      <c r="CQ37" s="27">
        <f t="shared" si="133"/>
        <v>0</v>
      </c>
      <c r="CR37" s="27">
        <f t="shared" si="133"/>
        <v>0</v>
      </c>
      <c r="CS37" s="27">
        <f t="shared" si="133"/>
        <v>1</v>
      </c>
      <c r="CT37" s="27">
        <f t="shared" si="133"/>
        <v>0</v>
      </c>
      <c r="CU37" s="27">
        <f t="shared" si="20"/>
        <v>1</v>
      </c>
      <c r="CV37" s="27">
        <f t="shared" si="21"/>
        <v>0</v>
      </c>
    </row>
    <row r="38" ht="15.75" customHeight="1">
      <c r="A38" s="1"/>
      <c r="B38" s="1"/>
      <c r="C38" s="49" t="s">
        <v>53</v>
      </c>
      <c r="D38" s="26" t="s">
        <v>53</v>
      </c>
      <c r="E38" s="66"/>
      <c r="F38" s="66">
        <v>1.0</v>
      </c>
      <c r="G38" s="66"/>
      <c r="H38" s="66"/>
      <c r="I38" s="66">
        <f t="shared" si="5"/>
        <v>1</v>
      </c>
      <c r="J38" s="66"/>
      <c r="K38" s="66"/>
      <c r="L38" s="66">
        <v>1.0</v>
      </c>
      <c r="M38" s="66"/>
      <c r="N38" s="66"/>
      <c r="O38" s="66">
        <f t="shared" si="6"/>
        <v>1</v>
      </c>
      <c r="P38" s="66"/>
      <c r="Q38" s="42">
        <v>1.0</v>
      </c>
      <c r="R38" s="42"/>
      <c r="S38" s="42">
        <v>1.0</v>
      </c>
      <c r="T38" s="42"/>
      <c r="U38" s="42">
        <f t="shared" si="7"/>
        <v>2</v>
      </c>
      <c r="V38" s="42"/>
      <c r="W38" s="42">
        <v>1.0</v>
      </c>
      <c r="X38" s="42"/>
      <c r="Y38" s="42">
        <v>1.0</v>
      </c>
      <c r="Z38" s="42"/>
      <c r="AA38" s="42">
        <f t="shared" si="8"/>
        <v>2</v>
      </c>
      <c r="AB38" s="42"/>
      <c r="AC38" s="38"/>
      <c r="AD38" s="38"/>
      <c r="AE38" s="38"/>
      <c r="AF38" s="38"/>
      <c r="AG38" s="38">
        <f t="shared" si="9"/>
        <v>0</v>
      </c>
      <c r="AH38" s="38"/>
      <c r="AI38" s="38"/>
      <c r="AJ38" s="38"/>
      <c r="AK38" s="38"/>
      <c r="AL38" s="38"/>
      <c r="AM38" s="38">
        <f t="shared" si="10"/>
        <v>0</v>
      </c>
      <c r="AN38" s="38"/>
      <c r="AO38" s="178"/>
      <c r="AP38" s="178"/>
      <c r="AQ38" s="178"/>
      <c r="AR38" s="178"/>
      <c r="AS38" s="178">
        <f t="shared" si="11"/>
        <v>0</v>
      </c>
      <c r="AT38" s="178"/>
      <c r="AU38" s="178"/>
      <c r="AV38" s="178"/>
      <c r="AW38" s="178"/>
      <c r="AX38" s="178"/>
      <c r="AY38" s="178">
        <f t="shared" si="12"/>
        <v>0</v>
      </c>
      <c r="AZ38" s="178"/>
      <c r="BA38" s="27"/>
      <c r="BB38" s="27"/>
      <c r="BC38" s="27"/>
      <c r="BD38" s="47"/>
      <c r="BE38" s="27">
        <f t="shared" si="13"/>
        <v>0</v>
      </c>
      <c r="BF38" s="27"/>
      <c r="BG38" s="27"/>
      <c r="BH38" s="27"/>
      <c r="BI38" s="27"/>
      <c r="BJ38" s="27"/>
      <c r="BK38" s="27">
        <f t="shared" si="14"/>
        <v>0</v>
      </c>
      <c r="BL38" s="27"/>
      <c r="BM38" s="181">
        <f t="shared" ref="BM38:BX38" si="134">E38+Q38</f>
        <v>1</v>
      </c>
      <c r="BN38" s="181">
        <f t="shared" si="134"/>
        <v>1</v>
      </c>
      <c r="BO38" s="181">
        <f t="shared" si="134"/>
        <v>1</v>
      </c>
      <c r="BP38" s="181">
        <f t="shared" si="134"/>
        <v>0</v>
      </c>
      <c r="BQ38" s="181">
        <f t="shared" si="134"/>
        <v>3</v>
      </c>
      <c r="BR38" s="181">
        <f t="shared" si="134"/>
        <v>0</v>
      </c>
      <c r="BS38" s="181">
        <f t="shared" si="134"/>
        <v>1</v>
      </c>
      <c r="BT38" s="181">
        <f t="shared" si="134"/>
        <v>1</v>
      </c>
      <c r="BU38" s="181">
        <f t="shared" si="134"/>
        <v>1</v>
      </c>
      <c r="BV38" s="181">
        <f t="shared" si="134"/>
        <v>0</v>
      </c>
      <c r="BW38" s="181">
        <f t="shared" si="134"/>
        <v>3</v>
      </c>
      <c r="BX38" s="181">
        <f t="shared" si="134"/>
        <v>0</v>
      </c>
      <c r="BY38" s="38">
        <f t="shared" ref="BY38:CJ38" si="135">AC38+AO38</f>
        <v>0</v>
      </c>
      <c r="BZ38" s="38">
        <f t="shared" si="135"/>
        <v>0</v>
      </c>
      <c r="CA38" s="38">
        <f t="shared" si="135"/>
        <v>0</v>
      </c>
      <c r="CB38" s="38">
        <f t="shared" si="135"/>
        <v>0</v>
      </c>
      <c r="CC38" s="38">
        <f t="shared" si="135"/>
        <v>0</v>
      </c>
      <c r="CD38" s="38">
        <f t="shared" si="135"/>
        <v>0</v>
      </c>
      <c r="CE38" s="38">
        <f t="shared" si="135"/>
        <v>0</v>
      </c>
      <c r="CF38" s="38">
        <f t="shared" si="135"/>
        <v>0</v>
      </c>
      <c r="CG38" s="38">
        <f t="shared" si="135"/>
        <v>0</v>
      </c>
      <c r="CH38" s="38">
        <f t="shared" si="135"/>
        <v>0</v>
      </c>
      <c r="CI38" s="38">
        <f t="shared" si="135"/>
        <v>0</v>
      </c>
      <c r="CJ38" s="38">
        <f t="shared" si="135"/>
        <v>0</v>
      </c>
      <c r="CK38" s="27">
        <f t="shared" ref="CK38:CN38" si="136">BA38+BM38+BY38</f>
        <v>1</v>
      </c>
      <c r="CL38" s="27">
        <f t="shared" si="136"/>
        <v>1</v>
      </c>
      <c r="CM38" s="27">
        <f t="shared" si="136"/>
        <v>1</v>
      </c>
      <c r="CN38" s="27">
        <f t="shared" si="136"/>
        <v>0</v>
      </c>
      <c r="CO38" s="27">
        <f t="shared" si="18"/>
        <v>3</v>
      </c>
      <c r="CP38" s="27">
        <f t="shared" ref="CP38:CT38" si="137">BF38+BR38+CD38</f>
        <v>0</v>
      </c>
      <c r="CQ38" s="27">
        <f t="shared" si="137"/>
        <v>1</v>
      </c>
      <c r="CR38" s="27">
        <f t="shared" si="137"/>
        <v>1</v>
      </c>
      <c r="CS38" s="27">
        <f t="shared" si="137"/>
        <v>1</v>
      </c>
      <c r="CT38" s="27">
        <f t="shared" si="137"/>
        <v>0</v>
      </c>
      <c r="CU38" s="27">
        <f t="shared" si="20"/>
        <v>3</v>
      </c>
      <c r="CV38" s="27">
        <f t="shared" si="21"/>
        <v>0</v>
      </c>
    </row>
    <row r="39" ht="15.75" customHeight="1">
      <c r="A39" s="1"/>
      <c r="B39" s="1"/>
      <c r="C39" s="34" t="s">
        <v>54</v>
      </c>
      <c r="D39" s="26" t="s">
        <v>56</v>
      </c>
      <c r="E39" s="66"/>
      <c r="F39" s="66">
        <v>1.0</v>
      </c>
      <c r="G39" s="66"/>
      <c r="H39" s="66"/>
      <c r="I39" s="66">
        <f t="shared" si="5"/>
        <v>1</v>
      </c>
      <c r="J39" s="66"/>
      <c r="K39" s="66"/>
      <c r="L39" s="66">
        <v>1.0</v>
      </c>
      <c r="M39" s="66"/>
      <c r="N39" s="66"/>
      <c r="O39" s="66">
        <f t="shared" si="6"/>
        <v>1</v>
      </c>
      <c r="P39" s="66"/>
      <c r="Q39" s="42"/>
      <c r="R39" s="42"/>
      <c r="S39" s="42"/>
      <c r="T39" s="42"/>
      <c r="U39" s="42">
        <f t="shared" si="7"/>
        <v>0</v>
      </c>
      <c r="V39" s="42"/>
      <c r="W39" s="42"/>
      <c r="X39" s="42"/>
      <c r="Y39" s="42"/>
      <c r="Z39" s="42"/>
      <c r="AA39" s="42">
        <f t="shared" si="8"/>
        <v>0</v>
      </c>
      <c r="AB39" s="42"/>
      <c r="AC39" s="38"/>
      <c r="AD39" s="38"/>
      <c r="AE39" s="38"/>
      <c r="AF39" s="38"/>
      <c r="AG39" s="38">
        <f t="shared" si="9"/>
        <v>0</v>
      </c>
      <c r="AH39" s="38"/>
      <c r="AI39" s="38"/>
      <c r="AJ39" s="38"/>
      <c r="AK39" s="38"/>
      <c r="AL39" s="38"/>
      <c r="AM39" s="38">
        <f t="shared" si="10"/>
        <v>0</v>
      </c>
      <c r="AN39" s="38"/>
      <c r="AO39" s="178"/>
      <c r="AP39" s="178"/>
      <c r="AQ39" s="178"/>
      <c r="AR39" s="178"/>
      <c r="AS39" s="178">
        <f t="shared" si="11"/>
        <v>0</v>
      </c>
      <c r="AT39" s="178"/>
      <c r="AU39" s="178"/>
      <c r="AV39" s="178"/>
      <c r="AW39" s="178"/>
      <c r="AX39" s="178"/>
      <c r="AY39" s="178">
        <f t="shared" si="12"/>
        <v>0</v>
      </c>
      <c r="AZ39" s="178"/>
      <c r="BA39" s="27"/>
      <c r="BB39" s="27"/>
      <c r="BC39" s="27"/>
      <c r="BD39" s="27"/>
      <c r="BE39" s="27">
        <f t="shared" si="13"/>
        <v>0</v>
      </c>
      <c r="BF39" s="27"/>
      <c r="BG39" s="27"/>
      <c r="BH39" s="27"/>
      <c r="BI39" s="27"/>
      <c r="BJ39" s="27"/>
      <c r="BK39" s="27">
        <f t="shared" si="14"/>
        <v>0</v>
      </c>
      <c r="BL39" s="27"/>
      <c r="BM39" s="181">
        <f t="shared" ref="BM39:BX39" si="138">E39+Q39</f>
        <v>0</v>
      </c>
      <c r="BN39" s="181">
        <f t="shared" si="138"/>
        <v>1</v>
      </c>
      <c r="BO39" s="181">
        <f t="shared" si="138"/>
        <v>0</v>
      </c>
      <c r="BP39" s="181">
        <f t="shared" si="138"/>
        <v>0</v>
      </c>
      <c r="BQ39" s="181">
        <f t="shared" si="138"/>
        <v>1</v>
      </c>
      <c r="BR39" s="181">
        <f t="shared" si="138"/>
        <v>0</v>
      </c>
      <c r="BS39" s="181">
        <f t="shared" si="138"/>
        <v>0</v>
      </c>
      <c r="BT39" s="181">
        <f t="shared" si="138"/>
        <v>1</v>
      </c>
      <c r="BU39" s="181">
        <f t="shared" si="138"/>
        <v>0</v>
      </c>
      <c r="BV39" s="181">
        <f t="shared" si="138"/>
        <v>0</v>
      </c>
      <c r="BW39" s="181">
        <f t="shared" si="138"/>
        <v>1</v>
      </c>
      <c r="BX39" s="181">
        <f t="shared" si="138"/>
        <v>0</v>
      </c>
      <c r="BY39" s="38">
        <f t="shared" ref="BY39:CJ39" si="139">AC39+AO39</f>
        <v>0</v>
      </c>
      <c r="BZ39" s="38">
        <f t="shared" si="139"/>
        <v>0</v>
      </c>
      <c r="CA39" s="38">
        <f t="shared" si="139"/>
        <v>0</v>
      </c>
      <c r="CB39" s="38">
        <f t="shared" si="139"/>
        <v>0</v>
      </c>
      <c r="CC39" s="38">
        <f t="shared" si="139"/>
        <v>0</v>
      </c>
      <c r="CD39" s="38">
        <f t="shared" si="139"/>
        <v>0</v>
      </c>
      <c r="CE39" s="38">
        <f t="shared" si="139"/>
        <v>0</v>
      </c>
      <c r="CF39" s="38">
        <f t="shared" si="139"/>
        <v>0</v>
      </c>
      <c r="CG39" s="38">
        <f t="shared" si="139"/>
        <v>0</v>
      </c>
      <c r="CH39" s="38">
        <f t="shared" si="139"/>
        <v>0</v>
      </c>
      <c r="CI39" s="38">
        <f t="shared" si="139"/>
        <v>0</v>
      </c>
      <c r="CJ39" s="38">
        <f t="shared" si="139"/>
        <v>0</v>
      </c>
      <c r="CK39" s="27">
        <f t="shared" ref="CK39:CN39" si="140">BA39+BM39+BY39</f>
        <v>0</v>
      </c>
      <c r="CL39" s="27">
        <f t="shared" si="140"/>
        <v>1</v>
      </c>
      <c r="CM39" s="27">
        <f t="shared" si="140"/>
        <v>0</v>
      </c>
      <c r="CN39" s="27">
        <f t="shared" si="140"/>
        <v>0</v>
      </c>
      <c r="CO39" s="27">
        <f t="shared" si="18"/>
        <v>1</v>
      </c>
      <c r="CP39" s="27">
        <f t="shared" ref="CP39:CT39" si="141">BF39+BR39+CD39</f>
        <v>0</v>
      </c>
      <c r="CQ39" s="27">
        <f t="shared" si="141"/>
        <v>0</v>
      </c>
      <c r="CR39" s="27">
        <f t="shared" si="141"/>
        <v>1</v>
      </c>
      <c r="CS39" s="27">
        <f t="shared" si="141"/>
        <v>0</v>
      </c>
      <c r="CT39" s="27">
        <f t="shared" si="141"/>
        <v>0</v>
      </c>
      <c r="CU39" s="27">
        <f t="shared" si="20"/>
        <v>1</v>
      </c>
      <c r="CV39" s="27">
        <f t="shared" si="21"/>
        <v>0</v>
      </c>
    </row>
    <row r="40" ht="15.75" customHeight="1">
      <c r="A40" s="1"/>
      <c r="B40" s="1"/>
      <c r="C40" s="13"/>
      <c r="D40" s="26" t="s">
        <v>111</v>
      </c>
      <c r="E40" s="66"/>
      <c r="F40" s="66"/>
      <c r="G40" s="66"/>
      <c r="H40" s="66"/>
      <c r="I40" s="66">
        <f t="shared" si="5"/>
        <v>0</v>
      </c>
      <c r="J40" s="66"/>
      <c r="K40" s="66"/>
      <c r="L40" s="66"/>
      <c r="M40" s="66"/>
      <c r="N40" s="66"/>
      <c r="O40" s="66">
        <f t="shared" si="6"/>
        <v>0</v>
      </c>
      <c r="P40" s="66"/>
      <c r="Q40" s="42">
        <v>1.0</v>
      </c>
      <c r="R40" s="42"/>
      <c r="S40" s="42"/>
      <c r="T40" s="42"/>
      <c r="U40" s="42">
        <f t="shared" si="7"/>
        <v>1</v>
      </c>
      <c r="V40" s="42"/>
      <c r="W40" s="42">
        <v>1.0</v>
      </c>
      <c r="X40" s="42"/>
      <c r="Y40" s="42"/>
      <c r="Z40" s="42"/>
      <c r="AA40" s="42">
        <f t="shared" si="8"/>
        <v>1</v>
      </c>
      <c r="AB40" s="42"/>
      <c r="AC40" s="38">
        <v>1.0</v>
      </c>
      <c r="AD40" s="38"/>
      <c r="AE40" s="38"/>
      <c r="AF40" s="38"/>
      <c r="AG40" s="38">
        <f t="shared" si="9"/>
        <v>1</v>
      </c>
      <c r="AH40" s="38"/>
      <c r="AI40" s="38">
        <v>1.0</v>
      </c>
      <c r="AJ40" s="38"/>
      <c r="AK40" s="38"/>
      <c r="AL40" s="38"/>
      <c r="AM40" s="38">
        <f t="shared" si="10"/>
        <v>1</v>
      </c>
      <c r="AN40" s="38"/>
      <c r="AO40" s="178"/>
      <c r="AP40" s="178"/>
      <c r="AQ40" s="178"/>
      <c r="AR40" s="178"/>
      <c r="AS40" s="178">
        <f t="shared" si="11"/>
        <v>0</v>
      </c>
      <c r="AT40" s="178"/>
      <c r="AU40" s="178"/>
      <c r="AV40" s="178"/>
      <c r="AW40" s="178"/>
      <c r="AX40" s="178"/>
      <c r="AY40" s="178">
        <f t="shared" si="12"/>
        <v>0</v>
      </c>
      <c r="AZ40" s="178"/>
      <c r="BA40" s="27"/>
      <c r="BB40" s="27"/>
      <c r="BC40" s="27"/>
      <c r="BD40" s="27"/>
      <c r="BE40" s="27">
        <f t="shared" si="13"/>
        <v>0</v>
      </c>
      <c r="BF40" s="27"/>
      <c r="BG40" s="27"/>
      <c r="BH40" s="27"/>
      <c r="BI40" s="27"/>
      <c r="BJ40" s="27"/>
      <c r="BK40" s="27">
        <f t="shared" si="14"/>
        <v>0</v>
      </c>
      <c r="BL40" s="27"/>
      <c r="BM40" s="181">
        <f t="shared" ref="BM40:BX40" si="142">E40+Q40</f>
        <v>1</v>
      </c>
      <c r="BN40" s="181">
        <f t="shared" si="142"/>
        <v>0</v>
      </c>
      <c r="BO40" s="181">
        <f t="shared" si="142"/>
        <v>0</v>
      </c>
      <c r="BP40" s="181">
        <f t="shared" si="142"/>
        <v>0</v>
      </c>
      <c r="BQ40" s="181">
        <f t="shared" si="142"/>
        <v>1</v>
      </c>
      <c r="BR40" s="181">
        <f t="shared" si="142"/>
        <v>0</v>
      </c>
      <c r="BS40" s="181">
        <f t="shared" si="142"/>
        <v>1</v>
      </c>
      <c r="BT40" s="181">
        <f t="shared" si="142"/>
        <v>0</v>
      </c>
      <c r="BU40" s="181">
        <f t="shared" si="142"/>
        <v>0</v>
      </c>
      <c r="BV40" s="181">
        <f t="shared" si="142"/>
        <v>0</v>
      </c>
      <c r="BW40" s="181">
        <f t="shared" si="142"/>
        <v>1</v>
      </c>
      <c r="BX40" s="181">
        <f t="shared" si="142"/>
        <v>0</v>
      </c>
      <c r="BY40" s="38">
        <f t="shared" ref="BY40:CJ40" si="143">AC40+AO40</f>
        <v>1</v>
      </c>
      <c r="BZ40" s="38">
        <f t="shared" si="143"/>
        <v>0</v>
      </c>
      <c r="CA40" s="38">
        <f t="shared" si="143"/>
        <v>0</v>
      </c>
      <c r="CB40" s="38">
        <f t="shared" si="143"/>
        <v>0</v>
      </c>
      <c r="CC40" s="38">
        <f t="shared" si="143"/>
        <v>1</v>
      </c>
      <c r="CD40" s="38">
        <f t="shared" si="143"/>
        <v>0</v>
      </c>
      <c r="CE40" s="38">
        <f t="shared" si="143"/>
        <v>1</v>
      </c>
      <c r="CF40" s="38">
        <f t="shared" si="143"/>
        <v>0</v>
      </c>
      <c r="CG40" s="38">
        <f t="shared" si="143"/>
        <v>0</v>
      </c>
      <c r="CH40" s="38">
        <f t="shared" si="143"/>
        <v>0</v>
      </c>
      <c r="CI40" s="38">
        <f t="shared" si="143"/>
        <v>1</v>
      </c>
      <c r="CJ40" s="38">
        <f t="shared" si="143"/>
        <v>0</v>
      </c>
      <c r="CK40" s="27">
        <f t="shared" ref="CK40:CN40" si="144">BA40+BM40+BY40</f>
        <v>2</v>
      </c>
      <c r="CL40" s="27">
        <f t="shared" si="144"/>
        <v>0</v>
      </c>
      <c r="CM40" s="27">
        <f t="shared" si="144"/>
        <v>0</v>
      </c>
      <c r="CN40" s="27">
        <f t="shared" si="144"/>
        <v>0</v>
      </c>
      <c r="CO40" s="27">
        <f t="shared" si="18"/>
        <v>2</v>
      </c>
      <c r="CP40" s="27">
        <f t="shared" ref="CP40:CT40" si="145">BF40+BR40+CD40</f>
        <v>0</v>
      </c>
      <c r="CQ40" s="27">
        <f t="shared" si="145"/>
        <v>2</v>
      </c>
      <c r="CR40" s="27">
        <f t="shared" si="145"/>
        <v>0</v>
      </c>
      <c r="CS40" s="27">
        <f t="shared" si="145"/>
        <v>0</v>
      </c>
      <c r="CT40" s="27">
        <f t="shared" si="145"/>
        <v>0</v>
      </c>
      <c r="CU40" s="27">
        <f t="shared" si="20"/>
        <v>2</v>
      </c>
      <c r="CV40" s="27">
        <f t="shared" si="21"/>
        <v>0</v>
      </c>
    </row>
    <row r="41" ht="15.75" customHeight="1">
      <c r="A41" s="1"/>
      <c r="B41" s="1"/>
      <c r="C41" s="21"/>
      <c r="D41" s="26" t="s">
        <v>54</v>
      </c>
      <c r="E41" s="66">
        <v>1.0</v>
      </c>
      <c r="F41" s="66">
        <v>3.0</v>
      </c>
      <c r="G41" s="66">
        <v>2.0</v>
      </c>
      <c r="H41" s="66"/>
      <c r="I41" s="66">
        <f t="shared" si="5"/>
        <v>6</v>
      </c>
      <c r="J41" s="66"/>
      <c r="K41" s="66">
        <v>1.0</v>
      </c>
      <c r="L41" s="66">
        <v>3.0</v>
      </c>
      <c r="M41" s="66"/>
      <c r="N41" s="66"/>
      <c r="O41" s="66">
        <f t="shared" si="6"/>
        <v>4</v>
      </c>
      <c r="P41" s="66"/>
      <c r="Q41" s="42">
        <v>1.0</v>
      </c>
      <c r="R41" s="42"/>
      <c r="S41" s="42">
        <f>2+4</f>
        <v>6</v>
      </c>
      <c r="T41" s="42"/>
      <c r="U41" s="42">
        <f t="shared" si="7"/>
        <v>7</v>
      </c>
      <c r="V41" s="42"/>
      <c r="W41" s="42">
        <v>1.0</v>
      </c>
      <c r="X41" s="42"/>
      <c r="Y41" s="42">
        <f>2+4</f>
        <v>6</v>
      </c>
      <c r="Z41" s="42"/>
      <c r="AA41" s="42">
        <f t="shared" si="8"/>
        <v>7</v>
      </c>
      <c r="AB41" s="42"/>
      <c r="AC41" s="38"/>
      <c r="AD41" s="38"/>
      <c r="AE41" s="38">
        <v>3.0</v>
      </c>
      <c r="AF41" s="38"/>
      <c r="AG41" s="38">
        <f t="shared" si="9"/>
        <v>3</v>
      </c>
      <c r="AH41" s="38"/>
      <c r="AI41" s="38"/>
      <c r="AJ41" s="38"/>
      <c r="AK41" s="38">
        <v>3.0</v>
      </c>
      <c r="AL41" s="38"/>
      <c r="AM41" s="38">
        <f t="shared" si="10"/>
        <v>3</v>
      </c>
      <c r="AN41" s="38"/>
      <c r="AO41" s="178"/>
      <c r="AP41" s="178"/>
      <c r="AQ41" s="178"/>
      <c r="AR41" s="178"/>
      <c r="AS41" s="178">
        <f t="shared" si="11"/>
        <v>0</v>
      </c>
      <c r="AT41" s="178"/>
      <c r="AU41" s="178"/>
      <c r="AV41" s="178"/>
      <c r="AW41" s="178"/>
      <c r="AX41" s="178"/>
      <c r="AY41" s="178">
        <f t="shared" si="12"/>
        <v>0</v>
      </c>
      <c r="AZ41" s="178"/>
      <c r="BA41" s="27">
        <v>1.0</v>
      </c>
      <c r="BB41" s="27"/>
      <c r="BC41" s="27"/>
      <c r="BD41" s="27"/>
      <c r="BE41" s="27">
        <f t="shared" si="13"/>
        <v>1</v>
      </c>
      <c r="BF41" s="27"/>
      <c r="BG41" s="27">
        <v>1.0</v>
      </c>
      <c r="BH41" s="27"/>
      <c r="BI41" s="27"/>
      <c r="BJ41" s="27"/>
      <c r="BK41" s="27">
        <f t="shared" si="14"/>
        <v>1</v>
      </c>
      <c r="BL41" s="27"/>
      <c r="BM41" s="181">
        <f t="shared" ref="BM41:BX41" si="146">E41+Q41</f>
        <v>2</v>
      </c>
      <c r="BN41" s="181">
        <f t="shared" si="146"/>
        <v>3</v>
      </c>
      <c r="BO41" s="181">
        <f t="shared" si="146"/>
        <v>8</v>
      </c>
      <c r="BP41" s="181">
        <f t="shared" si="146"/>
        <v>0</v>
      </c>
      <c r="BQ41" s="181">
        <f t="shared" si="146"/>
        <v>13</v>
      </c>
      <c r="BR41" s="181">
        <f t="shared" si="146"/>
        <v>0</v>
      </c>
      <c r="BS41" s="181">
        <f t="shared" si="146"/>
        <v>2</v>
      </c>
      <c r="BT41" s="181">
        <f t="shared" si="146"/>
        <v>3</v>
      </c>
      <c r="BU41" s="181">
        <f t="shared" si="146"/>
        <v>6</v>
      </c>
      <c r="BV41" s="181">
        <f t="shared" si="146"/>
        <v>0</v>
      </c>
      <c r="BW41" s="181">
        <f t="shared" si="146"/>
        <v>11</v>
      </c>
      <c r="BX41" s="181">
        <f t="shared" si="146"/>
        <v>0</v>
      </c>
      <c r="BY41" s="38">
        <f t="shared" ref="BY41:CJ41" si="147">AC41+AO41</f>
        <v>0</v>
      </c>
      <c r="BZ41" s="38">
        <f t="shared" si="147"/>
        <v>0</v>
      </c>
      <c r="CA41" s="38">
        <f t="shared" si="147"/>
        <v>3</v>
      </c>
      <c r="CB41" s="38">
        <f t="shared" si="147"/>
        <v>0</v>
      </c>
      <c r="CC41" s="38">
        <f t="shared" si="147"/>
        <v>3</v>
      </c>
      <c r="CD41" s="38">
        <f t="shared" si="147"/>
        <v>0</v>
      </c>
      <c r="CE41" s="38">
        <f t="shared" si="147"/>
        <v>0</v>
      </c>
      <c r="CF41" s="38">
        <f t="shared" si="147"/>
        <v>0</v>
      </c>
      <c r="CG41" s="38">
        <f t="shared" si="147"/>
        <v>3</v>
      </c>
      <c r="CH41" s="38">
        <f t="shared" si="147"/>
        <v>0</v>
      </c>
      <c r="CI41" s="38">
        <f t="shared" si="147"/>
        <v>3</v>
      </c>
      <c r="CJ41" s="38">
        <f t="shared" si="147"/>
        <v>0</v>
      </c>
      <c r="CK41" s="27">
        <f t="shared" ref="CK41:CN41" si="148">BA41+BM41+BY41</f>
        <v>3</v>
      </c>
      <c r="CL41" s="27">
        <f t="shared" si="148"/>
        <v>3</v>
      </c>
      <c r="CM41" s="27">
        <f t="shared" si="148"/>
        <v>11</v>
      </c>
      <c r="CN41" s="27">
        <f t="shared" si="148"/>
        <v>0</v>
      </c>
      <c r="CO41" s="27">
        <f t="shared" si="18"/>
        <v>17</v>
      </c>
      <c r="CP41" s="27">
        <f t="shared" ref="CP41:CT41" si="149">BF41+BR41+CD41</f>
        <v>0</v>
      </c>
      <c r="CQ41" s="27">
        <f t="shared" si="149"/>
        <v>3</v>
      </c>
      <c r="CR41" s="27">
        <f t="shared" si="149"/>
        <v>3</v>
      </c>
      <c r="CS41" s="27">
        <f t="shared" si="149"/>
        <v>9</v>
      </c>
      <c r="CT41" s="27">
        <f t="shared" si="149"/>
        <v>0</v>
      </c>
      <c r="CU41" s="27">
        <f t="shared" si="20"/>
        <v>15</v>
      </c>
      <c r="CV41" s="27">
        <f t="shared" si="21"/>
        <v>0</v>
      </c>
    </row>
    <row r="42" ht="15.75" customHeight="1">
      <c r="A42" s="1"/>
      <c r="B42" s="1"/>
      <c r="C42" s="34" t="s">
        <v>57</v>
      </c>
      <c r="D42" s="26" t="s">
        <v>59</v>
      </c>
      <c r="E42" s="66">
        <v>1.0</v>
      </c>
      <c r="F42" s="66"/>
      <c r="G42" s="66"/>
      <c r="H42" s="66"/>
      <c r="I42" s="66">
        <f t="shared" si="5"/>
        <v>1</v>
      </c>
      <c r="J42" s="66"/>
      <c r="K42" s="66">
        <v>1.0</v>
      </c>
      <c r="L42" s="66"/>
      <c r="M42" s="66"/>
      <c r="N42" s="66"/>
      <c r="O42" s="66">
        <f t="shared" si="6"/>
        <v>1</v>
      </c>
      <c r="P42" s="66"/>
      <c r="Q42" s="42"/>
      <c r="R42" s="42"/>
      <c r="S42" s="42"/>
      <c r="T42" s="42"/>
      <c r="U42" s="42">
        <f t="shared" si="7"/>
        <v>0</v>
      </c>
      <c r="V42" s="42"/>
      <c r="W42" s="42"/>
      <c r="X42" s="42"/>
      <c r="Y42" s="42"/>
      <c r="Z42" s="42"/>
      <c r="AA42" s="42">
        <f t="shared" si="8"/>
        <v>0</v>
      </c>
      <c r="AB42" s="42"/>
      <c r="AC42" s="38"/>
      <c r="AD42" s="38"/>
      <c r="AE42" s="38"/>
      <c r="AF42" s="38"/>
      <c r="AG42" s="38">
        <f t="shared" si="9"/>
        <v>0</v>
      </c>
      <c r="AH42" s="38"/>
      <c r="AI42" s="38"/>
      <c r="AJ42" s="38"/>
      <c r="AK42" s="38"/>
      <c r="AL42" s="38"/>
      <c r="AM42" s="38">
        <f t="shared" si="10"/>
        <v>0</v>
      </c>
      <c r="AN42" s="38"/>
      <c r="AO42" s="178"/>
      <c r="AP42" s="178"/>
      <c r="AQ42" s="178"/>
      <c r="AR42" s="178"/>
      <c r="AS42" s="178">
        <f t="shared" si="11"/>
        <v>0</v>
      </c>
      <c r="AT42" s="178"/>
      <c r="AU42" s="178"/>
      <c r="AV42" s="178"/>
      <c r="AW42" s="178"/>
      <c r="AX42" s="178"/>
      <c r="AY42" s="178">
        <f t="shared" si="12"/>
        <v>0</v>
      </c>
      <c r="AZ42" s="178"/>
      <c r="BA42" s="27"/>
      <c r="BB42" s="27"/>
      <c r="BC42" s="27"/>
      <c r="BD42" s="27"/>
      <c r="BE42" s="27">
        <f t="shared" si="13"/>
        <v>0</v>
      </c>
      <c r="BF42" s="27"/>
      <c r="BG42" s="27"/>
      <c r="BH42" s="27"/>
      <c r="BI42" s="27"/>
      <c r="BJ42" s="27"/>
      <c r="BK42" s="27">
        <f t="shared" si="14"/>
        <v>0</v>
      </c>
      <c r="BL42" s="27"/>
      <c r="BM42" s="181">
        <f t="shared" ref="BM42:BX42" si="150">E42+Q42</f>
        <v>1</v>
      </c>
      <c r="BN42" s="181">
        <f t="shared" si="150"/>
        <v>0</v>
      </c>
      <c r="BO42" s="181">
        <f t="shared" si="150"/>
        <v>0</v>
      </c>
      <c r="BP42" s="181">
        <f t="shared" si="150"/>
        <v>0</v>
      </c>
      <c r="BQ42" s="181">
        <f t="shared" si="150"/>
        <v>1</v>
      </c>
      <c r="BR42" s="181">
        <f t="shared" si="150"/>
        <v>0</v>
      </c>
      <c r="BS42" s="181">
        <f t="shared" si="150"/>
        <v>1</v>
      </c>
      <c r="BT42" s="181">
        <f t="shared" si="150"/>
        <v>0</v>
      </c>
      <c r="BU42" s="181">
        <f t="shared" si="150"/>
        <v>0</v>
      </c>
      <c r="BV42" s="181">
        <f t="shared" si="150"/>
        <v>0</v>
      </c>
      <c r="BW42" s="181">
        <f t="shared" si="150"/>
        <v>1</v>
      </c>
      <c r="BX42" s="181">
        <f t="shared" si="150"/>
        <v>0</v>
      </c>
      <c r="BY42" s="38">
        <f t="shared" ref="BY42:CJ42" si="151">AC42+AO42</f>
        <v>0</v>
      </c>
      <c r="BZ42" s="38">
        <f t="shared" si="151"/>
        <v>0</v>
      </c>
      <c r="CA42" s="38">
        <f t="shared" si="151"/>
        <v>0</v>
      </c>
      <c r="CB42" s="38">
        <f t="shared" si="151"/>
        <v>0</v>
      </c>
      <c r="CC42" s="38">
        <f t="shared" si="151"/>
        <v>0</v>
      </c>
      <c r="CD42" s="38">
        <f t="shared" si="151"/>
        <v>0</v>
      </c>
      <c r="CE42" s="38">
        <f t="shared" si="151"/>
        <v>0</v>
      </c>
      <c r="CF42" s="38">
        <f t="shared" si="151"/>
        <v>0</v>
      </c>
      <c r="CG42" s="38">
        <f t="shared" si="151"/>
        <v>0</v>
      </c>
      <c r="CH42" s="38">
        <f t="shared" si="151"/>
        <v>0</v>
      </c>
      <c r="CI42" s="38">
        <f t="shared" si="151"/>
        <v>0</v>
      </c>
      <c r="CJ42" s="38">
        <f t="shared" si="151"/>
        <v>0</v>
      </c>
      <c r="CK42" s="27">
        <f t="shared" ref="CK42:CN42" si="152">BA42+BM42+BY42</f>
        <v>1</v>
      </c>
      <c r="CL42" s="27">
        <f t="shared" si="152"/>
        <v>0</v>
      </c>
      <c r="CM42" s="27">
        <f t="shared" si="152"/>
        <v>0</v>
      </c>
      <c r="CN42" s="27">
        <f t="shared" si="152"/>
        <v>0</v>
      </c>
      <c r="CO42" s="27">
        <f t="shared" si="18"/>
        <v>1</v>
      </c>
      <c r="CP42" s="27">
        <f t="shared" ref="CP42:CT42" si="153">BF42+BR42+CD42</f>
        <v>0</v>
      </c>
      <c r="CQ42" s="27">
        <f t="shared" si="153"/>
        <v>1</v>
      </c>
      <c r="CR42" s="27">
        <f t="shared" si="153"/>
        <v>0</v>
      </c>
      <c r="CS42" s="27">
        <f t="shared" si="153"/>
        <v>0</v>
      </c>
      <c r="CT42" s="27">
        <f t="shared" si="153"/>
        <v>0</v>
      </c>
      <c r="CU42" s="27">
        <f t="shared" si="20"/>
        <v>1</v>
      </c>
      <c r="CV42" s="27">
        <f t="shared" si="21"/>
        <v>0</v>
      </c>
    </row>
    <row r="43" ht="15.75" customHeight="1">
      <c r="A43" s="1"/>
      <c r="B43" s="1"/>
      <c r="C43" s="13"/>
      <c r="D43" s="26" t="s">
        <v>114</v>
      </c>
      <c r="E43" s="66"/>
      <c r="F43" s="66"/>
      <c r="G43" s="66"/>
      <c r="H43" s="66"/>
      <c r="I43" s="66">
        <f t="shared" si="5"/>
        <v>0</v>
      </c>
      <c r="J43" s="66"/>
      <c r="K43" s="66"/>
      <c r="L43" s="66"/>
      <c r="M43" s="66"/>
      <c r="N43" s="66"/>
      <c r="O43" s="66">
        <f t="shared" si="6"/>
        <v>0</v>
      </c>
      <c r="P43" s="66"/>
      <c r="Q43" s="42">
        <v>1.0</v>
      </c>
      <c r="R43" s="42">
        <v>1.0</v>
      </c>
      <c r="S43" s="42"/>
      <c r="T43" s="42"/>
      <c r="U43" s="42">
        <f t="shared" si="7"/>
        <v>2</v>
      </c>
      <c r="V43" s="42"/>
      <c r="W43" s="42">
        <v>1.0</v>
      </c>
      <c r="X43" s="42">
        <v>1.0</v>
      </c>
      <c r="Y43" s="42"/>
      <c r="Z43" s="42"/>
      <c r="AA43" s="42">
        <f t="shared" si="8"/>
        <v>2</v>
      </c>
      <c r="AB43" s="42"/>
      <c r="AC43" s="38"/>
      <c r="AD43" s="38"/>
      <c r="AE43" s="38"/>
      <c r="AF43" s="38"/>
      <c r="AG43" s="38">
        <f t="shared" si="9"/>
        <v>0</v>
      </c>
      <c r="AH43" s="38"/>
      <c r="AI43" s="38"/>
      <c r="AJ43" s="38"/>
      <c r="AK43" s="38"/>
      <c r="AL43" s="38"/>
      <c r="AM43" s="38">
        <f t="shared" si="10"/>
        <v>0</v>
      </c>
      <c r="AN43" s="38"/>
      <c r="AO43" s="178"/>
      <c r="AP43" s="178"/>
      <c r="AQ43" s="178"/>
      <c r="AR43" s="178"/>
      <c r="AS43" s="178">
        <f t="shared" si="11"/>
        <v>0</v>
      </c>
      <c r="AT43" s="178"/>
      <c r="AU43" s="178"/>
      <c r="AV43" s="178"/>
      <c r="AW43" s="178"/>
      <c r="AX43" s="178"/>
      <c r="AY43" s="178">
        <f t="shared" si="12"/>
        <v>0</v>
      </c>
      <c r="AZ43" s="178"/>
      <c r="BA43" s="27"/>
      <c r="BB43" s="27"/>
      <c r="BC43" s="27"/>
      <c r="BD43" s="27"/>
      <c r="BE43" s="27">
        <f t="shared" si="13"/>
        <v>0</v>
      </c>
      <c r="BF43" s="27"/>
      <c r="BG43" s="27"/>
      <c r="BH43" s="27"/>
      <c r="BI43" s="27"/>
      <c r="BJ43" s="27"/>
      <c r="BK43" s="27">
        <f t="shared" si="14"/>
        <v>0</v>
      </c>
      <c r="BL43" s="27"/>
      <c r="BM43" s="181">
        <f t="shared" ref="BM43:BX43" si="154">E43+Q43</f>
        <v>1</v>
      </c>
      <c r="BN43" s="181">
        <f t="shared" si="154"/>
        <v>1</v>
      </c>
      <c r="BO43" s="181">
        <f t="shared" si="154"/>
        <v>0</v>
      </c>
      <c r="BP43" s="181">
        <f t="shared" si="154"/>
        <v>0</v>
      </c>
      <c r="BQ43" s="181">
        <f t="shared" si="154"/>
        <v>2</v>
      </c>
      <c r="BR43" s="181">
        <f t="shared" si="154"/>
        <v>0</v>
      </c>
      <c r="BS43" s="181">
        <f t="shared" si="154"/>
        <v>1</v>
      </c>
      <c r="BT43" s="181">
        <f t="shared" si="154"/>
        <v>1</v>
      </c>
      <c r="BU43" s="181">
        <f t="shared" si="154"/>
        <v>0</v>
      </c>
      <c r="BV43" s="181">
        <f t="shared" si="154"/>
        <v>0</v>
      </c>
      <c r="BW43" s="181">
        <f t="shared" si="154"/>
        <v>2</v>
      </c>
      <c r="BX43" s="181">
        <f t="shared" si="154"/>
        <v>0</v>
      </c>
      <c r="BY43" s="38">
        <f t="shared" ref="BY43:CJ43" si="155">AC43+AO43</f>
        <v>0</v>
      </c>
      <c r="BZ43" s="38">
        <f t="shared" si="155"/>
        <v>0</v>
      </c>
      <c r="CA43" s="38">
        <f t="shared" si="155"/>
        <v>0</v>
      </c>
      <c r="CB43" s="38">
        <f t="shared" si="155"/>
        <v>0</v>
      </c>
      <c r="CC43" s="38">
        <f t="shared" si="155"/>
        <v>0</v>
      </c>
      <c r="CD43" s="38">
        <f t="shared" si="155"/>
        <v>0</v>
      </c>
      <c r="CE43" s="38">
        <f t="shared" si="155"/>
        <v>0</v>
      </c>
      <c r="CF43" s="38">
        <f t="shared" si="155"/>
        <v>0</v>
      </c>
      <c r="CG43" s="38">
        <f t="shared" si="155"/>
        <v>0</v>
      </c>
      <c r="CH43" s="38">
        <f t="shared" si="155"/>
        <v>0</v>
      </c>
      <c r="CI43" s="38">
        <f t="shared" si="155"/>
        <v>0</v>
      </c>
      <c r="CJ43" s="38">
        <f t="shared" si="155"/>
        <v>0</v>
      </c>
      <c r="CK43" s="27">
        <f t="shared" ref="CK43:CN43" si="156">BA43+BM43+BY43</f>
        <v>1</v>
      </c>
      <c r="CL43" s="27">
        <f t="shared" si="156"/>
        <v>1</v>
      </c>
      <c r="CM43" s="27">
        <f t="shared" si="156"/>
        <v>0</v>
      </c>
      <c r="CN43" s="27">
        <f t="shared" si="156"/>
        <v>0</v>
      </c>
      <c r="CO43" s="27">
        <f t="shared" si="18"/>
        <v>2</v>
      </c>
      <c r="CP43" s="27">
        <f t="shared" ref="CP43:CT43" si="157">BF43+BR43+CD43</f>
        <v>0</v>
      </c>
      <c r="CQ43" s="27">
        <f t="shared" si="157"/>
        <v>1</v>
      </c>
      <c r="CR43" s="27">
        <f t="shared" si="157"/>
        <v>1</v>
      </c>
      <c r="CS43" s="27">
        <f t="shared" si="157"/>
        <v>0</v>
      </c>
      <c r="CT43" s="27">
        <f t="shared" si="157"/>
        <v>0</v>
      </c>
      <c r="CU43" s="27">
        <f t="shared" si="20"/>
        <v>2</v>
      </c>
      <c r="CV43" s="27">
        <f t="shared" si="21"/>
        <v>0</v>
      </c>
    </row>
    <row r="44" ht="15.75" customHeight="1">
      <c r="A44" s="1"/>
      <c r="B44" s="1"/>
      <c r="C44" s="21"/>
      <c r="D44" s="26" t="s">
        <v>60</v>
      </c>
      <c r="E44" s="66">
        <v>1.0</v>
      </c>
      <c r="F44" s="66"/>
      <c r="G44" s="66"/>
      <c r="H44" s="66"/>
      <c r="I44" s="66">
        <f t="shared" si="5"/>
        <v>1</v>
      </c>
      <c r="J44" s="66"/>
      <c r="K44" s="66">
        <v>1.0</v>
      </c>
      <c r="L44" s="66"/>
      <c r="M44" s="66"/>
      <c r="N44" s="66"/>
      <c r="O44" s="66">
        <f t="shared" si="6"/>
        <v>1</v>
      </c>
      <c r="P44" s="66"/>
      <c r="Q44" s="42"/>
      <c r="R44" s="42">
        <v>1.0</v>
      </c>
      <c r="S44" s="42">
        <v>1.0</v>
      </c>
      <c r="T44" s="42"/>
      <c r="U44" s="42">
        <f t="shared" si="7"/>
        <v>2</v>
      </c>
      <c r="V44" s="42"/>
      <c r="W44" s="42"/>
      <c r="X44" s="42">
        <v>1.0</v>
      </c>
      <c r="Y44" s="42">
        <v>1.0</v>
      </c>
      <c r="Z44" s="42"/>
      <c r="AA44" s="42">
        <f t="shared" si="8"/>
        <v>2</v>
      </c>
      <c r="AB44" s="42"/>
      <c r="AC44" s="38">
        <v>1.0</v>
      </c>
      <c r="AD44" s="38"/>
      <c r="AE44" s="38"/>
      <c r="AF44" s="38"/>
      <c r="AG44" s="38">
        <f t="shared" si="9"/>
        <v>1</v>
      </c>
      <c r="AH44" s="38"/>
      <c r="AI44" s="38">
        <v>1.0</v>
      </c>
      <c r="AJ44" s="38"/>
      <c r="AK44" s="38"/>
      <c r="AL44" s="38"/>
      <c r="AM44" s="38">
        <f t="shared" si="10"/>
        <v>1</v>
      </c>
      <c r="AN44" s="38"/>
      <c r="AO44" s="178"/>
      <c r="AP44" s="178"/>
      <c r="AQ44" s="178"/>
      <c r="AR44" s="178"/>
      <c r="AS44" s="178">
        <f t="shared" si="11"/>
        <v>0</v>
      </c>
      <c r="AT44" s="178"/>
      <c r="AU44" s="178"/>
      <c r="AV44" s="178"/>
      <c r="AW44" s="178"/>
      <c r="AX44" s="178"/>
      <c r="AY44" s="178">
        <f t="shared" si="12"/>
        <v>0</v>
      </c>
      <c r="AZ44" s="178"/>
      <c r="BA44" s="27"/>
      <c r="BB44" s="27"/>
      <c r="BC44" s="27"/>
      <c r="BD44" s="27"/>
      <c r="BE44" s="27">
        <f t="shared" si="13"/>
        <v>0</v>
      </c>
      <c r="BF44" s="27"/>
      <c r="BG44" s="27"/>
      <c r="BH44" s="27"/>
      <c r="BI44" s="27"/>
      <c r="BJ44" s="27"/>
      <c r="BK44" s="27">
        <f t="shared" si="14"/>
        <v>0</v>
      </c>
      <c r="BL44" s="27"/>
      <c r="BM44" s="181">
        <f t="shared" ref="BM44:BX44" si="158">E44+Q44</f>
        <v>1</v>
      </c>
      <c r="BN44" s="181">
        <f t="shared" si="158"/>
        <v>1</v>
      </c>
      <c r="BO44" s="181">
        <f t="shared" si="158"/>
        <v>1</v>
      </c>
      <c r="BP44" s="181">
        <f t="shared" si="158"/>
        <v>0</v>
      </c>
      <c r="BQ44" s="181">
        <f t="shared" si="158"/>
        <v>3</v>
      </c>
      <c r="BR44" s="181">
        <f t="shared" si="158"/>
        <v>0</v>
      </c>
      <c r="BS44" s="181">
        <f t="shared" si="158"/>
        <v>1</v>
      </c>
      <c r="BT44" s="181">
        <f t="shared" si="158"/>
        <v>1</v>
      </c>
      <c r="BU44" s="181">
        <f t="shared" si="158"/>
        <v>1</v>
      </c>
      <c r="BV44" s="181">
        <f t="shared" si="158"/>
        <v>0</v>
      </c>
      <c r="BW44" s="181">
        <f t="shared" si="158"/>
        <v>3</v>
      </c>
      <c r="BX44" s="181">
        <f t="shared" si="158"/>
        <v>0</v>
      </c>
      <c r="BY44" s="38">
        <f t="shared" ref="BY44:CJ44" si="159">AC44+AO44</f>
        <v>1</v>
      </c>
      <c r="BZ44" s="38">
        <f t="shared" si="159"/>
        <v>0</v>
      </c>
      <c r="CA44" s="38">
        <f t="shared" si="159"/>
        <v>0</v>
      </c>
      <c r="CB44" s="38">
        <f t="shared" si="159"/>
        <v>0</v>
      </c>
      <c r="CC44" s="38">
        <f t="shared" si="159"/>
        <v>1</v>
      </c>
      <c r="CD44" s="38">
        <f t="shared" si="159"/>
        <v>0</v>
      </c>
      <c r="CE44" s="38">
        <f t="shared" si="159"/>
        <v>1</v>
      </c>
      <c r="CF44" s="38">
        <f t="shared" si="159"/>
        <v>0</v>
      </c>
      <c r="CG44" s="38">
        <f t="shared" si="159"/>
        <v>0</v>
      </c>
      <c r="CH44" s="38">
        <f t="shared" si="159"/>
        <v>0</v>
      </c>
      <c r="CI44" s="38">
        <f t="shared" si="159"/>
        <v>1</v>
      </c>
      <c r="CJ44" s="38">
        <f t="shared" si="159"/>
        <v>0</v>
      </c>
      <c r="CK44" s="27">
        <f t="shared" ref="CK44:CN44" si="160">BA44+BM44+BY44</f>
        <v>2</v>
      </c>
      <c r="CL44" s="27">
        <f t="shared" si="160"/>
        <v>1</v>
      </c>
      <c r="CM44" s="27">
        <f t="shared" si="160"/>
        <v>1</v>
      </c>
      <c r="CN44" s="27">
        <f t="shared" si="160"/>
        <v>0</v>
      </c>
      <c r="CO44" s="27">
        <f t="shared" si="18"/>
        <v>4</v>
      </c>
      <c r="CP44" s="27">
        <f t="shared" ref="CP44:CT44" si="161">BF44+BR44+CD44</f>
        <v>0</v>
      </c>
      <c r="CQ44" s="27">
        <f t="shared" si="161"/>
        <v>2</v>
      </c>
      <c r="CR44" s="27">
        <f t="shared" si="161"/>
        <v>1</v>
      </c>
      <c r="CS44" s="27">
        <f t="shared" si="161"/>
        <v>1</v>
      </c>
      <c r="CT44" s="27">
        <f t="shared" si="161"/>
        <v>0</v>
      </c>
      <c r="CU44" s="27">
        <f t="shared" si="20"/>
        <v>4</v>
      </c>
      <c r="CV44" s="27">
        <f t="shared" si="21"/>
        <v>0</v>
      </c>
    </row>
    <row r="45" ht="15.75" customHeight="1">
      <c r="A45" s="1"/>
      <c r="B45" s="1"/>
      <c r="C45" s="34" t="s">
        <v>62</v>
      </c>
      <c r="D45" s="26" t="s">
        <v>64</v>
      </c>
      <c r="E45" s="66"/>
      <c r="F45" s="66">
        <v>1.0</v>
      </c>
      <c r="G45" s="66"/>
      <c r="H45" s="66"/>
      <c r="I45" s="66">
        <f t="shared" si="5"/>
        <v>1</v>
      </c>
      <c r="J45" s="66"/>
      <c r="K45" s="66"/>
      <c r="L45" s="66">
        <v>1.0</v>
      </c>
      <c r="M45" s="66"/>
      <c r="N45" s="66"/>
      <c r="O45" s="66">
        <f t="shared" si="6"/>
        <v>1</v>
      </c>
      <c r="P45" s="66"/>
      <c r="Q45" s="42"/>
      <c r="R45" s="42"/>
      <c r="S45" s="42"/>
      <c r="T45" s="42"/>
      <c r="U45" s="42">
        <f t="shared" si="7"/>
        <v>0</v>
      </c>
      <c r="V45" s="42"/>
      <c r="W45" s="42"/>
      <c r="X45" s="42"/>
      <c r="Y45" s="42"/>
      <c r="Z45" s="42"/>
      <c r="AA45" s="42">
        <f t="shared" si="8"/>
        <v>0</v>
      </c>
      <c r="AB45" s="42"/>
      <c r="AC45" s="38">
        <v>1.0</v>
      </c>
      <c r="AD45" s="38"/>
      <c r="AE45" s="38"/>
      <c r="AF45" s="38"/>
      <c r="AG45" s="38">
        <f t="shared" si="9"/>
        <v>1</v>
      </c>
      <c r="AH45" s="38"/>
      <c r="AI45" s="38">
        <v>1.0</v>
      </c>
      <c r="AJ45" s="38"/>
      <c r="AK45" s="38"/>
      <c r="AL45" s="38"/>
      <c r="AM45" s="38">
        <f t="shared" si="10"/>
        <v>1</v>
      </c>
      <c r="AN45" s="38"/>
      <c r="AO45" s="178"/>
      <c r="AP45" s="178"/>
      <c r="AQ45" s="178"/>
      <c r="AR45" s="178"/>
      <c r="AS45" s="178">
        <f t="shared" si="11"/>
        <v>0</v>
      </c>
      <c r="AT45" s="178"/>
      <c r="AU45" s="178"/>
      <c r="AV45" s="178"/>
      <c r="AW45" s="178"/>
      <c r="AX45" s="178"/>
      <c r="AY45" s="178">
        <f t="shared" si="12"/>
        <v>0</v>
      </c>
      <c r="AZ45" s="178"/>
      <c r="BA45" s="27">
        <v>1.0</v>
      </c>
      <c r="BB45" s="27"/>
      <c r="BC45" s="27"/>
      <c r="BD45" s="27"/>
      <c r="BE45" s="27">
        <f t="shared" si="13"/>
        <v>1</v>
      </c>
      <c r="BF45" s="27"/>
      <c r="BG45" s="27"/>
      <c r="BH45" s="27">
        <v>1.0</v>
      </c>
      <c r="BI45" s="27"/>
      <c r="BJ45" s="27"/>
      <c r="BK45" s="27">
        <f t="shared" si="14"/>
        <v>1</v>
      </c>
      <c r="BL45" s="27"/>
      <c r="BM45" s="181">
        <f t="shared" ref="BM45:BX45" si="162">E45+Q45</f>
        <v>0</v>
      </c>
      <c r="BN45" s="181">
        <f t="shared" si="162"/>
        <v>1</v>
      </c>
      <c r="BO45" s="181">
        <f t="shared" si="162"/>
        <v>0</v>
      </c>
      <c r="BP45" s="181">
        <f t="shared" si="162"/>
        <v>0</v>
      </c>
      <c r="BQ45" s="181">
        <f t="shared" si="162"/>
        <v>1</v>
      </c>
      <c r="BR45" s="181">
        <f t="shared" si="162"/>
        <v>0</v>
      </c>
      <c r="BS45" s="181">
        <f t="shared" si="162"/>
        <v>0</v>
      </c>
      <c r="BT45" s="181">
        <f t="shared" si="162"/>
        <v>1</v>
      </c>
      <c r="BU45" s="181">
        <f t="shared" si="162"/>
        <v>0</v>
      </c>
      <c r="BV45" s="181">
        <f t="shared" si="162"/>
        <v>0</v>
      </c>
      <c r="BW45" s="181">
        <f t="shared" si="162"/>
        <v>1</v>
      </c>
      <c r="BX45" s="181">
        <f t="shared" si="162"/>
        <v>0</v>
      </c>
      <c r="BY45" s="38">
        <f t="shared" ref="BY45:CJ45" si="163">AC45+AO45</f>
        <v>1</v>
      </c>
      <c r="BZ45" s="38">
        <f t="shared" si="163"/>
        <v>0</v>
      </c>
      <c r="CA45" s="38">
        <f t="shared" si="163"/>
        <v>0</v>
      </c>
      <c r="CB45" s="38">
        <f t="shared" si="163"/>
        <v>0</v>
      </c>
      <c r="CC45" s="38">
        <f t="shared" si="163"/>
        <v>1</v>
      </c>
      <c r="CD45" s="38">
        <f t="shared" si="163"/>
        <v>0</v>
      </c>
      <c r="CE45" s="38">
        <f t="shared" si="163"/>
        <v>1</v>
      </c>
      <c r="CF45" s="38">
        <f t="shared" si="163"/>
        <v>0</v>
      </c>
      <c r="CG45" s="38">
        <f t="shared" si="163"/>
        <v>0</v>
      </c>
      <c r="CH45" s="38">
        <f t="shared" si="163"/>
        <v>0</v>
      </c>
      <c r="CI45" s="38">
        <f t="shared" si="163"/>
        <v>1</v>
      </c>
      <c r="CJ45" s="38">
        <f t="shared" si="163"/>
        <v>0</v>
      </c>
      <c r="CK45" s="27">
        <f t="shared" ref="CK45:CN45" si="164">BA45+BM45+BY45</f>
        <v>2</v>
      </c>
      <c r="CL45" s="27">
        <f t="shared" si="164"/>
        <v>1</v>
      </c>
      <c r="CM45" s="27">
        <f t="shared" si="164"/>
        <v>0</v>
      </c>
      <c r="CN45" s="27">
        <f t="shared" si="164"/>
        <v>0</v>
      </c>
      <c r="CO45" s="27">
        <f t="shared" si="18"/>
        <v>3</v>
      </c>
      <c r="CP45" s="27">
        <f t="shared" ref="CP45:CT45" si="165">BF45+BR45+CD45</f>
        <v>0</v>
      </c>
      <c r="CQ45" s="27">
        <f t="shared" si="165"/>
        <v>1</v>
      </c>
      <c r="CR45" s="27">
        <f t="shared" si="165"/>
        <v>2</v>
      </c>
      <c r="CS45" s="27">
        <f t="shared" si="165"/>
        <v>0</v>
      </c>
      <c r="CT45" s="27">
        <f t="shared" si="165"/>
        <v>0</v>
      </c>
      <c r="CU45" s="27">
        <f t="shared" si="20"/>
        <v>3</v>
      </c>
      <c r="CV45" s="27">
        <f t="shared" si="21"/>
        <v>0</v>
      </c>
    </row>
    <row r="46" ht="15.75" customHeight="1">
      <c r="A46" s="1"/>
      <c r="B46" s="1"/>
      <c r="C46" s="13"/>
      <c r="D46" s="26" t="s">
        <v>65</v>
      </c>
      <c r="E46" s="66">
        <v>2.0</v>
      </c>
      <c r="F46" s="66">
        <v>1.0</v>
      </c>
      <c r="G46" s="66"/>
      <c r="H46" s="66"/>
      <c r="I46" s="66">
        <f t="shared" si="5"/>
        <v>3</v>
      </c>
      <c r="J46" s="66"/>
      <c r="K46" s="66">
        <v>2.0</v>
      </c>
      <c r="L46" s="66">
        <v>1.0</v>
      </c>
      <c r="M46" s="66"/>
      <c r="N46" s="66"/>
      <c r="O46" s="66">
        <f t="shared" si="6"/>
        <v>3</v>
      </c>
      <c r="P46" s="66"/>
      <c r="Q46" s="42">
        <v>1.0</v>
      </c>
      <c r="R46" s="42"/>
      <c r="S46" s="42"/>
      <c r="T46" s="42"/>
      <c r="U46" s="42">
        <f t="shared" si="7"/>
        <v>1</v>
      </c>
      <c r="V46" s="42"/>
      <c r="W46" s="42">
        <v>1.0</v>
      </c>
      <c r="X46" s="42"/>
      <c r="Y46" s="42"/>
      <c r="Z46" s="42"/>
      <c r="AA46" s="42">
        <f t="shared" si="8"/>
        <v>1</v>
      </c>
      <c r="AB46" s="42"/>
      <c r="AC46" s="38"/>
      <c r="AD46" s="38">
        <v>1.0</v>
      </c>
      <c r="AE46" s="38"/>
      <c r="AF46" s="38"/>
      <c r="AG46" s="38">
        <f t="shared" si="9"/>
        <v>1</v>
      </c>
      <c r="AH46" s="38"/>
      <c r="AI46" s="38"/>
      <c r="AJ46" s="38">
        <v>1.0</v>
      </c>
      <c r="AK46" s="38"/>
      <c r="AL46" s="38"/>
      <c r="AM46" s="38">
        <f t="shared" si="10"/>
        <v>1</v>
      </c>
      <c r="AN46" s="38"/>
      <c r="AO46" s="178"/>
      <c r="AP46" s="178"/>
      <c r="AQ46" s="178"/>
      <c r="AR46" s="178"/>
      <c r="AS46" s="178">
        <f t="shared" si="11"/>
        <v>0</v>
      </c>
      <c r="AT46" s="178"/>
      <c r="AU46" s="178"/>
      <c r="AV46" s="178"/>
      <c r="AW46" s="178"/>
      <c r="AX46" s="178"/>
      <c r="AY46" s="178">
        <f t="shared" si="12"/>
        <v>0</v>
      </c>
      <c r="AZ46" s="178"/>
      <c r="BA46" s="27">
        <v>4.0</v>
      </c>
      <c r="BB46" s="27"/>
      <c r="BC46" s="27"/>
      <c r="BD46" s="27"/>
      <c r="BE46" s="27">
        <f t="shared" si="13"/>
        <v>4</v>
      </c>
      <c r="BF46" s="27"/>
      <c r="BG46" s="27">
        <v>4.0</v>
      </c>
      <c r="BH46" s="27"/>
      <c r="BI46" s="27"/>
      <c r="BJ46" s="27"/>
      <c r="BK46" s="27">
        <f t="shared" si="14"/>
        <v>4</v>
      </c>
      <c r="BL46" s="27"/>
      <c r="BM46" s="181">
        <f t="shared" ref="BM46:BX46" si="166">E46+Q46</f>
        <v>3</v>
      </c>
      <c r="BN46" s="181">
        <f t="shared" si="166"/>
        <v>1</v>
      </c>
      <c r="BO46" s="181">
        <f t="shared" si="166"/>
        <v>0</v>
      </c>
      <c r="BP46" s="181">
        <f t="shared" si="166"/>
        <v>0</v>
      </c>
      <c r="BQ46" s="181">
        <f t="shared" si="166"/>
        <v>4</v>
      </c>
      <c r="BR46" s="181">
        <f t="shared" si="166"/>
        <v>0</v>
      </c>
      <c r="BS46" s="181">
        <f t="shared" si="166"/>
        <v>3</v>
      </c>
      <c r="BT46" s="181">
        <f t="shared" si="166"/>
        <v>1</v>
      </c>
      <c r="BU46" s="181">
        <f t="shared" si="166"/>
        <v>0</v>
      </c>
      <c r="BV46" s="181">
        <f t="shared" si="166"/>
        <v>0</v>
      </c>
      <c r="BW46" s="181">
        <f t="shared" si="166"/>
        <v>4</v>
      </c>
      <c r="BX46" s="181">
        <f t="shared" si="166"/>
        <v>0</v>
      </c>
      <c r="BY46" s="38">
        <f t="shared" ref="BY46:CJ46" si="167">AC46+AO46</f>
        <v>0</v>
      </c>
      <c r="BZ46" s="38">
        <f t="shared" si="167"/>
        <v>1</v>
      </c>
      <c r="CA46" s="38">
        <f t="shared" si="167"/>
        <v>0</v>
      </c>
      <c r="CB46" s="38">
        <f t="shared" si="167"/>
        <v>0</v>
      </c>
      <c r="CC46" s="38">
        <f t="shared" si="167"/>
        <v>1</v>
      </c>
      <c r="CD46" s="38">
        <f t="shared" si="167"/>
        <v>0</v>
      </c>
      <c r="CE46" s="38">
        <f t="shared" si="167"/>
        <v>0</v>
      </c>
      <c r="CF46" s="38">
        <f t="shared" si="167"/>
        <v>1</v>
      </c>
      <c r="CG46" s="38">
        <f t="shared" si="167"/>
        <v>0</v>
      </c>
      <c r="CH46" s="38">
        <f t="shared" si="167"/>
        <v>0</v>
      </c>
      <c r="CI46" s="38">
        <f t="shared" si="167"/>
        <v>1</v>
      </c>
      <c r="CJ46" s="38">
        <f t="shared" si="167"/>
        <v>0</v>
      </c>
      <c r="CK46" s="27">
        <f t="shared" ref="CK46:CN46" si="168">BA46+BM46+BY46</f>
        <v>7</v>
      </c>
      <c r="CL46" s="27">
        <f t="shared" si="168"/>
        <v>2</v>
      </c>
      <c r="CM46" s="27">
        <f t="shared" si="168"/>
        <v>0</v>
      </c>
      <c r="CN46" s="27">
        <f t="shared" si="168"/>
        <v>0</v>
      </c>
      <c r="CO46" s="27">
        <f t="shared" si="18"/>
        <v>9</v>
      </c>
      <c r="CP46" s="27">
        <f t="shared" ref="CP46:CT46" si="169">BF46+BR46+CD46</f>
        <v>0</v>
      </c>
      <c r="CQ46" s="27">
        <f t="shared" si="169"/>
        <v>7</v>
      </c>
      <c r="CR46" s="27">
        <f t="shared" si="169"/>
        <v>2</v>
      </c>
      <c r="CS46" s="27">
        <f t="shared" si="169"/>
        <v>0</v>
      </c>
      <c r="CT46" s="27">
        <f t="shared" si="169"/>
        <v>0</v>
      </c>
      <c r="CU46" s="27">
        <f t="shared" si="20"/>
        <v>9</v>
      </c>
      <c r="CV46" s="27">
        <f t="shared" si="21"/>
        <v>0</v>
      </c>
    </row>
    <row r="47" ht="15.75" customHeight="1">
      <c r="A47" s="1"/>
      <c r="B47" s="1"/>
      <c r="C47" s="13"/>
      <c r="D47" s="26" t="s">
        <v>66</v>
      </c>
      <c r="E47" s="66"/>
      <c r="F47" s="66"/>
      <c r="G47" s="66">
        <v>1.0</v>
      </c>
      <c r="H47" s="66"/>
      <c r="I47" s="66">
        <f t="shared" si="5"/>
        <v>1</v>
      </c>
      <c r="J47" s="66"/>
      <c r="K47" s="66"/>
      <c r="L47" s="66"/>
      <c r="M47" s="66">
        <v>1.0</v>
      </c>
      <c r="N47" s="66"/>
      <c r="O47" s="66">
        <f t="shared" si="6"/>
        <v>1</v>
      </c>
      <c r="P47" s="66"/>
      <c r="Q47" s="42"/>
      <c r="R47" s="42"/>
      <c r="S47" s="42">
        <v>1.0</v>
      </c>
      <c r="T47" s="42"/>
      <c r="U47" s="42">
        <f t="shared" si="7"/>
        <v>1</v>
      </c>
      <c r="V47" s="42"/>
      <c r="W47" s="42"/>
      <c r="X47" s="42"/>
      <c r="Y47" s="42">
        <v>1.0</v>
      </c>
      <c r="Z47" s="42"/>
      <c r="AA47" s="42">
        <f t="shared" si="8"/>
        <v>1</v>
      </c>
      <c r="AB47" s="42"/>
      <c r="AC47" s="38"/>
      <c r="AD47" s="38"/>
      <c r="AE47" s="38">
        <v>1.0</v>
      </c>
      <c r="AF47" s="38"/>
      <c r="AG47" s="38">
        <f t="shared" si="9"/>
        <v>1</v>
      </c>
      <c r="AH47" s="38"/>
      <c r="AI47" s="38"/>
      <c r="AJ47" s="38"/>
      <c r="AK47" s="38">
        <v>1.0</v>
      </c>
      <c r="AL47" s="38"/>
      <c r="AM47" s="38">
        <f t="shared" si="10"/>
        <v>1</v>
      </c>
      <c r="AN47" s="38"/>
      <c r="AO47" s="178"/>
      <c r="AP47" s="178"/>
      <c r="AQ47" s="178"/>
      <c r="AR47" s="178"/>
      <c r="AS47" s="178">
        <f t="shared" si="11"/>
        <v>0</v>
      </c>
      <c r="AT47" s="178"/>
      <c r="AU47" s="178"/>
      <c r="AV47" s="178"/>
      <c r="AW47" s="178"/>
      <c r="AX47" s="178"/>
      <c r="AY47" s="178">
        <f t="shared" si="12"/>
        <v>0</v>
      </c>
      <c r="AZ47" s="178"/>
      <c r="BA47" s="27"/>
      <c r="BB47" s="27"/>
      <c r="BC47" s="27"/>
      <c r="BD47" s="27"/>
      <c r="BE47" s="27">
        <f t="shared" si="13"/>
        <v>0</v>
      </c>
      <c r="BF47" s="27"/>
      <c r="BG47" s="27"/>
      <c r="BH47" s="27"/>
      <c r="BI47" s="27"/>
      <c r="BJ47" s="27"/>
      <c r="BK47" s="27">
        <f t="shared" si="14"/>
        <v>0</v>
      </c>
      <c r="BL47" s="27"/>
      <c r="BM47" s="181">
        <f t="shared" ref="BM47:BX47" si="170">E47+Q47</f>
        <v>0</v>
      </c>
      <c r="BN47" s="181">
        <f t="shared" si="170"/>
        <v>0</v>
      </c>
      <c r="BO47" s="181">
        <f t="shared" si="170"/>
        <v>2</v>
      </c>
      <c r="BP47" s="181">
        <f t="shared" si="170"/>
        <v>0</v>
      </c>
      <c r="BQ47" s="181">
        <f t="shared" si="170"/>
        <v>2</v>
      </c>
      <c r="BR47" s="181">
        <f t="shared" si="170"/>
        <v>0</v>
      </c>
      <c r="BS47" s="181">
        <f t="shared" si="170"/>
        <v>0</v>
      </c>
      <c r="BT47" s="181">
        <f t="shared" si="170"/>
        <v>0</v>
      </c>
      <c r="BU47" s="181">
        <f t="shared" si="170"/>
        <v>2</v>
      </c>
      <c r="BV47" s="181">
        <f t="shared" si="170"/>
        <v>0</v>
      </c>
      <c r="BW47" s="181">
        <f t="shared" si="170"/>
        <v>2</v>
      </c>
      <c r="BX47" s="181">
        <f t="shared" si="170"/>
        <v>0</v>
      </c>
      <c r="BY47" s="38">
        <f t="shared" ref="BY47:CJ47" si="171">AC47+AO47</f>
        <v>0</v>
      </c>
      <c r="BZ47" s="38">
        <f t="shared" si="171"/>
        <v>0</v>
      </c>
      <c r="CA47" s="38">
        <f t="shared" si="171"/>
        <v>1</v>
      </c>
      <c r="CB47" s="38">
        <f t="shared" si="171"/>
        <v>0</v>
      </c>
      <c r="CC47" s="38">
        <f t="shared" si="171"/>
        <v>1</v>
      </c>
      <c r="CD47" s="38">
        <f t="shared" si="171"/>
        <v>0</v>
      </c>
      <c r="CE47" s="38">
        <f t="shared" si="171"/>
        <v>0</v>
      </c>
      <c r="CF47" s="38">
        <f t="shared" si="171"/>
        <v>0</v>
      </c>
      <c r="CG47" s="38">
        <f t="shared" si="171"/>
        <v>1</v>
      </c>
      <c r="CH47" s="38">
        <f t="shared" si="171"/>
        <v>0</v>
      </c>
      <c r="CI47" s="38">
        <f t="shared" si="171"/>
        <v>1</v>
      </c>
      <c r="CJ47" s="38">
        <f t="shared" si="171"/>
        <v>0</v>
      </c>
      <c r="CK47" s="27">
        <f t="shared" ref="CK47:CN47" si="172">BA47+BM47+BY47</f>
        <v>0</v>
      </c>
      <c r="CL47" s="27">
        <f t="shared" si="172"/>
        <v>0</v>
      </c>
      <c r="CM47" s="27">
        <f t="shared" si="172"/>
        <v>3</v>
      </c>
      <c r="CN47" s="27">
        <f t="shared" si="172"/>
        <v>0</v>
      </c>
      <c r="CO47" s="27">
        <f t="shared" si="18"/>
        <v>3</v>
      </c>
      <c r="CP47" s="27">
        <f t="shared" ref="CP47:CT47" si="173">BF47+BR47+CD47</f>
        <v>0</v>
      </c>
      <c r="CQ47" s="27">
        <f t="shared" si="173"/>
        <v>0</v>
      </c>
      <c r="CR47" s="27">
        <f t="shared" si="173"/>
        <v>0</v>
      </c>
      <c r="CS47" s="27">
        <f t="shared" si="173"/>
        <v>3</v>
      </c>
      <c r="CT47" s="27">
        <f t="shared" si="173"/>
        <v>0</v>
      </c>
      <c r="CU47" s="27">
        <f t="shared" si="20"/>
        <v>3</v>
      </c>
      <c r="CV47" s="27">
        <f t="shared" si="21"/>
        <v>0</v>
      </c>
    </row>
    <row r="48" ht="15.75" customHeight="1">
      <c r="A48" s="1"/>
      <c r="B48" s="1"/>
      <c r="C48" s="13"/>
      <c r="D48" s="26" t="s">
        <v>169</v>
      </c>
      <c r="E48" s="77">
        <v>1.0</v>
      </c>
      <c r="F48" s="77">
        <v>4.0</v>
      </c>
      <c r="G48" s="77">
        <v>1.0</v>
      </c>
      <c r="H48" s="77"/>
      <c r="I48" s="66">
        <f t="shared" si="5"/>
        <v>6</v>
      </c>
      <c r="J48" s="77"/>
      <c r="K48" s="77">
        <v>1.0</v>
      </c>
      <c r="L48" s="77">
        <v>4.0</v>
      </c>
      <c r="M48" s="77">
        <v>1.0</v>
      </c>
      <c r="N48" s="77"/>
      <c r="O48" s="66">
        <f t="shared" si="6"/>
        <v>6</v>
      </c>
      <c r="P48" s="66"/>
      <c r="Q48" s="42"/>
      <c r="R48" s="42"/>
      <c r="S48" s="42"/>
      <c r="T48" s="42"/>
      <c r="U48" s="42">
        <f t="shared" si="7"/>
        <v>0</v>
      </c>
      <c r="V48" s="42"/>
      <c r="W48" s="42"/>
      <c r="X48" s="42"/>
      <c r="Y48" s="42"/>
      <c r="Z48" s="42"/>
      <c r="AA48" s="42">
        <f t="shared" si="8"/>
        <v>0</v>
      </c>
      <c r="AB48" s="42"/>
      <c r="AC48" s="38"/>
      <c r="AD48" s="38"/>
      <c r="AE48" s="38"/>
      <c r="AF48" s="38"/>
      <c r="AG48" s="38">
        <f t="shared" si="9"/>
        <v>0</v>
      </c>
      <c r="AH48" s="38"/>
      <c r="AI48" s="38"/>
      <c r="AJ48" s="38"/>
      <c r="AK48" s="38"/>
      <c r="AL48" s="38"/>
      <c r="AM48" s="38">
        <f t="shared" si="10"/>
        <v>0</v>
      </c>
      <c r="AN48" s="38"/>
      <c r="AO48" s="178"/>
      <c r="AP48" s="178"/>
      <c r="AQ48" s="178"/>
      <c r="AR48" s="178"/>
      <c r="AS48" s="178">
        <f t="shared" si="11"/>
        <v>0</v>
      </c>
      <c r="AT48" s="201"/>
      <c r="AU48" s="201"/>
      <c r="AV48" s="201"/>
      <c r="AW48" s="201"/>
      <c r="AX48" s="201"/>
      <c r="AY48" s="178">
        <f t="shared" si="12"/>
        <v>0</v>
      </c>
      <c r="AZ48" s="178"/>
      <c r="BA48" s="44"/>
      <c r="BB48" s="44"/>
      <c r="BC48" s="44"/>
      <c r="BD48" s="27"/>
      <c r="BE48" s="27">
        <f t="shared" si="13"/>
        <v>0</v>
      </c>
      <c r="BF48" s="44"/>
      <c r="BG48" s="44"/>
      <c r="BH48" s="44"/>
      <c r="BI48" s="44"/>
      <c r="BJ48" s="44"/>
      <c r="BK48" s="27">
        <f t="shared" si="14"/>
        <v>0</v>
      </c>
      <c r="BL48" s="27"/>
      <c r="BM48" s="181">
        <f t="shared" ref="BM48:BX48" si="174">E48+Q48</f>
        <v>1</v>
      </c>
      <c r="BN48" s="181">
        <f t="shared" si="174"/>
        <v>4</v>
      </c>
      <c r="BO48" s="181">
        <f t="shared" si="174"/>
        <v>1</v>
      </c>
      <c r="BP48" s="181">
        <f t="shared" si="174"/>
        <v>0</v>
      </c>
      <c r="BQ48" s="181">
        <f t="shared" si="174"/>
        <v>6</v>
      </c>
      <c r="BR48" s="181">
        <f t="shared" si="174"/>
        <v>0</v>
      </c>
      <c r="BS48" s="181">
        <f t="shared" si="174"/>
        <v>1</v>
      </c>
      <c r="BT48" s="181">
        <f t="shared" si="174"/>
        <v>4</v>
      </c>
      <c r="BU48" s="181">
        <f t="shared" si="174"/>
        <v>1</v>
      </c>
      <c r="BV48" s="181">
        <f t="shared" si="174"/>
        <v>0</v>
      </c>
      <c r="BW48" s="181">
        <f t="shared" si="174"/>
        <v>6</v>
      </c>
      <c r="BX48" s="181">
        <f t="shared" si="174"/>
        <v>0</v>
      </c>
      <c r="BY48" s="38">
        <f t="shared" ref="BY48:CJ48" si="175">AC48+AO48</f>
        <v>0</v>
      </c>
      <c r="BZ48" s="38">
        <f t="shared" si="175"/>
        <v>0</v>
      </c>
      <c r="CA48" s="38">
        <f t="shared" si="175"/>
        <v>0</v>
      </c>
      <c r="CB48" s="38">
        <f t="shared" si="175"/>
        <v>0</v>
      </c>
      <c r="CC48" s="38">
        <f t="shared" si="175"/>
        <v>0</v>
      </c>
      <c r="CD48" s="38">
        <f t="shared" si="175"/>
        <v>0</v>
      </c>
      <c r="CE48" s="38">
        <f t="shared" si="175"/>
        <v>0</v>
      </c>
      <c r="CF48" s="38">
        <f t="shared" si="175"/>
        <v>0</v>
      </c>
      <c r="CG48" s="38">
        <f t="shared" si="175"/>
        <v>0</v>
      </c>
      <c r="CH48" s="38">
        <f t="shared" si="175"/>
        <v>0</v>
      </c>
      <c r="CI48" s="38">
        <f t="shared" si="175"/>
        <v>0</v>
      </c>
      <c r="CJ48" s="38">
        <f t="shared" si="175"/>
        <v>0</v>
      </c>
      <c r="CK48" s="27">
        <f t="shared" ref="CK48:CN48" si="176">BA48+BM48+BY48</f>
        <v>1</v>
      </c>
      <c r="CL48" s="27">
        <f t="shared" si="176"/>
        <v>4</v>
      </c>
      <c r="CM48" s="27">
        <f t="shared" si="176"/>
        <v>1</v>
      </c>
      <c r="CN48" s="27">
        <f t="shared" si="176"/>
        <v>0</v>
      </c>
      <c r="CO48" s="27">
        <f t="shared" si="18"/>
        <v>6</v>
      </c>
      <c r="CP48" s="27">
        <f t="shared" ref="CP48:CT48" si="177">BF48+BR48+CD48</f>
        <v>0</v>
      </c>
      <c r="CQ48" s="27">
        <f t="shared" si="177"/>
        <v>1</v>
      </c>
      <c r="CR48" s="27">
        <f t="shared" si="177"/>
        <v>4</v>
      </c>
      <c r="CS48" s="27">
        <f t="shared" si="177"/>
        <v>1</v>
      </c>
      <c r="CT48" s="27">
        <f t="shared" si="177"/>
        <v>0</v>
      </c>
      <c r="CU48" s="27">
        <f t="shared" si="20"/>
        <v>6</v>
      </c>
      <c r="CV48" s="27">
        <f t="shared" si="21"/>
        <v>0</v>
      </c>
    </row>
    <row r="49" ht="15.75" customHeight="1">
      <c r="A49" s="1"/>
      <c r="B49" s="1"/>
      <c r="C49" s="13"/>
      <c r="D49" s="26" t="s">
        <v>171</v>
      </c>
      <c r="E49" s="77"/>
      <c r="F49" s="77"/>
      <c r="G49" s="77"/>
      <c r="H49" s="77"/>
      <c r="I49" s="66">
        <f t="shared" si="5"/>
        <v>0</v>
      </c>
      <c r="J49" s="77"/>
      <c r="K49" s="77"/>
      <c r="L49" s="77"/>
      <c r="M49" s="77"/>
      <c r="N49" s="77"/>
      <c r="O49" s="66">
        <f t="shared" si="6"/>
        <v>0</v>
      </c>
      <c r="P49" s="66"/>
      <c r="Q49" s="42"/>
      <c r="R49" s="42"/>
      <c r="S49" s="42"/>
      <c r="T49" s="42"/>
      <c r="U49" s="42">
        <f t="shared" si="7"/>
        <v>0</v>
      </c>
      <c r="V49" s="42"/>
      <c r="W49" s="42"/>
      <c r="X49" s="42"/>
      <c r="Y49" s="42"/>
      <c r="Z49" s="42"/>
      <c r="AA49" s="42">
        <f t="shared" si="8"/>
        <v>0</v>
      </c>
      <c r="AB49" s="42"/>
      <c r="AC49" s="38"/>
      <c r="AD49" s="38"/>
      <c r="AE49" s="38"/>
      <c r="AF49" s="38"/>
      <c r="AG49" s="38">
        <f t="shared" si="9"/>
        <v>0</v>
      </c>
      <c r="AH49" s="38"/>
      <c r="AI49" s="38"/>
      <c r="AJ49" s="38"/>
      <c r="AK49" s="38"/>
      <c r="AL49" s="38"/>
      <c r="AM49" s="38">
        <f t="shared" si="10"/>
        <v>0</v>
      </c>
      <c r="AN49" s="38"/>
      <c r="AO49" s="178"/>
      <c r="AP49" s="178"/>
      <c r="AQ49" s="178"/>
      <c r="AR49" s="178"/>
      <c r="AS49" s="178">
        <f t="shared" si="11"/>
        <v>0</v>
      </c>
      <c r="AT49" s="201"/>
      <c r="AU49" s="201"/>
      <c r="AV49" s="201"/>
      <c r="AW49" s="201"/>
      <c r="AX49" s="201"/>
      <c r="AY49" s="178">
        <f t="shared" si="12"/>
        <v>0</v>
      </c>
      <c r="AZ49" s="178"/>
      <c r="BA49" s="44"/>
      <c r="BB49" s="44"/>
      <c r="BC49" s="44"/>
      <c r="BD49" s="27"/>
      <c r="BE49" s="27">
        <f t="shared" si="13"/>
        <v>0</v>
      </c>
      <c r="BF49" s="44"/>
      <c r="BG49" s="44"/>
      <c r="BH49" s="44"/>
      <c r="BI49" s="44"/>
      <c r="BJ49" s="44"/>
      <c r="BK49" s="27">
        <f t="shared" si="14"/>
        <v>0</v>
      </c>
      <c r="BL49" s="27"/>
      <c r="BM49" s="181">
        <f t="shared" ref="BM49:BX49" si="178">E49+Q49</f>
        <v>0</v>
      </c>
      <c r="BN49" s="181">
        <f t="shared" si="178"/>
        <v>0</v>
      </c>
      <c r="BO49" s="181">
        <f t="shared" si="178"/>
        <v>0</v>
      </c>
      <c r="BP49" s="181">
        <f t="shared" si="178"/>
        <v>0</v>
      </c>
      <c r="BQ49" s="181">
        <f t="shared" si="178"/>
        <v>0</v>
      </c>
      <c r="BR49" s="181">
        <f t="shared" si="178"/>
        <v>0</v>
      </c>
      <c r="BS49" s="181">
        <f t="shared" si="178"/>
        <v>0</v>
      </c>
      <c r="BT49" s="181">
        <f t="shared" si="178"/>
        <v>0</v>
      </c>
      <c r="BU49" s="181">
        <f t="shared" si="178"/>
        <v>0</v>
      </c>
      <c r="BV49" s="181">
        <f t="shared" si="178"/>
        <v>0</v>
      </c>
      <c r="BW49" s="181">
        <f t="shared" si="178"/>
        <v>0</v>
      </c>
      <c r="BX49" s="181">
        <f t="shared" si="178"/>
        <v>0</v>
      </c>
      <c r="BY49" s="38">
        <f t="shared" ref="BY49:CJ49" si="179">AC49+AO49</f>
        <v>0</v>
      </c>
      <c r="BZ49" s="38">
        <f t="shared" si="179"/>
        <v>0</v>
      </c>
      <c r="CA49" s="38">
        <f t="shared" si="179"/>
        <v>0</v>
      </c>
      <c r="CB49" s="38">
        <f t="shared" si="179"/>
        <v>0</v>
      </c>
      <c r="CC49" s="38">
        <f t="shared" si="179"/>
        <v>0</v>
      </c>
      <c r="CD49" s="38">
        <f t="shared" si="179"/>
        <v>0</v>
      </c>
      <c r="CE49" s="38">
        <f t="shared" si="179"/>
        <v>0</v>
      </c>
      <c r="CF49" s="38">
        <f t="shared" si="179"/>
        <v>0</v>
      </c>
      <c r="CG49" s="38">
        <f t="shared" si="179"/>
        <v>0</v>
      </c>
      <c r="CH49" s="38">
        <f t="shared" si="179"/>
        <v>0</v>
      </c>
      <c r="CI49" s="38">
        <f t="shared" si="179"/>
        <v>0</v>
      </c>
      <c r="CJ49" s="38">
        <f t="shared" si="179"/>
        <v>0</v>
      </c>
      <c r="CK49" s="27">
        <f t="shared" ref="CK49:CN49" si="180">BA49+BM49+BY49</f>
        <v>0</v>
      </c>
      <c r="CL49" s="27">
        <f t="shared" si="180"/>
        <v>0</v>
      </c>
      <c r="CM49" s="27">
        <f t="shared" si="180"/>
        <v>0</v>
      </c>
      <c r="CN49" s="27">
        <f t="shared" si="180"/>
        <v>0</v>
      </c>
      <c r="CO49" s="27">
        <f t="shared" si="18"/>
        <v>0</v>
      </c>
      <c r="CP49" s="27">
        <f t="shared" ref="CP49:CT49" si="181">BF49+BR49+CD49</f>
        <v>0</v>
      </c>
      <c r="CQ49" s="27">
        <f t="shared" si="181"/>
        <v>0</v>
      </c>
      <c r="CR49" s="27">
        <f t="shared" si="181"/>
        <v>0</v>
      </c>
      <c r="CS49" s="27">
        <f t="shared" si="181"/>
        <v>0</v>
      </c>
      <c r="CT49" s="27">
        <f t="shared" si="181"/>
        <v>0</v>
      </c>
      <c r="CU49" s="27">
        <f t="shared" si="20"/>
        <v>0</v>
      </c>
      <c r="CV49" s="27">
        <f t="shared" si="21"/>
        <v>0</v>
      </c>
    </row>
    <row r="50" ht="15.75" customHeight="1">
      <c r="A50" s="1"/>
      <c r="B50" s="1"/>
      <c r="C50" s="13"/>
      <c r="D50" s="26" t="s">
        <v>160</v>
      </c>
      <c r="E50" s="77"/>
      <c r="F50" s="77"/>
      <c r="G50" s="77"/>
      <c r="H50" s="77"/>
      <c r="I50" s="66">
        <f t="shared" si="5"/>
        <v>0</v>
      </c>
      <c r="J50" s="77"/>
      <c r="K50" s="77"/>
      <c r="L50" s="77"/>
      <c r="M50" s="77"/>
      <c r="N50" s="77"/>
      <c r="O50" s="66">
        <f t="shared" si="6"/>
        <v>0</v>
      </c>
      <c r="P50" s="66"/>
      <c r="Q50" s="42">
        <v>1.0</v>
      </c>
      <c r="R50" s="42"/>
      <c r="S50" s="42"/>
      <c r="T50" s="42"/>
      <c r="U50" s="42">
        <f t="shared" si="7"/>
        <v>1</v>
      </c>
      <c r="V50" s="42"/>
      <c r="W50" s="42">
        <v>1.0</v>
      </c>
      <c r="X50" s="42"/>
      <c r="Y50" s="42"/>
      <c r="Z50" s="42"/>
      <c r="AA50" s="42">
        <f t="shared" si="8"/>
        <v>1</v>
      </c>
      <c r="AB50" s="42"/>
      <c r="AC50" s="38"/>
      <c r="AD50" s="38"/>
      <c r="AE50" s="38"/>
      <c r="AF50" s="38"/>
      <c r="AG50" s="38">
        <f t="shared" si="9"/>
        <v>0</v>
      </c>
      <c r="AH50" s="38"/>
      <c r="AI50" s="38"/>
      <c r="AJ50" s="38"/>
      <c r="AK50" s="38"/>
      <c r="AL50" s="38"/>
      <c r="AM50" s="38">
        <f t="shared" si="10"/>
        <v>0</v>
      </c>
      <c r="AN50" s="38"/>
      <c r="AO50" s="178"/>
      <c r="AP50" s="178"/>
      <c r="AQ50" s="178"/>
      <c r="AR50" s="178"/>
      <c r="AS50" s="178">
        <f t="shared" si="11"/>
        <v>0</v>
      </c>
      <c r="AT50" s="201"/>
      <c r="AU50" s="201"/>
      <c r="AV50" s="201"/>
      <c r="AW50" s="201"/>
      <c r="AX50" s="201"/>
      <c r="AY50" s="178">
        <f t="shared" si="12"/>
        <v>0</v>
      </c>
      <c r="AZ50" s="178"/>
      <c r="BA50" s="44"/>
      <c r="BB50" s="44"/>
      <c r="BC50" s="44"/>
      <c r="BD50" s="27"/>
      <c r="BE50" s="27">
        <f t="shared" si="13"/>
        <v>0</v>
      </c>
      <c r="BF50" s="44"/>
      <c r="BG50" s="44"/>
      <c r="BH50" s="44"/>
      <c r="BI50" s="44"/>
      <c r="BJ50" s="44"/>
      <c r="BK50" s="27">
        <f t="shared" si="14"/>
        <v>0</v>
      </c>
      <c r="BL50" s="27"/>
      <c r="BM50" s="181">
        <f t="shared" ref="BM50:BX50" si="182">E50+Q50</f>
        <v>1</v>
      </c>
      <c r="BN50" s="181">
        <f t="shared" si="182"/>
        <v>0</v>
      </c>
      <c r="BO50" s="181">
        <f t="shared" si="182"/>
        <v>0</v>
      </c>
      <c r="BP50" s="181">
        <f t="shared" si="182"/>
        <v>0</v>
      </c>
      <c r="BQ50" s="181">
        <f t="shared" si="182"/>
        <v>1</v>
      </c>
      <c r="BR50" s="181">
        <f t="shared" si="182"/>
        <v>0</v>
      </c>
      <c r="BS50" s="181">
        <f t="shared" si="182"/>
        <v>1</v>
      </c>
      <c r="BT50" s="181">
        <f t="shared" si="182"/>
        <v>0</v>
      </c>
      <c r="BU50" s="181">
        <f t="shared" si="182"/>
        <v>0</v>
      </c>
      <c r="BV50" s="181">
        <f t="shared" si="182"/>
        <v>0</v>
      </c>
      <c r="BW50" s="181">
        <f t="shared" si="182"/>
        <v>1</v>
      </c>
      <c r="BX50" s="181">
        <f t="shared" si="182"/>
        <v>0</v>
      </c>
      <c r="BY50" s="38">
        <f t="shared" ref="BY50:CJ50" si="183">AC50+AO50</f>
        <v>0</v>
      </c>
      <c r="BZ50" s="38">
        <f t="shared" si="183"/>
        <v>0</v>
      </c>
      <c r="CA50" s="38">
        <f t="shared" si="183"/>
        <v>0</v>
      </c>
      <c r="CB50" s="38">
        <f t="shared" si="183"/>
        <v>0</v>
      </c>
      <c r="CC50" s="38">
        <f t="shared" si="183"/>
        <v>0</v>
      </c>
      <c r="CD50" s="38">
        <f t="shared" si="183"/>
        <v>0</v>
      </c>
      <c r="CE50" s="38">
        <f t="shared" si="183"/>
        <v>0</v>
      </c>
      <c r="CF50" s="38">
        <f t="shared" si="183"/>
        <v>0</v>
      </c>
      <c r="CG50" s="38">
        <f t="shared" si="183"/>
        <v>0</v>
      </c>
      <c r="CH50" s="38">
        <f t="shared" si="183"/>
        <v>0</v>
      </c>
      <c r="CI50" s="38">
        <f t="shared" si="183"/>
        <v>0</v>
      </c>
      <c r="CJ50" s="38">
        <f t="shared" si="183"/>
        <v>0</v>
      </c>
      <c r="CK50" s="27">
        <f t="shared" ref="CK50:CN50" si="184">BA50+BM50+BY50</f>
        <v>1</v>
      </c>
      <c r="CL50" s="27">
        <f t="shared" si="184"/>
        <v>0</v>
      </c>
      <c r="CM50" s="27">
        <f t="shared" si="184"/>
        <v>0</v>
      </c>
      <c r="CN50" s="27">
        <f t="shared" si="184"/>
        <v>0</v>
      </c>
      <c r="CO50" s="27">
        <f t="shared" si="18"/>
        <v>1</v>
      </c>
      <c r="CP50" s="27">
        <f t="shared" ref="CP50:CT50" si="185">BF50+BR50+CD50</f>
        <v>0</v>
      </c>
      <c r="CQ50" s="27">
        <f t="shared" si="185"/>
        <v>1</v>
      </c>
      <c r="CR50" s="27">
        <f t="shared" si="185"/>
        <v>0</v>
      </c>
      <c r="CS50" s="27">
        <f t="shared" si="185"/>
        <v>0</v>
      </c>
      <c r="CT50" s="27">
        <f t="shared" si="185"/>
        <v>0</v>
      </c>
      <c r="CU50" s="27">
        <f t="shared" si="20"/>
        <v>1</v>
      </c>
      <c r="CV50" s="27">
        <f t="shared" si="21"/>
        <v>0</v>
      </c>
    </row>
    <row r="51" ht="15.75" customHeight="1">
      <c r="A51" s="1"/>
      <c r="B51" s="1"/>
      <c r="C51" s="13"/>
      <c r="D51" s="26" t="s">
        <v>69</v>
      </c>
      <c r="E51" s="66"/>
      <c r="F51" s="66"/>
      <c r="G51" s="66">
        <v>3.0</v>
      </c>
      <c r="H51" s="66"/>
      <c r="I51" s="66">
        <f t="shared" si="5"/>
        <v>3</v>
      </c>
      <c r="J51" s="66"/>
      <c r="K51" s="66"/>
      <c r="L51" s="66"/>
      <c r="M51" s="66">
        <v>3.0</v>
      </c>
      <c r="N51" s="66"/>
      <c r="O51" s="66">
        <f t="shared" si="6"/>
        <v>3</v>
      </c>
      <c r="P51" s="66"/>
      <c r="Q51" s="42"/>
      <c r="R51" s="42"/>
      <c r="S51" s="42">
        <v>1.0</v>
      </c>
      <c r="T51" s="42"/>
      <c r="U51" s="42">
        <f t="shared" si="7"/>
        <v>1</v>
      </c>
      <c r="V51" s="42"/>
      <c r="W51" s="42"/>
      <c r="X51" s="42"/>
      <c r="Y51" s="42">
        <v>1.0</v>
      </c>
      <c r="Z51" s="42"/>
      <c r="AA51" s="42">
        <f t="shared" si="8"/>
        <v>1</v>
      </c>
      <c r="AB51" s="42"/>
      <c r="AC51" s="38"/>
      <c r="AD51" s="38"/>
      <c r="AE51" s="38">
        <v>1.0</v>
      </c>
      <c r="AF51" s="38"/>
      <c r="AG51" s="38">
        <f t="shared" si="9"/>
        <v>1</v>
      </c>
      <c r="AH51" s="38"/>
      <c r="AI51" s="38"/>
      <c r="AJ51" s="38"/>
      <c r="AK51" s="38">
        <v>1.0</v>
      </c>
      <c r="AL51" s="38"/>
      <c r="AM51" s="38">
        <f t="shared" si="10"/>
        <v>1</v>
      </c>
      <c r="AN51" s="38"/>
      <c r="AO51" s="178"/>
      <c r="AP51" s="178"/>
      <c r="AQ51" s="178"/>
      <c r="AR51" s="178"/>
      <c r="AS51" s="178">
        <f t="shared" si="11"/>
        <v>0</v>
      </c>
      <c r="AT51" s="178"/>
      <c r="AU51" s="178"/>
      <c r="AV51" s="178"/>
      <c r="AW51" s="178"/>
      <c r="AX51" s="178"/>
      <c r="AY51" s="178">
        <f t="shared" si="12"/>
        <v>0</v>
      </c>
      <c r="AZ51" s="178"/>
      <c r="BA51" s="27"/>
      <c r="BB51" s="27"/>
      <c r="BC51" s="27"/>
      <c r="BD51" s="27">
        <v>3.0</v>
      </c>
      <c r="BE51" s="27">
        <f t="shared" si="13"/>
        <v>3</v>
      </c>
      <c r="BF51" s="27"/>
      <c r="BG51" s="27"/>
      <c r="BH51" s="27"/>
      <c r="BI51" s="27"/>
      <c r="BJ51" s="27">
        <v>3.0</v>
      </c>
      <c r="BK51" s="27">
        <f t="shared" si="14"/>
        <v>3</v>
      </c>
      <c r="BL51" s="27"/>
      <c r="BM51" s="181">
        <f t="shared" ref="BM51:BX51" si="186">E51+Q51</f>
        <v>0</v>
      </c>
      <c r="BN51" s="181">
        <f t="shared" si="186"/>
        <v>0</v>
      </c>
      <c r="BO51" s="181">
        <f t="shared" si="186"/>
        <v>4</v>
      </c>
      <c r="BP51" s="181">
        <f t="shared" si="186"/>
        <v>0</v>
      </c>
      <c r="BQ51" s="181">
        <f t="shared" si="186"/>
        <v>4</v>
      </c>
      <c r="BR51" s="181">
        <f t="shared" si="186"/>
        <v>0</v>
      </c>
      <c r="BS51" s="181">
        <f t="shared" si="186"/>
        <v>0</v>
      </c>
      <c r="BT51" s="181">
        <f t="shared" si="186"/>
        <v>0</v>
      </c>
      <c r="BU51" s="181">
        <f t="shared" si="186"/>
        <v>4</v>
      </c>
      <c r="BV51" s="181">
        <f t="shared" si="186"/>
        <v>0</v>
      </c>
      <c r="BW51" s="181">
        <f t="shared" si="186"/>
        <v>4</v>
      </c>
      <c r="BX51" s="181">
        <f t="shared" si="186"/>
        <v>0</v>
      </c>
      <c r="BY51" s="38">
        <f t="shared" ref="BY51:CJ51" si="187">AC51+AO51</f>
        <v>0</v>
      </c>
      <c r="BZ51" s="38">
        <f t="shared" si="187"/>
        <v>0</v>
      </c>
      <c r="CA51" s="38">
        <f t="shared" si="187"/>
        <v>1</v>
      </c>
      <c r="CB51" s="38">
        <f t="shared" si="187"/>
        <v>0</v>
      </c>
      <c r="CC51" s="38">
        <f t="shared" si="187"/>
        <v>1</v>
      </c>
      <c r="CD51" s="38">
        <f t="shared" si="187"/>
        <v>0</v>
      </c>
      <c r="CE51" s="38">
        <f t="shared" si="187"/>
        <v>0</v>
      </c>
      <c r="CF51" s="38">
        <f t="shared" si="187"/>
        <v>0</v>
      </c>
      <c r="CG51" s="38">
        <f t="shared" si="187"/>
        <v>1</v>
      </c>
      <c r="CH51" s="38">
        <f t="shared" si="187"/>
        <v>0</v>
      </c>
      <c r="CI51" s="38">
        <f t="shared" si="187"/>
        <v>1</v>
      </c>
      <c r="CJ51" s="38">
        <f t="shared" si="187"/>
        <v>0</v>
      </c>
      <c r="CK51" s="27">
        <f t="shared" ref="CK51:CN51" si="188">BA51+BM51+BY51</f>
        <v>0</v>
      </c>
      <c r="CL51" s="27">
        <f t="shared" si="188"/>
        <v>0</v>
      </c>
      <c r="CM51" s="27">
        <f t="shared" si="188"/>
        <v>5</v>
      </c>
      <c r="CN51" s="27">
        <f t="shared" si="188"/>
        <v>3</v>
      </c>
      <c r="CO51" s="27">
        <f t="shared" si="18"/>
        <v>8</v>
      </c>
      <c r="CP51" s="27">
        <f t="shared" ref="CP51:CT51" si="189">BF51+BR51+CD51</f>
        <v>0</v>
      </c>
      <c r="CQ51" s="27">
        <f t="shared" si="189"/>
        <v>0</v>
      </c>
      <c r="CR51" s="27">
        <f t="shared" si="189"/>
        <v>0</v>
      </c>
      <c r="CS51" s="27">
        <f t="shared" si="189"/>
        <v>5</v>
      </c>
      <c r="CT51" s="27">
        <f t="shared" si="189"/>
        <v>3</v>
      </c>
      <c r="CU51" s="27">
        <f t="shared" si="20"/>
        <v>8</v>
      </c>
      <c r="CV51" s="27">
        <f t="shared" si="21"/>
        <v>0</v>
      </c>
    </row>
    <row r="52" ht="15.75" customHeight="1">
      <c r="A52" s="1"/>
      <c r="B52" s="1"/>
      <c r="C52" s="13"/>
      <c r="D52" s="26" t="s">
        <v>73</v>
      </c>
      <c r="E52" s="66"/>
      <c r="F52" s="66"/>
      <c r="G52" s="66"/>
      <c r="H52" s="66"/>
      <c r="I52" s="66">
        <f t="shared" si="5"/>
        <v>0</v>
      </c>
      <c r="J52" s="66"/>
      <c r="K52" s="66"/>
      <c r="L52" s="66"/>
      <c r="M52" s="66"/>
      <c r="N52" s="66"/>
      <c r="O52" s="66">
        <f t="shared" si="6"/>
        <v>0</v>
      </c>
      <c r="P52" s="66"/>
      <c r="Q52" s="42"/>
      <c r="R52" s="42"/>
      <c r="S52" s="42"/>
      <c r="T52" s="42"/>
      <c r="U52" s="42">
        <f t="shared" si="7"/>
        <v>0</v>
      </c>
      <c r="V52" s="42"/>
      <c r="W52" s="42"/>
      <c r="X52" s="42"/>
      <c r="Y52" s="42"/>
      <c r="Z52" s="42"/>
      <c r="AA52" s="42">
        <f t="shared" si="8"/>
        <v>0</v>
      </c>
      <c r="AB52" s="42"/>
      <c r="AC52" s="38"/>
      <c r="AD52" s="38"/>
      <c r="AE52" s="38"/>
      <c r="AF52" s="38"/>
      <c r="AG52" s="38">
        <f t="shared" si="9"/>
        <v>0</v>
      </c>
      <c r="AH52" s="38"/>
      <c r="AI52" s="38"/>
      <c r="AJ52" s="38"/>
      <c r="AK52" s="38"/>
      <c r="AL52" s="38"/>
      <c r="AM52" s="38">
        <f t="shared" si="10"/>
        <v>0</v>
      </c>
      <c r="AN52" s="38"/>
      <c r="AO52" s="178"/>
      <c r="AP52" s="178"/>
      <c r="AQ52" s="178"/>
      <c r="AR52" s="178"/>
      <c r="AS52" s="178">
        <f t="shared" si="11"/>
        <v>0</v>
      </c>
      <c r="AT52" s="178"/>
      <c r="AU52" s="178"/>
      <c r="AV52" s="178"/>
      <c r="AW52" s="178"/>
      <c r="AX52" s="178"/>
      <c r="AY52" s="178">
        <f t="shared" si="12"/>
        <v>0</v>
      </c>
      <c r="AZ52" s="178"/>
      <c r="BA52" s="27"/>
      <c r="BB52" s="27"/>
      <c r="BC52" s="27"/>
      <c r="BD52" s="27">
        <v>3.0</v>
      </c>
      <c r="BE52" s="27">
        <f t="shared" si="13"/>
        <v>3</v>
      </c>
      <c r="BF52" s="27"/>
      <c r="BG52" s="27"/>
      <c r="BH52" s="27"/>
      <c r="BI52" s="27"/>
      <c r="BJ52" s="27">
        <v>3.0</v>
      </c>
      <c r="BK52" s="27">
        <f t="shared" si="14"/>
        <v>3</v>
      </c>
      <c r="BL52" s="27"/>
      <c r="BM52" s="181">
        <f t="shared" ref="BM52:BX52" si="190">E52+Q52</f>
        <v>0</v>
      </c>
      <c r="BN52" s="181">
        <f t="shared" si="190"/>
        <v>0</v>
      </c>
      <c r="BO52" s="181">
        <f t="shared" si="190"/>
        <v>0</v>
      </c>
      <c r="BP52" s="181">
        <f t="shared" si="190"/>
        <v>0</v>
      </c>
      <c r="BQ52" s="181">
        <f t="shared" si="190"/>
        <v>0</v>
      </c>
      <c r="BR52" s="181">
        <f t="shared" si="190"/>
        <v>0</v>
      </c>
      <c r="BS52" s="181">
        <f t="shared" si="190"/>
        <v>0</v>
      </c>
      <c r="BT52" s="181">
        <f t="shared" si="190"/>
        <v>0</v>
      </c>
      <c r="BU52" s="181">
        <f t="shared" si="190"/>
        <v>0</v>
      </c>
      <c r="BV52" s="181">
        <f t="shared" si="190"/>
        <v>0</v>
      </c>
      <c r="BW52" s="181">
        <f t="shared" si="190"/>
        <v>0</v>
      </c>
      <c r="BX52" s="181">
        <f t="shared" si="190"/>
        <v>0</v>
      </c>
      <c r="BY52" s="38">
        <f t="shared" ref="BY52:CJ52" si="191">AC52+AO52</f>
        <v>0</v>
      </c>
      <c r="BZ52" s="38">
        <f t="shared" si="191"/>
        <v>0</v>
      </c>
      <c r="CA52" s="38">
        <f t="shared" si="191"/>
        <v>0</v>
      </c>
      <c r="CB52" s="38">
        <f t="shared" si="191"/>
        <v>0</v>
      </c>
      <c r="CC52" s="38">
        <f t="shared" si="191"/>
        <v>0</v>
      </c>
      <c r="CD52" s="38">
        <f t="shared" si="191"/>
        <v>0</v>
      </c>
      <c r="CE52" s="38">
        <f t="shared" si="191"/>
        <v>0</v>
      </c>
      <c r="CF52" s="38">
        <f t="shared" si="191"/>
        <v>0</v>
      </c>
      <c r="CG52" s="38">
        <f t="shared" si="191"/>
        <v>0</v>
      </c>
      <c r="CH52" s="38">
        <f t="shared" si="191"/>
        <v>0</v>
      </c>
      <c r="CI52" s="38">
        <f t="shared" si="191"/>
        <v>0</v>
      </c>
      <c r="CJ52" s="38">
        <f t="shared" si="191"/>
        <v>0</v>
      </c>
      <c r="CK52" s="27">
        <f t="shared" ref="CK52:CN52" si="192">BA52+BM52+BY52</f>
        <v>0</v>
      </c>
      <c r="CL52" s="27">
        <f t="shared" si="192"/>
        <v>0</v>
      </c>
      <c r="CM52" s="27">
        <f t="shared" si="192"/>
        <v>0</v>
      </c>
      <c r="CN52" s="27">
        <f t="shared" si="192"/>
        <v>3</v>
      </c>
      <c r="CO52" s="27">
        <f t="shared" si="18"/>
        <v>3</v>
      </c>
      <c r="CP52" s="27">
        <f t="shared" ref="CP52:CT52" si="193">BF52+BR52+CD52</f>
        <v>0</v>
      </c>
      <c r="CQ52" s="27">
        <f t="shared" si="193"/>
        <v>0</v>
      </c>
      <c r="CR52" s="27">
        <f t="shared" si="193"/>
        <v>0</v>
      </c>
      <c r="CS52" s="27">
        <f t="shared" si="193"/>
        <v>0</v>
      </c>
      <c r="CT52" s="27">
        <f t="shared" si="193"/>
        <v>3</v>
      </c>
      <c r="CU52" s="27">
        <f t="shared" si="20"/>
        <v>3</v>
      </c>
      <c r="CV52" s="27">
        <f t="shared" si="21"/>
        <v>0</v>
      </c>
    </row>
    <row r="53" ht="15.75" customHeight="1">
      <c r="A53" s="1"/>
      <c r="B53" s="1"/>
      <c r="C53" s="13"/>
      <c r="D53" s="26" t="s">
        <v>77</v>
      </c>
      <c r="E53" s="66"/>
      <c r="F53" s="66"/>
      <c r="G53" s="66"/>
      <c r="H53" s="66"/>
      <c r="I53" s="66">
        <f t="shared" si="5"/>
        <v>0</v>
      </c>
      <c r="J53" s="66"/>
      <c r="K53" s="66"/>
      <c r="L53" s="66"/>
      <c r="M53" s="66"/>
      <c r="N53" s="66"/>
      <c r="O53" s="66">
        <f t="shared" si="6"/>
        <v>0</v>
      </c>
      <c r="P53" s="66"/>
      <c r="Q53" s="42"/>
      <c r="R53" s="42"/>
      <c r="S53" s="42"/>
      <c r="T53" s="42"/>
      <c r="U53" s="42">
        <f t="shared" si="7"/>
        <v>0</v>
      </c>
      <c r="V53" s="42"/>
      <c r="W53" s="42"/>
      <c r="X53" s="42"/>
      <c r="Y53" s="42"/>
      <c r="Z53" s="42"/>
      <c r="AA53" s="42">
        <f t="shared" si="8"/>
        <v>0</v>
      </c>
      <c r="AB53" s="42"/>
      <c r="AC53" s="38"/>
      <c r="AD53" s="38"/>
      <c r="AE53" s="38"/>
      <c r="AF53" s="38"/>
      <c r="AG53" s="38">
        <f t="shared" si="9"/>
        <v>0</v>
      </c>
      <c r="AH53" s="38"/>
      <c r="AI53" s="38"/>
      <c r="AJ53" s="38"/>
      <c r="AK53" s="38"/>
      <c r="AL53" s="38"/>
      <c r="AM53" s="38">
        <f t="shared" si="10"/>
        <v>0</v>
      </c>
      <c r="AN53" s="38"/>
      <c r="AO53" s="178"/>
      <c r="AP53" s="178"/>
      <c r="AQ53" s="178"/>
      <c r="AR53" s="178"/>
      <c r="AS53" s="178">
        <f t="shared" si="11"/>
        <v>0</v>
      </c>
      <c r="AT53" s="178"/>
      <c r="AU53" s="178"/>
      <c r="AV53" s="178"/>
      <c r="AW53" s="178"/>
      <c r="AX53" s="178"/>
      <c r="AY53" s="178">
        <f t="shared" si="12"/>
        <v>0</v>
      </c>
      <c r="AZ53" s="178"/>
      <c r="BA53" s="27"/>
      <c r="BB53" s="27"/>
      <c r="BC53" s="27"/>
      <c r="BD53" s="27">
        <v>3.0</v>
      </c>
      <c r="BE53" s="27">
        <f t="shared" si="13"/>
        <v>3</v>
      </c>
      <c r="BF53" s="27"/>
      <c r="BG53" s="27"/>
      <c r="BH53" s="27"/>
      <c r="BI53" s="27"/>
      <c r="BJ53" s="27">
        <v>3.0</v>
      </c>
      <c r="BK53" s="27">
        <f t="shared" si="14"/>
        <v>3</v>
      </c>
      <c r="BL53" s="27"/>
      <c r="BM53" s="181">
        <f t="shared" ref="BM53:BX53" si="194">E53+Q53</f>
        <v>0</v>
      </c>
      <c r="BN53" s="181">
        <f t="shared" si="194"/>
        <v>0</v>
      </c>
      <c r="BO53" s="181">
        <f t="shared" si="194"/>
        <v>0</v>
      </c>
      <c r="BP53" s="181">
        <f t="shared" si="194"/>
        <v>0</v>
      </c>
      <c r="BQ53" s="181">
        <f t="shared" si="194"/>
        <v>0</v>
      </c>
      <c r="BR53" s="181">
        <f t="shared" si="194"/>
        <v>0</v>
      </c>
      <c r="BS53" s="181">
        <f t="shared" si="194"/>
        <v>0</v>
      </c>
      <c r="BT53" s="181">
        <f t="shared" si="194"/>
        <v>0</v>
      </c>
      <c r="BU53" s="181">
        <f t="shared" si="194"/>
        <v>0</v>
      </c>
      <c r="BV53" s="181">
        <f t="shared" si="194"/>
        <v>0</v>
      </c>
      <c r="BW53" s="181">
        <f t="shared" si="194"/>
        <v>0</v>
      </c>
      <c r="BX53" s="181">
        <f t="shared" si="194"/>
        <v>0</v>
      </c>
      <c r="BY53" s="38">
        <f t="shared" ref="BY53:CJ53" si="195">AC53+AO53</f>
        <v>0</v>
      </c>
      <c r="BZ53" s="38">
        <f t="shared" si="195"/>
        <v>0</v>
      </c>
      <c r="CA53" s="38">
        <f t="shared" si="195"/>
        <v>0</v>
      </c>
      <c r="CB53" s="38">
        <f t="shared" si="195"/>
        <v>0</v>
      </c>
      <c r="CC53" s="38">
        <f t="shared" si="195"/>
        <v>0</v>
      </c>
      <c r="CD53" s="38">
        <f t="shared" si="195"/>
        <v>0</v>
      </c>
      <c r="CE53" s="38">
        <f t="shared" si="195"/>
        <v>0</v>
      </c>
      <c r="CF53" s="38">
        <f t="shared" si="195"/>
        <v>0</v>
      </c>
      <c r="CG53" s="38">
        <f t="shared" si="195"/>
        <v>0</v>
      </c>
      <c r="CH53" s="38">
        <f t="shared" si="195"/>
        <v>0</v>
      </c>
      <c r="CI53" s="38">
        <f t="shared" si="195"/>
        <v>0</v>
      </c>
      <c r="CJ53" s="38">
        <f t="shared" si="195"/>
        <v>0</v>
      </c>
      <c r="CK53" s="27">
        <f t="shared" ref="CK53:CN53" si="196">BA53+BM53+BY53</f>
        <v>0</v>
      </c>
      <c r="CL53" s="27">
        <f t="shared" si="196"/>
        <v>0</v>
      </c>
      <c r="CM53" s="27">
        <f t="shared" si="196"/>
        <v>0</v>
      </c>
      <c r="CN53" s="27">
        <f t="shared" si="196"/>
        <v>3</v>
      </c>
      <c r="CO53" s="27">
        <f t="shared" si="18"/>
        <v>3</v>
      </c>
      <c r="CP53" s="27">
        <f t="shared" ref="CP53:CT53" si="197">BF53+BR53+CD53</f>
        <v>0</v>
      </c>
      <c r="CQ53" s="27">
        <f t="shared" si="197"/>
        <v>0</v>
      </c>
      <c r="CR53" s="27">
        <f t="shared" si="197"/>
        <v>0</v>
      </c>
      <c r="CS53" s="27">
        <f t="shared" si="197"/>
        <v>0</v>
      </c>
      <c r="CT53" s="27">
        <f t="shared" si="197"/>
        <v>3</v>
      </c>
      <c r="CU53" s="27">
        <f t="shared" si="20"/>
        <v>3</v>
      </c>
      <c r="CV53" s="27">
        <f t="shared" si="21"/>
        <v>0</v>
      </c>
    </row>
    <row r="54" ht="15.75" customHeight="1">
      <c r="A54" s="1"/>
      <c r="B54" s="1"/>
      <c r="C54" s="13"/>
      <c r="D54" s="26" t="s">
        <v>1086</v>
      </c>
      <c r="E54" s="66"/>
      <c r="F54" s="66"/>
      <c r="G54" s="66">
        <v>12.0</v>
      </c>
      <c r="H54" s="66"/>
      <c r="I54" s="66">
        <f t="shared" si="5"/>
        <v>12</v>
      </c>
      <c r="J54" s="66"/>
      <c r="K54" s="66"/>
      <c r="L54" s="66"/>
      <c r="M54" s="66">
        <v>12.0</v>
      </c>
      <c r="N54" s="66"/>
      <c r="O54" s="66">
        <f t="shared" si="6"/>
        <v>12</v>
      </c>
      <c r="P54" s="66"/>
      <c r="Q54" s="42">
        <v>2.0</v>
      </c>
      <c r="R54" s="42">
        <v>5.0</v>
      </c>
      <c r="S54" s="42">
        <f>1+1+3</f>
        <v>5</v>
      </c>
      <c r="T54" s="42"/>
      <c r="U54" s="42">
        <f t="shared" si="7"/>
        <v>12</v>
      </c>
      <c r="V54" s="42"/>
      <c r="W54" s="42">
        <v>2.0</v>
      </c>
      <c r="X54" s="42">
        <v>5.0</v>
      </c>
      <c r="Y54" s="42">
        <f>1+1+3</f>
        <v>5</v>
      </c>
      <c r="Z54" s="42"/>
      <c r="AA54" s="42">
        <f t="shared" si="8"/>
        <v>12</v>
      </c>
      <c r="AB54" s="42"/>
      <c r="AC54" s="38"/>
      <c r="AD54" s="38"/>
      <c r="AE54" s="38"/>
      <c r="AF54" s="38"/>
      <c r="AG54" s="38">
        <f t="shared" si="9"/>
        <v>0</v>
      </c>
      <c r="AH54" s="38"/>
      <c r="AI54" s="38"/>
      <c r="AJ54" s="38"/>
      <c r="AK54" s="38"/>
      <c r="AL54" s="38"/>
      <c r="AM54" s="38">
        <f t="shared" si="10"/>
        <v>0</v>
      </c>
      <c r="AN54" s="38"/>
      <c r="AO54" s="178"/>
      <c r="AP54" s="178"/>
      <c r="AQ54" s="178"/>
      <c r="AR54" s="178"/>
      <c r="AS54" s="178">
        <f t="shared" si="11"/>
        <v>0</v>
      </c>
      <c r="AT54" s="178"/>
      <c r="AU54" s="178"/>
      <c r="AV54" s="178"/>
      <c r="AW54" s="178"/>
      <c r="AX54" s="178"/>
      <c r="AY54" s="178">
        <f t="shared" si="12"/>
        <v>0</v>
      </c>
      <c r="AZ54" s="178"/>
      <c r="BA54" s="27"/>
      <c r="BB54" s="27"/>
      <c r="BC54" s="27"/>
      <c r="BD54" s="27"/>
      <c r="BE54" s="27">
        <f t="shared" si="13"/>
        <v>0</v>
      </c>
      <c r="BF54" s="27"/>
      <c r="BG54" s="27"/>
      <c r="BH54" s="27"/>
      <c r="BI54" s="27"/>
      <c r="BJ54" s="27"/>
      <c r="BK54" s="27">
        <f t="shared" si="14"/>
        <v>0</v>
      </c>
      <c r="BL54" s="27"/>
      <c r="BM54" s="181">
        <f t="shared" ref="BM54:BX54" si="198">E54+Q54</f>
        <v>2</v>
      </c>
      <c r="BN54" s="181">
        <f t="shared" si="198"/>
        <v>5</v>
      </c>
      <c r="BO54" s="181">
        <f t="shared" si="198"/>
        <v>17</v>
      </c>
      <c r="BP54" s="181">
        <f t="shared" si="198"/>
        <v>0</v>
      </c>
      <c r="BQ54" s="181">
        <f t="shared" si="198"/>
        <v>24</v>
      </c>
      <c r="BR54" s="181">
        <f t="shared" si="198"/>
        <v>0</v>
      </c>
      <c r="BS54" s="181">
        <f t="shared" si="198"/>
        <v>2</v>
      </c>
      <c r="BT54" s="181">
        <f t="shared" si="198"/>
        <v>5</v>
      </c>
      <c r="BU54" s="181">
        <f t="shared" si="198"/>
        <v>17</v>
      </c>
      <c r="BV54" s="181">
        <f t="shared" si="198"/>
        <v>0</v>
      </c>
      <c r="BW54" s="181">
        <f t="shared" si="198"/>
        <v>24</v>
      </c>
      <c r="BX54" s="181">
        <f t="shared" si="198"/>
        <v>0</v>
      </c>
      <c r="BY54" s="38">
        <f t="shared" ref="BY54:CJ54" si="199">AC54+AO54</f>
        <v>0</v>
      </c>
      <c r="BZ54" s="38">
        <f t="shared" si="199"/>
        <v>0</v>
      </c>
      <c r="CA54" s="38">
        <f t="shared" si="199"/>
        <v>0</v>
      </c>
      <c r="CB54" s="38">
        <f t="shared" si="199"/>
        <v>0</v>
      </c>
      <c r="CC54" s="38">
        <f t="shared" si="199"/>
        <v>0</v>
      </c>
      <c r="CD54" s="38">
        <f t="shared" si="199"/>
        <v>0</v>
      </c>
      <c r="CE54" s="38">
        <f t="shared" si="199"/>
        <v>0</v>
      </c>
      <c r="CF54" s="38">
        <f t="shared" si="199"/>
        <v>0</v>
      </c>
      <c r="CG54" s="38">
        <f t="shared" si="199"/>
        <v>0</v>
      </c>
      <c r="CH54" s="38">
        <f t="shared" si="199"/>
        <v>0</v>
      </c>
      <c r="CI54" s="38">
        <f t="shared" si="199"/>
        <v>0</v>
      </c>
      <c r="CJ54" s="38">
        <f t="shared" si="199"/>
        <v>0</v>
      </c>
      <c r="CK54" s="27">
        <f t="shared" ref="CK54:CN54" si="200">BA54+BM54+BY54</f>
        <v>2</v>
      </c>
      <c r="CL54" s="27">
        <f t="shared" si="200"/>
        <v>5</v>
      </c>
      <c r="CM54" s="27">
        <f t="shared" si="200"/>
        <v>17</v>
      </c>
      <c r="CN54" s="27">
        <f t="shared" si="200"/>
        <v>0</v>
      </c>
      <c r="CO54" s="27">
        <f t="shared" si="18"/>
        <v>24</v>
      </c>
      <c r="CP54" s="27">
        <f t="shared" ref="CP54:CT54" si="201">BF54+BR54+CD54</f>
        <v>0</v>
      </c>
      <c r="CQ54" s="27">
        <f t="shared" si="201"/>
        <v>2</v>
      </c>
      <c r="CR54" s="27">
        <f t="shared" si="201"/>
        <v>5</v>
      </c>
      <c r="CS54" s="27">
        <f t="shared" si="201"/>
        <v>17</v>
      </c>
      <c r="CT54" s="27">
        <f t="shared" si="201"/>
        <v>0</v>
      </c>
      <c r="CU54" s="27">
        <f t="shared" si="20"/>
        <v>24</v>
      </c>
      <c r="CV54" s="27">
        <f t="shared" si="21"/>
        <v>0</v>
      </c>
    </row>
    <row r="55" ht="15.75" customHeight="1">
      <c r="A55" s="1"/>
      <c r="B55" s="1"/>
      <c r="C55" s="13"/>
      <c r="D55" s="26" t="s">
        <v>1087</v>
      </c>
      <c r="E55" s="77">
        <v>1.0</v>
      </c>
      <c r="F55" s="77">
        <v>2.0</v>
      </c>
      <c r="G55" s="66">
        <v>12.0</v>
      </c>
      <c r="H55" s="66"/>
      <c r="I55" s="66">
        <f t="shared" si="5"/>
        <v>15</v>
      </c>
      <c r="J55" s="77"/>
      <c r="K55" s="77">
        <v>1.0</v>
      </c>
      <c r="L55" s="77">
        <v>2.0</v>
      </c>
      <c r="M55" s="66">
        <v>12.0</v>
      </c>
      <c r="N55" s="66"/>
      <c r="O55" s="66">
        <f t="shared" si="6"/>
        <v>15</v>
      </c>
      <c r="P55" s="66"/>
      <c r="Q55" s="42"/>
      <c r="R55" s="42"/>
      <c r="S55" s="42"/>
      <c r="T55" s="42"/>
      <c r="U55" s="42">
        <f t="shared" si="7"/>
        <v>0</v>
      </c>
      <c r="V55" s="42"/>
      <c r="W55" s="42"/>
      <c r="X55" s="42"/>
      <c r="Y55" s="42"/>
      <c r="Z55" s="42"/>
      <c r="AA55" s="42">
        <f t="shared" si="8"/>
        <v>0</v>
      </c>
      <c r="AB55" s="42"/>
      <c r="AC55" s="38"/>
      <c r="AD55" s="38"/>
      <c r="AE55" s="38"/>
      <c r="AF55" s="38"/>
      <c r="AG55" s="38">
        <f t="shared" si="9"/>
        <v>0</v>
      </c>
      <c r="AH55" s="38"/>
      <c r="AI55" s="38"/>
      <c r="AJ55" s="38"/>
      <c r="AK55" s="38"/>
      <c r="AL55" s="38"/>
      <c r="AM55" s="38">
        <f t="shared" si="10"/>
        <v>0</v>
      </c>
      <c r="AN55" s="38"/>
      <c r="AO55" s="178"/>
      <c r="AP55" s="178"/>
      <c r="AQ55" s="178"/>
      <c r="AR55" s="178"/>
      <c r="AS55" s="178">
        <f t="shared" si="11"/>
        <v>0</v>
      </c>
      <c r="AT55" s="201"/>
      <c r="AU55" s="201"/>
      <c r="AV55" s="201"/>
      <c r="AW55" s="178"/>
      <c r="AX55" s="178"/>
      <c r="AY55" s="178">
        <f t="shared" si="12"/>
        <v>0</v>
      </c>
      <c r="AZ55" s="178"/>
      <c r="BA55" s="44"/>
      <c r="BB55" s="44"/>
      <c r="BC55" s="27"/>
      <c r="BD55" s="27"/>
      <c r="BE55" s="27">
        <f t="shared" si="13"/>
        <v>0</v>
      </c>
      <c r="BF55" s="44"/>
      <c r="BG55" s="44"/>
      <c r="BH55" s="44"/>
      <c r="BI55" s="27"/>
      <c r="BJ55" s="27"/>
      <c r="BK55" s="27">
        <f t="shared" si="14"/>
        <v>0</v>
      </c>
      <c r="BL55" s="27"/>
      <c r="BM55" s="181">
        <f t="shared" ref="BM55:BX55" si="202">E55+Q55</f>
        <v>1</v>
      </c>
      <c r="BN55" s="181">
        <f t="shared" si="202"/>
        <v>2</v>
      </c>
      <c r="BO55" s="181">
        <f t="shared" si="202"/>
        <v>12</v>
      </c>
      <c r="BP55" s="181">
        <f t="shared" si="202"/>
        <v>0</v>
      </c>
      <c r="BQ55" s="181">
        <f t="shared" si="202"/>
        <v>15</v>
      </c>
      <c r="BR55" s="181">
        <f t="shared" si="202"/>
        <v>0</v>
      </c>
      <c r="BS55" s="181">
        <f t="shared" si="202"/>
        <v>1</v>
      </c>
      <c r="BT55" s="181">
        <f t="shared" si="202"/>
        <v>2</v>
      </c>
      <c r="BU55" s="181">
        <f t="shared" si="202"/>
        <v>12</v>
      </c>
      <c r="BV55" s="181">
        <f t="shared" si="202"/>
        <v>0</v>
      </c>
      <c r="BW55" s="181">
        <f t="shared" si="202"/>
        <v>15</v>
      </c>
      <c r="BX55" s="181">
        <f t="shared" si="202"/>
        <v>0</v>
      </c>
      <c r="BY55" s="38">
        <f t="shared" ref="BY55:CJ55" si="203">AC55+AO55</f>
        <v>0</v>
      </c>
      <c r="BZ55" s="38">
        <f t="shared" si="203"/>
        <v>0</v>
      </c>
      <c r="CA55" s="38">
        <f t="shared" si="203"/>
        <v>0</v>
      </c>
      <c r="CB55" s="38">
        <f t="shared" si="203"/>
        <v>0</v>
      </c>
      <c r="CC55" s="38">
        <f t="shared" si="203"/>
        <v>0</v>
      </c>
      <c r="CD55" s="38">
        <f t="shared" si="203"/>
        <v>0</v>
      </c>
      <c r="CE55" s="38">
        <f t="shared" si="203"/>
        <v>0</v>
      </c>
      <c r="CF55" s="38">
        <f t="shared" si="203"/>
        <v>0</v>
      </c>
      <c r="CG55" s="38">
        <f t="shared" si="203"/>
        <v>0</v>
      </c>
      <c r="CH55" s="38">
        <f t="shared" si="203"/>
        <v>0</v>
      </c>
      <c r="CI55" s="38">
        <f t="shared" si="203"/>
        <v>0</v>
      </c>
      <c r="CJ55" s="38">
        <f t="shared" si="203"/>
        <v>0</v>
      </c>
      <c r="CK55" s="27">
        <f t="shared" ref="CK55:CN55" si="204">BA55+BM55+BY55</f>
        <v>1</v>
      </c>
      <c r="CL55" s="27">
        <f t="shared" si="204"/>
        <v>2</v>
      </c>
      <c r="CM55" s="27">
        <f t="shared" si="204"/>
        <v>12</v>
      </c>
      <c r="CN55" s="27">
        <f t="shared" si="204"/>
        <v>0</v>
      </c>
      <c r="CO55" s="27">
        <f t="shared" si="18"/>
        <v>15</v>
      </c>
      <c r="CP55" s="27">
        <f t="shared" ref="CP55:CT55" si="205">BF55+BR55+CD55</f>
        <v>0</v>
      </c>
      <c r="CQ55" s="27">
        <f t="shared" si="205"/>
        <v>1</v>
      </c>
      <c r="CR55" s="27">
        <f t="shared" si="205"/>
        <v>2</v>
      </c>
      <c r="CS55" s="27">
        <f t="shared" si="205"/>
        <v>12</v>
      </c>
      <c r="CT55" s="27">
        <f t="shared" si="205"/>
        <v>0</v>
      </c>
      <c r="CU55" s="27">
        <f t="shared" si="20"/>
        <v>15</v>
      </c>
      <c r="CV55" s="27">
        <f t="shared" si="21"/>
        <v>0</v>
      </c>
    </row>
    <row r="56" ht="15.75" customHeight="1">
      <c r="A56" s="1"/>
      <c r="B56" s="1"/>
      <c r="C56" s="13"/>
      <c r="D56" s="26" t="s">
        <v>1088</v>
      </c>
      <c r="E56" s="77"/>
      <c r="F56" s="77"/>
      <c r="G56" s="77">
        <v>6.0</v>
      </c>
      <c r="H56" s="77"/>
      <c r="I56" s="66">
        <f t="shared" si="5"/>
        <v>6</v>
      </c>
      <c r="J56" s="77"/>
      <c r="K56" s="77"/>
      <c r="L56" s="77"/>
      <c r="M56" s="77">
        <v>6.0</v>
      </c>
      <c r="N56" s="77"/>
      <c r="O56" s="66">
        <f t="shared" si="6"/>
        <v>6</v>
      </c>
      <c r="P56" s="66"/>
      <c r="Q56" s="42"/>
      <c r="R56" s="42"/>
      <c r="S56" s="42"/>
      <c r="T56" s="42"/>
      <c r="U56" s="42">
        <f t="shared" si="7"/>
        <v>0</v>
      </c>
      <c r="V56" s="42"/>
      <c r="W56" s="42"/>
      <c r="X56" s="42"/>
      <c r="Y56" s="42"/>
      <c r="Z56" s="42"/>
      <c r="AA56" s="42">
        <f t="shared" si="8"/>
        <v>0</v>
      </c>
      <c r="AB56" s="42"/>
      <c r="AC56" s="38"/>
      <c r="AD56" s="38"/>
      <c r="AE56" s="38"/>
      <c r="AF56" s="38"/>
      <c r="AG56" s="38">
        <f t="shared" si="9"/>
        <v>0</v>
      </c>
      <c r="AH56" s="38"/>
      <c r="AI56" s="38"/>
      <c r="AJ56" s="38"/>
      <c r="AK56" s="38"/>
      <c r="AL56" s="38"/>
      <c r="AM56" s="38">
        <f t="shared" si="10"/>
        <v>0</v>
      </c>
      <c r="AN56" s="38"/>
      <c r="AO56" s="178"/>
      <c r="AP56" s="178"/>
      <c r="AQ56" s="178"/>
      <c r="AR56" s="178"/>
      <c r="AS56" s="178">
        <f t="shared" si="11"/>
        <v>0</v>
      </c>
      <c r="AT56" s="201"/>
      <c r="AU56" s="201"/>
      <c r="AV56" s="201"/>
      <c r="AW56" s="201"/>
      <c r="AX56" s="201"/>
      <c r="AY56" s="178">
        <f t="shared" si="12"/>
        <v>0</v>
      </c>
      <c r="AZ56" s="178"/>
      <c r="BA56" s="44"/>
      <c r="BB56" s="44"/>
      <c r="BC56" s="44">
        <v>6.0</v>
      </c>
      <c r="BD56" s="27"/>
      <c r="BE56" s="27">
        <f t="shared" si="13"/>
        <v>6</v>
      </c>
      <c r="BF56" s="44"/>
      <c r="BG56" s="44"/>
      <c r="BH56" s="44"/>
      <c r="BI56" s="44">
        <v>6.0</v>
      </c>
      <c r="BJ56" s="44"/>
      <c r="BK56" s="27">
        <f t="shared" si="14"/>
        <v>6</v>
      </c>
      <c r="BL56" s="27"/>
      <c r="BM56" s="181">
        <f t="shared" ref="BM56:BX56" si="206">E56+Q56</f>
        <v>0</v>
      </c>
      <c r="BN56" s="181">
        <f t="shared" si="206"/>
        <v>0</v>
      </c>
      <c r="BO56" s="181">
        <f t="shared" si="206"/>
        <v>6</v>
      </c>
      <c r="BP56" s="181">
        <f t="shared" si="206"/>
        <v>0</v>
      </c>
      <c r="BQ56" s="181">
        <f t="shared" si="206"/>
        <v>6</v>
      </c>
      <c r="BR56" s="181">
        <f t="shared" si="206"/>
        <v>0</v>
      </c>
      <c r="BS56" s="181">
        <f t="shared" si="206"/>
        <v>0</v>
      </c>
      <c r="BT56" s="181">
        <f t="shared" si="206"/>
        <v>0</v>
      </c>
      <c r="BU56" s="181">
        <f t="shared" si="206"/>
        <v>6</v>
      </c>
      <c r="BV56" s="181">
        <f t="shared" si="206"/>
        <v>0</v>
      </c>
      <c r="BW56" s="181">
        <f t="shared" si="206"/>
        <v>6</v>
      </c>
      <c r="BX56" s="181">
        <f t="shared" si="206"/>
        <v>0</v>
      </c>
      <c r="BY56" s="38">
        <f t="shared" ref="BY56:CJ56" si="207">AC56+AO56</f>
        <v>0</v>
      </c>
      <c r="BZ56" s="38">
        <f t="shared" si="207"/>
        <v>0</v>
      </c>
      <c r="CA56" s="38">
        <f t="shared" si="207"/>
        <v>0</v>
      </c>
      <c r="CB56" s="38">
        <f t="shared" si="207"/>
        <v>0</v>
      </c>
      <c r="CC56" s="38">
        <f t="shared" si="207"/>
        <v>0</v>
      </c>
      <c r="CD56" s="38">
        <f t="shared" si="207"/>
        <v>0</v>
      </c>
      <c r="CE56" s="38">
        <f t="shared" si="207"/>
        <v>0</v>
      </c>
      <c r="CF56" s="38">
        <f t="shared" si="207"/>
        <v>0</v>
      </c>
      <c r="CG56" s="38">
        <f t="shared" si="207"/>
        <v>0</v>
      </c>
      <c r="CH56" s="38">
        <f t="shared" si="207"/>
        <v>0</v>
      </c>
      <c r="CI56" s="38">
        <f t="shared" si="207"/>
        <v>0</v>
      </c>
      <c r="CJ56" s="38">
        <f t="shared" si="207"/>
        <v>0</v>
      </c>
      <c r="CK56" s="27">
        <f t="shared" ref="CK56:CN56" si="208">BA56+BM56+BY56</f>
        <v>0</v>
      </c>
      <c r="CL56" s="27">
        <f t="shared" si="208"/>
        <v>0</v>
      </c>
      <c r="CM56" s="27">
        <f t="shared" si="208"/>
        <v>12</v>
      </c>
      <c r="CN56" s="27">
        <f t="shared" si="208"/>
        <v>0</v>
      </c>
      <c r="CO56" s="27">
        <f t="shared" si="18"/>
        <v>12</v>
      </c>
      <c r="CP56" s="27">
        <f t="shared" ref="CP56:CT56" si="209">BF56+BR56+CD56</f>
        <v>0</v>
      </c>
      <c r="CQ56" s="27">
        <f t="shared" si="209"/>
        <v>0</v>
      </c>
      <c r="CR56" s="27">
        <f t="shared" si="209"/>
        <v>0</v>
      </c>
      <c r="CS56" s="27">
        <f t="shared" si="209"/>
        <v>12</v>
      </c>
      <c r="CT56" s="27">
        <f t="shared" si="209"/>
        <v>0</v>
      </c>
      <c r="CU56" s="27">
        <f t="shared" si="20"/>
        <v>12</v>
      </c>
      <c r="CV56" s="27">
        <f t="shared" si="21"/>
        <v>0</v>
      </c>
    </row>
    <row r="57" ht="15.75" customHeight="1">
      <c r="A57" s="1"/>
      <c r="B57" s="1"/>
      <c r="C57" s="13"/>
      <c r="D57" s="79" t="s">
        <v>1089</v>
      </c>
      <c r="E57" s="77">
        <v>1.0</v>
      </c>
      <c r="F57" s="77">
        <v>1.0</v>
      </c>
      <c r="G57" s="77">
        <v>4.0</v>
      </c>
      <c r="H57" s="77"/>
      <c r="I57" s="66">
        <f t="shared" si="5"/>
        <v>6</v>
      </c>
      <c r="J57" s="77"/>
      <c r="K57" s="77">
        <v>1.0</v>
      </c>
      <c r="L57" s="77">
        <v>1.0</v>
      </c>
      <c r="M57" s="77">
        <v>4.0</v>
      </c>
      <c r="N57" s="77"/>
      <c r="O57" s="66">
        <f t="shared" si="6"/>
        <v>6</v>
      </c>
      <c r="P57" s="66"/>
      <c r="Q57" s="42"/>
      <c r="R57" s="42"/>
      <c r="S57" s="42"/>
      <c r="T57" s="42"/>
      <c r="U57" s="42">
        <f t="shared" si="7"/>
        <v>0</v>
      </c>
      <c r="V57" s="42"/>
      <c r="W57" s="42"/>
      <c r="X57" s="42"/>
      <c r="Y57" s="42"/>
      <c r="Z57" s="42"/>
      <c r="AA57" s="42">
        <f t="shared" si="8"/>
        <v>0</v>
      </c>
      <c r="AB57" s="42"/>
      <c r="AC57" s="38"/>
      <c r="AD57" s="38"/>
      <c r="AE57" s="38"/>
      <c r="AF57" s="38"/>
      <c r="AG57" s="38">
        <f t="shared" si="9"/>
        <v>0</v>
      </c>
      <c r="AH57" s="38"/>
      <c r="AI57" s="38"/>
      <c r="AJ57" s="38"/>
      <c r="AK57" s="38"/>
      <c r="AL57" s="38"/>
      <c r="AM57" s="38">
        <f t="shared" si="10"/>
        <v>0</v>
      </c>
      <c r="AN57" s="38"/>
      <c r="AO57" s="178"/>
      <c r="AP57" s="178"/>
      <c r="AQ57" s="178"/>
      <c r="AR57" s="178"/>
      <c r="AS57" s="178">
        <f t="shared" si="11"/>
        <v>0</v>
      </c>
      <c r="AT57" s="201"/>
      <c r="AU57" s="201"/>
      <c r="AV57" s="201"/>
      <c r="AW57" s="201"/>
      <c r="AX57" s="201"/>
      <c r="AY57" s="178">
        <f t="shared" si="12"/>
        <v>0</v>
      </c>
      <c r="AZ57" s="178"/>
      <c r="BA57" s="44"/>
      <c r="BB57" s="44"/>
      <c r="BC57" s="44"/>
      <c r="BD57" s="27"/>
      <c r="BE57" s="27">
        <f t="shared" si="13"/>
        <v>0</v>
      </c>
      <c r="BF57" s="44"/>
      <c r="BG57" s="44"/>
      <c r="BH57" s="44"/>
      <c r="BI57" s="44"/>
      <c r="BJ57" s="44"/>
      <c r="BK57" s="27">
        <f t="shared" si="14"/>
        <v>0</v>
      </c>
      <c r="BL57" s="27"/>
      <c r="BM57" s="181">
        <f t="shared" ref="BM57:BX57" si="210">E57+Q57</f>
        <v>1</v>
      </c>
      <c r="BN57" s="181">
        <f t="shared" si="210"/>
        <v>1</v>
      </c>
      <c r="BO57" s="181">
        <f t="shared" si="210"/>
        <v>4</v>
      </c>
      <c r="BP57" s="181">
        <f t="shared" si="210"/>
        <v>0</v>
      </c>
      <c r="BQ57" s="181">
        <f t="shared" si="210"/>
        <v>6</v>
      </c>
      <c r="BR57" s="181">
        <f t="shared" si="210"/>
        <v>0</v>
      </c>
      <c r="BS57" s="181">
        <f t="shared" si="210"/>
        <v>1</v>
      </c>
      <c r="BT57" s="181">
        <f t="shared" si="210"/>
        <v>1</v>
      </c>
      <c r="BU57" s="181">
        <f t="shared" si="210"/>
        <v>4</v>
      </c>
      <c r="BV57" s="181">
        <f t="shared" si="210"/>
        <v>0</v>
      </c>
      <c r="BW57" s="181">
        <f t="shared" si="210"/>
        <v>6</v>
      </c>
      <c r="BX57" s="181">
        <f t="shared" si="210"/>
        <v>0</v>
      </c>
      <c r="BY57" s="38">
        <f t="shared" ref="BY57:CJ57" si="211">AC57+AO57</f>
        <v>0</v>
      </c>
      <c r="BZ57" s="38">
        <f t="shared" si="211"/>
        <v>0</v>
      </c>
      <c r="CA57" s="38">
        <f t="shared" si="211"/>
        <v>0</v>
      </c>
      <c r="CB57" s="38">
        <f t="shared" si="211"/>
        <v>0</v>
      </c>
      <c r="CC57" s="38">
        <f t="shared" si="211"/>
        <v>0</v>
      </c>
      <c r="CD57" s="38">
        <f t="shared" si="211"/>
        <v>0</v>
      </c>
      <c r="CE57" s="38">
        <f t="shared" si="211"/>
        <v>0</v>
      </c>
      <c r="CF57" s="38">
        <f t="shared" si="211"/>
        <v>0</v>
      </c>
      <c r="CG57" s="38">
        <f t="shared" si="211"/>
        <v>0</v>
      </c>
      <c r="CH57" s="38">
        <f t="shared" si="211"/>
        <v>0</v>
      </c>
      <c r="CI57" s="38">
        <f t="shared" si="211"/>
        <v>0</v>
      </c>
      <c r="CJ57" s="38">
        <f t="shared" si="211"/>
        <v>0</v>
      </c>
      <c r="CK57" s="27">
        <f t="shared" ref="CK57:CN57" si="212">BA57+BM57+BY57</f>
        <v>1</v>
      </c>
      <c r="CL57" s="27">
        <f t="shared" si="212"/>
        <v>1</v>
      </c>
      <c r="CM57" s="27">
        <f t="shared" si="212"/>
        <v>4</v>
      </c>
      <c r="CN57" s="27">
        <f t="shared" si="212"/>
        <v>0</v>
      </c>
      <c r="CO57" s="27">
        <f t="shared" si="18"/>
        <v>6</v>
      </c>
      <c r="CP57" s="27">
        <f t="shared" ref="CP57:CT57" si="213">BF57+BR57+CD57</f>
        <v>0</v>
      </c>
      <c r="CQ57" s="27">
        <f t="shared" si="213"/>
        <v>1</v>
      </c>
      <c r="CR57" s="27">
        <f t="shared" si="213"/>
        <v>1</v>
      </c>
      <c r="CS57" s="27">
        <f t="shared" si="213"/>
        <v>4</v>
      </c>
      <c r="CT57" s="27">
        <f t="shared" si="213"/>
        <v>0</v>
      </c>
      <c r="CU57" s="27">
        <f t="shared" si="20"/>
        <v>6</v>
      </c>
      <c r="CV57" s="27">
        <f t="shared" si="21"/>
        <v>0</v>
      </c>
    </row>
    <row r="58" ht="15.75" customHeight="1">
      <c r="A58" s="1"/>
      <c r="B58" s="1"/>
      <c r="C58" s="13"/>
      <c r="D58" s="79" t="s">
        <v>1090</v>
      </c>
      <c r="E58" s="77"/>
      <c r="F58" s="77"/>
      <c r="G58" s="77"/>
      <c r="H58" s="77"/>
      <c r="I58" s="66">
        <f t="shared" si="5"/>
        <v>0</v>
      </c>
      <c r="J58" s="77"/>
      <c r="K58" s="77"/>
      <c r="L58" s="77"/>
      <c r="M58" s="77"/>
      <c r="N58" s="77"/>
      <c r="O58" s="66">
        <f t="shared" si="6"/>
        <v>0</v>
      </c>
      <c r="P58" s="66"/>
      <c r="Q58" s="42"/>
      <c r="R58" s="42"/>
      <c r="S58" s="42">
        <v>1.0</v>
      </c>
      <c r="T58" s="42"/>
      <c r="U58" s="42">
        <f t="shared" si="7"/>
        <v>1</v>
      </c>
      <c r="V58" s="42"/>
      <c r="W58" s="42"/>
      <c r="X58" s="42"/>
      <c r="Y58" s="42">
        <v>1.0</v>
      </c>
      <c r="Z58" s="42"/>
      <c r="AA58" s="42">
        <f t="shared" si="8"/>
        <v>1</v>
      </c>
      <c r="AB58" s="42"/>
      <c r="AC58" s="38"/>
      <c r="AD58" s="38"/>
      <c r="AE58" s="38"/>
      <c r="AF58" s="38"/>
      <c r="AG58" s="38">
        <f t="shared" si="9"/>
        <v>0</v>
      </c>
      <c r="AH58" s="38"/>
      <c r="AI58" s="38"/>
      <c r="AJ58" s="38"/>
      <c r="AK58" s="38"/>
      <c r="AL58" s="38"/>
      <c r="AM58" s="38">
        <f t="shared" si="10"/>
        <v>0</v>
      </c>
      <c r="AN58" s="38"/>
      <c r="AO58" s="178"/>
      <c r="AP58" s="178"/>
      <c r="AQ58" s="178"/>
      <c r="AR58" s="178"/>
      <c r="AS58" s="178">
        <f t="shared" si="11"/>
        <v>0</v>
      </c>
      <c r="AT58" s="201"/>
      <c r="AU58" s="201"/>
      <c r="AV58" s="201"/>
      <c r="AW58" s="201"/>
      <c r="AX58" s="201"/>
      <c r="AY58" s="178">
        <f t="shared" si="12"/>
        <v>0</v>
      </c>
      <c r="AZ58" s="178"/>
      <c r="BA58" s="44"/>
      <c r="BB58" s="44"/>
      <c r="BC58" s="44"/>
      <c r="BD58" s="27"/>
      <c r="BE58" s="27">
        <f t="shared" si="13"/>
        <v>0</v>
      </c>
      <c r="BF58" s="44"/>
      <c r="BG58" s="44"/>
      <c r="BH58" s="44"/>
      <c r="BI58" s="44"/>
      <c r="BJ58" s="44"/>
      <c r="BK58" s="27">
        <f t="shared" si="14"/>
        <v>0</v>
      </c>
      <c r="BL58" s="27"/>
      <c r="BM58" s="181">
        <f t="shared" ref="BM58:BX58" si="214">E58+Q58</f>
        <v>0</v>
      </c>
      <c r="BN58" s="181">
        <f t="shared" si="214"/>
        <v>0</v>
      </c>
      <c r="BO58" s="181">
        <f t="shared" si="214"/>
        <v>1</v>
      </c>
      <c r="BP58" s="181">
        <f t="shared" si="214"/>
        <v>0</v>
      </c>
      <c r="BQ58" s="181">
        <f t="shared" si="214"/>
        <v>1</v>
      </c>
      <c r="BR58" s="181">
        <f t="shared" si="214"/>
        <v>0</v>
      </c>
      <c r="BS58" s="181">
        <f t="shared" si="214"/>
        <v>0</v>
      </c>
      <c r="BT58" s="181">
        <f t="shared" si="214"/>
        <v>0</v>
      </c>
      <c r="BU58" s="181">
        <f t="shared" si="214"/>
        <v>1</v>
      </c>
      <c r="BV58" s="181">
        <f t="shared" si="214"/>
        <v>0</v>
      </c>
      <c r="BW58" s="181">
        <f t="shared" si="214"/>
        <v>1</v>
      </c>
      <c r="BX58" s="181">
        <f t="shared" si="214"/>
        <v>0</v>
      </c>
      <c r="BY58" s="38">
        <f t="shared" ref="BY58:CJ58" si="215">AC58+AO58</f>
        <v>0</v>
      </c>
      <c r="BZ58" s="38">
        <f t="shared" si="215"/>
        <v>0</v>
      </c>
      <c r="CA58" s="38">
        <f t="shared" si="215"/>
        <v>0</v>
      </c>
      <c r="CB58" s="38">
        <f t="shared" si="215"/>
        <v>0</v>
      </c>
      <c r="CC58" s="38">
        <f t="shared" si="215"/>
        <v>0</v>
      </c>
      <c r="CD58" s="38">
        <f t="shared" si="215"/>
        <v>0</v>
      </c>
      <c r="CE58" s="38">
        <f t="shared" si="215"/>
        <v>0</v>
      </c>
      <c r="CF58" s="38">
        <f t="shared" si="215"/>
        <v>0</v>
      </c>
      <c r="CG58" s="38">
        <f t="shared" si="215"/>
        <v>0</v>
      </c>
      <c r="CH58" s="38">
        <f t="shared" si="215"/>
        <v>0</v>
      </c>
      <c r="CI58" s="38">
        <f t="shared" si="215"/>
        <v>0</v>
      </c>
      <c r="CJ58" s="38">
        <f t="shared" si="215"/>
        <v>0</v>
      </c>
      <c r="CK58" s="27">
        <f t="shared" ref="CK58:CN58" si="216">BA58+BM58+BY58</f>
        <v>0</v>
      </c>
      <c r="CL58" s="27">
        <f t="shared" si="216"/>
        <v>0</v>
      </c>
      <c r="CM58" s="27">
        <f t="shared" si="216"/>
        <v>1</v>
      </c>
      <c r="CN58" s="27">
        <f t="shared" si="216"/>
        <v>0</v>
      </c>
      <c r="CO58" s="27">
        <f t="shared" si="18"/>
        <v>1</v>
      </c>
      <c r="CP58" s="27">
        <f t="shared" ref="CP58:CT58" si="217">BF58+BR58+CD58</f>
        <v>0</v>
      </c>
      <c r="CQ58" s="27">
        <f t="shared" si="217"/>
        <v>0</v>
      </c>
      <c r="CR58" s="27">
        <f t="shared" si="217"/>
        <v>0</v>
      </c>
      <c r="CS58" s="27">
        <f t="shared" si="217"/>
        <v>1</v>
      </c>
      <c r="CT58" s="27">
        <f t="shared" si="217"/>
        <v>0</v>
      </c>
      <c r="CU58" s="27">
        <f t="shared" si="20"/>
        <v>1</v>
      </c>
      <c r="CV58" s="27">
        <f t="shared" si="21"/>
        <v>0</v>
      </c>
    </row>
    <row r="59" ht="15.75" customHeight="1">
      <c r="A59" s="1"/>
      <c r="B59" s="1"/>
      <c r="C59" s="13"/>
      <c r="D59" s="26" t="s">
        <v>1091</v>
      </c>
      <c r="E59" s="77"/>
      <c r="F59" s="77"/>
      <c r="G59" s="77"/>
      <c r="H59" s="77"/>
      <c r="I59" s="66">
        <f t="shared" si="5"/>
        <v>0</v>
      </c>
      <c r="J59" s="77"/>
      <c r="K59" s="77"/>
      <c r="L59" s="77"/>
      <c r="M59" s="77"/>
      <c r="N59" s="77"/>
      <c r="O59" s="66">
        <f t="shared" si="6"/>
        <v>0</v>
      </c>
      <c r="P59" s="66"/>
      <c r="Q59" s="42">
        <v>3.0</v>
      </c>
      <c r="R59" s="42"/>
      <c r="S59" s="42">
        <v>2.0</v>
      </c>
      <c r="T59" s="42"/>
      <c r="U59" s="42">
        <f t="shared" si="7"/>
        <v>5</v>
      </c>
      <c r="V59" s="42"/>
      <c r="W59" s="42">
        <v>3.0</v>
      </c>
      <c r="X59" s="42"/>
      <c r="Y59" s="42">
        <v>2.0</v>
      </c>
      <c r="Z59" s="42"/>
      <c r="AA59" s="42">
        <f t="shared" si="8"/>
        <v>5</v>
      </c>
      <c r="AB59" s="42"/>
      <c r="AC59" s="38"/>
      <c r="AD59" s="38"/>
      <c r="AE59" s="38"/>
      <c r="AF59" s="38"/>
      <c r="AG59" s="38">
        <f t="shared" si="9"/>
        <v>0</v>
      </c>
      <c r="AH59" s="38"/>
      <c r="AI59" s="38"/>
      <c r="AJ59" s="38"/>
      <c r="AK59" s="38"/>
      <c r="AL59" s="38"/>
      <c r="AM59" s="38">
        <f t="shared" si="10"/>
        <v>0</v>
      </c>
      <c r="AN59" s="38"/>
      <c r="AO59" s="178"/>
      <c r="AP59" s="178"/>
      <c r="AQ59" s="178"/>
      <c r="AR59" s="178"/>
      <c r="AS59" s="178">
        <f t="shared" si="11"/>
        <v>0</v>
      </c>
      <c r="AT59" s="201"/>
      <c r="AU59" s="201"/>
      <c r="AV59" s="201"/>
      <c r="AW59" s="201"/>
      <c r="AX59" s="201"/>
      <c r="AY59" s="178">
        <f t="shared" si="12"/>
        <v>0</v>
      </c>
      <c r="AZ59" s="178"/>
      <c r="BA59" s="44"/>
      <c r="BB59" s="44"/>
      <c r="BC59" s="44"/>
      <c r="BD59" s="27"/>
      <c r="BE59" s="27">
        <f t="shared" si="13"/>
        <v>0</v>
      </c>
      <c r="BF59" s="44"/>
      <c r="BG59" s="44"/>
      <c r="BH59" s="44"/>
      <c r="BI59" s="44"/>
      <c r="BJ59" s="44"/>
      <c r="BK59" s="27">
        <f t="shared" si="14"/>
        <v>0</v>
      </c>
      <c r="BL59" s="27"/>
      <c r="BM59" s="181">
        <f t="shared" ref="BM59:BX59" si="218">E59+Q59</f>
        <v>3</v>
      </c>
      <c r="BN59" s="181">
        <f t="shared" si="218"/>
        <v>0</v>
      </c>
      <c r="BO59" s="181">
        <f t="shared" si="218"/>
        <v>2</v>
      </c>
      <c r="BP59" s="181">
        <f t="shared" si="218"/>
        <v>0</v>
      </c>
      <c r="BQ59" s="181">
        <f t="shared" si="218"/>
        <v>5</v>
      </c>
      <c r="BR59" s="181">
        <f t="shared" si="218"/>
        <v>0</v>
      </c>
      <c r="BS59" s="181">
        <f t="shared" si="218"/>
        <v>3</v>
      </c>
      <c r="BT59" s="181">
        <f t="shared" si="218"/>
        <v>0</v>
      </c>
      <c r="BU59" s="181">
        <f t="shared" si="218"/>
        <v>2</v>
      </c>
      <c r="BV59" s="181">
        <f t="shared" si="218"/>
        <v>0</v>
      </c>
      <c r="BW59" s="181">
        <f t="shared" si="218"/>
        <v>5</v>
      </c>
      <c r="BX59" s="181">
        <f t="shared" si="218"/>
        <v>0</v>
      </c>
      <c r="BY59" s="38">
        <f t="shared" ref="BY59:CJ59" si="219">AC59+AO59</f>
        <v>0</v>
      </c>
      <c r="BZ59" s="38">
        <f t="shared" si="219"/>
        <v>0</v>
      </c>
      <c r="CA59" s="38">
        <f t="shared" si="219"/>
        <v>0</v>
      </c>
      <c r="CB59" s="38">
        <f t="shared" si="219"/>
        <v>0</v>
      </c>
      <c r="CC59" s="38">
        <f t="shared" si="219"/>
        <v>0</v>
      </c>
      <c r="CD59" s="38">
        <f t="shared" si="219"/>
        <v>0</v>
      </c>
      <c r="CE59" s="38">
        <f t="shared" si="219"/>
        <v>0</v>
      </c>
      <c r="CF59" s="38">
        <f t="shared" si="219"/>
        <v>0</v>
      </c>
      <c r="CG59" s="38">
        <f t="shared" si="219"/>
        <v>0</v>
      </c>
      <c r="CH59" s="38">
        <f t="shared" si="219"/>
        <v>0</v>
      </c>
      <c r="CI59" s="38">
        <f t="shared" si="219"/>
        <v>0</v>
      </c>
      <c r="CJ59" s="38">
        <f t="shared" si="219"/>
        <v>0</v>
      </c>
      <c r="CK59" s="27">
        <f t="shared" ref="CK59:CN59" si="220">BA59+BM59+BY59</f>
        <v>3</v>
      </c>
      <c r="CL59" s="27">
        <f t="shared" si="220"/>
        <v>0</v>
      </c>
      <c r="CM59" s="27">
        <f t="shared" si="220"/>
        <v>2</v>
      </c>
      <c r="CN59" s="27">
        <f t="shared" si="220"/>
        <v>0</v>
      </c>
      <c r="CO59" s="27">
        <f t="shared" si="18"/>
        <v>5</v>
      </c>
      <c r="CP59" s="27">
        <f t="shared" ref="CP59:CT59" si="221">BF59+BR59+CD59</f>
        <v>0</v>
      </c>
      <c r="CQ59" s="27">
        <f t="shared" si="221"/>
        <v>3</v>
      </c>
      <c r="CR59" s="27">
        <f t="shared" si="221"/>
        <v>0</v>
      </c>
      <c r="CS59" s="27">
        <f t="shared" si="221"/>
        <v>2</v>
      </c>
      <c r="CT59" s="27">
        <f t="shared" si="221"/>
        <v>0</v>
      </c>
      <c r="CU59" s="27">
        <f t="shared" si="20"/>
        <v>5</v>
      </c>
      <c r="CV59" s="27">
        <f t="shared" si="21"/>
        <v>0</v>
      </c>
    </row>
    <row r="60" ht="15.75" customHeight="1">
      <c r="A60" s="1"/>
      <c r="B60" s="1"/>
      <c r="C60" s="13"/>
      <c r="D60" s="26" t="s">
        <v>172</v>
      </c>
      <c r="E60" s="77"/>
      <c r="F60" s="77"/>
      <c r="G60" s="77">
        <v>6.0</v>
      </c>
      <c r="H60" s="77"/>
      <c r="I60" s="66">
        <f t="shared" si="5"/>
        <v>6</v>
      </c>
      <c r="J60" s="77"/>
      <c r="K60" s="77"/>
      <c r="L60" s="77"/>
      <c r="M60" s="77">
        <v>6.0</v>
      </c>
      <c r="N60" s="77"/>
      <c r="O60" s="66">
        <f t="shared" si="6"/>
        <v>6</v>
      </c>
      <c r="P60" s="66"/>
      <c r="Q60" s="42"/>
      <c r="R60" s="42"/>
      <c r="S60" s="42">
        <v>1.0</v>
      </c>
      <c r="T60" s="42"/>
      <c r="U60" s="42">
        <f t="shared" si="7"/>
        <v>1</v>
      </c>
      <c r="V60" s="42"/>
      <c r="W60" s="42"/>
      <c r="X60" s="42"/>
      <c r="Y60" s="42">
        <v>1.0</v>
      </c>
      <c r="Z60" s="42"/>
      <c r="AA60" s="42">
        <f t="shared" si="8"/>
        <v>1</v>
      </c>
      <c r="AB60" s="42"/>
      <c r="AC60" s="38"/>
      <c r="AD60" s="38"/>
      <c r="AE60" s="38"/>
      <c r="AF60" s="38"/>
      <c r="AG60" s="38">
        <f t="shared" si="9"/>
        <v>0</v>
      </c>
      <c r="AH60" s="38"/>
      <c r="AI60" s="38"/>
      <c r="AJ60" s="38"/>
      <c r="AK60" s="38"/>
      <c r="AL60" s="38"/>
      <c r="AM60" s="38">
        <f t="shared" si="10"/>
        <v>0</v>
      </c>
      <c r="AN60" s="38"/>
      <c r="AO60" s="178"/>
      <c r="AP60" s="178"/>
      <c r="AQ60" s="178"/>
      <c r="AR60" s="178"/>
      <c r="AS60" s="178">
        <f t="shared" si="11"/>
        <v>0</v>
      </c>
      <c r="AT60" s="201"/>
      <c r="AU60" s="201"/>
      <c r="AV60" s="201"/>
      <c r="AW60" s="201"/>
      <c r="AX60" s="201"/>
      <c r="AY60" s="178">
        <f t="shared" si="12"/>
        <v>0</v>
      </c>
      <c r="AZ60" s="178"/>
      <c r="BA60" s="44"/>
      <c r="BB60" s="44"/>
      <c r="BC60" s="44"/>
      <c r="BD60" s="27"/>
      <c r="BE60" s="27">
        <f t="shared" si="13"/>
        <v>0</v>
      </c>
      <c r="BF60" s="44"/>
      <c r="BG60" s="44"/>
      <c r="BH60" s="44"/>
      <c r="BI60" s="44"/>
      <c r="BJ60" s="44"/>
      <c r="BK60" s="27">
        <f t="shared" si="14"/>
        <v>0</v>
      </c>
      <c r="BL60" s="27"/>
      <c r="BM60" s="181">
        <f t="shared" ref="BM60:BX60" si="222">E60+Q60</f>
        <v>0</v>
      </c>
      <c r="BN60" s="181">
        <f t="shared" si="222"/>
        <v>0</v>
      </c>
      <c r="BO60" s="181">
        <f t="shared" si="222"/>
        <v>7</v>
      </c>
      <c r="BP60" s="181">
        <f t="shared" si="222"/>
        <v>0</v>
      </c>
      <c r="BQ60" s="181">
        <f t="shared" si="222"/>
        <v>7</v>
      </c>
      <c r="BR60" s="181">
        <f t="shared" si="222"/>
        <v>0</v>
      </c>
      <c r="BS60" s="181">
        <f t="shared" si="222"/>
        <v>0</v>
      </c>
      <c r="BT60" s="181">
        <f t="shared" si="222"/>
        <v>0</v>
      </c>
      <c r="BU60" s="181">
        <f t="shared" si="222"/>
        <v>7</v>
      </c>
      <c r="BV60" s="181">
        <f t="shared" si="222"/>
        <v>0</v>
      </c>
      <c r="BW60" s="181">
        <f t="shared" si="222"/>
        <v>7</v>
      </c>
      <c r="BX60" s="181">
        <f t="shared" si="222"/>
        <v>0</v>
      </c>
      <c r="BY60" s="38">
        <f t="shared" ref="BY60:CJ60" si="223">AC60+AO60</f>
        <v>0</v>
      </c>
      <c r="BZ60" s="38">
        <f t="shared" si="223"/>
        <v>0</v>
      </c>
      <c r="CA60" s="38">
        <f t="shared" si="223"/>
        <v>0</v>
      </c>
      <c r="CB60" s="38">
        <f t="shared" si="223"/>
        <v>0</v>
      </c>
      <c r="CC60" s="38">
        <f t="shared" si="223"/>
        <v>0</v>
      </c>
      <c r="CD60" s="38">
        <f t="shared" si="223"/>
        <v>0</v>
      </c>
      <c r="CE60" s="38">
        <f t="shared" si="223"/>
        <v>0</v>
      </c>
      <c r="CF60" s="38">
        <f t="shared" si="223"/>
        <v>0</v>
      </c>
      <c r="CG60" s="38">
        <f t="shared" si="223"/>
        <v>0</v>
      </c>
      <c r="CH60" s="38">
        <f t="shared" si="223"/>
        <v>0</v>
      </c>
      <c r="CI60" s="38">
        <f t="shared" si="223"/>
        <v>0</v>
      </c>
      <c r="CJ60" s="38">
        <f t="shared" si="223"/>
        <v>0</v>
      </c>
      <c r="CK60" s="27">
        <f t="shared" ref="CK60:CN60" si="224">BA60+BM60+BY60</f>
        <v>0</v>
      </c>
      <c r="CL60" s="27">
        <f t="shared" si="224"/>
        <v>0</v>
      </c>
      <c r="CM60" s="27">
        <f t="shared" si="224"/>
        <v>7</v>
      </c>
      <c r="CN60" s="27">
        <f t="shared" si="224"/>
        <v>0</v>
      </c>
      <c r="CO60" s="27">
        <f t="shared" si="18"/>
        <v>7</v>
      </c>
      <c r="CP60" s="27">
        <f t="shared" ref="CP60:CT60" si="225">BF60+BR60+CD60</f>
        <v>0</v>
      </c>
      <c r="CQ60" s="27">
        <f t="shared" si="225"/>
        <v>0</v>
      </c>
      <c r="CR60" s="27">
        <f t="shared" si="225"/>
        <v>0</v>
      </c>
      <c r="CS60" s="27">
        <f t="shared" si="225"/>
        <v>7</v>
      </c>
      <c r="CT60" s="27">
        <f t="shared" si="225"/>
        <v>0</v>
      </c>
      <c r="CU60" s="27">
        <f t="shared" si="20"/>
        <v>7</v>
      </c>
      <c r="CV60" s="27">
        <f t="shared" si="21"/>
        <v>0</v>
      </c>
    </row>
    <row r="61" ht="15.75" customHeight="1">
      <c r="A61" s="1"/>
      <c r="B61" s="1"/>
      <c r="C61" s="13"/>
      <c r="D61" s="26" t="s">
        <v>179</v>
      </c>
      <c r="E61" s="77"/>
      <c r="F61" s="77"/>
      <c r="G61" s="77"/>
      <c r="H61" s="77">
        <v>9.0</v>
      </c>
      <c r="I61" s="66">
        <f t="shared" si="5"/>
        <v>9</v>
      </c>
      <c r="J61" s="77"/>
      <c r="K61" s="77"/>
      <c r="L61" s="77"/>
      <c r="M61" s="77"/>
      <c r="N61" s="77">
        <v>9.0</v>
      </c>
      <c r="O61" s="66">
        <f t="shared" si="6"/>
        <v>9</v>
      </c>
      <c r="P61" s="66"/>
      <c r="Q61" s="42"/>
      <c r="R61" s="42"/>
      <c r="S61" s="42"/>
      <c r="T61" s="42"/>
      <c r="U61" s="42">
        <f t="shared" si="7"/>
        <v>0</v>
      </c>
      <c r="V61" s="42"/>
      <c r="W61" s="42"/>
      <c r="X61" s="42"/>
      <c r="Y61" s="42"/>
      <c r="Z61" s="42"/>
      <c r="AA61" s="42">
        <f t="shared" si="8"/>
        <v>0</v>
      </c>
      <c r="AB61" s="42"/>
      <c r="AC61" s="38"/>
      <c r="AD61" s="38"/>
      <c r="AE61" s="38"/>
      <c r="AF61" s="38"/>
      <c r="AG61" s="38">
        <f t="shared" si="9"/>
        <v>0</v>
      </c>
      <c r="AH61" s="38"/>
      <c r="AI61" s="38"/>
      <c r="AJ61" s="38"/>
      <c r="AK61" s="38"/>
      <c r="AL61" s="38"/>
      <c r="AM61" s="38">
        <f t="shared" si="10"/>
        <v>0</v>
      </c>
      <c r="AN61" s="38"/>
      <c r="AO61" s="178"/>
      <c r="AP61" s="178"/>
      <c r="AQ61" s="178"/>
      <c r="AR61" s="178"/>
      <c r="AS61" s="178">
        <f t="shared" si="11"/>
        <v>0</v>
      </c>
      <c r="AT61" s="201"/>
      <c r="AU61" s="201"/>
      <c r="AV61" s="201"/>
      <c r="AW61" s="201"/>
      <c r="AX61" s="201"/>
      <c r="AY61" s="178">
        <f t="shared" si="12"/>
        <v>0</v>
      </c>
      <c r="AZ61" s="178"/>
      <c r="BA61" s="44"/>
      <c r="BB61" s="44"/>
      <c r="BC61" s="44">
        <v>14.0</v>
      </c>
      <c r="BD61" s="27"/>
      <c r="BE61" s="27">
        <f t="shared" si="13"/>
        <v>14</v>
      </c>
      <c r="BF61" s="44"/>
      <c r="BG61" s="44"/>
      <c r="BH61" s="44"/>
      <c r="BI61" s="44">
        <v>14.0</v>
      </c>
      <c r="BJ61" s="44"/>
      <c r="BK61" s="27">
        <f t="shared" si="14"/>
        <v>14</v>
      </c>
      <c r="BL61" s="27"/>
      <c r="BM61" s="181">
        <f t="shared" ref="BM61:BX61" si="226">E61+Q61</f>
        <v>0</v>
      </c>
      <c r="BN61" s="181">
        <f t="shared" si="226"/>
        <v>0</v>
      </c>
      <c r="BO61" s="181">
        <f t="shared" si="226"/>
        <v>0</v>
      </c>
      <c r="BP61" s="181">
        <f t="shared" si="226"/>
        <v>9</v>
      </c>
      <c r="BQ61" s="181">
        <f t="shared" si="226"/>
        <v>9</v>
      </c>
      <c r="BR61" s="181">
        <f t="shared" si="226"/>
        <v>0</v>
      </c>
      <c r="BS61" s="181">
        <f t="shared" si="226"/>
        <v>0</v>
      </c>
      <c r="BT61" s="181">
        <f t="shared" si="226"/>
        <v>0</v>
      </c>
      <c r="BU61" s="181">
        <f t="shared" si="226"/>
        <v>0</v>
      </c>
      <c r="BV61" s="181">
        <f t="shared" si="226"/>
        <v>9</v>
      </c>
      <c r="BW61" s="181">
        <f t="shared" si="226"/>
        <v>9</v>
      </c>
      <c r="BX61" s="181">
        <f t="shared" si="226"/>
        <v>0</v>
      </c>
      <c r="BY61" s="38">
        <f t="shared" ref="BY61:CJ61" si="227">AC61+AO61</f>
        <v>0</v>
      </c>
      <c r="BZ61" s="38">
        <f t="shared" si="227"/>
        <v>0</v>
      </c>
      <c r="CA61" s="38">
        <f t="shared" si="227"/>
        <v>0</v>
      </c>
      <c r="CB61" s="38">
        <f t="shared" si="227"/>
        <v>0</v>
      </c>
      <c r="CC61" s="38">
        <f t="shared" si="227"/>
        <v>0</v>
      </c>
      <c r="CD61" s="38">
        <f t="shared" si="227"/>
        <v>0</v>
      </c>
      <c r="CE61" s="38">
        <f t="shared" si="227"/>
        <v>0</v>
      </c>
      <c r="CF61" s="38">
        <f t="shared" si="227"/>
        <v>0</v>
      </c>
      <c r="CG61" s="38">
        <f t="shared" si="227"/>
        <v>0</v>
      </c>
      <c r="CH61" s="38">
        <f t="shared" si="227"/>
        <v>0</v>
      </c>
      <c r="CI61" s="38">
        <f t="shared" si="227"/>
        <v>0</v>
      </c>
      <c r="CJ61" s="38">
        <f t="shared" si="227"/>
        <v>0</v>
      </c>
      <c r="CK61" s="27">
        <f t="shared" ref="CK61:CN61" si="228">BA61+BM61+BY61</f>
        <v>0</v>
      </c>
      <c r="CL61" s="27">
        <f t="shared" si="228"/>
        <v>0</v>
      </c>
      <c r="CM61" s="27">
        <f t="shared" si="228"/>
        <v>14</v>
      </c>
      <c r="CN61" s="27">
        <f t="shared" si="228"/>
        <v>9</v>
      </c>
      <c r="CO61" s="27">
        <f t="shared" si="18"/>
        <v>23</v>
      </c>
      <c r="CP61" s="27">
        <f t="shared" ref="CP61:CT61" si="229">BF61+BR61+CD61</f>
        <v>0</v>
      </c>
      <c r="CQ61" s="27">
        <f t="shared" si="229"/>
        <v>0</v>
      </c>
      <c r="CR61" s="27">
        <f t="shared" si="229"/>
        <v>0</v>
      </c>
      <c r="CS61" s="27">
        <f t="shared" si="229"/>
        <v>14</v>
      </c>
      <c r="CT61" s="27">
        <f t="shared" si="229"/>
        <v>9</v>
      </c>
      <c r="CU61" s="27">
        <f t="shared" si="20"/>
        <v>23</v>
      </c>
      <c r="CV61" s="27">
        <f t="shared" si="21"/>
        <v>0</v>
      </c>
    </row>
    <row r="62" ht="15.75" customHeight="1">
      <c r="A62" s="1"/>
      <c r="B62" s="1"/>
      <c r="C62" s="13"/>
      <c r="D62" s="26" t="s">
        <v>1093</v>
      </c>
      <c r="E62" s="77">
        <v>1.0</v>
      </c>
      <c r="F62" s="77"/>
      <c r="G62" s="77">
        <v>11.0</v>
      </c>
      <c r="H62" s="77"/>
      <c r="I62" s="66">
        <f t="shared" si="5"/>
        <v>12</v>
      </c>
      <c r="J62" s="77"/>
      <c r="K62" s="77">
        <v>1.0</v>
      </c>
      <c r="L62" s="77"/>
      <c r="M62" s="77">
        <v>11.0</v>
      </c>
      <c r="N62" s="77"/>
      <c r="O62" s="66">
        <f t="shared" si="6"/>
        <v>12</v>
      </c>
      <c r="P62" s="66"/>
      <c r="Q62" s="42">
        <v>1.0</v>
      </c>
      <c r="R62" s="42"/>
      <c r="S62" s="42">
        <v>6.0</v>
      </c>
      <c r="T62" s="42">
        <v>11.0</v>
      </c>
      <c r="U62" s="42">
        <f t="shared" si="7"/>
        <v>18</v>
      </c>
      <c r="V62" s="42"/>
      <c r="W62" s="42">
        <v>1.0</v>
      </c>
      <c r="X62" s="42"/>
      <c r="Y62" s="42">
        <v>6.0</v>
      </c>
      <c r="Z62" s="42">
        <v>11.0</v>
      </c>
      <c r="AA62" s="42">
        <f t="shared" si="8"/>
        <v>18</v>
      </c>
      <c r="AB62" s="42"/>
      <c r="AC62" s="38"/>
      <c r="AD62" s="38"/>
      <c r="AE62" s="38"/>
      <c r="AF62" s="38"/>
      <c r="AG62" s="38">
        <f t="shared" si="9"/>
        <v>0</v>
      </c>
      <c r="AH62" s="38"/>
      <c r="AI62" s="38"/>
      <c r="AJ62" s="38"/>
      <c r="AK62" s="38"/>
      <c r="AL62" s="38"/>
      <c r="AM62" s="38">
        <f t="shared" si="10"/>
        <v>0</v>
      </c>
      <c r="AN62" s="38"/>
      <c r="AO62" s="178"/>
      <c r="AP62" s="178"/>
      <c r="AQ62" s="178"/>
      <c r="AR62" s="178"/>
      <c r="AS62" s="178">
        <f t="shared" si="11"/>
        <v>0</v>
      </c>
      <c r="AT62" s="201"/>
      <c r="AU62" s="201"/>
      <c r="AV62" s="201"/>
      <c r="AW62" s="201"/>
      <c r="AX62" s="201"/>
      <c r="AY62" s="178">
        <f t="shared" si="12"/>
        <v>0</v>
      </c>
      <c r="AZ62" s="178"/>
      <c r="BA62" s="44"/>
      <c r="BB62" s="44"/>
      <c r="BC62" s="44"/>
      <c r="BD62" s="27"/>
      <c r="BE62" s="27">
        <f t="shared" si="13"/>
        <v>0</v>
      </c>
      <c r="BF62" s="44"/>
      <c r="BG62" s="44"/>
      <c r="BH62" s="44"/>
      <c r="BI62" s="44"/>
      <c r="BJ62" s="44"/>
      <c r="BK62" s="27">
        <f t="shared" si="14"/>
        <v>0</v>
      </c>
      <c r="BL62" s="27"/>
      <c r="BM62" s="181">
        <f t="shared" ref="BM62:BX62" si="230">E62+Q62</f>
        <v>2</v>
      </c>
      <c r="BN62" s="181">
        <f t="shared" si="230"/>
        <v>0</v>
      </c>
      <c r="BO62" s="181">
        <f t="shared" si="230"/>
        <v>17</v>
      </c>
      <c r="BP62" s="181">
        <f t="shared" si="230"/>
        <v>11</v>
      </c>
      <c r="BQ62" s="181">
        <f t="shared" si="230"/>
        <v>30</v>
      </c>
      <c r="BR62" s="181">
        <f t="shared" si="230"/>
        <v>0</v>
      </c>
      <c r="BS62" s="181">
        <f t="shared" si="230"/>
        <v>2</v>
      </c>
      <c r="BT62" s="181">
        <f t="shared" si="230"/>
        <v>0</v>
      </c>
      <c r="BU62" s="181">
        <f t="shared" si="230"/>
        <v>17</v>
      </c>
      <c r="BV62" s="181">
        <f t="shared" si="230"/>
        <v>11</v>
      </c>
      <c r="BW62" s="181">
        <f t="shared" si="230"/>
        <v>30</v>
      </c>
      <c r="BX62" s="181">
        <f t="shared" si="230"/>
        <v>0</v>
      </c>
      <c r="BY62" s="38">
        <f t="shared" ref="BY62:CJ62" si="231">AC62+AO62</f>
        <v>0</v>
      </c>
      <c r="BZ62" s="38">
        <f t="shared" si="231"/>
        <v>0</v>
      </c>
      <c r="CA62" s="38">
        <f t="shared" si="231"/>
        <v>0</v>
      </c>
      <c r="CB62" s="38">
        <f t="shared" si="231"/>
        <v>0</v>
      </c>
      <c r="CC62" s="38">
        <f t="shared" si="231"/>
        <v>0</v>
      </c>
      <c r="CD62" s="38">
        <f t="shared" si="231"/>
        <v>0</v>
      </c>
      <c r="CE62" s="38">
        <f t="shared" si="231"/>
        <v>0</v>
      </c>
      <c r="CF62" s="38">
        <f t="shared" si="231"/>
        <v>0</v>
      </c>
      <c r="CG62" s="38">
        <f t="shared" si="231"/>
        <v>0</v>
      </c>
      <c r="CH62" s="38">
        <f t="shared" si="231"/>
        <v>0</v>
      </c>
      <c r="CI62" s="38">
        <f t="shared" si="231"/>
        <v>0</v>
      </c>
      <c r="CJ62" s="38">
        <f t="shared" si="231"/>
        <v>0</v>
      </c>
      <c r="CK62" s="27">
        <f t="shared" ref="CK62:CN62" si="232">BA62+BM62+BY62</f>
        <v>2</v>
      </c>
      <c r="CL62" s="27">
        <f t="shared" si="232"/>
        <v>0</v>
      </c>
      <c r="CM62" s="27">
        <f t="shared" si="232"/>
        <v>17</v>
      </c>
      <c r="CN62" s="27">
        <f t="shared" si="232"/>
        <v>11</v>
      </c>
      <c r="CO62" s="27">
        <f t="shared" si="18"/>
        <v>30</v>
      </c>
      <c r="CP62" s="27">
        <f t="shared" ref="CP62:CT62" si="233">BF62+BR62+CD62</f>
        <v>0</v>
      </c>
      <c r="CQ62" s="27">
        <f t="shared" si="233"/>
        <v>2</v>
      </c>
      <c r="CR62" s="27">
        <f t="shared" si="233"/>
        <v>0</v>
      </c>
      <c r="CS62" s="27">
        <f t="shared" si="233"/>
        <v>17</v>
      </c>
      <c r="CT62" s="27">
        <f t="shared" si="233"/>
        <v>11</v>
      </c>
      <c r="CU62" s="27">
        <f t="shared" si="20"/>
        <v>30</v>
      </c>
      <c r="CV62" s="27">
        <f t="shared" si="21"/>
        <v>0</v>
      </c>
    </row>
    <row r="63" ht="15.75" customHeight="1">
      <c r="A63" s="1"/>
      <c r="B63" s="1"/>
      <c r="C63" s="13"/>
      <c r="D63" s="26" t="s">
        <v>1095</v>
      </c>
      <c r="E63" s="77">
        <v>1.0</v>
      </c>
      <c r="F63" s="77"/>
      <c r="G63" s="77">
        <v>11.0</v>
      </c>
      <c r="H63" s="77"/>
      <c r="I63" s="66">
        <f t="shared" si="5"/>
        <v>12</v>
      </c>
      <c r="J63" s="77"/>
      <c r="K63" s="77">
        <v>1.0</v>
      </c>
      <c r="L63" s="77"/>
      <c r="M63" s="77">
        <v>11.0</v>
      </c>
      <c r="N63" s="77"/>
      <c r="O63" s="66">
        <f t="shared" si="6"/>
        <v>12</v>
      </c>
      <c r="P63" s="66"/>
      <c r="Q63" s="42"/>
      <c r="R63" s="42"/>
      <c r="S63" s="42"/>
      <c r="T63" s="42"/>
      <c r="U63" s="42">
        <f t="shared" si="7"/>
        <v>0</v>
      </c>
      <c r="V63" s="42"/>
      <c r="W63" s="42"/>
      <c r="X63" s="42"/>
      <c r="Y63" s="42"/>
      <c r="Z63" s="42"/>
      <c r="AA63" s="42">
        <f t="shared" si="8"/>
        <v>0</v>
      </c>
      <c r="AB63" s="42"/>
      <c r="AC63" s="38"/>
      <c r="AD63" s="38"/>
      <c r="AE63" s="38"/>
      <c r="AF63" s="38"/>
      <c r="AG63" s="38">
        <f t="shared" si="9"/>
        <v>0</v>
      </c>
      <c r="AH63" s="38"/>
      <c r="AI63" s="38"/>
      <c r="AJ63" s="38"/>
      <c r="AK63" s="38"/>
      <c r="AL63" s="38"/>
      <c r="AM63" s="38">
        <f t="shared" si="10"/>
        <v>0</v>
      </c>
      <c r="AN63" s="38"/>
      <c r="AO63" s="178"/>
      <c r="AP63" s="178"/>
      <c r="AQ63" s="178"/>
      <c r="AR63" s="178"/>
      <c r="AS63" s="178">
        <f t="shared" si="11"/>
        <v>0</v>
      </c>
      <c r="AT63" s="201"/>
      <c r="AU63" s="201"/>
      <c r="AV63" s="201"/>
      <c r="AW63" s="201"/>
      <c r="AX63" s="201"/>
      <c r="AY63" s="178">
        <f t="shared" si="12"/>
        <v>0</v>
      </c>
      <c r="AZ63" s="178"/>
      <c r="BA63" s="44"/>
      <c r="BB63" s="44"/>
      <c r="BC63" s="44"/>
      <c r="BD63" s="27"/>
      <c r="BE63" s="27">
        <f t="shared" si="13"/>
        <v>0</v>
      </c>
      <c r="BF63" s="44"/>
      <c r="BG63" s="44"/>
      <c r="BH63" s="44"/>
      <c r="BI63" s="44"/>
      <c r="BJ63" s="44"/>
      <c r="BK63" s="27">
        <f t="shared" si="14"/>
        <v>0</v>
      </c>
      <c r="BL63" s="27"/>
      <c r="BM63" s="181">
        <f t="shared" ref="BM63:BX63" si="234">E63+Q63</f>
        <v>1</v>
      </c>
      <c r="BN63" s="181">
        <f t="shared" si="234"/>
        <v>0</v>
      </c>
      <c r="BO63" s="181">
        <f t="shared" si="234"/>
        <v>11</v>
      </c>
      <c r="BP63" s="181">
        <f t="shared" si="234"/>
        <v>0</v>
      </c>
      <c r="BQ63" s="181">
        <f t="shared" si="234"/>
        <v>12</v>
      </c>
      <c r="BR63" s="181">
        <f t="shared" si="234"/>
        <v>0</v>
      </c>
      <c r="BS63" s="181">
        <f t="shared" si="234"/>
        <v>1</v>
      </c>
      <c r="BT63" s="181">
        <f t="shared" si="234"/>
        <v>0</v>
      </c>
      <c r="BU63" s="181">
        <f t="shared" si="234"/>
        <v>11</v>
      </c>
      <c r="BV63" s="181">
        <f t="shared" si="234"/>
        <v>0</v>
      </c>
      <c r="BW63" s="181">
        <f t="shared" si="234"/>
        <v>12</v>
      </c>
      <c r="BX63" s="181">
        <f t="shared" si="234"/>
        <v>0</v>
      </c>
      <c r="BY63" s="38">
        <f t="shared" ref="BY63:CJ63" si="235">AC63+AO63</f>
        <v>0</v>
      </c>
      <c r="BZ63" s="38">
        <f t="shared" si="235"/>
        <v>0</v>
      </c>
      <c r="CA63" s="38">
        <f t="shared" si="235"/>
        <v>0</v>
      </c>
      <c r="CB63" s="38">
        <f t="shared" si="235"/>
        <v>0</v>
      </c>
      <c r="CC63" s="38">
        <f t="shared" si="235"/>
        <v>0</v>
      </c>
      <c r="CD63" s="38">
        <f t="shared" si="235"/>
        <v>0</v>
      </c>
      <c r="CE63" s="38">
        <f t="shared" si="235"/>
        <v>0</v>
      </c>
      <c r="CF63" s="38">
        <f t="shared" si="235"/>
        <v>0</v>
      </c>
      <c r="CG63" s="38">
        <f t="shared" si="235"/>
        <v>0</v>
      </c>
      <c r="CH63" s="38">
        <f t="shared" si="235"/>
        <v>0</v>
      </c>
      <c r="CI63" s="38">
        <f t="shared" si="235"/>
        <v>0</v>
      </c>
      <c r="CJ63" s="38">
        <f t="shared" si="235"/>
        <v>0</v>
      </c>
      <c r="CK63" s="27">
        <f t="shared" ref="CK63:CN63" si="236">BA63+BM63+BY63</f>
        <v>1</v>
      </c>
      <c r="CL63" s="27">
        <f t="shared" si="236"/>
        <v>0</v>
      </c>
      <c r="CM63" s="27">
        <f t="shared" si="236"/>
        <v>11</v>
      </c>
      <c r="CN63" s="27">
        <f t="shared" si="236"/>
        <v>0</v>
      </c>
      <c r="CO63" s="27">
        <f t="shared" si="18"/>
        <v>12</v>
      </c>
      <c r="CP63" s="27">
        <f t="shared" ref="CP63:CT63" si="237">BF63+BR63+CD63</f>
        <v>0</v>
      </c>
      <c r="CQ63" s="27">
        <f t="shared" si="237"/>
        <v>1</v>
      </c>
      <c r="CR63" s="27">
        <f t="shared" si="237"/>
        <v>0</v>
      </c>
      <c r="CS63" s="27">
        <f t="shared" si="237"/>
        <v>11</v>
      </c>
      <c r="CT63" s="27">
        <f t="shared" si="237"/>
        <v>0</v>
      </c>
      <c r="CU63" s="27">
        <f t="shared" si="20"/>
        <v>12</v>
      </c>
      <c r="CV63" s="27">
        <f t="shared" si="21"/>
        <v>0</v>
      </c>
    </row>
    <row r="64" ht="15.75" customHeight="1">
      <c r="A64" s="1"/>
      <c r="B64" s="1"/>
      <c r="C64" s="13"/>
      <c r="D64" s="26" t="s">
        <v>119</v>
      </c>
      <c r="E64" s="77"/>
      <c r="F64" s="77"/>
      <c r="G64" s="77"/>
      <c r="H64" s="77"/>
      <c r="I64" s="66">
        <f t="shared" si="5"/>
        <v>0</v>
      </c>
      <c r="J64" s="77"/>
      <c r="K64" s="77"/>
      <c r="L64" s="77"/>
      <c r="M64" s="77"/>
      <c r="N64" s="77"/>
      <c r="O64" s="66">
        <f t="shared" si="6"/>
        <v>0</v>
      </c>
      <c r="P64" s="66"/>
      <c r="Q64" s="42"/>
      <c r="R64" s="42"/>
      <c r="S64" s="42"/>
      <c r="T64" s="42"/>
      <c r="U64" s="42">
        <f t="shared" si="7"/>
        <v>0</v>
      </c>
      <c r="V64" s="42"/>
      <c r="W64" s="42"/>
      <c r="X64" s="42"/>
      <c r="Y64" s="42"/>
      <c r="Z64" s="42"/>
      <c r="AA64" s="42">
        <f t="shared" si="8"/>
        <v>0</v>
      </c>
      <c r="AB64" s="42"/>
      <c r="AC64" s="38"/>
      <c r="AD64" s="38">
        <v>2.0</v>
      </c>
      <c r="AE64" s="38">
        <v>5.0</v>
      </c>
      <c r="AF64" s="38"/>
      <c r="AG64" s="38">
        <f t="shared" si="9"/>
        <v>7</v>
      </c>
      <c r="AH64" s="38"/>
      <c r="AI64" s="38"/>
      <c r="AJ64" s="38">
        <v>2.0</v>
      </c>
      <c r="AK64" s="38">
        <v>5.0</v>
      </c>
      <c r="AL64" s="38"/>
      <c r="AM64" s="38">
        <f t="shared" si="10"/>
        <v>7</v>
      </c>
      <c r="AN64" s="38"/>
      <c r="AO64" s="178"/>
      <c r="AP64" s="178"/>
      <c r="AQ64" s="178"/>
      <c r="AR64" s="178"/>
      <c r="AS64" s="178">
        <f t="shared" si="11"/>
        <v>0</v>
      </c>
      <c r="AT64" s="201"/>
      <c r="AU64" s="201"/>
      <c r="AV64" s="201"/>
      <c r="AW64" s="201"/>
      <c r="AX64" s="201"/>
      <c r="AY64" s="178">
        <f t="shared" si="12"/>
        <v>0</v>
      </c>
      <c r="AZ64" s="178"/>
      <c r="BA64" s="44"/>
      <c r="BB64" s="44"/>
      <c r="BC64" s="44"/>
      <c r="BD64" s="27"/>
      <c r="BE64" s="27">
        <f t="shared" si="13"/>
        <v>0</v>
      </c>
      <c r="BF64" s="44"/>
      <c r="BG64" s="44"/>
      <c r="BH64" s="44"/>
      <c r="BI64" s="44"/>
      <c r="BJ64" s="44"/>
      <c r="BK64" s="27">
        <f t="shared" si="14"/>
        <v>0</v>
      </c>
      <c r="BL64" s="27"/>
      <c r="BM64" s="181">
        <f t="shared" ref="BM64:BX64" si="238">E64+Q64</f>
        <v>0</v>
      </c>
      <c r="BN64" s="181">
        <f t="shared" si="238"/>
        <v>0</v>
      </c>
      <c r="BO64" s="181">
        <f t="shared" si="238"/>
        <v>0</v>
      </c>
      <c r="BP64" s="181">
        <f t="shared" si="238"/>
        <v>0</v>
      </c>
      <c r="BQ64" s="181">
        <f t="shared" si="238"/>
        <v>0</v>
      </c>
      <c r="BR64" s="181">
        <f t="shared" si="238"/>
        <v>0</v>
      </c>
      <c r="BS64" s="181">
        <f t="shared" si="238"/>
        <v>0</v>
      </c>
      <c r="BT64" s="181">
        <f t="shared" si="238"/>
        <v>0</v>
      </c>
      <c r="BU64" s="181">
        <f t="shared" si="238"/>
        <v>0</v>
      </c>
      <c r="BV64" s="181">
        <f t="shared" si="238"/>
        <v>0</v>
      </c>
      <c r="BW64" s="181">
        <f t="shared" si="238"/>
        <v>0</v>
      </c>
      <c r="BX64" s="181">
        <f t="shared" si="238"/>
        <v>0</v>
      </c>
      <c r="BY64" s="38">
        <f t="shared" ref="BY64:CJ64" si="239">AC64+AO64</f>
        <v>0</v>
      </c>
      <c r="BZ64" s="38">
        <f t="shared" si="239"/>
        <v>2</v>
      </c>
      <c r="CA64" s="38">
        <f t="shared" si="239"/>
        <v>5</v>
      </c>
      <c r="CB64" s="38">
        <f t="shared" si="239"/>
        <v>0</v>
      </c>
      <c r="CC64" s="38">
        <f t="shared" si="239"/>
        <v>7</v>
      </c>
      <c r="CD64" s="38">
        <f t="shared" si="239"/>
        <v>0</v>
      </c>
      <c r="CE64" s="38">
        <f t="shared" si="239"/>
        <v>0</v>
      </c>
      <c r="CF64" s="38">
        <f t="shared" si="239"/>
        <v>2</v>
      </c>
      <c r="CG64" s="38">
        <f t="shared" si="239"/>
        <v>5</v>
      </c>
      <c r="CH64" s="38">
        <f t="shared" si="239"/>
        <v>0</v>
      </c>
      <c r="CI64" s="38">
        <f t="shared" si="239"/>
        <v>7</v>
      </c>
      <c r="CJ64" s="38">
        <f t="shared" si="239"/>
        <v>0</v>
      </c>
      <c r="CK64" s="27">
        <f t="shared" ref="CK64:CN64" si="240">BA64+BM64+BY64</f>
        <v>0</v>
      </c>
      <c r="CL64" s="27">
        <f t="shared" si="240"/>
        <v>2</v>
      </c>
      <c r="CM64" s="27">
        <f t="shared" si="240"/>
        <v>5</v>
      </c>
      <c r="CN64" s="27">
        <f t="shared" si="240"/>
        <v>0</v>
      </c>
      <c r="CO64" s="27">
        <f t="shared" si="18"/>
        <v>7</v>
      </c>
      <c r="CP64" s="27">
        <f t="shared" ref="CP64:CT64" si="241">BF64+BR64+CD64</f>
        <v>0</v>
      </c>
      <c r="CQ64" s="27">
        <f t="shared" si="241"/>
        <v>0</v>
      </c>
      <c r="CR64" s="27">
        <f t="shared" si="241"/>
        <v>2</v>
      </c>
      <c r="CS64" s="27">
        <f t="shared" si="241"/>
        <v>5</v>
      </c>
      <c r="CT64" s="27">
        <f t="shared" si="241"/>
        <v>0</v>
      </c>
      <c r="CU64" s="27">
        <f t="shared" si="20"/>
        <v>7</v>
      </c>
      <c r="CV64" s="27">
        <f t="shared" si="21"/>
        <v>0</v>
      </c>
    </row>
    <row r="65" ht="15.75" customHeight="1">
      <c r="A65" s="1"/>
      <c r="B65" s="1"/>
      <c r="C65" s="13"/>
      <c r="D65" s="26" t="s">
        <v>122</v>
      </c>
      <c r="E65" s="77"/>
      <c r="F65" s="77"/>
      <c r="G65" s="77"/>
      <c r="H65" s="77"/>
      <c r="I65" s="66">
        <f t="shared" si="5"/>
        <v>0</v>
      </c>
      <c r="J65" s="77"/>
      <c r="K65" s="77"/>
      <c r="L65" s="77"/>
      <c r="M65" s="77"/>
      <c r="N65" s="77"/>
      <c r="O65" s="66">
        <f t="shared" si="6"/>
        <v>0</v>
      </c>
      <c r="P65" s="66"/>
      <c r="Q65" s="42"/>
      <c r="R65" s="42"/>
      <c r="S65" s="42"/>
      <c r="T65" s="42"/>
      <c r="U65" s="42">
        <f t="shared" si="7"/>
        <v>0</v>
      </c>
      <c r="V65" s="42"/>
      <c r="W65" s="42"/>
      <c r="X65" s="42"/>
      <c r="Y65" s="42"/>
      <c r="Z65" s="42"/>
      <c r="AA65" s="42">
        <f t="shared" si="8"/>
        <v>0</v>
      </c>
      <c r="AB65" s="42"/>
      <c r="AC65" s="38"/>
      <c r="AD65" s="38">
        <v>2.0</v>
      </c>
      <c r="AE65" s="38">
        <v>13.0</v>
      </c>
      <c r="AF65" s="38"/>
      <c r="AG65" s="38">
        <f t="shared" si="9"/>
        <v>15</v>
      </c>
      <c r="AH65" s="38"/>
      <c r="AI65" s="38"/>
      <c r="AJ65" s="38">
        <v>2.0</v>
      </c>
      <c r="AK65" s="38">
        <v>13.0</v>
      </c>
      <c r="AL65" s="38"/>
      <c r="AM65" s="38">
        <f t="shared" si="10"/>
        <v>15</v>
      </c>
      <c r="AN65" s="38"/>
      <c r="AO65" s="178"/>
      <c r="AP65" s="178"/>
      <c r="AQ65" s="178"/>
      <c r="AR65" s="178"/>
      <c r="AS65" s="178">
        <f t="shared" si="11"/>
        <v>0</v>
      </c>
      <c r="AT65" s="201"/>
      <c r="AU65" s="201"/>
      <c r="AV65" s="201"/>
      <c r="AW65" s="201"/>
      <c r="AX65" s="201"/>
      <c r="AY65" s="178">
        <f t="shared" si="12"/>
        <v>0</v>
      </c>
      <c r="AZ65" s="178"/>
      <c r="BA65" s="44"/>
      <c r="BB65" s="44"/>
      <c r="BC65" s="44"/>
      <c r="BD65" s="27"/>
      <c r="BE65" s="27">
        <f t="shared" si="13"/>
        <v>0</v>
      </c>
      <c r="BF65" s="44"/>
      <c r="BG65" s="44"/>
      <c r="BH65" s="44"/>
      <c r="BI65" s="44"/>
      <c r="BJ65" s="44"/>
      <c r="BK65" s="27">
        <f t="shared" si="14"/>
        <v>0</v>
      </c>
      <c r="BL65" s="27"/>
      <c r="BM65" s="181">
        <f t="shared" ref="BM65:BX65" si="242">E65+Q65</f>
        <v>0</v>
      </c>
      <c r="BN65" s="181">
        <f t="shared" si="242"/>
        <v>0</v>
      </c>
      <c r="BO65" s="181">
        <f t="shared" si="242"/>
        <v>0</v>
      </c>
      <c r="BP65" s="181">
        <f t="shared" si="242"/>
        <v>0</v>
      </c>
      <c r="BQ65" s="181">
        <f t="shared" si="242"/>
        <v>0</v>
      </c>
      <c r="BR65" s="181">
        <f t="shared" si="242"/>
        <v>0</v>
      </c>
      <c r="BS65" s="181">
        <f t="shared" si="242"/>
        <v>0</v>
      </c>
      <c r="BT65" s="181">
        <f t="shared" si="242"/>
        <v>0</v>
      </c>
      <c r="BU65" s="181">
        <f t="shared" si="242"/>
        <v>0</v>
      </c>
      <c r="BV65" s="181">
        <f t="shared" si="242"/>
        <v>0</v>
      </c>
      <c r="BW65" s="181">
        <f t="shared" si="242"/>
        <v>0</v>
      </c>
      <c r="BX65" s="181">
        <f t="shared" si="242"/>
        <v>0</v>
      </c>
      <c r="BY65" s="38">
        <f t="shared" ref="BY65:CJ65" si="243">AC65+AO65</f>
        <v>0</v>
      </c>
      <c r="BZ65" s="38">
        <f t="shared" si="243"/>
        <v>2</v>
      </c>
      <c r="CA65" s="38">
        <f t="shared" si="243"/>
        <v>13</v>
      </c>
      <c r="CB65" s="38">
        <f t="shared" si="243"/>
        <v>0</v>
      </c>
      <c r="CC65" s="38">
        <f t="shared" si="243"/>
        <v>15</v>
      </c>
      <c r="CD65" s="38">
        <f t="shared" si="243"/>
        <v>0</v>
      </c>
      <c r="CE65" s="38">
        <f t="shared" si="243"/>
        <v>0</v>
      </c>
      <c r="CF65" s="38">
        <f t="shared" si="243"/>
        <v>2</v>
      </c>
      <c r="CG65" s="38">
        <f t="shared" si="243"/>
        <v>13</v>
      </c>
      <c r="CH65" s="38">
        <f t="shared" si="243"/>
        <v>0</v>
      </c>
      <c r="CI65" s="38">
        <f t="shared" si="243"/>
        <v>15</v>
      </c>
      <c r="CJ65" s="38">
        <f t="shared" si="243"/>
        <v>0</v>
      </c>
      <c r="CK65" s="27">
        <f t="shared" ref="CK65:CN65" si="244">BA65+BM65+BY65</f>
        <v>0</v>
      </c>
      <c r="CL65" s="27">
        <f t="shared" si="244"/>
        <v>2</v>
      </c>
      <c r="CM65" s="27">
        <f t="shared" si="244"/>
        <v>13</v>
      </c>
      <c r="CN65" s="27">
        <f t="shared" si="244"/>
        <v>0</v>
      </c>
      <c r="CO65" s="27">
        <f t="shared" si="18"/>
        <v>15</v>
      </c>
      <c r="CP65" s="27">
        <f t="shared" ref="CP65:CT65" si="245">BF65+BR65+CD65</f>
        <v>0</v>
      </c>
      <c r="CQ65" s="27">
        <f t="shared" si="245"/>
        <v>0</v>
      </c>
      <c r="CR65" s="27">
        <f t="shared" si="245"/>
        <v>2</v>
      </c>
      <c r="CS65" s="27">
        <f t="shared" si="245"/>
        <v>13</v>
      </c>
      <c r="CT65" s="27">
        <f t="shared" si="245"/>
        <v>0</v>
      </c>
      <c r="CU65" s="27">
        <f t="shared" si="20"/>
        <v>15</v>
      </c>
      <c r="CV65" s="27">
        <f t="shared" si="21"/>
        <v>0</v>
      </c>
    </row>
    <row r="66" ht="15.75" customHeight="1">
      <c r="A66" s="1"/>
      <c r="B66" s="1"/>
      <c r="C66" s="13"/>
      <c r="D66" s="26" t="s">
        <v>1099</v>
      </c>
      <c r="E66" s="77"/>
      <c r="F66" s="77"/>
      <c r="G66" s="77"/>
      <c r="H66" s="77"/>
      <c r="I66" s="66">
        <f t="shared" si="5"/>
        <v>0</v>
      </c>
      <c r="J66" s="77"/>
      <c r="K66" s="77"/>
      <c r="L66" s="77"/>
      <c r="M66" s="77"/>
      <c r="N66" s="77"/>
      <c r="O66" s="66">
        <f t="shared" si="6"/>
        <v>0</v>
      </c>
      <c r="P66" s="66"/>
      <c r="Q66" s="42"/>
      <c r="R66" s="42"/>
      <c r="S66" s="42"/>
      <c r="T66" s="42"/>
      <c r="U66" s="42">
        <f t="shared" si="7"/>
        <v>0</v>
      </c>
      <c r="V66" s="42"/>
      <c r="W66" s="42"/>
      <c r="X66" s="42"/>
      <c r="Y66" s="42"/>
      <c r="Z66" s="42"/>
      <c r="AA66" s="42">
        <f t="shared" si="8"/>
        <v>0</v>
      </c>
      <c r="AB66" s="42"/>
      <c r="AC66" s="38">
        <v>1.0</v>
      </c>
      <c r="AD66" s="38">
        <f>1+1</f>
        <v>2</v>
      </c>
      <c r="AE66" s="38">
        <v>4.0</v>
      </c>
      <c r="AF66" s="38"/>
      <c r="AG66" s="38">
        <f t="shared" si="9"/>
        <v>7</v>
      </c>
      <c r="AH66" s="38"/>
      <c r="AI66" s="38">
        <v>1.0</v>
      </c>
      <c r="AJ66" s="38">
        <f>1+1</f>
        <v>2</v>
      </c>
      <c r="AK66" s="38">
        <v>4.0</v>
      </c>
      <c r="AL66" s="38"/>
      <c r="AM66" s="38">
        <f t="shared" si="10"/>
        <v>7</v>
      </c>
      <c r="AN66" s="38"/>
      <c r="AO66" s="178"/>
      <c r="AP66" s="178"/>
      <c r="AQ66" s="178"/>
      <c r="AR66" s="178"/>
      <c r="AS66" s="178">
        <f t="shared" si="11"/>
        <v>0</v>
      </c>
      <c r="AT66" s="201"/>
      <c r="AU66" s="201"/>
      <c r="AV66" s="201"/>
      <c r="AW66" s="201"/>
      <c r="AX66" s="201"/>
      <c r="AY66" s="178">
        <f t="shared" si="12"/>
        <v>0</v>
      </c>
      <c r="AZ66" s="178"/>
      <c r="BA66" s="44"/>
      <c r="BB66" s="44"/>
      <c r="BC66" s="44"/>
      <c r="BD66" s="27"/>
      <c r="BE66" s="27">
        <f t="shared" si="13"/>
        <v>0</v>
      </c>
      <c r="BF66" s="44"/>
      <c r="BG66" s="44"/>
      <c r="BH66" s="44"/>
      <c r="BI66" s="44"/>
      <c r="BJ66" s="44"/>
      <c r="BK66" s="27">
        <f t="shared" si="14"/>
        <v>0</v>
      </c>
      <c r="BL66" s="27"/>
      <c r="BM66" s="181">
        <f t="shared" ref="BM66:BX66" si="246">E66+Q66</f>
        <v>0</v>
      </c>
      <c r="BN66" s="181">
        <f t="shared" si="246"/>
        <v>0</v>
      </c>
      <c r="BO66" s="181">
        <f t="shared" si="246"/>
        <v>0</v>
      </c>
      <c r="BP66" s="181">
        <f t="shared" si="246"/>
        <v>0</v>
      </c>
      <c r="BQ66" s="181">
        <f t="shared" si="246"/>
        <v>0</v>
      </c>
      <c r="BR66" s="181">
        <f t="shared" si="246"/>
        <v>0</v>
      </c>
      <c r="BS66" s="181">
        <f t="shared" si="246"/>
        <v>0</v>
      </c>
      <c r="BT66" s="181">
        <f t="shared" si="246"/>
        <v>0</v>
      </c>
      <c r="BU66" s="181">
        <f t="shared" si="246"/>
        <v>0</v>
      </c>
      <c r="BV66" s="181">
        <f t="shared" si="246"/>
        <v>0</v>
      </c>
      <c r="BW66" s="181">
        <f t="shared" si="246"/>
        <v>0</v>
      </c>
      <c r="BX66" s="181">
        <f t="shared" si="246"/>
        <v>0</v>
      </c>
      <c r="BY66" s="38">
        <f t="shared" ref="BY66:CJ66" si="247">AC66+AO66</f>
        <v>1</v>
      </c>
      <c r="BZ66" s="38">
        <f t="shared" si="247"/>
        <v>2</v>
      </c>
      <c r="CA66" s="38">
        <f t="shared" si="247"/>
        <v>4</v>
      </c>
      <c r="CB66" s="38">
        <f t="shared" si="247"/>
        <v>0</v>
      </c>
      <c r="CC66" s="38">
        <f t="shared" si="247"/>
        <v>7</v>
      </c>
      <c r="CD66" s="38">
        <f t="shared" si="247"/>
        <v>0</v>
      </c>
      <c r="CE66" s="38">
        <f t="shared" si="247"/>
        <v>1</v>
      </c>
      <c r="CF66" s="38">
        <f t="shared" si="247"/>
        <v>2</v>
      </c>
      <c r="CG66" s="38">
        <f t="shared" si="247"/>
        <v>4</v>
      </c>
      <c r="CH66" s="38">
        <f t="shared" si="247"/>
        <v>0</v>
      </c>
      <c r="CI66" s="38">
        <f t="shared" si="247"/>
        <v>7</v>
      </c>
      <c r="CJ66" s="38">
        <f t="shared" si="247"/>
        <v>0</v>
      </c>
      <c r="CK66" s="27">
        <f t="shared" ref="CK66:CN66" si="248">BA66+BM66+BY66</f>
        <v>1</v>
      </c>
      <c r="CL66" s="27">
        <f t="shared" si="248"/>
        <v>2</v>
      </c>
      <c r="CM66" s="27">
        <f t="shared" si="248"/>
        <v>4</v>
      </c>
      <c r="CN66" s="27">
        <f t="shared" si="248"/>
        <v>0</v>
      </c>
      <c r="CO66" s="27">
        <f t="shared" si="18"/>
        <v>7</v>
      </c>
      <c r="CP66" s="27">
        <f t="shared" ref="CP66:CT66" si="249">BF66+BR66+CD66</f>
        <v>0</v>
      </c>
      <c r="CQ66" s="27">
        <f t="shared" si="249"/>
        <v>1</v>
      </c>
      <c r="CR66" s="27">
        <f t="shared" si="249"/>
        <v>2</v>
      </c>
      <c r="CS66" s="27">
        <f t="shared" si="249"/>
        <v>4</v>
      </c>
      <c r="CT66" s="27">
        <f t="shared" si="249"/>
        <v>0</v>
      </c>
      <c r="CU66" s="27">
        <f t="shared" si="20"/>
        <v>7</v>
      </c>
      <c r="CV66" s="27">
        <f t="shared" si="21"/>
        <v>0</v>
      </c>
    </row>
    <row r="67" ht="15.75" customHeight="1">
      <c r="A67" s="1"/>
      <c r="B67" s="1"/>
      <c r="C67" s="13"/>
      <c r="D67" s="26" t="s">
        <v>127</v>
      </c>
      <c r="E67" s="77"/>
      <c r="F67" s="77"/>
      <c r="G67" s="77"/>
      <c r="H67" s="77"/>
      <c r="I67" s="66">
        <f t="shared" si="5"/>
        <v>0</v>
      </c>
      <c r="J67" s="77"/>
      <c r="K67" s="77"/>
      <c r="L67" s="77"/>
      <c r="M67" s="77"/>
      <c r="N67" s="77"/>
      <c r="O67" s="66">
        <f t="shared" si="6"/>
        <v>0</v>
      </c>
      <c r="P67" s="66"/>
      <c r="Q67" s="42"/>
      <c r="R67" s="42"/>
      <c r="S67" s="42"/>
      <c r="T67" s="42"/>
      <c r="U67" s="42">
        <f t="shared" si="7"/>
        <v>0</v>
      </c>
      <c r="V67" s="42"/>
      <c r="W67" s="42"/>
      <c r="X67" s="42"/>
      <c r="Y67" s="42"/>
      <c r="Z67" s="42"/>
      <c r="AA67" s="42">
        <f t="shared" si="8"/>
        <v>0</v>
      </c>
      <c r="AB67" s="42"/>
      <c r="AC67" s="38">
        <v>1.0</v>
      </c>
      <c r="AD67" s="38">
        <v>1.0</v>
      </c>
      <c r="AE67" s="38">
        <v>6.0</v>
      </c>
      <c r="AF67" s="38"/>
      <c r="AG67" s="38">
        <f t="shared" si="9"/>
        <v>8</v>
      </c>
      <c r="AH67" s="38"/>
      <c r="AI67" s="38">
        <v>1.0</v>
      </c>
      <c r="AJ67" s="38">
        <v>1.0</v>
      </c>
      <c r="AK67" s="38">
        <v>6.0</v>
      </c>
      <c r="AL67" s="38"/>
      <c r="AM67" s="38">
        <f t="shared" si="10"/>
        <v>8</v>
      </c>
      <c r="AN67" s="38"/>
      <c r="AO67" s="178"/>
      <c r="AP67" s="178"/>
      <c r="AQ67" s="178"/>
      <c r="AR67" s="178"/>
      <c r="AS67" s="178">
        <f t="shared" si="11"/>
        <v>0</v>
      </c>
      <c r="AT67" s="201"/>
      <c r="AU67" s="201"/>
      <c r="AV67" s="201"/>
      <c r="AW67" s="201"/>
      <c r="AX67" s="201"/>
      <c r="AY67" s="178">
        <f t="shared" si="12"/>
        <v>0</v>
      </c>
      <c r="AZ67" s="178"/>
      <c r="BA67" s="44"/>
      <c r="BB67" s="44"/>
      <c r="BC67" s="44"/>
      <c r="BD67" s="27"/>
      <c r="BE67" s="27">
        <f t="shared" si="13"/>
        <v>0</v>
      </c>
      <c r="BF67" s="44"/>
      <c r="BG67" s="44"/>
      <c r="BH67" s="44"/>
      <c r="BI67" s="44"/>
      <c r="BJ67" s="44"/>
      <c r="BK67" s="27">
        <f t="shared" si="14"/>
        <v>0</v>
      </c>
      <c r="BL67" s="27"/>
      <c r="BM67" s="181">
        <f t="shared" ref="BM67:BX67" si="250">E67+Q67</f>
        <v>0</v>
      </c>
      <c r="BN67" s="181">
        <f t="shared" si="250"/>
        <v>0</v>
      </c>
      <c r="BO67" s="181">
        <f t="shared" si="250"/>
        <v>0</v>
      </c>
      <c r="BP67" s="181">
        <f t="shared" si="250"/>
        <v>0</v>
      </c>
      <c r="BQ67" s="181">
        <f t="shared" si="250"/>
        <v>0</v>
      </c>
      <c r="BR67" s="181">
        <f t="shared" si="250"/>
        <v>0</v>
      </c>
      <c r="BS67" s="181">
        <f t="shared" si="250"/>
        <v>0</v>
      </c>
      <c r="BT67" s="181">
        <f t="shared" si="250"/>
        <v>0</v>
      </c>
      <c r="BU67" s="181">
        <f t="shared" si="250"/>
        <v>0</v>
      </c>
      <c r="BV67" s="181">
        <f t="shared" si="250"/>
        <v>0</v>
      </c>
      <c r="BW67" s="181">
        <f t="shared" si="250"/>
        <v>0</v>
      </c>
      <c r="BX67" s="181">
        <f t="shared" si="250"/>
        <v>0</v>
      </c>
      <c r="BY67" s="38">
        <f t="shared" ref="BY67:CJ67" si="251">AC67+AO67</f>
        <v>1</v>
      </c>
      <c r="BZ67" s="38">
        <f t="shared" si="251"/>
        <v>1</v>
      </c>
      <c r="CA67" s="38">
        <f t="shared" si="251"/>
        <v>6</v>
      </c>
      <c r="CB67" s="38">
        <f t="shared" si="251"/>
        <v>0</v>
      </c>
      <c r="CC67" s="38">
        <f t="shared" si="251"/>
        <v>8</v>
      </c>
      <c r="CD67" s="38">
        <f t="shared" si="251"/>
        <v>0</v>
      </c>
      <c r="CE67" s="38">
        <f t="shared" si="251"/>
        <v>1</v>
      </c>
      <c r="CF67" s="38">
        <f t="shared" si="251"/>
        <v>1</v>
      </c>
      <c r="CG67" s="38">
        <f t="shared" si="251"/>
        <v>6</v>
      </c>
      <c r="CH67" s="38">
        <f t="shared" si="251"/>
        <v>0</v>
      </c>
      <c r="CI67" s="38">
        <f t="shared" si="251"/>
        <v>8</v>
      </c>
      <c r="CJ67" s="38">
        <f t="shared" si="251"/>
        <v>0</v>
      </c>
      <c r="CK67" s="27">
        <f t="shared" ref="CK67:CN67" si="252">BA67+BM67+BY67</f>
        <v>1</v>
      </c>
      <c r="CL67" s="27">
        <f t="shared" si="252"/>
        <v>1</v>
      </c>
      <c r="CM67" s="27">
        <f t="shared" si="252"/>
        <v>6</v>
      </c>
      <c r="CN67" s="27">
        <f t="shared" si="252"/>
        <v>0</v>
      </c>
      <c r="CO67" s="27">
        <f t="shared" si="18"/>
        <v>8</v>
      </c>
      <c r="CP67" s="27">
        <f t="shared" ref="CP67:CT67" si="253">BF67+BR67+CD67</f>
        <v>0</v>
      </c>
      <c r="CQ67" s="27">
        <f t="shared" si="253"/>
        <v>1</v>
      </c>
      <c r="CR67" s="27">
        <f t="shared" si="253"/>
        <v>1</v>
      </c>
      <c r="CS67" s="27">
        <f t="shared" si="253"/>
        <v>6</v>
      </c>
      <c r="CT67" s="27">
        <f t="shared" si="253"/>
        <v>0</v>
      </c>
      <c r="CU67" s="27">
        <f t="shared" si="20"/>
        <v>8</v>
      </c>
      <c r="CV67" s="27">
        <f t="shared" si="21"/>
        <v>0</v>
      </c>
    </row>
    <row r="68" ht="15.75" customHeight="1">
      <c r="A68" s="1"/>
      <c r="B68" s="1"/>
      <c r="C68" s="13"/>
      <c r="D68" s="26" t="s">
        <v>1100</v>
      </c>
      <c r="E68" s="77"/>
      <c r="F68" s="77"/>
      <c r="G68" s="77"/>
      <c r="H68" s="77"/>
      <c r="I68" s="66">
        <f t="shared" si="5"/>
        <v>0</v>
      </c>
      <c r="J68" s="77"/>
      <c r="K68" s="77"/>
      <c r="L68" s="77"/>
      <c r="M68" s="77"/>
      <c r="N68" s="77"/>
      <c r="O68" s="66">
        <f t="shared" si="6"/>
        <v>0</v>
      </c>
      <c r="P68" s="66"/>
      <c r="Q68" s="42"/>
      <c r="R68" s="42"/>
      <c r="S68" s="42"/>
      <c r="T68" s="42"/>
      <c r="U68" s="42">
        <f t="shared" si="7"/>
        <v>0</v>
      </c>
      <c r="V68" s="42"/>
      <c r="W68" s="42"/>
      <c r="X68" s="42"/>
      <c r="Y68" s="42"/>
      <c r="Z68" s="42"/>
      <c r="AA68" s="42">
        <f t="shared" si="8"/>
        <v>0</v>
      </c>
      <c r="AB68" s="42"/>
      <c r="AC68" s="38"/>
      <c r="AD68" s="38">
        <v>1.0</v>
      </c>
      <c r="AE68" s="38"/>
      <c r="AF68" s="38"/>
      <c r="AG68" s="38">
        <f t="shared" si="9"/>
        <v>1</v>
      </c>
      <c r="AH68" s="38"/>
      <c r="AI68" s="38"/>
      <c r="AJ68" s="38">
        <v>1.0</v>
      </c>
      <c r="AK68" s="38"/>
      <c r="AL68" s="38"/>
      <c r="AM68" s="38">
        <f t="shared" si="10"/>
        <v>1</v>
      </c>
      <c r="AN68" s="38"/>
      <c r="AO68" s="178"/>
      <c r="AP68" s="178"/>
      <c r="AQ68" s="178"/>
      <c r="AR68" s="178"/>
      <c r="AS68" s="178">
        <f t="shared" si="11"/>
        <v>0</v>
      </c>
      <c r="AT68" s="201"/>
      <c r="AU68" s="201"/>
      <c r="AV68" s="201"/>
      <c r="AW68" s="201"/>
      <c r="AX68" s="201"/>
      <c r="AY68" s="178">
        <f t="shared" si="12"/>
        <v>0</v>
      </c>
      <c r="AZ68" s="178"/>
      <c r="BA68" s="44"/>
      <c r="BB68" s="44"/>
      <c r="BC68" s="44"/>
      <c r="BD68" s="27"/>
      <c r="BE68" s="27">
        <f t="shared" si="13"/>
        <v>0</v>
      </c>
      <c r="BF68" s="44"/>
      <c r="BG68" s="44"/>
      <c r="BH68" s="44"/>
      <c r="BI68" s="44"/>
      <c r="BJ68" s="44"/>
      <c r="BK68" s="27">
        <f t="shared" si="14"/>
        <v>0</v>
      </c>
      <c r="BL68" s="27"/>
      <c r="BM68" s="181">
        <f t="shared" ref="BM68:BX68" si="254">E68+Q68</f>
        <v>0</v>
      </c>
      <c r="BN68" s="181">
        <f t="shared" si="254"/>
        <v>0</v>
      </c>
      <c r="BO68" s="181">
        <f t="shared" si="254"/>
        <v>0</v>
      </c>
      <c r="BP68" s="181">
        <f t="shared" si="254"/>
        <v>0</v>
      </c>
      <c r="BQ68" s="181">
        <f t="shared" si="254"/>
        <v>0</v>
      </c>
      <c r="BR68" s="181">
        <f t="shared" si="254"/>
        <v>0</v>
      </c>
      <c r="BS68" s="181">
        <f t="shared" si="254"/>
        <v>0</v>
      </c>
      <c r="BT68" s="181">
        <f t="shared" si="254"/>
        <v>0</v>
      </c>
      <c r="BU68" s="181">
        <f t="shared" si="254"/>
        <v>0</v>
      </c>
      <c r="BV68" s="181">
        <f t="shared" si="254"/>
        <v>0</v>
      </c>
      <c r="BW68" s="181">
        <f t="shared" si="254"/>
        <v>0</v>
      </c>
      <c r="BX68" s="181">
        <f t="shared" si="254"/>
        <v>0</v>
      </c>
      <c r="BY68" s="38">
        <f t="shared" ref="BY68:CJ68" si="255">AC68+AO68</f>
        <v>0</v>
      </c>
      <c r="BZ68" s="38">
        <f t="shared" si="255"/>
        <v>1</v>
      </c>
      <c r="CA68" s="38">
        <f t="shared" si="255"/>
        <v>0</v>
      </c>
      <c r="CB68" s="38">
        <f t="shared" si="255"/>
        <v>0</v>
      </c>
      <c r="CC68" s="38">
        <f t="shared" si="255"/>
        <v>1</v>
      </c>
      <c r="CD68" s="38">
        <f t="shared" si="255"/>
        <v>0</v>
      </c>
      <c r="CE68" s="38">
        <f t="shared" si="255"/>
        <v>0</v>
      </c>
      <c r="CF68" s="38">
        <f t="shared" si="255"/>
        <v>1</v>
      </c>
      <c r="CG68" s="38">
        <f t="shared" si="255"/>
        <v>0</v>
      </c>
      <c r="CH68" s="38">
        <f t="shared" si="255"/>
        <v>0</v>
      </c>
      <c r="CI68" s="38">
        <f t="shared" si="255"/>
        <v>1</v>
      </c>
      <c r="CJ68" s="38">
        <f t="shared" si="255"/>
        <v>0</v>
      </c>
      <c r="CK68" s="27">
        <f t="shared" ref="CK68:CN68" si="256">BA68+BM68+BY68</f>
        <v>0</v>
      </c>
      <c r="CL68" s="27">
        <f t="shared" si="256"/>
        <v>1</v>
      </c>
      <c r="CM68" s="27">
        <f t="shared" si="256"/>
        <v>0</v>
      </c>
      <c r="CN68" s="27">
        <f t="shared" si="256"/>
        <v>0</v>
      </c>
      <c r="CO68" s="27">
        <f t="shared" si="18"/>
        <v>1</v>
      </c>
      <c r="CP68" s="27">
        <f t="shared" ref="CP68:CT68" si="257">BF68+BR68+CD68</f>
        <v>0</v>
      </c>
      <c r="CQ68" s="27">
        <f t="shared" si="257"/>
        <v>0</v>
      </c>
      <c r="CR68" s="27">
        <f t="shared" si="257"/>
        <v>1</v>
      </c>
      <c r="CS68" s="27">
        <f t="shared" si="257"/>
        <v>0</v>
      </c>
      <c r="CT68" s="27">
        <f t="shared" si="257"/>
        <v>0</v>
      </c>
      <c r="CU68" s="27">
        <f t="shared" si="20"/>
        <v>1</v>
      </c>
      <c r="CV68" s="27">
        <f t="shared" si="21"/>
        <v>0</v>
      </c>
    </row>
    <row r="69" ht="15.75" customHeight="1">
      <c r="A69" s="1"/>
      <c r="B69" s="1"/>
      <c r="C69" s="13"/>
      <c r="D69" s="26" t="s">
        <v>89</v>
      </c>
      <c r="E69" s="77"/>
      <c r="F69" s="77"/>
      <c r="G69" s="77"/>
      <c r="H69" s="77"/>
      <c r="I69" s="66">
        <f t="shared" si="5"/>
        <v>0</v>
      </c>
      <c r="J69" s="77"/>
      <c r="K69" s="77"/>
      <c r="L69" s="77"/>
      <c r="M69" s="77"/>
      <c r="N69" s="77"/>
      <c r="O69" s="66">
        <f t="shared" si="6"/>
        <v>0</v>
      </c>
      <c r="P69" s="66"/>
      <c r="Q69" s="42"/>
      <c r="R69" s="42"/>
      <c r="S69" s="42"/>
      <c r="T69" s="42"/>
      <c r="U69" s="42">
        <f t="shared" si="7"/>
        <v>0</v>
      </c>
      <c r="V69" s="42"/>
      <c r="W69" s="42"/>
      <c r="X69" s="42"/>
      <c r="Y69" s="42"/>
      <c r="Z69" s="42"/>
      <c r="AA69" s="42">
        <f t="shared" si="8"/>
        <v>0</v>
      </c>
      <c r="AB69" s="42"/>
      <c r="AC69" s="38"/>
      <c r="AD69" s="38"/>
      <c r="AE69" s="38">
        <v>4.0</v>
      </c>
      <c r="AF69" s="38"/>
      <c r="AG69" s="38">
        <f t="shared" si="9"/>
        <v>4</v>
      </c>
      <c r="AH69" s="38"/>
      <c r="AI69" s="38"/>
      <c r="AJ69" s="38"/>
      <c r="AK69" s="38">
        <v>4.0</v>
      </c>
      <c r="AL69" s="38"/>
      <c r="AM69" s="38">
        <f t="shared" si="10"/>
        <v>4</v>
      </c>
      <c r="AN69" s="38"/>
      <c r="AO69" s="178"/>
      <c r="AP69" s="178"/>
      <c r="AQ69" s="178"/>
      <c r="AR69" s="178"/>
      <c r="AS69" s="178">
        <f t="shared" si="11"/>
        <v>0</v>
      </c>
      <c r="AT69" s="201"/>
      <c r="AU69" s="201"/>
      <c r="AV69" s="201"/>
      <c r="AW69" s="201"/>
      <c r="AX69" s="201"/>
      <c r="AY69" s="178">
        <f t="shared" si="12"/>
        <v>0</v>
      </c>
      <c r="AZ69" s="178"/>
      <c r="BA69" s="44"/>
      <c r="BB69" s="44"/>
      <c r="BC69" s="44">
        <v>6.0</v>
      </c>
      <c r="BD69" s="27"/>
      <c r="BE69" s="27">
        <f t="shared" si="13"/>
        <v>6</v>
      </c>
      <c r="BF69" s="44"/>
      <c r="BG69" s="44"/>
      <c r="BH69" s="44"/>
      <c r="BI69" s="44">
        <v>6.0</v>
      </c>
      <c r="BJ69" s="44"/>
      <c r="BK69" s="27">
        <f t="shared" si="14"/>
        <v>6</v>
      </c>
      <c r="BL69" s="27"/>
      <c r="BM69" s="181">
        <f t="shared" ref="BM69:BX69" si="258">E69+Q69</f>
        <v>0</v>
      </c>
      <c r="BN69" s="181">
        <f t="shared" si="258"/>
        <v>0</v>
      </c>
      <c r="BO69" s="181">
        <f t="shared" si="258"/>
        <v>0</v>
      </c>
      <c r="BP69" s="181">
        <f t="shared" si="258"/>
        <v>0</v>
      </c>
      <c r="BQ69" s="181">
        <f t="shared" si="258"/>
        <v>0</v>
      </c>
      <c r="BR69" s="181">
        <f t="shared" si="258"/>
        <v>0</v>
      </c>
      <c r="BS69" s="181">
        <f t="shared" si="258"/>
        <v>0</v>
      </c>
      <c r="BT69" s="181">
        <f t="shared" si="258"/>
        <v>0</v>
      </c>
      <c r="BU69" s="181">
        <f t="shared" si="258"/>
        <v>0</v>
      </c>
      <c r="BV69" s="181">
        <f t="shared" si="258"/>
        <v>0</v>
      </c>
      <c r="BW69" s="181">
        <f t="shared" si="258"/>
        <v>0</v>
      </c>
      <c r="BX69" s="181">
        <f t="shared" si="258"/>
        <v>0</v>
      </c>
      <c r="BY69" s="38">
        <f t="shared" ref="BY69:CJ69" si="259">AC69+AO69</f>
        <v>0</v>
      </c>
      <c r="BZ69" s="38">
        <f t="shared" si="259"/>
        <v>0</v>
      </c>
      <c r="CA69" s="38">
        <f t="shared" si="259"/>
        <v>4</v>
      </c>
      <c r="CB69" s="38">
        <f t="shared" si="259"/>
        <v>0</v>
      </c>
      <c r="CC69" s="38">
        <f t="shared" si="259"/>
        <v>4</v>
      </c>
      <c r="CD69" s="38">
        <f t="shared" si="259"/>
        <v>0</v>
      </c>
      <c r="CE69" s="38">
        <f t="shared" si="259"/>
        <v>0</v>
      </c>
      <c r="CF69" s="38">
        <f t="shared" si="259"/>
        <v>0</v>
      </c>
      <c r="CG69" s="38">
        <f t="shared" si="259"/>
        <v>4</v>
      </c>
      <c r="CH69" s="38">
        <f t="shared" si="259"/>
        <v>0</v>
      </c>
      <c r="CI69" s="38">
        <f t="shared" si="259"/>
        <v>4</v>
      </c>
      <c r="CJ69" s="38">
        <f t="shared" si="259"/>
        <v>0</v>
      </c>
      <c r="CK69" s="27">
        <f t="shared" ref="CK69:CN69" si="260">BA69+BM69+BY69</f>
        <v>0</v>
      </c>
      <c r="CL69" s="27">
        <f t="shared" si="260"/>
        <v>0</v>
      </c>
      <c r="CM69" s="27">
        <f t="shared" si="260"/>
        <v>10</v>
      </c>
      <c r="CN69" s="27">
        <f t="shared" si="260"/>
        <v>0</v>
      </c>
      <c r="CO69" s="27">
        <f t="shared" si="18"/>
        <v>10</v>
      </c>
      <c r="CP69" s="27">
        <f t="shared" ref="CP69:CT69" si="261">BF69+BR69+CD69</f>
        <v>0</v>
      </c>
      <c r="CQ69" s="27">
        <f t="shared" si="261"/>
        <v>0</v>
      </c>
      <c r="CR69" s="27">
        <f t="shared" si="261"/>
        <v>0</v>
      </c>
      <c r="CS69" s="27">
        <f t="shared" si="261"/>
        <v>10</v>
      </c>
      <c r="CT69" s="27">
        <f t="shared" si="261"/>
        <v>0</v>
      </c>
      <c r="CU69" s="27">
        <f t="shared" si="20"/>
        <v>10</v>
      </c>
      <c r="CV69" s="27">
        <f t="shared" si="21"/>
        <v>0</v>
      </c>
    </row>
    <row r="70" ht="15.75" customHeight="1">
      <c r="A70" s="1"/>
      <c r="B70" s="1"/>
      <c r="C70" s="13"/>
      <c r="D70" s="26" t="s">
        <v>130</v>
      </c>
      <c r="E70" s="77"/>
      <c r="F70" s="77"/>
      <c r="G70" s="77"/>
      <c r="H70" s="77"/>
      <c r="I70" s="66">
        <f t="shared" si="5"/>
        <v>0</v>
      </c>
      <c r="J70" s="77"/>
      <c r="K70" s="77"/>
      <c r="L70" s="77"/>
      <c r="M70" s="77"/>
      <c r="N70" s="77"/>
      <c r="O70" s="66">
        <f t="shared" si="6"/>
        <v>0</v>
      </c>
      <c r="P70" s="66"/>
      <c r="Q70" s="42"/>
      <c r="R70" s="42"/>
      <c r="S70" s="42"/>
      <c r="T70" s="42"/>
      <c r="U70" s="42">
        <f t="shared" si="7"/>
        <v>0</v>
      </c>
      <c r="V70" s="42"/>
      <c r="W70" s="42"/>
      <c r="X70" s="42"/>
      <c r="Y70" s="42"/>
      <c r="Z70" s="42"/>
      <c r="AA70" s="42">
        <f t="shared" si="8"/>
        <v>0</v>
      </c>
      <c r="AB70" s="42"/>
      <c r="AC70" s="38">
        <v>1.0</v>
      </c>
      <c r="AD70" s="38"/>
      <c r="AE70" s="38">
        <v>1.0</v>
      </c>
      <c r="AF70" s="38"/>
      <c r="AG70" s="38">
        <f t="shared" si="9"/>
        <v>2</v>
      </c>
      <c r="AH70" s="38"/>
      <c r="AI70" s="38">
        <v>1.0</v>
      </c>
      <c r="AJ70" s="38"/>
      <c r="AK70" s="38">
        <v>1.0</v>
      </c>
      <c r="AL70" s="38"/>
      <c r="AM70" s="38">
        <f t="shared" si="10"/>
        <v>2</v>
      </c>
      <c r="AN70" s="38"/>
      <c r="AO70" s="178"/>
      <c r="AP70" s="178"/>
      <c r="AQ70" s="178"/>
      <c r="AR70" s="178"/>
      <c r="AS70" s="178">
        <f t="shared" si="11"/>
        <v>0</v>
      </c>
      <c r="AT70" s="201"/>
      <c r="AU70" s="201"/>
      <c r="AV70" s="201"/>
      <c r="AW70" s="201"/>
      <c r="AX70" s="201"/>
      <c r="AY70" s="178">
        <f t="shared" si="12"/>
        <v>0</v>
      </c>
      <c r="AZ70" s="178"/>
      <c r="BA70" s="44"/>
      <c r="BB70" s="44"/>
      <c r="BC70" s="44"/>
      <c r="BD70" s="27"/>
      <c r="BE70" s="27">
        <f t="shared" si="13"/>
        <v>0</v>
      </c>
      <c r="BF70" s="44"/>
      <c r="BG70" s="44"/>
      <c r="BH70" s="44"/>
      <c r="BI70" s="44"/>
      <c r="BJ70" s="44"/>
      <c r="BK70" s="27">
        <f t="shared" si="14"/>
        <v>0</v>
      </c>
      <c r="BL70" s="27"/>
      <c r="BM70" s="181">
        <f t="shared" ref="BM70:BX70" si="262">E70+Q70</f>
        <v>0</v>
      </c>
      <c r="BN70" s="181">
        <f t="shared" si="262"/>
        <v>0</v>
      </c>
      <c r="BO70" s="181">
        <f t="shared" si="262"/>
        <v>0</v>
      </c>
      <c r="BP70" s="181">
        <f t="shared" si="262"/>
        <v>0</v>
      </c>
      <c r="BQ70" s="181">
        <f t="shared" si="262"/>
        <v>0</v>
      </c>
      <c r="BR70" s="181">
        <f t="shared" si="262"/>
        <v>0</v>
      </c>
      <c r="BS70" s="181">
        <f t="shared" si="262"/>
        <v>0</v>
      </c>
      <c r="BT70" s="181">
        <f t="shared" si="262"/>
        <v>0</v>
      </c>
      <c r="BU70" s="181">
        <f t="shared" si="262"/>
        <v>0</v>
      </c>
      <c r="BV70" s="181">
        <f t="shared" si="262"/>
        <v>0</v>
      </c>
      <c r="BW70" s="181">
        <f t="shared" si="262"/>
        <v>0</v>
      </c>
      <c r="BX70" s="181">
        <f t="shared" si="262"/>
        <v>0</v>
      </c>
      <c r="BY70" s="38">
        <f t="shared" ref="BY70:CJ70" si="263">AC70+AO70</f>
        <v>1</v>
      </c>
      <c r="BZ70" s="38">
        <f t="shared" si="263"/>
        <v>0</v>
      </c>
      <c r="CA70" s="38">
        <f t="shared" si="263"/>
        <v>1</v>
      </c>
      <c r="CB70" s="38">
        <f t="shared" si="263"/>
        <v>0</v>
      </c>
      <c r="CC70" s="38">
        <f t="shared" si="263"/>
        <v>2</v>
      </c>
      <c r="CD70" s="38">
        <f t="shared" si="263"/>
        <v>0</v>
      </c>
      <c r="CE70" s="38">
        <f t="shared" si="263"/>
        <v>1</v>
      </c>
      <c r="CF70" s="38">
        <f t="shared" si="263"/>
        <v>0</v>
      </c>
      <c r="CG70" s="38">
        <f t="shared" si="263"/>
        <v>1</v>
      </c>
      <c r="CH70" s="38">
        <f t="shared" si="263"/>
        <v>0</v>
      </c>
      <c r="CI70" s="38">
        <f t="shared" si="263"/>
        <v>2</v>
      </c>
      <c r="CJ70" s="38">
        <f t="shared" si="263"/>
        <v>0</v>
      </c>
      <c r="CK70" s="27">
        <f t="shared" ref="CK70:CN70" si="264">BA70+BM70+BY70</f>
        <v>1</v>
      </c>
      <c r="CL70" s="27">
        <f t="shared" si="264"/>
        <v>0</v>
      </c>
      <c r="CM70" s="27">
        <f t="shared" si="264"/>
        <v>1</v>
      </c>
      <c r="CN70" s="27">
        <f t="shared" si="264"/>
        <v>0</v>
      </c>
      <c r="CO70" s="27">
        <f t="shared" si="18"/>
        <v>2</v>
      </c>
      <c r="CP70" s="27">
        <f t="shared" ref="CP70:CT70" si="265">BF70+BR70+CD70</f>
        <v>0</v>
      </c>
      <c r="CQ70" s="27">
        <f t="shared" si="265"/>
        <v>1</v>
      </c>
      <c r="CR70" s="27">
        <f t="shared" si="265"/>
        <v>0</v>
      </c>
      <c r="CS70" s="27">
        <f t="shared" si="265"/>
        <v>1</v>
      </c>
      <c r="CT70" s="27">
        <f t="shared" si="265"/>
        <v>0</v>
      </c>
      <c r="CU70" s="27">
        <f t="shared" si="20"/>
        <v>2</v>
      </c>
      <c r="CV70" s="27">
        <f t="shared" si="21"/>
        <v>0</v>
      </c>
    </row>
    <row r="71" ht="15.75" customHeight="1">
      <c r="A71" s="1"/>
      <c r="B71" s="1"/>
      <c r="C71" s="13"/>
      <c r="D71" s="26" t="s">
        <v>185</v>
      </c>
      <c r="E71" s="77"/>
      <c r="F71" s="77"/>
      <c r="G71" s="77"/>
      <c r="H71" s="77"/>
      <c r="I71" s="66">
        <f t="shared" si="5"/>
        <v>0</v>
      </c>
      <c r="J71" s="77"/>
      <c r="K71" s="77"/>
      <c r="L71" s="77"/>
      <c r="M71" s="77"/>
      <c r="N71" s="77"/>
      <c r="O71" s="66">
        <f t="shared" si="6"/>
        <v>0</v>
      </c>
      <c r="P71" s="66"/>
      <c r="Q71" s="42"/>
      <c r="R71" s="42"/>
      <c r="S71" s="42"/>
      <c r="T71" s="42"/>
      <c r="U71" s="42">
        <f t="shared" si="7"/>
        <v>0</v>
      </c>
      <c r="V71" s="42"/>
      <c r="W71" s="42"/>
      <c r="X71" s="42"/>
      <c r="Y71" s="42"/>
      <c r="Z71" s="42"/>
      <c r="AA71" s="42">
        <f t="shared" si="8"/>
        <v>0</v>
      </c>
      <c r="AB71" s="42"/>
      <c r="AC71" s="38">
        <v>1.0</v>
      </c>
      <c r="AD71" s="38">
        <v>1.0</v>
      </c>
      <c r="AE71" s="38">
        <v>9.0</v>
      </c>
      <c r="AF71" s="38"/>
      <c r="AG71" s="38">
        <f t="shared" si="9"/>
        <v>11</v>
      </c>
      <c r="AH71" s="38"/>
      <c r="AI71" s="38">
        <v>1.0</v>
      </c>
      <c r="AJ71" s="38">
        <v>1.0</v>
      </c>
      <c r="AK71" s="38">
        <v>9.0</v>
      </c>
      <c r="AL71" s="38"/>
      <c r="AM71" s="38">
        <f t="shared" si="10"/>
        <v>11</v>
      </c>
      <c r="AN71" s="38"/>
      <c r="AO71" s="178"/>
      <c r="AP71" s="178"/>
      <c r="AQ71" s="178"/>
      <c r="AR71" s="178"/>
      <c r="AS71" s="178">
        <f t="shared" si="11"/>
        <v>0</v>
      </c>
      <c r="AT71" s="201"/>
      <c r="AU71" s="201"/>
      <c r="AV71" s="201"/>
      <c r="AW71" s="201"/>
      <c r="AX71" s="201"/>
      <c r="AY71" s="178">
        <f t="shared" si="12"/>
        <v>0</v>
      </c>
      <c r="AZ71" s="178"/>
      <c r="BA71" s="44"/>
      <c r="BB71" s="44"/>
      <c r="BC71" s="44"/>
      <c r="BD71" s="27"/>
      <c r="BE71" s="27">
        <f t="shared" si="13"/>
        <v>0</v>
      </c>
      <c r="BF71" s="44"/>
      <c r="BG71" s="44"/>
      <c r="BH71" s="44"/>
      <c r="BI71" s="44"/>
      <c r="BJ71" s="44"/>
      <c r="BK71" s="27">
        <f t="shared" si="14"/>
        <v>0</v>
      </c>
      <c r="BL71" s="27"/>
      <c r="BM71" s="181">
        <f t="shared" ref="BM71:BX71" si="266">E71+Q71</f>
        <v>0</v>
      </c>
      <c r="BN71" s="181">
        <f t="shared" si="266"/>
        <v>0</v>
      </c>
      <c r="BO71" s="181">
        <f t="shared" si="266"/>
        <v>0</v>
      </c>
      <c r="BP71" s="181">
        <f t="shared" si="266"/>
        <v>0</v>
      </c>
      <c r="BQ71" s="181">
        <f t="shared" si="266"/>
        <v>0</v>
      </c>
      <c r="BR71" s="181">
        <f t="shared" si="266"/>
        <v>0</v>
      </c>
      <c r="BS71" s="181">
        <f t="shared" si="266"/>
        <v>0</v>
      </c>
      <c r="BT71" s="181">
        <f t="shared" si="266"/>
        <v>0</v>
      </c>
      <c r="BU71" s="181">
        <f t="shared" si="266"/>
        <v>0</v>
      </c>
      <c r="BV71" s="181">
        <f t="shared" si="266"/>
        <v>0</v>
      </c>
      <c r="BW71" s="181">
        <f t="shared" si="266"/>
        <v>0</v>
      </c>
      <c r="BX71" s="181">
        <f t="shared" si="266"/>
        <v>0</v>
      </c>
      <c r="BY71" s="38">
        <f t="shared" ref="BY71:CJ71" si="267">AC71+AO71</f>
        <v>1</v>
      </c>
      <c r="BZ71" s="38">
        <f t="shared" si="267"/>
        <v>1</v>
      </c>
      <c r="CA71" s="38">
        <f t="shared" si="267"/>
        <v>9</v>
      </c>
      <c r="CB71" s="38">
        <f t="shared" si="267"/>
        <v>0</v>
      </c>
      <c r="CC71" s="38">
        <f t="shared" si="267"/>
        <v>11</v>
      </c>
      <c r="CD71" s="38">
        <f t="shared" si="267"/>
        <v>0</v>
      </c>
      <c r="CE71" s="38">
        <f t="shared" si="267"/>
        <v>1</v>
      </c>
      <c r="CF71" s="38">
        <f t="shared" si="267"/>
        <v>1</v>
      </c>
      <c r="CG71" s="38">
        <f t="shared" si="267"/>
        <v>9</v>
      </c>
      <c r="CH71" s="38">
        <f t="shared" si="267"/>
        <v>0</v>
      </c>
      <c r="CI71" s="38">
        <f t="shared" si="267"/>
        <v>11</v>
      </c>
      <c r="CJ71" s="38">
        <f t="shared" si="267"/>
        <v>0</v>
      </c>
      <c r="CK71" s="27">
        <f t="shared" ref="CK71:CN71" si="268">BA71+BM71+BY71</f>
        <v>1</v>
      </c>
      <c r="CL71" s="27">
        <f t="shared" si="268"/>
        <v>1</v>
      </c>
      <c r="CM71" s="27">
        <f t="shared" si="268"/>
        <v>9</v>
      </c>
      <c r="CN71" s="27">
        <f t="shared" si="268"/>
        <v>0</v>
      </c>
      <c r="CO71" s="27">
        <f t="shared" si="18"/>
        <v>11</v>
      </c>
      <c r="CP71" s="27">
        <f t="shared" ref="CP71:CT71" si="269">BF71+BR71+CD71</f>
        <v>0</v>
      </c>
      <c r="CQ71" s="27">
        <f t="shared" si="269"/>
        <v>1</v>
      </c>
      <c r="CR71" s="27">
        <f t="shared" si="269"/>
        <v>1</v>
      </c>
      <c r="CS71" s="27">
        <f t="shared" si="269"/>
        <v>9</v>
      </c>
      <c r="CT71" s="27">
        <f t="shared" si="269"/>
        <v>0</v>
      </c>
      <c r="CU71" s="27">
        <f t="shared" si="20"/>
        <v>11</v>
      </c>
      <c r="CV71" s="27">
        <f t="shared" si="21"/>
        <v>0</v>
      </c>
    </row>
    <row r="72" ht="15.75" customHeight="1">
      <c r="A72" s="1"/>
      <c r="B72" s="1"/>
      <c r="C72" s="13"/>
      <c r="D72" s="26" t="s">
        <v>91</v>
      </c>
      <c r="E72" s="77"/>
      <c r="F72" s="77"/>
      <c r="G72" s="77"/>
      <c r="H72" s="77"/>
      <c r="I72" s="66">
        <f t="shared" si="5"/>
        <v>0</v>
      </c>
      <c r="J72" s="77"/>
      <c r="K72" s="77"/>
      <c r="L72" s="77"/>
      <c r="M72" s="77"/>
      <c r="N72" s="77"/>
      <c r="O72" s="66">
        <f t="shared" si="6"/>
        <v>0</v>
      </c>
      <c r="P72" s="66"/>
      <c r="Q72" s="42"/>
      <c r="R72" s="42"/>
      <c r="S72" s="42">
        <f>3+2</f>
        <v>5</v>
      </c>
      <c r="T72" s="42">
        <v>2.0</v>
      </c>
      <c r="U72" s="42">
        <f t="shared" si="7"/>
        <v>7</v>
      </c>
      <c r="V72" s="42"/>
      <c r="W72" s="42"/>
      <c r="X72" s="42"/>
      <c r="Y72" s="42">
        <f>3+2</f>
        <v>5</v>
      </c>
      <c r="Z72" s="42">
        <v>2.0</v>
      </c>
      <c r="AA72" s="42">
        <f t="shared" si="8"/>
        <v>7</v>
      </c>
      <c r="AB72" s="42"/>
      <c r="AC72" s="38"/>
      <c r="AD72" s="38"/>
      <c r="AE72" s="38"/>
      <c r="AF72" s="38"/>
      <c r="AG72" s="38">
        <f t="shared" si="9"/>
        <v>0</v>
      </c>
      <c r="AH72" s="38"/>
      <c r="AI72" s="38"/>
      <c r="AJ72" s="38"/>
      <c r="AK72" s="38"/>
      <c r="AL72" s="38"/>
      <c r="AM72" s="38">
        <f t="shared" si="10"/>
        <v>0</v>
      </c>
      <c r="AN72" s="38"/>
      <c r="AO72" s="178"/>
      <c r="AP72" s="178"/>
      <c r="AQ72" s="178"/>
      <c r="AR72" s="178"/>
      <c r="AS72" s="178">
        <f t="shared" si="11"/>
        <v>0</v>
      </c>
      <c r="AT72" s="201"/>
      <c r="AU72" s="201"/>
      <c r="AV72" s="201"/>
      <c r="AW72" s="201"/>
      <c r="AX72" s="201"/>
      <c r="AY72" s="178">
        <f t="shared" si="12"/>
        <v>0</v>
      </c>
      <c r="AZ72" s="178"/>
      <c r="BA72" s="44">
        <v>2.0</v>
      </c>
      <c r="BB72" s="44">
        <v>1.0</v>
      </c>
      <c r="BC72" s="44">
        <v>3.0</v>
      </c>
      <c r="BD72" s="27"/>
      <c r="BE72" s="27">
        <f t="shared" si="13"/>
        <v>6</v>
      </c>
      <c r="BF72" s="44"/>
      <c r="BG72" s="44">
        <v>2.0</v>
      </c>
      <c r="BH72" s="44">
        <v>1.0</v>
      </c>
      <c r="BI72" s="44">
        <v>3.0</v>
      </c>
      <c r="BJ72" s="44"/>
      <c r="BK72" s="27">
        <f t="shared" si="14"/>
        <v>6</v>
      </c>
      <c r="BL72" s="27"/>
      <c r="BM72" s="181">
        <f t="shared" ref="BM72:BX72" si="270">E72+Q72</f>
        <v>0</v>
      </c>
      <c r="BN72" s="181">
        <f t="shared" si="270"/>
        <v>0</v>
      </c>
      <c r="BO72" s="181">
        <f t="shared" si="270"/>
        <v>5</v>
      </c>
      <c r="BP72" s="181">
        <f t="shared" si="270"/>
        <v>2</v>
      </c>
      <c r="BQ72" s="181">
        <f t="shared" si="270"/>
        <v>7</v>
      </c>
      <c r="BR72" s="181">
        <f t="shared" si="270"/>
        <v>0</v>
      </c>
      <c r="BS72" s="181">
        <f t="shared" si="270"/>
        <v>0</v>
      </c>
      <c r="BT72" s="181">
        <f t="shared" si="270"/>
        <v>0</v>
      </c>
      <c r="BU72" s="181">
        <f t="shared" si="270"/>
        <v>5</v>
      </c>
      <c r="BV72" s="181">
        <f t="shared" si="270"/>
        <v>2</v>
      </c>
      <c r="BW72" s="181">
        <f t="shared" si="270"/>
        <v>7</v>
      </c>
      <c r="BX72" s="181">
        <f t="shared" si="270"/>
        <v>0</v>
      </c>
      <c r="BY72" s="38">
        <f t="shared" ref="BY72:CJ72" si="271">AC72+AO72</f>
        <v>0</v>
      </c>
      <c r="BZ72" s="38">
        <f t="shared" si="271"/>
        <v>0</v>
      </c>
      <c r="CA72" s="38">
        <f t="shared" si="271"/>
        <v>0</v>
      </c>
      <c r="CB72" s="38">
        <f t="shared" si="271"/>
        <v>0</v>
      </c>
      <c r="CC72" s="38">
        <f t="shared" si="271"/>
        <v>0</v>
      </c>
      <c r="CD72" s="38">
        <f t="shared" si="271"/>
        <v>0</v>
      </c>
      <c r="CE72" s="38">
        <f t="shared" si="271"/>
        <v>0</v>
      </c>
      <c r="CF72" s="38">
        <f t="shared" si="271"/>
        <v>0</v>
      </c>
      <c r="CG72" s="38">
        <f t="shared" si="271"/>
        <v>0</v>
      </c>
      <c r="CH72" s="38">
        <f t="shared" si="271"/>
        <v>0</v>
      </c>
      <c r="CI72" s="38">
        <f t="shared" si="271"/>
        <v>0</v>
      </c>
      <c r="CJ72" s="38">
        <f t="shared" si="271"/>
        <v>0</v>
      </c>
      <c r="CK72" s="27">
        <f t="shared" ref="CK72:CN72" si="272">BA72+BM72+BY72</f>
        <v>2</v>
      </c>
      <c r="CL72" s="27">
        <f t="shared" si="272"/>
        <v>1</v>
      </c>
      <c r="CM72" s="27">
        <f t="shared" si="272"/>
        <v>8</v>
      </c>
      <c r="CN72" s="27">
        <f t="shared" si="272"/>
        <v>2</v>
      </c>
      <c r="CO72" s="27">
        <f t="shared" si="18"/>
        <v>13</v>
      </c>
      <c r="CP72" s="27">
        <f t="shared" ref="CP72:CT72" si="273">BF72+BR72+CD72</f>
        <v>0</v>
      </c>
      <c r="CQ72" s="27">
        <f t="shared" si="273"/>
        <v>2</v>
      </c>
      <c r="CR72" s="27">
        <f t="shared" si="273"/>
        <v>1</v>
      </c>
      <c r="CS72" s="27">
        <f t="shared" si="273"/>
        <v>8</v>
      </c>
      <c r="CT72" s="27">
        <f t="shared" si="273"/>
        <v>2</v>
      </c>
      <c r="CU72" s="27">
        <f t="shared" si="20"/>
        <v>13</v>
      </c>
      <c r="CV72" s="27">
        <f t="shared" si="21"/>
        <v>0</v>
      </c>
    </row>
    <row r="73" ht="15.75" customHeight="1">
      <c r="A73" s="1"/>
      <c r="B73" s="1"/>
      <c r="C73" s="13"/>
      <c r="D73" s="26" t="s">
        <v>92</v>
      </c>
      <c r="E73" s="77"/>
      <c r="F73" s="77"/>
      <c r="G73" s="77"/>
      <c r="H73" s="77"/>
      <c r="I73" s="66">
        <f t="shared" si="5"/>
        <v>0</v>
      </c>
      <c r="J73" s="77"/>
      <c r="K73" s="77"/>
      <c r="L73" s="77"/>
      <c r="M73" s="77"/>
      <c r="N73" s="77"/>
      <c r="O73" s="66">
        <f t="shared" si="6"/>
        <v>0</v>
      </c>
      <c r="P73" s="66"/>
      <c r="Q73" s="42"/>
      <c r="R73" s="42"/>
      <c r="S73" s="42"/>
      <c r="T73" s="42"/>
      <c r="U73" s="42">
        <f t="shared" si="7"/>
        <v>0</v>
      </c>
      <c r="V73" s="42"/>
      <c r="W73" s="42"/>
      <c r="X73" s="42"/>
      <c r="Y73" s="42"/>
      <c r="Z73" s="42"/>
      <c r="AA73" s="42">
        <f t="shared" si="8"/>
        <v>0</v>
      </c>
      <c r="AB73" s="42"/>
      <c r="AC73" s="38"/>
      <c r="AD73" s="38"/>
      <c r="AE73" s="38"/>
      <c r="AF73" s="38"/>
      <c r="AG73" s="38">
        <f t="shared" si="9"/>
        <v>0</v>
      </c>
      <c r="AH73" s="38"/>
      <c r="AI73" s="38"/>
      <c r="AJ73" s="38"/>
      <c r="AK73" s="38"/>
      <c r="AL73" s="38"/>
      <c r="AM73" s="38">
        <f t="shared" si="10"/>
        <v>0</v>
      </c>
      <c r="AN73" s="38"/>
      <c r="AO73" s="178"/>
      <c r="AP73" s="178"/>
      <c r="AQ73" s="178"/>
      <c r="AR73" s="178"/>
      <c r="AS73" s="178">
        <f t="shared" si="11"/>
        <v>0</v>
      </c>
      <c r="AT73" s="201"/>
      <c r="AU73" s="201"/>
      <c r="AV73" s="201"/>
      <c r="AW73" s="201"/>
      <c r="AX73" s="201"/>
      <c r="AY73" s="178">
        <f t="shared" si="12"/>
        <v>0</v>
      </c>
      <c r="AZ73" s="178"/>
      <c r="BA73" s="44"/>
      <c r="BB73" s="44"/>
      <c r="BC73" s="44">
        <v>12.0</v>
      </c>
      <c r="BD73" s="27"/>
      <c r="BE73" s="27">
        <f t="shared" si="13"/>
        <v>12</v>
      </c>
      <c r="BF73" s="44"/>
      <c r="BG73" s="44"/>
      <c r="BH73" s="44"/>
      <c r="BI73" s="44">
        <v>12.0</v>
      </c>
      <c r="BJ73" s="44"/>
      <c r="BK73" s="27">
        <f t="shared" si="14"/>
        <v>12</v>
      </c>
      <c r="BL73" s="27"/>
      <c r="BM73" s="181">
        <f t="shared" ref="BM73:BX73" si="274">E73+Q73</f>
        <v>0</v>
      </c>
      <c r="BN73" s="181">
        <f t="shared" si="274"/>
        <v>0</v>
      </c>
      <c r="BO73" s="181">
        <f t="shared" si="274"/>
        <v>0</v>
      </c>
      <c r="BP73" s="181">
        <f t="shared" si="274"/>
        <v>0</v>
      </c>
      <c r="BQ73" s="181">
        <f t="shared" si="274"/>
        <v>0</v>
      </c>
      <c r="BR73" s="181">
        <f t="shared" si="274"/>
        <v>0</v>
      </c>
      <c r="BS73" s="181">
        <f t="shared" si="274"/>
        <v>0</v>
      </c>
      <c r="BT73" s="181">
        <f t="shared" si="274"/>
        <v>0</v>
      </c>
      <c r="BU73" s="181">
        <f t="shared" si="274"/>
        <v>0</v>
      </c>
      <c r="BV73" s="181">
        <f t="shared" si="274"/>
        <v>0</v>
      </c>
      <c r="BW73" s="181">
        <f t="shared" si="274"/>
        <v>0</v>
      </c>
      <c r="BX73" s="181">
        <f t="shared" si="274"/>
        <v>0</v>
      </c>
      <c r="BY73" s="38">
        <f t="shared" ref="BY73:CJ73" si="275">AC73+AO73</f>
        <v>0</v>
      </c>
      <c r="BZ73" s="38">
        <f t="shared" si="275"/>
        <v>0</v>
      </c>
      <c r="CA73" s="38">
        <f t="shared" si="275"/>
        <v>0</v>
      </c>
      <c r="CB73" s="38">
        <f t="shared" si="275"/>
        <v>0</v>
      </c>
      <c r="CC73" s="38">
        <f t="shared" si="275"/>
        <v>0</v>
      </c>
      <c r="CD73" s="38">
        <f t="shared" si="275"/>
        <v>0</v>
      </c>
      <c r="CE73" s="38">
        <f t="shared" si="275"/>
        <v>0</v>
      </c>
      <c r="CF73" s="38">
        <f t="shared" si="275"/>
        <v>0</v>
      </c>
      <c r="CG73" s="38">
        <f t="shared" si="275"/>
        <v>0</v>
      </c>
      <c r="CH73" s="38">
        <f t="shared" si="275"/>
        <v>0</v>
      </c>
      <c r="CI73" s="38">
        <f t="shared" si="275"/>
        <v>0</v>
      </c>
      <c r="CJ73" s="38">
        <f t="shared" si="275"/>
        <v>0</v>
      </c>
      <c r="CK73" s="27">
        <f t="shared" ref="CK73:CN73" si="276">BA73+BM73+BY73</f>
        <v>0</v>
      </c>
      <c r="CL73" s="27">
        <f t="shared" si="276"/>
        <v>0</v>
      </c>
      <c r="CM73" s="27">
        <f t="shared" si="276"/>
        <v>12</v>
      </c>
      <c r="CN73" s="27">
        <f t="shared" si="276"/>
        <v>0</v>
      </c>
      <c r="CO73" s="27">
        <f t="shared" si="18"/>
        <v>12</v>
      </c>
      <c r="CP73" s="27">
        <f t="shared" ref="CP73:CT73" si="277">BF73+BR73+CD73</f>
        <v>0</v>
      </c>
      <c r="CQ73" s="27">
        <f t="shared" si="277"/>
        <v>0</v>
      </c>
      <c r="CR73" s="27">
        <f t="shared" si="277"/>
        <v>0</v>
      </c>
      <c r="CS73" s="27">
        <f t="shared" si="277"/>
        <v>12</v>
      </c>
      <c r="CT73" s="27">
        <f t="shared" si="277"/>
        <v>0</v>
      </c>
      <c r="CU73" s="27">
        <f t="shared" si="20"/>
        <v>12</v>
      </c>
      <c r="CV73" s="27">
        <f t="shared" si="21"/>
        <v>0</v>
      </c>
    </row>
    <row r="74" ht="15.75" customHeight="1">
      <c r="A74" s="1"/>
      <c r="B74" s="1"/>
      <c r="C74" s="13"/>
      <c r="D74" s="26" t="s">
        <v>100</v>
      </c>
      <c r="E74" s="77"/>
      <c r="F74" s="77"/>
      <c r="G74" s="77"/>
      <c r="H74" s="77"/>
      <c r="I74" s="66">
        <f t="shared" si="5"/>
        <v>0</v>
      </c>
      <c r="J74" s="77"/>
      <c r="K74" s="77"/>
      <c r="L74" s="77"/>
      <c r="M74" s="77"/>
      <c r="N74" s="77"/>
      <c r="O74" s="66">
        <f t="shared" si="6"/>
        <v>0</v>
      </c>
      <c r="P74" s="66"/>
      <c r="Q74" s="42"/>
      <c r="R74" s="42"/>
      <c r="S74" s="42"/>
      <c r="T74" s="42"/>
      <c r="U74" s="42">
        <f t="shared" si="7"/>
        <v>0</v>
      </c>
      <c r="V74" s="42"/>
      <c r="W74" s="42"/>
      <c r="X74" s="42"/>
      <c r="Y74" s="42"/>
      <c r="Z74" s="42"/>
      <c r="AA74" s="42">
        <f t="shared" si="8"/>
        <v>0</v>
      </c>
      <c r="AB74" s="42"/>
      <c r="AC74" s="38"/>
      <c r="AD74" s="38"/>
      <c r="AE74" s="38"/>
      <c r="AF74" s="38"/>
      <c r="AG74" s="38">
        <f t="shared" si="9"/>
        <v>0</v>
      </c>
      <c r="AH74" s="38"/>
      <c r="AI74" s="38"/>
      <c r="AJ74" s="38"/>
      <c r="AK74" s="38"/>
      <c r="AL74" s="38"/>
      <c r="AM74" s="38">
        <f t="shared" si="10"/>
        <v>0</v>
      </c>
      <c r="AN74" s="38"/>
      <c r="AO74" s="178"/>
      <c r="AP74" s="178"/>
      <c r="AQ74" s="178"/>
      <c r="AR74" s="178"/>
      <c r="AS74" s="178">
        <f t="shared" si="11"/>
        <v>0</v>
      </c>
      <c r="AT74" s="201"/>
      <c r="AU74" s="201"/>
      <c r="AV74" s="201"/>
      <c r="AW74" s="201"/>
      <c r="AX74" s="201"/>
      <c r="AY74" s="178">
        <f t="shared" si="12"/>
        <v>0</v>
      </c>
      <c r="AZ74" s="178"/>
      <c r="BA74" s="44"/>
      <c r="BB74" s="44"/>
      <c r="BC74" s="44"/>
      <c r="BD74" s="27"/>
      <c r="BE74" s="27">
        <f t="shared" si="13"/>
        <v>0</v>
      </c>
      <c r="BF74" s="44"/>
      <c r="BG74" s="44"/>
      <c r="BH74" s="44"/>
      <c r="BI74" s="44"/>
      <c r="BJ74" s="44"/>
      <c r="BK74" s="27">
        <f t="shared" si="14"/>
        <v>0</v>
      </c>
      <c r="BL74" s="27"/>
      <c r="BM74" s="181">
        <f t="shared" ref="BM74:BX74" si="278">E74+Q74</f>
        <v>0</v>
      </c>
      <c r="BN74" s="181">
        <f t="shared" si="278"/>
        <v>0</v>
      </c>
      <c r="BO74" s="181">
        <f t="shared" si="278"/>
        <v>0</v>
      </c>
      <c r="BP74" s="181">
        <f t="shared" si="278"/>
        <v>0</v>
      </c>
      <c r="BQ74" s="181">
        <f t="shared" si="278"/>
        <v>0</v>
      </c>
      <c r="BR74" s="181">
        <f t="shared" si="278"/>
        <v>0</v>
      </c>
      <c r="BS74" s="181">
        <f t="shared" si="278"/>
        <v>0</v>
      </c>
      <c r="BT74" s="181">
        <f t="shared" si="278"/>
        <v>0</v>
      </c>
      <c r="BU74" s="181">
        <f t="shared" si="278"/>
        <v>0</v>
      </c>
      <c r="BV74" s="181">
        <f t="shared" si="278"/>
        <v>0</v>
      </c>
      <c r="BW74" s="181">
        <f t="shared" si="278"/>
        <v>0</v>
      </c>
      <c r="BX74" s="181">
        <f t="shared" si="278"/>
        <v>0</v>
      </c>
      <c r="BY74" s="38">
        <f t="shared" ref="BY74:CJ74" si="279">AC74+AO74</f>
        <v>0</v>
      </c>
      <c r="BZ74" s="38">
        <f t="shared" si="279"/>
        <v>0</v>
      </c>
      <c r="CA74" s="38">
        <f t="shared" si="279"/>
        <v>0</v>
      </c>
      <c r="CB74" s="38">
        <f t="shared" si="279"/>
        <v>0</v>
      </c>
      <c r="CC74" s="38">
        <f t="shared" si="279"/>
        <v>0</v>
      </c>
      <c r="CD74" s="38">
        <f t="shared" si="279"/>
        <v>0</v>
      </c>
      <c r="CE74" s="38">
        <f t="shared" si="279"/>
        <v>0</v>
      </c>
      <c r="CF74" s="38">
        <f t="shared" si="279"/>
        <v>0</v>
      </c>
      <c r="CG74" s="38">
        <f t="shared" si="279"/>
        <v>0</v>
      </c>
      <c r="CH74" s="38">
        <f t="shared" si="279"/>
        <v>0</v>
      </c>
      <c r="CI74" s="38">
        <f t="shared" si="279"/>
        <v>0</v>
      </c>
      <c r="CJ74" s="38">
        <f t="shared" si="279"/>
        <v>0</v>
      </c>
      <c r="CK74" s="27">
        <f t="shared" ref="CK74:CN74" si="280">BA74+BM74+BY74</f>
        <v>0</v>
      </c>
      <c r="CL74" s="27">
        <f t="shared" si="280"/>
        <v>0</v>
      </c>
      <c r="CM74" s="27">
        <f t="shared" si="280"/>
        <v>0</v>
      </c>
      <c r="CN74" s="27">
        <f t="shared" si="280"/>
        <v>0</v>
      </c>
      <c r="CO74" s="27">
        <f t="shared" si="18"/>
        <v>0</v>
      </c>
      <c r="CP74" s="27">
        <f t="shared" ref="CP74:CT74" si="281">BF74+BR74+CD74</f>
        <v>0</v>
      </c>
      <c r="CQ74" s="27">
        <f t="shared" si="281"/>
        <v>0</v>
      </c>
      <c r="CR74" s="27">
        <f t="shared" si="281"/>
        <v>0</v>
      </c>
      <c r="CS74" s="27">
        <f t="shared" si="281"/>
        <v>0</v>
      </c>
      <c r="CT74" s="27">
        <f t="shared" si="281"/>
        <v>0</v>
      </c>
      <c r="CU74" s="27">
        <f t="shared" si="20"/>
        <v>0</v>
      </c>
      <c r="CV74" s="27">
        <f t="shared" si="21"/>
        <v>0</v>
      </c>
    </row>
    <row r="75" ht="15.75" customHeight="1">
      <c r="A75" s="1"/>
      <c r="B75" s="1"/>
      <c r="C75" s="13"/>
      <c r="D75" s="26" t="s">
        <v>94</v>
      </c>
      <c r="E75" s="77"/>
      <c r="F75" s="77"/>
      <c r="G75" s="77"/>
      <c r="H75" s="77">
        <v>12.0</v>
      </c>
      <c r="I75" s="66">
        <f t="shared" si="5"/>
        <v>12</v>
      </c>
      <c r="J75" s="77"/>
      <c r="K75" s="77"/>
      <c r="L75" s="77"/>
      <c r="M75" s="77"/>
      <c r="N75" s="77">
        <v>12.0</v>
      </c>
      <c r="O75" s="66">
        <f t="shared" si="6"/>
        <v>12</v>
      </c>
      <c r="P75" s="66"/>
      <c r="Q75" s="42"/>
      <c r="R75" s="42"/>
      <c r="S75" s="42"/>
      <c r="T75" s="42"/>
      <c r="U75" s="42">
        <f t="shared" si="7"/>
        <v>0</v>
      </c>
      <c r="V75" s="42"/>
      <c r="W75" s="42"/>
      <c r="X75" s="42"/>
      <c r="Y75" s="42"/>
      <c r="Z75" s="42"/>
      <c r="AA75" s="42">
        <f t="shared" si="8"/>
        <v>0</v>
      </c>
      <c r="AB75" s="42"/>
      <c r="AC75" s="38"/>
      <c r="AD75" s="38"/>
      <c r="AE75" s="38">
        <v>7.0</v>
      </c>
      <c r="AF75" s="38"/>
      <c r="AG75" s="38">
        <f t="shared" si="9"/>
        <v>7</v>
      </c>
      <c r="AH75" s="38"/>
      <c r="AI75" s="38"/>
      <c r="AJ75" s="38"/>
      <c r="AK75" s="38">
        <v>7.0</v>
      </c>
      <c r="AL75" s="38"/>
      <c r="AM75" s="38">
        <f t="shared" si="10"/>
        <v>7</v>
      </c>
      <c r="AN75" s="38"/>
      <c r="AO75" s="178"/>
      <c r="AP75" s="178"/>
      <c r="AQ75" s="178"/>
      <c r="AR75" s="178"/>
      <c r="AS75" s="178">
        <f t="shared" si="11"/>
        <v>0</v>
      </c>
      <c r="AT75" s="201"/>
      <c r="AU75" s="201"/>
      <c r="AV75" s="201"/>
      <c r="AW75" s="201"/>
      <c r="AX75" s="201"/>
      <c r="AY75" s="178">
        <f t="shared" si="12"/>
        <v>0</v>
      </c>
      <c r="AZ75" s="178"/>
      <c r="BA75" s="44"/>
      <c r="BB75" s="44"/>
      <c r="BC75" s="44">
        <v>3.0</v>
      </c>
      <c r="BD75" s="27"/>
      <c r="BE75" s="27">
        <f t="shared" si="13"/>
        <v>3</v>
      </c>
      <c r="BF75" s="44"/>
      <c r="BG75" s="44"/>
      <c r="BH75" s="44"/>
      <c r="BI75" s="44">
        <v>3.0</v>
      </c>
      <c r="BJ75" s="44"/>
      <c r="BK75" s="27">
        <f t="shared" si="14"/>
        <v>3</v>
      </c>
      <c r="BL75" s="27"/>
      <c r="BM75" s="181">
        <f t="shared" ref="BM75:BX75" si="282">E75+Q75</f>
        <v>0</v>
      </c>
      <c r="BN75" s="181">
        <f t="shared" si="282"/>
        <v>0</v>
      </c>
      <c r="BO75" s="181">
        <f t="shared" si="282"/>
        <v>0</v>
      </c>
      <c r="BP75" s="181">
        <f t="shared" si="282"/>
        <v>12</v>
      </c>
      <c r="BQ75" s="181">
        <f t="shared" si="282"/>
        <v>12</v>
      </c>
      <c r="BR75" s="181">
        <f t="shared" si="282"/>
        <v>0</v>
      </c>
      <c r="BS75" s="181">
        <f t="shared" si="282"/>
        <v>0</v>
      </c>
      <c r="BT75" s="181">
        <f t="shared" si="282"/>
        <v>0</v>
      </c>
      <c r="BU75" s="181">
        <f t="shared" si="282"/>
        <v>0</v>
      </c>
      <c r="BV75" s="181">
        <f t="shared" si="282"/>
        <v>12</v>
      </c>
      <c r="BW75" s="181">
        <f t="shared" si="282"/>
        <v>12</v>
      </c>
      <c r="BX75" s="181">
        <f t="shared" si="282"/>
        <v>0</v>
      </c>
      <c r="BY75" s="38">
        <f t="shared" ref="BY75:CJ75" si="283">AC75+AO75</f>
        <v>0</v>
      </c>
      <c r="BZ75" s="38">
        <f t="shared" si="283"/>
        <v>0</v>
      </c>
      <c r="CA75" s="38">
        <f t="shared" si="283"/>
        <v>7</v>
      </c>
      <c r="CB75" s="38">
        <f t="shared" si="283"/>
        <v>0</v>
      </c>
      <c r="CC75" s="38">
        <f t="shared" si="283"/>
        <v>7</v>
      </c>
      <c r="CD75" s="38">
        <f t="shared" si="283"/>
        <v>0</v>
      </c>
      <c r="CE75" s="38">
        <f t="shared" si="283"/>
        <v>0</v>
      </c>
      <c r="CF75" s="38">
        <f t="shared" si="283"/>
        <v>0</v>
      </c>
      <c r="CG75" s="38">
        <f t="shared" si="283"/>
        <v>7</v>
      </c>
      <c r="CH75" s="38">
        <f t="shared" si="283"/>
        <v>0</v>
      </c>
      <c r="CI75" s="38">
        <f t="shared" si="283"/>
        <v>7</v>
      </c>
      <c r="CJ75" s="38">
        <f t="shared" si="283"/>
        <v>0</v>
      </c>
      <c r="CK75" s="27">
        <f t="shared" ref="CK75:CN75" si="284">BA75+BM75+BY75</f>
        <v>0</v>
      </c>
      <c r="CL75" s="27">
        <f t="shared" si="284"/>
        <v>0</v>
      </c>
      <c r="CM75" s="27">
        <f t="shared" si="284"/>
        <v>10</v>
      </c>
      <c r="CN75" s="27">
        <f t="shared" si="284"/>
        <v>12</v>
      </c>
      <c r="CO75" s="27">
        <f t="shared" si="18"/>
        <v>22</v>
      </c>
      <c r="CP75" s="27">
        <f t="shared" ref="CP75:CT75" si="285">BF75+BR75+CD75</f>
        <v>0</v>
      </c>
      <c r="CQ75" s="27">
        <f t="shared" si="285"/>
        <v>0</v>
      </c>
      <c r="CR75" s="27">
        <f t="shared" si="285"/>
        <v>0</v>
      </c>
      <c r="CS75" s="27">
        <f t="shared" si="285"/>
        <v>10</v>
      </c>
      <c r="CT75" s="27">
        <f t="shared" si="285"/>
        <v>12</v>
      </c>
      <c r="CU75" s="27">
        <f t="shared" si="20"/>
        <v>22</v>
      </c>
      <c r="CV75" s="27">
        <f t="shared" si="21"/>
        <v>0</v>
      </c>
    </row>
    <row r="76" ht="15.75" customHeight="1">
      <c r="A76" s="1"/>
      <c r="B76" s="1"/>
      <c r="C76" s="13"/>
      <c r="D76" s="26" t="s">
        <v>96</v>
      </c>
      <c r="E76" s="77">
        <v>1.0</v>
      </c>
      <c r="F76" s="77"/>
      <c r="G76" s="77">
        <v>22.0</v>
      </c>
      <c r="H76" s="77"/>
      <c r="I76" s="66">
        <f t="shared" si="5"/>
        <v>23</v>
      </c>
      <c r="J76" s="77"/>
      <c r="K76" s="77">
        <v>1.0</v>
      </c>
      <c r="L76" s="77"/>
      <c r="M76" s="77">
        <v>22.0</v>
      </c>
      <c r="N76" s="77"/>
      <c r="O76" s="66">
        <f t="shared" si="6"/>
        <v>23</v>
      </c>
      <c r="P76" s="66"/>
      <c r="Q76" s="42"/>
      <c r="R76" s="42"/>
      <c r="S76" s="42">
        <v>24.0</v>
      </c>
      <c r="T76" s="42"/>
      <c r="U76" s="42">
        <f t="shared" si="7"/>
        <v>24</v>
      </c>
      <c r="V76" s="42"/>
      <c r="W76" s="42"/>
      <c r="X76" s="42"/>
      <c r="Y76" s="42">
        <v>24.0</v>
      </c>
      <c r="Z76" s="42"/>
      <c r="AA76" s="42">
        <f t="shared" si="8"/>
        <v>24</v>
      </c>
      <c r="AB76" s="42"/>
      <c r="AC76" s="38"/>
      <c r="AD76" s="38"/>
      <c r="AE76" s="38">
        <v>19.0</v>
      </c>
      <c r="AF76" s="38"/>
      <c r="AG76" s="38">
        <f t="shared" si="9"/>
        <v>19</v>
      </c>
      <c r="AH76" s="38"/>
      <c r="AI76" s="38"/>
      <c r="AJ76" s="38"/>
      <c r="AK76" s="38">
        <v>19.0</v>
      </c>
      <c r="AL76" s="38"/>
      <c r="AM76" s="38">
        <f t="shared" si="10"/>
        <v>19</v>
      </c>
      <c r="AN76" s="38"/>
      <c r="AO76" s="178"/>
      <c r="AP76" s="178"/>
      <c r="AQ76" s="178"/>
      <c r="AR76" s="178"/>
      <c r="AS76" s="178">
        <f t="shared" si="11"/>
        <v>0</v>
      </c>
      <c r="AT76" s="201"/>
      <c r="AU76" s="201"/>
      <c r="AV76" s="201"/>
      <c r="AW76" s="201"/>
      <c r="AX76" s="201"/>
      <c r="AY76" s="178">
        <f t="shared" si="12"/>
        <v>0</v>
      </c>
      <c r="AZ76" s="178"/>
      <c r="BA76" s="44"/>
      <c r="BB76" s="44"/>
      <c r="BC76" s="44"/>
      <c r="BD76" s="27"/>
      <c r="BE76" s="27">
        <f t="shared" si="13"/>
        <v>0</v>
      </c>
      <c r="BF76" s="44"/>
      <c r="BG76" s="44"/>
      <c r="BH76" s="44"/>
      <c r="BI76" s="44"/>
      <c r="BJ76" s="44"/>
      <c r="BK76" s="27">
        <f t="shared" si="14"/>
        <v>0</v>
      </c>
      <c r="BL76" s="27"/>
      <c r="BM76" s="181">
        <f t="shared" ref="BM76:BX76" si="286">E76+Q76</f>
        <v>1</v>
      </c>
      <c r="BN76" s="181">
        <f t="shared" si="286"/>
        <v>0</v>
      </c>
      <c r="BO76" s="181">
        <f t="shared" si="286"/>
        <v>46</v>
      </c>
      <c r="BP76" s="181">
        <f t="shared" si="286"/>
        <v>0</v>
      </c>
      <c r="BQ76" s="181">
        <f t="shared" si="286"/>
        <v>47</v>
      </c>
      <c r="BR76" s="181">
        <f t="shared" si="286"/>
        <v>0</v>
      </c>
      <c r="BS76" s="181">
        <f t="shared" si="286"/>
        <v>1</v>
      </c>
      <c r="BT76" s="181">
        <f t="shared" si="286"/>
        <v>0</v>
      </c>
      <c r="BU76" s="181">
        <f t="shared" si="286"/>
        <v>46</v>
      </c>
      <c r="BV76" s="181">
        <f t="shared" si="286"/>
        <v>0</v>
      </c>
      <c r="BW76" s="181">
        <f t="shared" si="286"/>
        <v>47</v>
      </c>
      <c r="BX76" s="181">
        <f t="shared" si="286"/>
        <v>0</v>
      </c>
      <c r="BY76" s="38">
        <f t="shared" ref="BY76:CJ76" si="287">AC76+AO76</f>
        <v>0</v>
      </c>
      <c r="BZ76" s="38">
        <f t="shared" si="287"/>
        <v>0</v>
      </c>
      <c r="CA76" s="38">
        <f t="shared" si="287"/>
        <v>19</v>
      </c>
      <c r="CB76" s="38">
        <f t="shared" si="287"/>
        <v>0</v>
      </c>
      <c r="CC76" s="38">
        <f t="shared" si="287"/>
        <v>19</v>
      </c>
      <c r="CD76" s="38">
        <f t="shared" si="287"/>
        <v>0</v>
      </c>
      <c r="CE76" s="38">
        <f t="shared" si="287"/>
        <v>0</v>
      </c>
      <c r="CF76" s="38">
        <f t="shared" si="287"/>
        <v>0</v>
      </c>
      <c r="CG76" s="38">
        <f t="shared" si="287"/>
        <v>19</v>
      </c>
      <c r="CH76" s="38">
        <f t="shared" si="287"/>
        <v>0</v>
      </c>
      <c r="CI76" s="38">
        <f t="shared" si="287"/>
        <v>19</v>
      </c>
      <c r="CJ76" s="38">
        <f t="shared" si="287"/>
        <v>0</v>
      </c>
      <c r="CK76" s="27">
        <f t="shared" ref="CK76:CN76" si="288">BA76+BM76+BY76</f>
        <v>1</v>
      </c>
      <c r="CL76" s="27">
        <f t="shared" si="288"/>
        <v>0</v>
      </c>
      <c r="CM76" s="27">
        <f t="shared" si="288"/>
        <v>65</v>
      </c>
      <c r="CN76" s="27">
        <f t="shared" si="288"/>
        <v>0</v>
      </c>
      <c r="CO76" s="27">
        <f t="shared" si="18"/>
        <v>66</v>
      </c>
      <c r="CP76" s="27">
        <f t="shared" ref="CP76:CT76" si="289">BF76+BR76+CD76</f>
        <v>0</v>
      </c>
      <c r="CQ76" s="27">
        <f t="shared" si="289"/>
        <v>1</v>
      </c>
      <c r="CR76" s="27">
        <f t="shared" si="289"/>
        <v>0</v>
      </c>
      <c r="CS76" s="27">
        <f t="shared" si="289"/>
        <v>65</v>
      </c>
      <c r="CT76" s="27">
        <f t="shared" si="289"/>
        <v>0</v>
      </c>
      <c r="CU76" s="27">
        <f t="shared" si="20"/>
        <v>66</v>
      </c>
      <c r="CV76" s="27">
        <f t="shared" si="21"/>
        <v>0</v>
      </c>
    </row>
    <row r="77" ht="15.75" customHeight="1">
      <c r="A77" s="1"/>
      <c r="B77" s="1"/>
      <c r="C77" s="13"/>
      <c r="D77" s="26" t="s">
        <v>135</v>
      </c>
      <c r="E77" s="77"/>
      <c r="F77" s="77"/>
      <c r="G77" s="77"/>
      <c r="H77" s="77"/>
      <c r="I77" s="66">
        <f t="shared" si="5"/>
        <v>0</v>
      </c>
      <c r="J77" s="77"/>
      <c r="K77" s="77"/>
      <c r="L77" s="77"/>
      <c r="M77" s="77"/>
      <c r="N77" s="77"/>
      <c r="O77" s="66">
        <f t="shared" si="6"/>
        <v>0</v>
      </c>
      <c r="P77" s="66"/>
      <c r="Q77" s="42"/>
      <c r="R77" s="42"/>
      <c r="S77" s="42"/>
      <c r="T77" s="42"/>
      <c r="U77" s="42">
        <f t="shared" si="7"/>
        <v>0</v>
      </c>
      <c r="V77" s="42"/>
      <c r="W77" s="42"/>
      <c r="X77" s="42"/>
      <c r="Y77" s="42"/>
      <c r="Z77" s="42"/>
      <c r="AA77" s="42">
        <f t="shared" si="8"/>
        <v>0</v>
      </c>
      <c r="AB77" s="42"/>
      <c r="AC77" s="38"/>
      <c r="AD77" s="38"/>
      <c r="AE77" s="38">
        <v>3.0</v>
      </c>
      <c r="AF77" s="38"/>
      <c r="AG77" s="38">
        <f t="shared" si="9"/>
        <v>3</v>
      </c>
      <c r="AH77" s="38"/>
      <c r="AI77" s="38"/>
      <c r="AJ77" s="38"/>
      <c r="AK77" s="38">
        <v>3.0</v>
      </c>
      <c r="AL77" s="38"/>
      <c r="AM77" s="38">
        <f t="shared" si="10"/>
        <v>3</v>
      </c>
      <c r="AN77" s="38"/>
      <c r="AO77" s="178"/>
      <c r="AP77" s="178"/>
      <c r="AQ77" s="178"/>
      <c r="AR77" s="178"/>
      <c r="AS77" s="178">
        <f t="shared" si="11"/>
        <v>0</v>
      </c>
      <c r="AT77" s="201"/>
      <c r="AU77" s="201"/>
      <c r="AV77" s="201"/>
      <c r="AW77" s="201"/>
      <c r="AX77" s="201"/>
      <c r="AY77" s="178">
        <f t="shared" si="12"/>
        <v>0</v>
      </c>
      <c r="AZ77" s="178"/>
      <c r="BA77" s="44"/>
      <c r="BB77" s="44"/>
      <c r="BC77" s="44"/>
      <c r="BD77" s="27"/>
      <c r="BE77" s="27">
        <f t="shared" si="13"/>
        <v>0</v>
      </c>
      <c r="BF77" s="44"/>
      <c r="BG77" s="44"/>
      <c r="BH77" s="44"/>
      <c r="BI77" s="44"/>
      <c r="BJ77" s="44"/>
      <c r="BK77" s="27">
        <f t="shared" si="14"/>
        <v>0</v>
      </c>
      <c r="BL77" s="27"/>
      <c r="BM77" s="181">
        <f t="shared" ref="BM77:BX77" si="290">E77+Q77</f>
        <v>0</v>
      </c>
      <c r="BN77" s="181">
        <f t="shared" si="290"/>
        <v>0</v>
      </c>
      <c r="BO77" s="181">
        <f t="shared" si="290"/>
        <v>0</v>
      </c>
      <c r="BP77" s="181">
        <f t="shared" si="290"/>
        <v>0</v>
      </c>
      <c r="BQ77" s="181">
        <f t="shared" si="290"/>
        <v>0</v>
      </c>
      <c r="BR77" s="181">
        <f t="shared" si="290"/>
        <v>0</v>
      </c>
      <c r="BS77" s="181">
        <f t="shared" si="290"/>
        <v>0</v>
      </c>
      <c r="BT77" s="181">
        <f t="shared" si="290"/>
        <v>0</v>
      </c>
      <c r="BU77" s="181">
        <f t="shared" si="290"/>
        <v>0</v>
      </c>
      <c r="BV77" s="181">
        <f t="shared" si="290"/>
        <v>0</v>
      </c>
      <c r="BW77" s="181">
        <f t="shared" si="290"/>
        <v>0</v>
      </c>
      <c r="BX77" s="181">
        <f t="shared" si="290"/>
        <v>0</v>
      </c>
      <c r="BY77" s="38">
        <f t="shared" ref="BY77:CJ77" si="291">AC77+AO77</f>
        <v>0</v>
      </c>
      <c r="BZ77" s="38">
        <f t="shared" si="291"/>
        <v>0</v>
      </c>
      <c r="CA77" s="38">
        <f t="shared" si="291"/>
        <v>3</v>
      </c>
      <c r="CB77" s="38">
        <f t="shared" si="291"/>
        <v>0</v>
      </c>
      <c r="CC77" s="38">
        <f t="shared" si="291"/>
        <v>3</v>
      </c>
      <c r="CD77" s="38">
        <f t="shared" si="291"/>
        <v>0</v>
      </c>
      <c r="CE77" s="38">
        <f t="shared" si="291"/>
        <v>0</v>
      </c>
      <c r="CF77" s="38">
        <f t="shared" si="291"/>
        <v>0</v>
      </c>
      <c r="CG77" s="38">
        <f t="shared" si="291"/>
        <v>3</v>
      </c>
      <c r="CH77" s="38">
        <f t="shared" si="291"/>
        <v>0</v>
      </c>
      <c r="CI77" s="38">
        <f t="shared" si="291"/>
        <v>3</v>
      </c>
      <c r="CJ77" s="38">
        <f t="shared" si="291"/>
        <v>0</v>
      </c>
      <c r="CK77" s="27">
        <f t="shared" ref="CK77:CN77" si="292">BA77+BM77+BY77</f>
        <v>0</v>
      </c>
      <c r="CL77" s="27">
        <f t="shared" si="292"/>
        <v>0</v>
      </c>
      <c r="CM77" s="27">
        <f t="shared" si="292"/>
        <v>3</v>
      </c>
      <c r="CN77" s="27">
        <f t="shared" si="292"/>
        <v>0</v>
      </c>
      <c r="CO77" s="27">
        <f t="shared" si="18"/>
        <v>3</v>
      </c>
      <c r="CP77" s="27">
        <f t="shared" ref="CP77:CT77" si="293">BF77+BR77+CD77</f>
        <v>0</v>
      </c>
      <c r="CQ77" s="27">
        <f t="shared" si="293"/>
        <v>0</v>
      </c>
      <c r="CR77" s="27">
        <f t="shared" si="293"/>
        <v>0</v>
      </c>
      <c r="CS77" s="27">
        <f t="shared" si="293"/>
        <v>3</v>
      </c>
      <c r="CT77" s="27">
        <f t="shared" si="293"/>
        <v>0</v>
      </c>
      <c r="CU77" s="27">
        <f t="shared" si="20"/>
        <v>3</v>
      </c>
      <c r="CV77" s="27">
        <f t="shared" si="21"/>
        <v>0</v>
      </c>
    </row>
    <row r="78" ht="15.75" customHeight="1">
      <c r="A78" s="1"/>
      <c r="B78" s="1"/>
      <c r="C78" s="13"/>
      <c r="D78" s="26" t="s">
        <v>186</v>
      </c>
      <c r="E78" s="77"/>
      <c r="F78" s="77"/>
      <c r="G78" s="77"/>
      <c r="H78" s="77"/>
      <c r="I78" s="66">
        <f t="shared" si="5"/>
        <v>0</v>
      </c>
      <c r="J78" s="77"/>
      <c r="K78" s="77"/>
      <c r="L78" s="77"/>
      <c r="M78" s="77"/>
      <c r="N78" s="77"/>
      <c r="O78" s="66">
        <f t="shared" si="6"/>
        <v>0</v>
      </c>
      <c r="P78" s="66"/>
      <c r="Q78" s="42"/>
      <c r="R78" s="42"/>
      <c r="S78" s="42"/>
      <c r="T78" s="42"/>
      <c r="U78" s="42">
        <f t="shared" si="7"/>
        <v>0</v>
      </c>
      <c r="V78" s="42"/>
      <c r="W78" s="42"/>
      <c r="X78" s="42"/>
      <c r="Y78" s="42"/>
      <c r="Z78" s="42"/>
      <c r="AA78" s="42">
        <f t="shared" si="8"/>
        <v>0</v>
      </c>
      <c r="AB78" s="42"/>
      <c r="AC78" s="38"/>
      <c r="AD78" s="38"/>
      <c r="AE78" s="38"/>
      <c r="AF78" s="38"/>
      <c r="AG78" s="38">
        <f t="shared" si="9"/>
        <v>0</v>
      </c>
      <c r="AH78" s="38"/>
      <c r="AI78" s="38"/>
      <c r="AJ78" s="38"/>
      <c r="AK78" s="38"/>
      <c r="AL78" s="38"/>
      <c r="AM78" s="38">
        <f t="shared" si="10"/>
        <v>0</v>
      </c>
      <c r="AN78" s="38"/>
      <c r="AO78" s="178"/>
      <c r="AP78" s="178"/>
      <c r="AQ78" s="178"/>
      <c r="AR78" s="178"/>
      <c r="AS78" s="178">
        <f t="shared" si="11"/>
        <v>0</v>
      </c>
      <c r="AT78" s="201"/>
      <c r="AU78" s="201"/>
      <c r="AV78" s="201"/>
      <c r="AW78" s="201"/>
      <c r="AX78" s="201"/>
      <c r="AY78" s="178">
        <f t="shared" si="12"/>
        <v>0</v>
      </c>
      <c r="AZ78" s="178"/>
      <c r="BA78" s="44"/>
      <c r="BB78" s="44"/>
      <c r="BC78" s="44">
        <v>15.0</v>
      </c>
      <c r="BD78" s="27"/>
      <c r="BE78" s="27">
        <f t="shared" si="13"/>
        <v>15</v>
      </c>
      <c r="BF78" s="44"/>
      <c r="BG78" s="44"/>
      <c r="BH78" s="44"/>
      <c r="BI78" s="44">
        <v>15.0</v>
      </c>
      <c r="BJ78" s="44"/>
      <c r="BK78" s="27">
        <f t="shared" si="14"/>
        <v>15</v>
      </c>
      <c r="BL78" s="27"/>
      <c r="BM78" s="181">
        <f t="shared" ref="BM78:BX78" si="294">E78+Q78</f>
        <v>0</v>
      </c>
      <c r="BN78" s="181">
        <f t="shared" si="294"/>
        <v>0</v>
      </c>
      <c r="BO78" s="181">
        <f t="shared" si="294"/>
        <v>0</v>
      </c>
      <c r="BP78" s="181">
        <f t="shared" si="294"/>
        <v>0</v>
      </c>
      <c r="BQ78" s="181">
        <f t="shared" si="294"/>
        <v>0</v>
      </c>
      <c r="BR78" s="181">
        <f t="shared" si="294"/>
        <v>0</v>
      </c>
      <c r="BS78" s="181">
        <f t="shared" si="294"/>
        <v>0</v>
      </c>
      <c r="BT78" s="181">
        <f t="shared" si="294"/>
        <v>0</v>
      </c>
      <c r="BU78" s="181">
        <f t="shared" si="294"/>
        <v>0</v>
      </c>
      <c r="BV78" s="181">
        <f t="shared" si="294"/>
        <v>0</v>
      </c>
      <c r="BW78" s="181">
        <f t="shared" si="294"/>
        <v>0</v>
      </c>
      <c r="BX78" s="181">
        <f t="shared" si="294"/>
        <v>0</v>
      </c>
      <c r="BY78" s="38">
        <f t="shared" ref="BY78:CJ78" si="295">AC78+AO78</f>
        <v>0</v>
      </c>
      <c r="BZ78" s="38">
        <f t="shared" si="295"/>
        <v>0</v>
      </c>
      <c r="CA78" s="38">
        <f t="shared" si="295"/>
        <v>0</v>
      </c>
      <c r="CB78" s="38">
        <f t="shared" si="295"/>
        <v>0</v>
      </c>
      <c r="CC78" s="38">
        <f t="shared" si="295"/>
        <v>0</v>
      </c>
      <c r="CD78" s="38">
        <f t="shared" si="295"/>
        <v>0</v>
      </c>
      <c r="CE78" s="38">
        <f t="shared" si="295"/>
        <v>0</v>
      </c>
      <c r="CF78" s="38">
        <f t="shared" si="295"/>
        <v>0</v>
      </c>
      <c r="CG78" s="38">
        <f t="shared" si="295"/>
        <v>0</v>
      </c>
      <c r="CH78" s="38">
        <f t="shared" si="295"/>
        <v>0</v>
      </c>
      <c r="CI78" s="38">
        <f t="shared" si="295"/>
        <v>0</v>
      </c>
      <c r="CJ78" s="38">
        <f t="shared" si="295"/>
        <v>0</v>
      </c>
      <c r="CK78" s="27">
        <f t="shared" ref="CK78:CN78" si="296">BA78+BM78+BY78</f>
        <v>0</v>
      </c>
      <c r="CL78" s="27">
        <f t="shared" si="296"/>
        <v>0</v>
      </c>
      <c r="CM78" s="27">
        <f t="shared" si="296"/>
        <v>15</v>
      </c>
      <c r="CN78" s="27">
        <f t="shared" si="296"/>
        <v>0</v>
      </c>
      <c r="CO78" s="27">
        <f t="shared" si="18"/>
        <v>15</v>
      </c>
      <c r="CP78" s="27">
        <f t="shared" ref="CP78:CT78" si="297">BF78+BR78+CD78</f>
        <v>0</v>
      </c>
      <c r="CQ78" s="27">
        <f t="shared" si="297"/>
        <v>0</v>
      </c>
      <c r="CR78" s="27">
        <f t="shared" si="297"/>
        <v>0</v>
      </c>
      <c r="CS78" s="27">
        <f t="shared" si="297"/>
        <v>15</v>
      </c>
      <c r="CT78" s="27">
        <f t="shared" si="297"/>
        <v>0</v>
      </c>
      <c r="CU78" s="27">
        <f t="shared" si="20"/>
        <v>15</v>
      </c>
      <c r="CV78" s="27">
        <f t="shared" si="21"/>
        <v>0</v>
      </c>
    </row>
    <row r="79" ht="15.75" customHeight="1">
      <c r="A79" s="1"/>
      <c r="B79" s="1"/>
      <c r="C79" s="13"/>
      <c r="D79" s="26" t="s">
        <v>105</v>
      </c>
      <c r="E79" s="77"/>
      <c r="F79" s="77"/>
      <c r="G79" s="77"/>
      <c r="H79" s="77"/>
      <c r="I79" s="66">
        <f t="shared" si="5"/>
        <v>0</v>
      </c>
      <c r="J79" s="77"/>
      <c r="K79" s="77"/>
      <c r="L79" s="77"/>
      <c r="M79" s="77"/>
      <c r="N79" s="77"/>
      <c r="O79" s="66">
        <f t="shared" si="6"/>
        <v>0</v>
      </c>
      <c r="P79" s="66"/>
      <c r="Q79" s="42"/>
      <c r="R79" s="42"/>
      <c r="S79" s="42"/>
      <c r="T79" s="42"/>
      <c r="U79" s="42">
        <f t="shared" si="7"/>
        <v>0</v>
      </c>
      <c r="V79" s="42"/>
      <c r="W79" s="42"/>
      <c r="X79" s="42"/>
      <c r="Y79" s="42"/>
      <c r="Z79" s="42"/>
      <c r="AA79" s="42">
        <f t="shared" si="8"/>
        <v>0</v>
      </c>
      <c r="AB79" s="42"/>
      <c r="AC79" s="38"/>
      <c r="AD79" s="38"/>
      <c r="AE79" s="38"/>
      <c r="AF79" s="38"/>
      <c r="AG79" s="38">
        <f t="shared" si="9"/>
        <v>0</v>
      </c>
      <c r="AH79" s="38"/>
      <c r="AI79" s="38"/>
      <c r="AJ79" s="38"/>
      <c r="AK79" s="38"/>
      <c r="AL79" s="38"/>
      <c r="AM79" s="38">
        <f t="shared" si="10"/>
        <v>0</v>
      </c>
      <c r="AN79" s="38"/>
      <c r="AO79" s="178"/>
      <c r="AP79" s="178"/>
      <c r="AQ79" s="178"/>
      <c r="AR79" s="178"/>
      <c r="AS79" s="178">
        <f t="shared" si="11"/>
        <v>0</v>
      </c>
      <c r="AT79" s="201"/>
      <c r="AU79" s="201"/>
      <c r="AV79" s="201"/>
      <c r="AW79" s="201"/>
      <c r="AX79" s="201"/>
      <c r="AY79" s="178">
        <f t="shared" si="12"/>
        <v>0</v>
      </c>
      <c r="AZ79" s="178"/>
      <c r="BA79" s="44"/>
      <c r="BB79" s="44"/>
      <c r="BC79" s="44">
        <v>6.0</v>
      </c>
      <c r="BD79" s="27"/>
      <c r="BE79" s="27">
        <f t="shared" si="13"/>
        <v>6</v>
      </c>
      <c r="BF79" s="44"/>
      <c r="BG79" s="44"/>
      <c r="BH79" s="44"/>
      <c r="BI79" s="44">
        <v>6.0</v>
      </c>
      <c r="BJ79" s="44"/>
      <c r="BK79" s="27">
        <f t="shared" si="14"/>
        <v>6</v>
      </c>
      <c r="BL79" s="27"/>
      <c r="BM79" s="181">
        <f t="shared" ref="BM79:BX79" si="298">E79+Q79</f>
        <v>0</v>
      </c>
      <c r="BN79" s="181">
        <f t="shared" si="298"/>
        <v>0</v>
      </c>
      <c r="BO79" s="181">
        <f t="shared" si="298"/>
        <v>0</v>
      </c>
      <c r="BP79" s="181">
        <f t="shared" si="298"/>
        <v>0</v>
      </c>
      <c r="BQ79" s="181">
        <f t="shared" si="298"/>
        <v>0</v>
      </c>
      <c r="BR79" s="181">
        <f t="shared" si="298"/>
        <v>0</v>
      </c>
      <c r="BS79" s="181">
        <f t="shared" si="298"/>
        <v>0</v>
      </c>
      <c r="BT79" s="181">
        <f t="shared" si="298"/>
        <v>0</v>
      </c>
      <c r="BU79" s="181">
        <f t="shared" si="298"/>
        <v>0</v>
      </c>
      <c r="BV79" s="181">
        <f t="shared" si="298"/>
        <v>0</v>
      </c>
      <c r="BW79" s="181">
        <f t="shared" si="298"/>
        <v>0</v>
      </c>
      <c r="BX79" s="181">
        <f t="shared" si="298"/>
        <v>0</v>
      </c>
      <c r="BY79" s="38">
        <f t="shared" ref="BY79:CJ79" si="299">AC79+AO79</f>
        <v>0</v>
      </c>
      <c r="BZ79" s="38">
        <f t="shared" si="299"/>
        <v>0</v>
      </c>
      <c r="CA79" s="38">
        <f t="shared" si="299"/>
        <v>0</v>
      </c>
      <c r="CB79" s="38">
        <f t="shared" si="299"/>
        <v>0</v>
      </c>
      <c r="CC79" s="38">
        <f t="shared" si="299"/>
        <v>0</v>
      </c>
      <c r="CD79" s="38">
        <f t="shared" si="299"/>
        <v>0</v>
      </c>
      <c r="CE79" s="38">
        <f t="shared" si="299"/>
        <v>0</v>
      </c>
      <c r="CF79" s="38">
        <f t="shared" si="299"/>
        <v>0</v>
      </c>
      <c r="CG79" s="38">
        <f t="shared" si="299"/>
        <v>0</v>
      </c>
      <c r="CH79" s="38">
        <f t="shared" si="299"/>
        <v>0</v>
      </c>
      <c r="CI79" s="38">
        <f t="shared" si="299"/>
        <v>0</v>
      </c>
      <c r="CJ79" s="38">
        <f t="shared" si="299"/>
        <v>0</v>
      </c>
      <c r="CK79" s="27">
        <f t="shared" ref="CK79:CN79" si="300">BA79+BM79+BY79</f>
        <v>0</v>
      </c>
      <c r="CL79" s="27">
        <f t="shared" si="300"/>
        <v>0</v>
      </c>
      <c r="CM79" s="27">
        <f t="shared" si="300"/>
        <v>6</v>
      </c>
      <c r="CN79" s="27">
        <f t="shared" si="300"/>
        <v>0</v>
      </c>
      <c r="CO79" s="27">
        <f t="shared" si="18"/>
        <v>6</v>
      </c>
      <c r="CP79" s="27">
        <f t="shared" ref="CP79:CT79" si="301">BF79+BR79+CD79</f>
        <v>0</v>
      </c>
      <c r="CQ79" s="27">
        <f t="shared" si="301"/>
        <v>0</v>
      </c>
      <c r="CR79" s="27">
        <f t="shared" si="301"/>
        <v>0</v>
      </c>
      <c r="CS79" s="27">
        <f t="shared" si="301"/>
        <v>6</v>
      </c>
      <c r="CT79" s="27">
        <f t="shared" si="301"/>
        <v>0</v>
      </c>
      <c r="CU79" s="27">
        <f t="shared" si="20"/>
        <v>6</v>
      </c>
      <c r="CV79" s="27">
        <f t="shared" si="21"/>
        <v>0</v>
      </c>
    </row>
    <row r="80" ht="15.75" customHeight="1">
      <c r="A80" s="1"/>
      <c r="B80" s="1"/>
      <c r="C80" s="13"/>
      <c r="D80" s="26" t="s">
        <v>181</v>
      </c>
      <c r="E80" s="77"/>
      <c r="F80" s="77"/>
      <c r="G80" s="77"/>
      <c r="H80" s="77"/>
      <c r="I80" s="66">
        <f t="shared" si="5"/>
        <v>0</v>
      </c>
      <c r="J80" s="77"/>
      <c r="K80" s="77"/>
      <c r="L80" s="77"/>
      <c r="M80" s="77"/>
      <c r="N80" s="77"/>
      <c r="O80" s="66">
        <f t="shared" si="6"/>
        <v>0</v>
      </c>
      <c r="P80" s="66"/>
      <c r="Q80" s="42"/>
      <c r="R80" s="42"/>
      <c r="S80" s="42"/>
      <c r="T80" s="42"/>
      <c r="U80" s="42">
        <f t="shared" si="7"/>
        <v>0</v>
      </c>
      <c r="V80" s="42"/>
      <c r="W80" s="42"/>
      <c r="X80" s="42"/>
      <c r="Y80" s="42"/>
      <c r="Z80" s="42"/>
      <c r="AA80" s="42">
        <f t="shared" si="8"/>
        <v>0</v>
      </c>
      <c r="AB80" s="42"/>
      <c r="AC80" s="38"/>
      <c r="AD80" s="38"/>
      <c r="AE80" s="38"/>
      <c r="AF80" s="38"/>
      <c r="AG80" s="38">
        <f t="shared" si="9"/>
        <v>0</v>
      </c>
      <c r="AH80" s="38"/>
      <c r="AI80" s="38"/>
      <c r="AJ80" s="38"/>
      <c r="AK80" s="38"/>
      <c r="AL80" s="38"/>
      <c r="AM80" s="38">
        <f t="shared" si="10"/>
        <v>0</v>
      </c>
      <c r="AN80" s="38"/>
      <c r="AO80" s="178"/>
      <c r="AP80" s="178"/>
      <c r="AQ80" s="178"/>
      <c r="AR80" s="178"/>
      <c r="AS80" s="178">
        <f t="shared" si="11"/>
        <v>0</v>
      </c>
      <c r="AT80" s="201"/>
      <c r="AU80" s="201"/>
      <c r="AV80" s="201"/>
      <c r="AW80" s="201"/>
      <c r="AX80" s="201"/>
      <c r="AY80" s="178">
        <f t="shared" si="12"/>
        <v>0</v>
      </c>
      <c r="AZ80" s="178"/>
      <c r="BA80" s="44"/>
      <c r="BB80" s="44"/>
      <c r="BC80" s="44"/>
      <c r="BD80" s="27"/>
      <c r="BE80" s="27">
        <f t="shared" si="13"/>
        <v>0</v>
      </c>
      <c r="BF80" s="44"/>
      <c r="BG80" s="44"/>
      <c r="BH80" s="44"/>
      <c r="BI80" s="44"/>
      <c r="BJ80" s="44"/>
      <c r="BK80" s="27">
        <f t="shared" si="14"/>
        <v>0</v>
      </c>
      <c r="BL80" s="27"/>
      <c r="BM80" s="181">
        <f t="shared" ref="BM80:BX80" si="302">E80+Q80</f>
        <v>0</v>
      </c>
      <c r="BN80" s="181">
        <f t="shared" si="302"/>
        <v>0</v>
      </c>
      <c r="BO80" s="181">
        <f t="shared" si="302"/>
        <v>0</v>
      </c>
      <c r="BP80" s="181">
        <f t="shared" si="302"/>
        <v>0</v>
      </c>
      <c r="BQ80" s="181">
        <f t="shared" si="302"/>
        <v>0</v>
      </c>
      <c r="BR80" s="181">
        <f t="shared" si="302"/>
        <v>0</v>
      </c>
      <c r="BS80" s="181">
        <f t="shared" si="302"/>
        <v>0</v>
      </c>
      <c r="BT80" s="181">
        <f t="shared" si="302"/>
        <v>0</v>
      </c>
      <c r="BU80" s="181">
        <f t="shared" si="302"/>
        <v>0</v>
      </c>
      <c r="BV80" s="181">
        <f t="shared" si="302"/>
        <v>0</v>
      </c>
      <c r="BW80" s="181">
        <f t="shared" si="302"/>
        <v>0</v>
      </c>
      <c r="BX80" s="181">
        <f t="shared" si="302"/>
        <v>0</v>
      </c>
      <c r="BY80" s="38">
        <f t="shared" ref="BY80:CJ80" si="303">AC80+AO80</f>
        <v>0</v>
      </c>
      <c r="BZ80" s="38">
        <f t="shared" si="303"/>
        <v>0</v>
      </c>
      <c r="CA80" s="38">
        <f t="shared" si="303"/>
        <v>0</v>
      </c>
      <c r="CB80" s="38">
        <f t="shared" si="303"/>
        <v>0</v>
      </c>
      <c r="CC80" s="38">
        <f t="shared" si="303"/>
        <v>0</v>
      </c>
      <c r="CD80" s="38">
        <f t="shared" si="303"/>
        <v>0</v>
      </c>
      <c r="CE80" s="38">
        <f t="shared" si="303"/>
        <v>0</v>
      </c>
      <c r="CF80" s="38">
        <f t="shared" si="303"/>
        <v>0</v>
      </c>
      <c r="CG80" s="38">
        <f t="shared" si="303"/>
        <v>0</v>
      </c>
      <c r="CH80" s="38">
        <f t="shared" si="303"/>
        <v>0</v>
      </c>
      <c r="CI80" s="38">
        <f t="shared" si="303"/>
        <v>0</v>
      </c>
      <c r="CJ80" s="38">
        <f t="shared" si="303"/>
        <v>0</v>
      </c>
      <c r="CK80" s="27">
        <f t="shared" ref="CK80:CN80" si="304">BA80+BM80+BY80</f>
        <v>0</v>
      </c>
      <c r="CL80" s="27">
        <f t="shared" si="304"/>
        <v>0</v>
      </c>
      <c r="CM80" s="27">
        <f t="shared" si="304"/>
        <v>0</v>
      </c>
      <c r="CN80" s="27">
        <f t="shared" si="304"/>
        <v>0</v>
      </c>
      <c r="CO80" s="27">
        <f t="shared" si="18"/>
        <v>0</v>
      </c>
      <c r="CP80" s="27">
        <f t="shared" ref="CP80:CT80" si="305">BF80+BR80+CD80</f>
        <v>0</v>
      </c>
      <c r="CQ80" s="27">
        <f t="shared" si="305"/>
        <v>0</v>
      </c>
      <c r="CR80" s="27">
        <f t="shared" si="305"/>
        <v>0</v>
      </c>
      <c r="CS80" s="27">
        <f t="shared" si="305"/>
        <v>0</v>
      </c>
      <c r="CT80" s="27">
        <f t="shared" si="305"/>
        <v>0</v>
      </c>
      <c r="CU80" s="27">
        <f t="shared" si="20"/>
        <v>0</v>
      </c>
      <c r="CV80" s="27">
        <f t="shared" si="21"/>
        <v>0</v>
      </c>
    </row>
    <row r="81" ht="15.75" customHeight="1">
      <c r="A81" s="1"/>
      <c r="B81" s="1"/>
      <c r="C81" s="13"/>
      <c r="D81" s="26" t="s">
        <v>183</v>
      </c>
      <c r="E81" s="77"/>
      <c r="F81" s="77"/>
      <c r="G81" s="77"/>
      <c r="H81" s="77"/>
      <c r="I81" s="66">
        <f t="shared" si="5"/>
        <v>0</v>
      </c>
      <c r="J81" s="77"/>
      <c r="K81" s="77"/>
      <c r="L81" s="77"/>
      <c r="M81" s="77"/>
      <c r="N81" s="77"/>
      <c r="O81" s="66">
        <f t="shared" si="6"/>
        <v>0</v>
      </c>
      <c r="P81" s="66"/>
      <c r="Q81" s="42"/>
      <c r="R81" s="42"/>
      <c r="S81" s="42">
        <v>12.0</v>
      </c>
      <c r="T81" s="42">
        <v>1.0</v>
      </c>
      <c r="U81" s="42">
        <f t="shared" si="7"/>
        <v>13</v>
      </c>
      <c r="V81" s="42"/>
      <c r="W81" s="42"/>
      <c r="X81" s="42"/>
      <c r="Y81" s="42">
        <v>12.0</v>
      </c>
      <c r="Z81" s="42">
        <v>1.0</v>
      </c>
      <c r="AA81" s="42">
        <f t="shared" si="8"/>
        <v>13</v>
      </c>
      <c r="AB81" s="42"/>
      <c r="AC81" s="38"/>
      <c r="AD81" s="38"/>
      <c r="AE81" s="38">
        <v>2.0</v>
      </c>
      <c r="AF81" s="38">
        <v>36.0</v>
      </c>
      <c r="AG81" s="38">
        <f t="shared" si="9"/>
        <v>38</v>
      </c>
      <c r="AH81" s="38"/>
      <c r="AI81" s="38"/>
      <c r="AJ81" s="38"/>
      <c r="AK81" s="38">
        <v>2.0</v>
      </c>
      <c r="AL81" s="38">
        <v>36.0</v>
      </c>
      <c r="AM81" s="38">
        <f t="shared" si="10"/>
        <v>38</v>
      </c>
      <c r="AN81" s="38"/>
      <c r="AO81" s="178"/>
      <c r="AP81" s="178"/>
      <c r="AQ81" s="178"/>
      <c r="AR81" s="178"/>
      <c r="AS81" s="178">
        <f t="shared" si="11"/>
        <v>0</v>
      </c>
      <c r="AT81" s="201"/>
      <c r="AU81" s="201"/>
      <c r="AV81" s="201"/>
      <c r="AW81" s="201"/>
      <c r="AX81" s="201"/>
      <c r="AY81" s="178">
        <f t="shared" si="12"/>
        <v>0</v>
      </c>
      <c r="AZ81" s="178"/>
      <c r="BA81" s="44"/>
      <c r="BB81" s="44"/>
      <c r="BC81" s="44"/>
      <c r="BD81" s="27"/>
      <c r="BE81" s="27">
        <f t="shared" si="13"/>
        <v>0</v>
      </c>
      <c r="BF81" s="44"/>
      <c r="BG81" s="44"/>
      <c r="BH81" s="44"/>
      <c r="BI81" s="44"/>
      <c r="BJ81" s="44"/>
      <c r="BK81" s="27">
        <f t="shared" si="14"/>
        <v>0</v>
      </c>
      <c r="BL81" s="27"/>
      <c r="BM81" s="181">
        <f t="shared" ref="BM81:BX81" si="306">E81+Q81</f>
        <v>0</v>
      </c>
      <c r="BN81" s="181">
        <f t="shared" si="306"/>
        <v>0</v>
      </c>
      <c r="BO81" s="181">
        <f t="shared" si="306"/>
        <v>12</v>
      </c>
      <c r="BP81" s="181">
        <f t="shared" si="306"/>
        <v>1</v>
      </c>
      <c r="BQ81" s="181">
        <f t="shared" si="306"/>
        <v>13</v>
      </c>
      <c r="BR81" s="181">
        <f t="shared" si="306"/>
        <v>0</v>
      </c>
      <c r="BS81" s="181">
        <f t="shared" si="306"/>
        <v>0</v>
      </c>
      <c r="BT81" s="181">
        <f t="shared" si="306"/>
        <v>0</v>
      </c>
      <c r="BU81" s="181">
        <f t="shared" si="306"/>
        <v>12</v>
      </c>
      <c r="BV81" s="181">
        <f t="shared" si="306"/>
        <v>1</v>
      </c>
      <c r="BW81" s="181">
        <f t="shared" si="306"/>
        <v>13</v>
      </c>
      <c r="BX81" s="181">
        <f t="shared" si="306"/>
        <v>0</v>
      </c>
      <c r="BY81" s="38">
        <f t="shared" ref="BY81:CJ81" si="307">AC81+AO81</f>
        <v>0</v>
      </c>
      <c r="BZ81" s="38">
        <f t="shared" si="307"/>
        <v>0</v>
      </c>
      <c r="CA81" s="38">
        <f t="shared" si="307"/>
        <v>2</v>
      </c>
      <c r="CB81" s="38">
        <f t="shared" si="307"/>
        <v>36</v>
      </c>
      <c r="CC81" s="38">
        <f t="shared" si="307"/>
        <v>38</v>
      </c>
      <c r="CD81" s="38">
        <f t="shared" si="307"/>
        <v>0</v>
      </c>
      <c r="CE81" s="38">
        <f t="shared" si="307"/>
        <v>0</v>
      </c>
      <c r="CF81" s="38">
        <f t="shared" si="307"/>
        <v>0</v>
      </c>
      <c r="CG81" s="38">
        <f t="shared" si="307"/>
        <v>2</v>
      </c>
      <c r="CH81" s="38">
        <f t="shared" si="307"/>
        <v>36</v>
      </c>
      <c r="CI81" s="38">
        <f t="shared" si="307"/>
        <v>38</v>
      </c>
      <c r="CJ81" s="38">
        <f t="shared" si="307"/>
        <v>0</v>
      </c>
      <c r="CK81" s="27">
        <f t="shared" ref="CK81:CN81" si="308">BA81+BM81+BY81</f>
        <v>0</v>
      </c>
      <c r="CL81" s="27">
        <f t="shared" si="308"/>
        <v>0</v>
      </c>
      <c r="CM81" s="27">
        <f t="shared" si="308"/>
        <v>14</v>
      </c>
      <c r="CN81" s="27">
        <f t="shared" si="308"/>
        <v>37</v>
      </c>
      <c r="CO81" s="27">
        <f t="shared" si="18"/>
        <v>51</v>
      </c>
      <c r="CP81" s="27">
        <f t="shared" ref="CP81:CT81" si="309">BF81+BR81+CD81</f>
        <v>0</v>
      </c>
      <c r="CQ81" s="27">
        <f t="shared" si="309"/>
        <v>0</v>
      </c>
      <c r="CR81" s="27">
        <f t="shared" si="309"/>
        <v>0</v>
      </c>
      <c r="CS81" s="27">
        <f t="shared" si="309"/>
        <v>14</v>
      </c>
      <c r="CT81" s="27">
        <f t="shared" si="309"/>
        <v>37</v>
      </c>
      <c r="CU81" s="27">
        <f t="shared" si="20"/>
        <v>51</v>
      </c>
      <c r="CV81" s="27">
        <f t="shared" si="21"/>
        <v>0</v>
      </c>
    </row>
    <row r="82" ht="15.75" customHeight="1">
      <c r="A82" s="1"/>
      <c r="B82" s="1"/>
      <c r="C82" s="13"/>
      <c r="D82" s="26" t="s">
        <v>136</v>
      </c>
      <c r="E82" s="77"/>
      <c r="F82" s="77"/>
      <c r="G82" s="77"/>
      <c r="H82" s="77"/>
      <c r="I82" s="66">
        <f t="shared" si="5"/>
        <v>0</v>
      </c>
      <c r="J82" s="77"/>
      <c r="K82" s="77"/>
      <c r="L82" s="77"/>
      <c r="M82" s="77"/>
      <c r="N82" s="77"/>
      <c r="O82" s="66">
        <f t="shared" si="6"/>
        <v>0</v>
      </c>
      <c r="P82" s="66"/>
      <c r="Q82" s="42"/>
      <c r="R82" s="42"/>
      <c r="S82" s="42"/>
      <c r="T82" s="42"/>
      <c r="U82" s="42">
        <f t="shared" si="7"/>
        <v>0</v>
      </c>
      <c r="V82" s="42"/>
      <c r="W82" s="42"/>
      <c r="X82" s="42"/>
      <c r="Y82" s="42"/>
      <c r="Z82" s="42"/>
      <c r="AA82" s="42">
        <f t="shared" si="8"/>
        <v>0</v>
      </c>
      <c r="AB82" s="42"/>
      <c r="AC82" s="38">
        <f>1</f>
        <v>1</v>
      </c>
      <c r="AD82" s="38">
        <v>4.0</v>
      </c>
      <c r="AE82" s="38">
        <v>5.0</v>
      </c>
      <c r="AF82" s="38"/>
      <c r="AG82" s="38">
        <f t="shared" si="9"/>
        <v>10</v>
      </c>
      <c r="AH82" s="38"/>
      <c r="AI82" s="38">
        <f>1</f>
        <v>1</v>
      </c>
      <c r="AJ82" s="38">
        <v>4.0</v>
      </c>
      <c r="AK82" s="38">
        <v>5.0</v>
      </c>
      <c r="AL82" s="38"/>
      <c r="AM82" s="38">
        <f t="shared" si="10"/>
        <v>10</v>
      </c>
      <c r="AN82" s="38"/>
      <c r="AO82" s="178"/>
      <c r="AP82" s="178"/>
      <c r="AQ82" s="178"/>
      <c r="AR82" s="178"/>
      <c r="AS82" s="178">
        <f t="shared" si="11"/>
        <v>0</v>
      </c>
      <c r="AT82" s="201"/>
      <c r="AU82" s="201"/>
      <c r="AV82" s="201"/>
      <c r="AW82" s="201"/>
      <c r="AX82" s="201"/>
      <c r="AY82" s="178">
        <f t="shared" si="12"/>
        <v>0</v>
      </c>
      <c r="AZ82" s="178"/>
      <c r="BA82" s="44"/>
      <c r="BB82" s="44"/>
      <c r="BC82" s="44"/>
      <c r="BD82" s="27"/>
      <c r="BE82" s="27">
        <f t="shared" si="13"/>
        <v>0</v>
      </c>
      <c r="BF82" s="44"/>
      <c r="BG82" s="44"/>
      <c r="BH82" s="44"/>
      <c r="BI82" s="44"/>
      <c r="BJ82" s="44"/>
      <c r="BK82" s="27">
        <f t="shared" si="14"/>
        <v>0</v>
      </c>
      <c r="BL82" s="27"/>
      <c r="BM82" s="181">
        <f t="shared" ref="BM82:BX82" si="310">E82+Q82</f>
        <v>0</v>
      </c>
      <c r="BN82" s="181">
        <f t="shared" si="310"/>
        <v>0</v>
      </c>
      <c r="BO82" s="181">
        <f t="shared" si="310"/>
        <v>0</v>
      </c>
      <c r="BP82" s="181">
        <f t="shared" si="310"/>
        <v>0</v>
      </c>
      <c r="BQ82" s="181">
        <f t="shared" si="310"/>
        <v>0</v>
      </c>
      <c r="BR82" s="181">
        <f t="shared" si="310"/>
        <v>0</v>
      </c>
      <c r="BS82" s="181">
        <f t="shared" si="310"/>
        <v>0</v>
      </c>
      <c r="BT82" s="181">
        <f t="shared" si="310"/>
        <v>0</v>
      </c>
      <c r="BU82" s="181">
        <f t="shared" si="310"/>
        <v>0</v>
      </c>
      <c r="BV82" s="181">
        <f t="shared" si="310"/>
        <v>0</v>
      </c>
      <c r="BW82" s="181">
        <f t="shared" si="310"/>
        <v>0</v>
      </c>
      <c r="BX82" s="181">
        <f t="shared" si="310"/>
        <v>0</v>
      </c>
      <c r="BY82" s="38">
        <f t="shared" ref="BY82:CJ82" si="311">AC82+AO82</f>
        <v>1</v>
      </c>
      <c r="BZ82" s="38">
        <f t="shared" si="311"/>
        <v>4</v>
      </c>
      <c r="CA82" s="38">
        <f t="shared" si="311"/>
        <v>5</v>
      </c>
      <c r="CB82" s="38">
        <f t="shared" si="311"/>
        <v>0</v>
      </c>
      <c r="CC82" s="38">
        <f t="shared" si="311"/>
        <v>10</v>
      </c>
      <c r="CD82" s="38">
        <f t="shared" si="311"/>
        <v>0</v>
      </c>
      <c r="CE82" s="38">
        <f t="shared" si="311"/>
        <v>1</v>
      </c>
      <c r="CF82" s="38">
        <f t="shared" si="311"/>
        <v>4</v>
      </c>
      <c r="CG82" s="38">
        <f t="shared" si="311"/>
        <v>5</v>
      </c>
      <c r="CH82" s="38">
        <f t="shared" si="311"/>
        <v>0</v>
      </c>
      <c r="CI82" s="38">
        <f t="shared" si="311"/>
        <v>10</v>
      </c>
      <c r="CJ82" s="38">
        <f t="shared" si="311"/>
        <v>0</v>
      </c>
      <c r="CK82" s="27">
        <f t="shared" ref="CK82:CN82" si="312">BA82+BM82+BY82</f>
        <v>1</v>
      </c>
      <c r="CL82" s="27">
        <f t="shared" si="312"/>
        <v>4</v>
      </c>
      <c r="CM82" s="27">
        <f t="shared" si="312"/>
        <v>5</v>
      </c>
      <c r="CN82" s="27">
        <f t="shared" si="312"/>
        <v>0</v>
      </c>
      <c r="CO82" s="27">
        <f t="shared" si="18"/>
        <v>10</v>
      </c>
      <c r="CP82" s="27">
        <f t="shared" ref="CP82:CT82" si="313">BF82+BR82+CD82</f>
        <v>0</v>
      </c>
      <c r="CQ82" s="27">
        <f t="shared" si="313"/>
        <v>1</v>
      </c>
      <c r="CR82" s="27">
        <f t="shared" si="313"/>
        <v>4</v>
      </c>
      <c r="CS82" s="27">
        <f t="shared" si="313"/>
        <v>5</v>
      </c>
      <c r="CT82" s="27">
        <f t="shared" si="313"/>
        <v>0</v>
      </c>
      <c r="CU82" s="27">
        <f t="shared" si="20"/>
        <v>10</v>
      </c>
      <c r="CV82" s="27">
        <f t="shared" si="21"/>
        <v>0</v>
      </c>
    </row>
    <row r="83" ht="15.75" customHeight="1">
      <c r="A83" s="1"/>
      <c r="B83" s="1"/>
      <c r="C83" s="13"/>
      <c r="D83" s="26" t="s">
        <v>1254</v>
      </c>
      <c r="E83" s="77"/>
      <c r="F83" s="77"/>
      <c r="G83" s="77">
        <v>6.0</v>
      </c>
      <c r="H83" s="77"/>
      <c r="I83" s="66">
        <f t="shared" si="5"/>
        <v>6</v>
      </c>
      <c r="J83" s="77"/>
      <c r="K83" s="77"/>
      <c r="L83" s="77"/>
      <c r="M83" s="77">
        <v>6.0</v>
      </c>
      <c r="N83" s="77"/>
      <c r="O83" s="66">
        <f t="shared" si="6"/>
        <v>6</v>
      </c>
      <c r="P83" s="66"/>
      <c r="Q83" s="42"/>
      <c r="R83" s="42"/>
      <c r="S83" s="42"/>
      <c r="T83" s="42"/>
      <c r="U83" s="42">
        <f t="shared" si="7"/>
        <v>0</v>
      </c>
      <c r="V83" s="42"/>
      <c r="W83" s="42"/>
      <c r="X83" s="42"/>
      <c r="Y83" s="42"/>
      <c r="Z83" s="42"/>
      <c r="AA83" s="42">
        <f t="shared" si="8"/>
        <v>0</v>
      </c>
      <c r="AB83" s="42"/>
      <c r="AC83" s="38"/>
      <c r="AD83" s="38"/>
      <c r="AE83" s="38"/>
      <c r="AF83" s="38"/>
      <c r="AG83" s="38">
        <f t="shared" si="9"/>
        <v>0</v>
      </c>
      <c r="AH83" s="38"/>
      <c r="AI83" s="38"/>
      <c r="AJ83" s="38"/>
      <c r="AK83" s="38"/>
      <c r="AL83" s="38"/>
      <c r="AM83" s="38">
        <f t="shared" si="10"/>
        <v>0</v>
      </c>
      <c r="AN83" s="38"/>
      <c r="AO83" s="178"/>
      <c r="AP83" s="178"/>
      <c r="AQ83" s="178"/>
      <c r="AR83" s="178"/>
      <c r="AS83" s="178">
        <f t="shared" si="11"/>
        <v>0</v>
      </c>
      <c r="AT83" s="201"/>
      <c r="AU83" s="201"/>
      <c r="AV83" s="201"/>
      <c r="AW83" s="201"/>
      <c r="AX83" s="201"/>
      <c r="AY83" s="178">
        <f t="shared" si="12"/>
        <v>0</v>
      </c>
      <c r="AZ83" s="178"/>
      <c r="BA83" s="44"/>
      <c r="BB83" s="44"/>
      <c r="BC83" s="44"/>
      <c r="BD83" s="27"/>
      <c r="BE83" s="27">
        <f t="shared" si="13"/>
        <v>0</v>
      </c>
      <c r="BF83" s="44"/>
      <c r="BG83" s="44"/>
      <c r="BH83" s="44"/>
      <c r="BI83" s="44"/>
      <c r="BJ83" s="44"/>
      <c r="BK83" s="27">
        <f t="shared" si="14"/>
        <v>0</v>
      </c>
      <c r="BL83" s="27"/>
      <c r="BM83" s="181">
        <f t="shared" ref="BM83:BX83" si="314">E83+Q83</f>
        <v>0</v>
      </c>
      <c r="BN83" s="181">
        <f t="shared" si="314"/>
        <v>0</v>
      </c>
      <c r="BO83" s="181">
        <f t="shared" si="314"/>
        <v>6</v>
      </c>
      <c r="BP83" s="181">
        <f t="shared" si="314"/>
        <v>0</v>
      </c>
      <c r="BQ83" s="181">
        <f t="shared" si="314"/>
        <v>6</v>
      </c>
      <c r="BR83" s="181">
        <f t="shared" si="314"/>
        <v>0</v>
      </c>
      <c r="BS83" s="181">
        <f t="shared" si="314"/>
        <v>0</v>
      </c>
      <c r="BT83" s="181">
        <f t="shared" si="314"/>
        <v>0</v>
      </c>
      <c r="BU83" s="181">
        <f t="shared" si="314"/>
        <v>6</v>
      </c>
      <c r="BV83" s="181">
        <f t="shared" si="314"/>
        <v>0</v>
      </c>
      <c r="BW83" s="181">
        <f t="shared" si="314"/>
        <v>6</v>
      </c>
      <c r="BX83" s="181">
        <f t="shared" si="314"/>
        <v>0</v>
      </c>
      <c r="BY83" s="38">
        <f t="shared" ref="BY83:CJ83" si="315">AC83+AO83</f>
        <v>0</v>
      </c>
      <c r="BZ83" s="38">
        <f t="shared" si="315"/>
        <v>0</v>
      </c>
      <c r="CA83" s="38">
        <f t="shared" si="315"/>
        <v>0</v>
      </c>
      <c r="CB83" s="38">
        <f t="shared" si="315"/>
        <v>0</v>
      </c>
      <c r="CC83" s="38">
        <f t="shared" si="315"/>
        <v>0</v>
      </c>
      <c r="CD83" s="38">
        <f t="shared" si="315"/>
        <v>0</v>
      </c>
      <c r="CE83" s="38">
        <f t="shared" si="315"/>
        <v>0</v>
      </c>
      <c r="CF83" s="38">
        <f t="shared" si="315"/>
        <v>0</v>
      </c>
      <c r="CG83" s="38">
        <f t="shared" si="315"/>
        <v>0</v>
      </c>
      <c r="CH83" s="38">
        <f t="shared" si="315"/>
        <v>0</v>
      </c>
      <c r="CI83" s="38">
        <f t="shared" si="315"/>
        <v>0</v>
      </c>
      <c r="CJ83" s="38">
        <f t="shared" si="315"/>
        <v>0</v>
      </c>
      <c r="CK83" s="27">
        <f t="shared" ref="CK83:CN83" si="316">BA83+BM83+BY83</f>
        <v>0</v>
      </c>
      <c r="CL83" s="27">
        <f t="shared" si="316"/>
        <v>0</v>
      </c>
      <c r="CM83" s="27">
        <f t="shared" si="316"/>
        <v>6</v>
      </c>
      <c r="CN83" s="27">
        <f t="shared" si="316"/>
        <v>0</v>
      </c>
      <c r="CO83" s="27">
        <f t="shared" si="18"/>
        <v>6</v>
      </c>
      <c r="CP83" s="27">
        <f t="shared" ref="CP83:CT83" si="317">BF83+BR83+CD83</f>
        <v>0</v>
      </c>
      <c r="CQ83" s="27">
        <f t="shared" si="317"/>
        <v>0</v>
      </c>
      <c r="CR83" s="27">
        <f t="shared" si="317"/>
        <v>0</v>
      </c>
      <c r="CS83" s="27">
        <f t="shared" si="317"/>
        <v>6</v>
      </c>
      <c r="CT83" s="27">
        <f t="shared" si="317"/>
        <v>0</v>
      </c>
      <c r="CU83" s="27">
        <f t="shared" si="20"/>
        <v>6</v>
      </c>
      <c r="CV83" s="27">
        <f t="shared" si="21"/>
        <v>0</v>
      </c>
    </row>
    <row r="84" ht="15.75" customHeight="1">
      <c r="A84" s="1"/>
      <c r="B84" s="1"/>
      <c r="C84" s="13"/>
      <c r="D84" s="26" t="s">
        <v>1255</v>
      </c>
      <c r="E84" s="77"/>
      <c r="F84" s="77"/>
      <c r="G84" s="77"/>
      <c r="H84" s="77"/>
      <c r="I84" s="66">
        <f t="shared" si="5"/>
        <v>0</v>
      </c>
      <c r="J84" s="77"/>
      <c r="K84" s="77"/>
      <c r="L84" s="77"/>
      <c r="M84" s="77"/>
      <c r="N84" s="77"/>
      <c r="O84" s="66">
        <f t="shared" si="6"/>
        <v>0</v>
      </c>
      <c r="P84" s="66"/>
      <c r="Q84" s="42"/>
      <c r="R84" s="42"/>
      <c r="S84" s="42"/>
      <c r="T84" s="42"/>
      <c r="U84" s="42">
        <f t="shared" si="7"/>
        <v>0</v>
      </c>
      <c r="V84" s="42"/>
      <c r="W84" s="42"/>
      <c r="X84" s="42"/>
      <c r="Y84" s="42"/>
      <c r="Z84" s="42"/>
      <c r="AA84" s="42">
        <f t="shared" si="8"/>
        <v>0</v>
      </c>
      <c r="AB84" s="42"/>
      <c r="AC84" s="38"/>
      <c r="AD84" s="38"/>
      <c r="AE84" s="38"/>
      <c r="AF84" s="38"/>
      <c r="AG84" s="38">
        <f t="shared" si="9"/>
        <v>0</v>
      </c>
      <c r="AH84" s="38"/>
      <c r="AI84" s="38"/>
      <c r="AJ84" s="38"/>
      <c r="AK84" s="38"/>
      <c r="AL84" s="38"/>
      <c r="AM84" s="38">
        <f t="shared" si="10"/>
        <v>0</v>
      </c>
      <c r="AN84" s="38"/>
      <c r="AO84" s="178"/>
      <c r="AP84" s="178"/>
      <c r="AQ84" s="178"/>
      <c r="AR84" s="178"/>
      <c r="AS84" s="178">
        <f t="shared" si="11"/>
        <v>0</v>
      </c>
      <c r="AT84" s="201"/>
      <c r="AU84" s="201"/>
      <c r="AV84" s="201"/>
      <c r="AW84" s="201"/>
      <c r="AX84" s="201"/>
      <c r="AY84" s="178">
        <f t="shared" si="12"/>
        <v>0</v>
      </c>
      <c r="AZ84" s="178"/>
      <c r="BA84" s="44"/>
      <c r="BB84" s="44"/>
      <c r="BC84" s="44"/>
      <c r="BD84" s="27"/>
      <c r="BE84" s="27">
        <f t="shared" si="13"/>
        <v>0</v>
      </c>
      <c r="BF84" s="44"/>
      <c r="BG84" s="44"/>
      <c r="BH84" s="44"/>
      <c r="BI84" s="44"/>
      <c r="BJ84" s="44"/>
      <c r="BK84" s="27">
        <f t="shared" si="14"/>
        <v>0</v>
      </c>
      <c r="BL84" s="27"/>
      <c r="BM84" s="181">
        <f t="shared" ref="BM84:BX84" si="318">E84+Q84</f>
        <v>0</v>
      </c>
      <c r="BN84" s="181">
        <f t="shared" si="318"/>
        <v>0</v>
      </c>
      <c r="BO84" s="181">
        <f t="shared" si="318"/>
        <v>0</v>
      </c>
      <c r="BP84" s="181">
        <f t="shared" si="318"/>
        <v>0</v>
      </c>
      <c r="BQ84" s="181">
        <f t="shared" si="318"/>
        <v>0</v>
      </c>
      <c r="BR84" s="181">
        <f t="shared" si="318"/>
        <v>0</v>
      </c>
      <c r="BS84" s="181">
        <f t="shared" si="318"/>
        <v>0</v>
      </c>
      <c r="BT84" s="181">
        <f t="shared" si="318"/>
        <v>0</v>
      </c>
      <c r="BU84" s="181">
        <f t="shared" si="318"/>
        <v>0</v>
      </c>
      <c r="BV84" s="181">
        <f t="shared" si="318"/>
        <v>0</v>
      </c>
      <c r="BW84" s="181">
        <f t="shared" si="318"/>
        <v>0</v>
      </c>
      <c r="BX84" s="181">
        <f t="shared" si="318"/>
        <v>0</v>
      </c>
      <c r="BY84" s="38">
        <f t="shared" ref="BY84:CJ84" si="319">AC84+AO84</f>
        <v>0</v>
      </c>
      <c r="BZ84" s="38">
        <f t="shared" si="319"/>
        <v>0</v>
      </c>
      <c r="CA84" s="38">
        <f t="shared" si="319"/>
        <v>0</v>
      </c>
      <c r="CB84" s="38">
        <f t="shared" si="319"/>
        <v>0</v>
      </c>
      <c r="CC84" s="38">
        <f t="shared" si="319"/>
        <v>0</v>
      </c>
      <c r="CD84" s="38">
        <f t="shared" si="319"/>
        <v>0</v>
      </c>
      <c r="CE84" s="38">
        <f t="shared" si="319"/>
        <v>0</v>
      </c>
      <c r="CF84" s="38">
        <f t="shared" si="319"/>
        <v>0</v>
      </c>
      <c r="CG84" s="38">
        <f t="shared" si="319"/>
        <v>0</v>
      </c>
      <c r="CH84" s="38">
        <f t="shared" si="319"/>
        <v>0</v>
      </c>
      <c r="CI84" s="38">
        <f t="shared" si="319"/>
        <v>0</v>
      </c>
      <c r="CJ84" s="38">
        <f t="shared" si="319"/>
        <v>0</v>
      </c>
      <c r="CK84" s="27">
        <f t="shared" ref="CK84:CN84" si="320">BA84+BM84+BY84</f>
        <v>0</v>
      </c>
      <c r="CL84" s="27">
        <f t="shared" si="320"/>
        <v>0</v>
      </c>
      <c r="CM84" s="27">
        <f t="shared" si="320"/>
        <v>0</v>
      </c>
      <c r="CN84" s="27">
        <f t="shared" si="320"/>
        <v>0</v>
      </c>
      <c r="CO84" s="27">
        <f t="shared" si="18"/>
        <v>0</v>
      </c>
      <c r="CP84" s="27">
        <f t="shared" ref="CP84:CT84" si="321">BF84+BR84+CD84</f>
        <v>0</v>
      </c>
      <c r="CQ84" s="27">
        <f t="shared" si="321"/>
        <v>0</v>
      </c>
      <c r="CR84" s="27">
        <f t="shared" si="321"/>
        <v>0</v>
      </c>
      <c r="CS84" s="27">
        <f t="shared" si="321"/>
        <v>0</v>
      </c>
      <c r="CT84" s="27">
        <f t="shared" si="321"/>
        <v>0</v>
      </c>
      <c r="CU84" s="27">
        <f t="shared" si="20"/>
        <v>0</v>
      </c>
      <c r="CV84" s="27">
        <f t="shared" si="21"/>
        <v>0</v>
      </c>
    </row>
    <row r="85" ht="15.75" customHeight="1">
      <c r="A85" s="1"/>
      <c r="B85" s="1"/>
      <c r="C85" s="13"/>
      <c r="D85" s="26" t="s">
        <v>184</v>
      </c>
      <c r="E85" s="77"/>
      <c r="F85" s="77"/>
      <c r="G85" s="77"/>
      <c r="H85" s="77"/>
      <c r="I85" s="66">
        <f t="shared" si="5"/>
        <v>0</v>
      </c>
      <c r="J85" s="77"/>
      <c r="K85" s="77"/>
      <c r="L85" s="77"/>
      <c r="M85" s="77"/>
      <c r="N85" s="77"/>
      <c r="O85" s="66">
        <f t="shared" si="6"/>
        <v>0</v>
      </c>
      <c r="P85" s="66"/>
      <c r="Q85" s="42"/>
      <c r="R85" s="42"/>
      <c r="S85" s="42"/>
      <c r="T85" s="42"/>
      <c r="U85" s="42">
        <f t="shared" si="7"/>
        <v>0</v>
      </c>
      <c r="V85" s="42"/>
      <c r="W85" s="42"/>
      <c r="X85" s="42"/>
      <c r="Y85" s="42"/>
      <c r="Z85" s="42"/>
      <c r="AA85" s="42">
        <f t="shared" si="8"/>
        <v>0</v>
      </c>
      <c r="AB85" s="42"/>
      <c r="AC85" s="38"/>
      <c r="AD85" s="38"/>
      <c r="AE85" s="38"/>
      <c r="AF85" s="38"/>
      <c r="AG85" s="38">
        <f t="shared" si="9"/>
        <v>0</v>
      </c>
      <c r="AH85" s="38"/>
      <c r="AI85" s="38"/>
      <c r="AJ85" s="38"/>
      <c r="AK85" s="38"/>
      <c r="AL85" s="38"/>
      <c r="AM85" s="38">
        <f t="shared" si="10"/>
        <v>0</v>
      </c>
      <c r="AN85" s="38"/>
      <c r="AO85" s="178"/>
      <c r="AP85" s="178"/>
      <c r="AQ85" s="178"/>
      <c r="AR85" s="178"/>
      <c r="AS85" s="178">
        <f t="shared" si="11"/>
        <v>0</v>
      </c>
      <c r="AT85" s="201"/>
      <c r="AU85" s="201"/>
      <c r="AV85" s="201"/>
      <c r="AW85" s="201"/>
      <c r="AX85" s="201"/>
      <c r="AY85" s="178">
        <f t="shared" si="12"/>
        <v>0</v>
      </c>
      <c r="AZ85" s="178"/>
      <c r="BA85" s="44"/>
      <c r="BB85" s="44"/>
      <c r="BC85" s="44"/>
      <c r="BD85" s="27"/>
      <c r="BE85" s="27">
        <f t="shared" si="13"/>
        <v>0</v>
      </c>
      <c r="BF85" s="44"/>
      <c r="BG85" s="44"/>
      <c r="BH85" s="44"/>
      <c r="BI85" s="44"/>
      <c r="BJ85" s="44"/>
      <c r="BK85" s="27">
        <f t="shared" si="14"/>
        <v>0</v>
      </c>
      <c r="BL85" s="27"/>
      <c r="BM85" s="181">
        <f t="shared" ref="BM85:BX85" si="322">E85+Q85</f>
        <v>0</v>
      </c>
      <c r="BN85" s="181">
        <f t="shared" si="322"/>
        <v>0</v>
      </c>
      <c r="BO85" s="181">
        <f t="shared" si="322"/>
        <v>0</v>
      </c>
      <c r="BP85" s="181">
        <f t="shared" si="322"/>
        <v>0</v>
      </c>
      <c r="BQ85" s="181">
        <f t="shared" si="322"/>
        <v>0</v>
      </c>
      <c r="BR85" s="181">
        <f t="shared" si="322"/>
        <v>0</v>
      </c>
      <c r="BS85" s="181">
        <f t="shared" si="322"/>
        <v>0</v>
      </c>
      <c r="BT85" s="181">
        <f t="shared" si="322"/>
        <v>0</v>
      </c>
      <c r="BU85" s="181">
        <f t="shared" si="322"/>
        <v>0</v>
      </c>
      <c r="BV85" s="181">
        <f t="shared" si="322"/>
        <v>0</v>
      </c>
      <c r="BW85" s="181">
        <f t="shared" si="322"/>
        <v>0</v>
      </c>
      <c r="BX85" s="181">
        <f t="shared" si="322"/>
        <v>0</v>
      </c>
      <c r="BY85" s="38">
        <f t="shared" ref="BY85:CJ85" si="323">AC85+AO85</f>
        <v>0</v>
      </c>
      <c r="BZ85" s="38">
        <f t="shared" si="323"/>
        <v>0</v>
      </c>
      <c r="CA85" s="38">
        <f t="shared" si="323"/>
        <v>0</v>
      </c>
      <c r="CB85" s="38">
        <f t="shared" si="323"/>
        <v>0</v>
      </c>
      <c r="CC85" s="38">
        <f t="shared" si="323"/>
        <v>0</v>
      </c>
      <c r="CD85" s="38">
        <f t="shared" si="323"/>
        <v>0</v>
      </c>
      <c r="CE85" s="38">
        <f t="shared" si="323"/>
        <v>0</v>
      </c>
      <c r="CF85" s="38">
        <f t="shared" si="323"/>
        <v>0</v>
      </c>
      <c r="CG85" s="38">
        <f t="shared" si="323"/>
        <v>0</v>
      </c>
      <c r="CH85" s="38">
        <f t="shared" si="323"/>
        <v>0</v>
      </c>
      <c r="CI85" s="38">
        <f t="shared" si="323"/>
        <v>0</v>
      </c>
      <c r="CJ85" s="38">
        <f t="shared" si="323"/>
        <v>0</v>
      </c>
      <c r="CK85" s="27">
        <f t="shared" ref="CK85:CN85" si="324">BA85+BM85+BY85</f>
        <v>0</v>
      </c>
      <c r="CL85" s="27">
        <f t="shared" si="324"/>
        <v>0</v>
      </c>
      <c r="CM85" s="27">
        <f t="shared" si="324"/>
        <v>0</v>
      </c>
      <c r="CN85" s="27">
        <f t="shared" si="324"/>
        <v>0</v>
      </c>
      <c r="CO85" s="27">
        <f t="shared" si="18"/>
        <v>0</v>
      </c>
      <c r="CP85" s="27">
        <f t="shared" ref="CP85:CT85" si="325">BF85+BR85+CD85</f>
        <v>0</v>
      </c>
      <c r="CQ85" s="27">
        <f t="shared" si="325"/>
        <v>0</v>
      </c>
      <c r="CR85" s="27">
        <f t="shared" si="325"/>
        <v>0</v>
      </c>
      <c r="CS85" s="27">
        <f t="shared" si="325"/>
        <v>0</v>
      </c>
      <c r="CT85" s="27">
        <f t="shared" si="325"/>
        <v>0</v>
      </c>
      <c r="CU85" s="27">
        <f t="shared" si="20"/>
        <v>0</v>
      </c>
      <c r="CV85" s="27">
        <f t="shared" si="21"/>
        <v>0</v>
      </c>
    </row>
    <row r="86" ht="15.75" customHeight="1">
      <c r="A86" s="1"/>
      <c r="B86" s="1"/>
      <c r="C86" s="13"/>
      <c r="D86" s="26" t="s">
        <v>190</v>
      </c>
      <c r="E86" s="77"/>
      <c r="F86" s="77"/>
      <c r="G86" s="77"/>
      <c r="H86" s="77"/>
      <c r="I86" s="66">
        <f t="shared" si="5"/>
        <v>0</v>
      </c>
      <c r="J86" s="77"/>
      <c r="K86" s="77"/>
      <c r="L86" s="77"/>
      <c r="M86" s="77"/>
      <c r="N86" s="77"/>
      <c r="O86" s="66">
        <f t="shared" si="6"/>
        <v>0</v>
      </c>
      <c r="P86" s="66"/>
      <c r="Q86" s="42">
        <v>1.0</v>
      </c>
      <c r="R86" s="42"/>
      <c r="S86" s="42"/>
      <c r="T86" s="42"/>
      <c r="U86" s="42">
        <f t="shared" si="7"/>
        <v>1</v>
      </c>
      <c r="V86" s="42"/>
      <c r="W86" s="42">
        <v>1.0</v>
      </c>
      <c r="X86" s="42"/>
      <c r="Y86" s="42"/>
      <c r="Z86" s="42"/>
      <c r="AA86" s="42">
        <f t="shared" si="8"/>
        <v>1</v>
      </c>
      <c r="AB86" s="42"/>
      <c r="AC86" s="38"/>
      <c r="AD86" s="38"/>
      <c r="AE86" s="38"/>
      <c r="AF86" s="38"/>
      <c r="AG86" s="38">
        <f t="shared" si="9"/>
        <v>0</v>
      </c>
      <c r="AH86" s="38"/>
      <c r="AI86" s="38"/>
      <c r="AJ86" s="38"/>
      <c r="AK86" s="38"/>
      <c r="AL86" s="38"/>
      <c r="AM86" s="38">
        <f t="shared" si="10"/>
        <v>0</v>
      </c>
      <c r="AN86" s="38"/>
      <c r="AO86" s="178"/>
      <c r="AP86" s="178"/>
      <c r="AQ86" s="178"/>
      <c r="AR86" s="178"/>
      <c r="AS86" s="178">
        <f t="shared" si="11"/>
        <v>0</v>
      </c>
      <c r="AT86" s="201"/>
      <c r="AU86" s="201"/>
      <c r="AV86" s="201"/>
      <c r="AW86" s="201"/>
      <c r="AX86" s="201"/>
      <c r="AY86" s="178">
        <f t="shared" si="12"/>
        <v>0</v>
      </c>
      <c r="AZ86" s="178"/>
      <c r="BA86" s="44"/>
      <c r="BB86" s="44"/>
      <c r="BC86" s="44"/>
      <c r="BD86" s="27"/>
      <c r="BE86" s="27">
        <f t="shared" si="13"/>
        <v>0</v>
      </c>
      <c r="BF86" s="44"/>
      <c r="BG86" s="44"/>
      <c r="BH86" s="44"/>
      <c r="BI86" s="44"/>
      <c r="BJ86" s="44"/>
      <c r="BK86" s="27">
        <f t="shared" si="14"/>
        <v>0</v>
      </c>
      <c r="BL86" s="27"/>
      <c r="BM86" s="181">
        <f t="shared" ref="BM86:BX86" si="326">E86+Q86</f>
        <v>1</v>
      </c>
      <c r="BN86" s="181">
        <f t="shared" si="326"/>
        <v>0</v>
      </c>
      <c r="BO86" s="181">
        <f t="shared" si="326"/>
        <v>0</v>
      </c>
      <c r="BP86" s="181">
        <f t="shared" si="326"/>
        <v>0</v>
      </c>
      <c r="BQ86" s="181">
        <f t="shared" si="326"/>
        <v>1</v>
      </c>
      <c r="BR86" s="181">
        <f t="shared" si="326"/>
        <v>0</v>
      </c>
      <c r="BS86" s="181">
        <f t="shared" si="326"/>
        <v>1</v>
      </c>
      <c r="BT86" s="181">
        <f t="shared" si="326"/>
        <v>0</v>
      </c>
      <c r="BU86" s="181">
        <f t="shared" si="326"/>
        <v>0</v>
      </c>
      <c r="BV86" s="181">
        <f t="shared" si="326"/>
        <v>0</v>
      </c>
      <c r="BW86" s="181">
        <f t="shared" si="326"/>
        <v>1</v>
      </c>
      <c r="BX86" s="181">
        <f t="shared" si="326"/>
        <v>0</v>
      </c>
      <c r="BY86" s="38">
        <f t="shared" ref="BY86:CJ86" si="327">AC86+AO86</f>
        <v>0</v>
      </c>
      <c r="BZ86" s="38">
        <f t="shared" si="327"/>
        <v>0</v>
      </c>
      <c r="CA86" s="38">
        <f t="shared" si="327"/>
        <v>0</v>
      </c>
      <c r="CB86" s="38">
        <f t="shared" si="327"/>
        <v>0</v>
      </c>
      <c r="CC86" s="38">
        <f t="shared" si="327"/>
        <v>0</v>
      </c>
      <c r="CD86" s="38">
        <f t="shared" si="327"/>
        <v>0</v>
      </c>
      <c r="CE86" s="38">
        <f t="shared" si="327"/>
        <v>0</v>
      </c>
      <c r="CF86" s="38">
        <f t="shared" si="327"/>
        <v>0</v>
      </c>
      <c r="CG86" s="38">
        <f t="shared" si="327"/>
        <v>0</v>
      </c>
      <c r="CH86" s="38">
        <f t="shared" si="327"/>
        <v>0</v>
      </c>
      <c r="CI86" s="38">
        <f t="shared" si="327"/>
        <v>0</v>
      </c>
      <c r="CJ86" s="38">
        <f t="shared" si="327"/>
        <v>0</v>
      </c>
      <c r="CK86" s="27">
        <f t="shared" ref="CK86:CN86" si="328">BA86+BM86+BY86</f>
        <v>1</v>
      </c>
      <c r="CL86" s="27">
        <f t="shared" si="328"/>
        <v>0</v>
      </c>
      <c r="CM86" s="27">
        <f t="shared" si="328"/>
        <v>0</v>
      </c>
      <c r="CN86" s="27">
        <f t="shared" si="328"/>
        <v>0</v>
      </c>
      <c r="CO86" s="27">
        <f t="shared" si="18"/>
        <v>1</v>
      </c>
      <c r="CP86" s="27">
        <f t="shared" ref="CP86:CT86" si="329">BF86+BR86+CD86</f>
        <v>0</v>
      </c>
      <c r="CQ86" s="27">
        <f t="shared" si="329"/>
        <v>1</v>
      </c>
      <c r="CR86" s="27">
        <f t="shared" si="329"/>
        <v>0</v>
      </c>
      <c r="CS86" s="27">
        <f t="shared" si="329"/>
        <v>0</v>
      </c>
      <c r="CT86" s="27">
        <f t="shared" si="329"/>
        <v>0</v>
      </c>
      <c r="CU86" s="27">
        <f t="shared" si="20"/>
        <v>1</v>
      </c>
      <c r="CV86" s="27">
        <f t="shared" si="21"/>
        <v>0</v>
      </c>
    </row>
    <row r="87" ht="15.75" customHeight="1">
      <c r="A87" s="1"/>
      <c r="B87" s="1"/>
      <c r="C87" s="21"/>
      <c r="D87" s="26" t="s">
        <v>137</v>
      </c>
      <c r="E87" s="77"/>
      <c r="F87" s="77"/>
      <c r="G87" s="77"/>
      <c r="H87" s="77"/>
      <c r="I87" s="66">
        <f t="shared" si="5"/>
        <v>0</v>
      </c>
      <c r="J87" s="77"/>
      <c r="K87" s="77"/>
      <c r="L87" s="77"/>
      <c r="M87" s="77"/>
      <c r="N87" s="77"/>
      <c r="O87" s="66">
        <f t="shared" si="6"/>
        <v>0</v>
      </c>
      <c r="P87" s="66"/>
      <c r="Q87" s="42"/>
      <c r="R87" s="42"/>
      <c r="S87" s="42">
        <v>1.0</v>
      </c>
      <c r="T87" s="42"/>
      <c r="U87" s="42">
        <f t="shared" si="7"/>
        <v>1</v>
      </c>
      <c r="V87" s="42"/>
      <c r="W87" s="42"/>
      <c r="X87" s="42"/>
      <c r="Y87" s="42">
        <v>1.0</v>
      </c>
      <c r="Z87" s="42"/>
      <c r="AA87" s="42">
        <f t="shared" si="8"/>
        <v>1</v>
      </c>
      <c r="AB87" s="42"/>
      <c r="AC87" s="38"/>
      <c r="AD87" s="38"/>
      <c r="AE87" s="38">
        <v>2.0</v>
      </c>
      <c r="AF87" s="38"/>
      <c r="AG87" s="38">
        <f t="shared" si="9"/>
        <v>2</v>
      </c>
      <c r="AH87" s="38"/>
      <c r="AI87" s="38"/>
      <c r="AJ87" s="38"/>
      <c r="AK87" s="38">
        <v>2.0</v>
      </c>
      <c r="AL87" s="38"/>
      <c r="AM87" s="38">
        <f t="shared" si="10"/>
        <v>2</v>
      </c>
      <c r="AN87" s="38"/>
      <c r="AO87" s="178"/>
      <c r="AP87" s="178"/>
      <c r="AQ87" s="178"/>
      <c r="AR87" s="178"/>
      <c r="AS87" s="178">
        <f t="shared" si="11"/>
        <v>0</v>
      </c>
      <c r="AT87" s="201"/>
      <c r="AU87" s="201"/>
      <c r="AV87" s="201"/>
      <c r="AW87" s="201"/>
      <c r="AX87" s="201"/>
      <c r="AY87" s="178">
        <f t="shared" si="12"/>
        <v>0</v>
      </c>
      <c r="AZ87" s="178"/>
      <c r="BA87" s="44"/>
      <c r="BB87" s="44"/>
      <c r="BC87" s="44"/>
      <c r="BD87" s="27"/>
      <c r="BE87" s="27">
        <f t="shared" si="13"/>
        <v>0</v>
      </c>
      <c r="BF87" s="44"/>
      <c r="BG87" s="44"/>
      <c r="BH87" s="44"/>
      <c r="BI87" s="44"/>
      <c r="BJ87" s="44"/>
      <c r="BK87" s="27">
        <f t="shared" si="14"/>
        <v>0</v>
      </c>
      <c r="BL87" s="27"/>
      <c r="BM87" s="181">
        <f t="shared" ref="BM87:BX87" si="330">E87+Q87</f>
        <v>0</v>
      </c>
      <c r="BN87" s="181">
        <f t="shared" si="330"/>
        <v>0</v>
      </c>
      <c r="BO87" s="181">
        <f t="shared" si="330"/>
        <v>1</v>
      </c>
      <c r="BP87" s="181">
        <f t="shared" si="330"/>
        <v>0</v>
      </c>
      <c r="BQ87" s="181">
        <f t="shared" si="330"/>
        <v>1</v>
      </c>
      <c r="BR87" s="181">
        <f t="shared" si="330"/>
        <v>0</v>
      </c>
      <c r="BS87" s="181">
        <f t="shared" si="330"/>
        <v>0</v>
      </c>
      <c r="BT87" s="181">
        <f t="shared" si="330"/>
        <v>0</v>
      </c>
      <c r="BU87" s="181">
        <f t="shared" si="330"/>
        <v>1</v>
      </c>
      <c r="BV87" s="181">
        <f t="shared" si="330"/>
        <v>0</v>
      </c>
      <c r="BW87" s="181">
        <f t="shared" si="330"/>
        <v>1</v>
      </c>
      <c r="BX87" s="181">
        <f t="shared" si="330"/>
        <v>0</v>
      </c>
      <c r="BY87" s="38">
        <f t="shared" ref="BY87:CJ87" si="331">AC87+AO87</f>
        <v>0</v>
      </c>
      <c r="BZ87" s="38">
        <f t="shared" si="331"/>
        <v>0</v>
      </c>
      <c r="CA87" s="38">
        <f t="shared" si="331"/>
        <v>2</v>
      </c>
      <c r="CB87" s="38">
        <f t="shared" si="331"/>
        <v>0</v>
      </c>
      <c r="CC87" s="38">
        <f t="shared" si="331"/>
        <v>2</v>
      </c>
      <c r="CD87" s="38">
        <f t="shared" si="331"/>
        <v>0</v>
      </c>
      <c r="CE87" s="38">
        <f t="shared" si="331"/>
        <v>0</v>
      </c>
      <c r="CF87" s="38">
        <f t="shared" si="331"/>
        <v>0</v>
      </c>
      <c r="CG87" s="38">
        <f t="shared" si="331"/>
        <v>2</v>
      </c>
      <c r="CH87" s="38">
        <f t="shared" si="331"/>
        <v>0</v>
      </c>
      <c r="CI87" s="38">
        <f t="shared" si="331"/>
        <v>2</v>
      </c>
      <c r="CJ87" s="38">
        <f t="shared" si="331"/>
        <v>0</v>
      </c>
      <c r="CK87" s="27">
        <f t="shared" ref="CK87:CN87" si="332">BA87+BM87+BY87</f>
        <v>0</v>
      </c>
      <c r="CL87" s="27">
        <f t="shared" si="332"/>
        <v>0</v>
      </c>
      <c r="CM87" s="27">
        <f t="shared" si="332"/>
        <v>3</v>
      </c>
      <c r="CN87" s="27">
        <f t="shared" si="332"/>
        <v>0</v>
      </c>
      <c r="CO87" s="27">
        <f t="shared" si="18"/>
        <v>3</v>
      </c>
      <c r="CP87" s="27">
        <f t="shared" ref="CP87:CT87" si="333">BF87+BR87+CD87</f>
        <v>0</v>
      </c>
      <c r="CQ87" s="27">
        <f t="shared" si="333"/>
        <v>0</v>
      </c>
      <c r="CR87" s="27">
        <f t="shared" si="333"/>
        <v>0</v>
      </c>
      <c r="CS87" s="27">
        <f t="shared" si="333"/>
        <v>3</v>
      </c>
      <c r="CT87" s="27">
        <f t="shared" si="333"/>
        <v>0</v>
      </c>
      <c r="CU87" s="27">
        <f t="shared" si="20"/>
        <v>3</v>
      </c>
      <c r="CV87" s="27">
        <f t="shared" si="21"/>
        <v>0</v>
      </c>
    </row>
    <row r="88" ht="15.75" customHeight="1">
      <c r="A88" s="1"/>
      <c r="B88" s="1"/>
      <c r="C88" s="34" t="s">
        <v>139</v>
      </c>
      <c r="D88" s="26" t="s">
        <v>140</v>
      </c>
      <c r="E88" s="66"/>
      <c r="F88" s="77"/>
      <c r="G88" s="77"/>
      <c r="H88" s="77"/>
      <c r="I88" s="66">
        <f t="shared" si="5"/>
        <v>0</v>
      </c>
      <c r="J88" s="66"/>
      <c r="K88" s="66"/>
      <c r="L88" s="77"/>
      <c r="M88" s="77"/>
      <c r="N88" s="77"/>
      <c r="O88" s="66">
        <f t="shared" si="6"/>
        <v>0</v>
      </c>
      <c r="P88" s="66"/>
      <c r="Q88" s="42">
        <v>1.0</v>
      </c>
      <c r="R88" s="42"/>
      <c r="S88" s="42"/>
      <c r="T88" s="42"/>
      <c r="U88" s="42">
        <f t="shared" si="7"/>
        <v>1</v>
      </c>
      <c r="V88" s="42"/>
      <c r="W88" s="42">
        <v>1.0</v>
      </c>
      <c r="X88" s="42"/>
      <c r="Y88" s="42"/>
      <c r="Z88" s="42"/>
      <c r="AA88" s="42">
        <f t="shared" si="8"/>
        <v>1</v>
      </c>
      <c r="AB88" s="42"/>
      <c r="AC88" s="38"/>
      <c r="AD88" s="38"/>
      <c r="AE88" s="38"/>
      <c r="AF88" s="38"/>
      <c r="AG88" s="38">
        <f t="shared" si="9"/>
        <v>0</v>
      </c>
      <c r="AH88" s="38"/>
      <c r="AI88" s="38"/>
      <c r="AJ88" s="38"/>
      <c r="AK88" s="38"/>
      <c r="AL88" s="38"/>
      <c r="AM88" s="38">
        <f t="shared" si="10"/>
        <v>0</v>
      </c>
      <c r="AN88" s="38"/>
      <c r="AO88" s="178"/>
      <c r="AP88" s="178"/>
      <c r="AQ88" s="178"/>
      <c r="AR88" s="178"/>
      <c r="AS88" s="178">
        <f t="shared" si="11"/>
        <v>0</v>
      </c>
      <c r="AT88" s="178"/>
      <c r="AU88" s="178"/>
      <c r="AV88" s="201"/>
      <c r="AW88" s="201"/>
      <c r="AX88" s="201"/>
      <c r="AY88" s="178">
        <f t="shared" si="12"/>
        <v>0</v>
      </c>
      <c r="AZ88" s="178"/>
      <c r="BA88" s="27"/>
      <c r="BB88" s="44"/>
      <c r="BC88" s="44"/>
      <c r="BD88" s="27"/>
      <c r="BE88" s="27">
        <f t="shared" si="13"/>
        <v>0</v>
      </c>
      <c r="BF88" s="27"/>
      <c r="BG88" s="27"/>
      <c r="BH88" s="44"/>
      <c r="BI88" s="44"/>
      <c r="BJ88" s="44"/>
      <c r="BK88" s="27">
        <f t="shared" si="14"/>
        <v>0</v>
      </c>
      <c r="BL88" s="27"/>
      <c r="BM88" s="181">
        <f t="shared" ref="BM88:BX88" si="334">E88+Q88</f>
        <v>1</v>
      </c>
      <c r="BN88" s="181">
        <f t="shared" si="334"/>
        <v>0</v>
      </c>
      <c r="BO88" s="181">
        <f t="shared" si="334"/>
        <v>0</v>
      </c>
      <c r="BP88" s="181">
        <f t="shared" si="334"/>
        <v>0</v>
      </c>
      <c r="BQ88" s="181">
        <f t="shared" si="334"/>
        <v>1</v>
      </c>
      <c r="BR88" s="181">
        <f t="shared" si="334"/>
        <v>0</v>
      </c>
      <c r="BS88" s="181">
        <f t="shared" si="334"/>
        <v>1</v>
      </c>
      <c r="BT88" s="181">
        <f t="shared" si="334"/>
        <v>0</v>
      </c>
      <c r="BU88" s="181">
        <f t="shared" si="334"/>
        <v>0</v>
      </c>
      <c r="BV88" s="181">
        <f t="shared" si="334"/>
        <v>0</v>
      </c>
      <c r="BW88" s="181">
        <f t="shared" si="334"/>
        <v>1</v>
      </c>
      <c r="BX88" s="181">
        <f t="shared" si="334"/>
        <v>0</v>
      </c>
      <c r="BY88" s="38">
        <f t="shared" ref="BY88:CJ88" si="335">AC88+AO88</f>
        <v>0</v>
      </c>
      <c r="BZ88" s="38">
        <f t="shared" si="335"/>
        <v>0</v>
      </c>
      <c r="CA88" s="38">
        <f t="shared" si="335"/>
        <v>0</v>
      </c>
      <c r="CB88" s="38">
        <f t="shared" si="335"/>
        <v>0</v>
      </c>
      <c r="CC88" s="38">
        <f t="shared" si="335"/>
        <v>0</v>
      </c>
      <c r="CD88" s="38">
        <f t="shared" si="335"/>
        <v>0</v>
      </c>
      <c r="CE88" s="38">
        <f t="shared" si="335"/>
        <v>0</v>
      </c>
      <c r="CF88" s="38">
        <f t="shared" si="335"/>
        <v>0</v>
      </c>
      <c r="CG88" s="38">
        <f t="shared" si="335"/>
        <v>0</v>
      </c>
      <c r="CH88" s="38">
        <f t="shared" si="335"/>
        <v>0</v>
      </c>
      <c r="CI88" s="38">
        <f t="shared" si="335"/>
        <v>0</v>
      </c>
      <c r="CJ88" s="38">
        <f t="shared" si="335"/>
        <v>0</v>
      </c>
      <c r="CK88" s="27">
        <f t="shared" ref="CK88:CN88" si="336">BA88+BM88+BY88</f>
        <v>1</v>
      </c>
      <c r="CL88" s="27">
        <f t="shared" si="336"/>
        <v>0</v>
      </c>
      <c r="CM88" s="27">
        <f t="shared" si="336"/>
        <v>0</v>
      </c>
      <c r="CN88" s="27">
        <f t="shared" si="336"/>
        <v>0</v>
      </c>
      <c r="CO88" s="27">
        <f t="shared" si="18"/>
        <v>1</v>
      </c>
      <c r="CP88" s="27">
        <f t="shared" ref="CP88:CT88" si="337">BF88+BR88+CD88</f>
        <v>0</v>
      </c>
      <c r="CQ88" s="27">
        <f t="shared" si="337"/>
        <v>1</v>
      </c>
      <c r="CR88" s="27">
        <f t="shared" si="337"/>
        <v>0</v>
      </c>
      <c r="CS88" s="27">
        <f t="shared" si="337"/>
        <v>0</v>
      </c>
      <c r="CT88" s="27">
        <f t="shared" si="337"/>
        <v>0</v>
      </c>
      <c r="CU88" s="27">
        <f t="shared" si="20"/>
        <v>1</v>
      </c>
      <c r="CV88" s="27">
        <f t="shared" si="21"/>
        <v>0</v>
      </c>
    </row>
    <row r="89" ht="15.75" customHeight="1">
      <c r="A89" s="1"/>
      <c r="B89" s="1"/>
      <c r="C89" s="13"/>
      <c r="D89" s="26" t="s">
        <v>107</v>
      </c>
      <c r="E89" s="66">
        <v>1.0</v>
      </c>
      <c r="F89" s="77"/>
      <c r="G89" s="77"/>
      <c r="H89" s="77"/>
      <c r="I89" s="66">
        <f t="shared" si="5"/>
        <v>1</v>
      </c>
      <c r="J89" s="66"/>
      <c r="K89" s="66">
        <v>1.0</v>
      </c>
      <c r="L89" s="77"/>
      <c r="M89" s="77"/>
      <c r="N89" s="77"/>
      <c r="O89" s="66">
        <f t="shared" si="6"/>
        <v>1</v>
      </c>
      <c r="P89" s="66"/>
      <c r="Q89" s="42"/>
      <c r="R89" s="42"/>
      <c r="S89" s="42"/>
      <c r="T89" s="42"/>
      <c r="U89" s="42">
        <f t="shared" si="7"/>
        <v>0</v>
      </c>
      <c r="V89" s="42"/>
      <c r="W89" s="42"/>
      <c r="X89" s="42"/>
      <c r="Y89" s="42"/>
      <c r="Z89" s="42"/>
      <c r="AA89" s="42">
        <f t="shared" si="8"/>
        <v>0</v>
      </c>
      <c r="AB89" s="42"/>
      <c r="AC89" s="38">
        <v>1.0</v>
      </c>
      <c r="AD89" s="38"/>
      <c r="AE89" s="38"/>
      <c r="AF89" s="38"/>
      <c r="AG89" s="38">
        <f t="shared" si="9"/>
        <v>1</v>
      </c>
      <c r="AH89" s="38"/>
      <c r="AI89" s="38">
        <v>1.0</v>
      </c>
      <c r="AJ89" s="38"/>
      <c r="AK89" s="38"/>
      <c r="AL89" s="38"/>
      <c r="AM89" s="38">
        <f t="shared" si="10"/>
        <v>1</v>
      </c>
      <c r="AN89" s="38"/>
      <c r="AO89" s="178"/>
      <c r="AP89" s="178"/>
      <c r="AQ89" s="178"/>
      <c r="AR89" s="178"/>
      <c r="AS89" s="178">
        <f t="shared" si="11"/>
        <v>0</v>
      </c>
      <c r="AT89" s="178"/>
      <c r="AU89" s="178"/>
      <c r="AV89" s="201"/>
      <c r="AW89" s="201"/>
      <c r="AX89" s="201"/>
      <c r="AY89" s="178">
        <f t="shared" si="12"/>
        <v>0</v>
      </c>
      <c r="AZ89" s="178"/>
      <c r="BA89" s="27">
        <v>1.0</v>
      </c>
      <c r="BB89" s="44"/>
      <c r="BC89" s="44"/>
      <c r="BD89" s="27"/>
      <c r="BE89" s="27">
        <f t="shared" si="13"/>
        <v>1</v>
      </c>
      <c r="BF89" s="27"/>
      <c r="BG89" s="27">
        <v>1.0</v>
      </c>
      <c r="BH89" s="44"/>
      <c r="BI89" s="44"/>
      <c r="BJ89" s="44"/>
      <c r="BK89" s="27">
        <f t="shared" si="14"/>
        <v>1</v>
      </c>
      <c r="BL89" s="27"/>
      <c r="BM89" s="181">
        <f t="shared" ref="BM89:BX89" si="338">E89+Q89</f>
        <v>1</v>
      </c>
      <c r="BN89" s="181">
        <f t="shared" si="338"/>
        <v>0</v>
      </c>
      <c r="BO89" s="181">
        <f t="shared" si="338"/>
        <v>0</v>
      </c>
      <c r="BP89" s="181">
        <f t="shared" si="338"/>
        <v>0</v>
      </c>
      <c r="BQ89" s="181">
        <f t="shared" si="338"/>
        <v>1</v>
      </c>
      <c r="BR89" s="181">
        <f t="shared" si="338"/>
        <v>0</v>
      </c>
      <c r="BS89" s="181">
        <f t="shared" si="338"/>
        <v>1</v>
      </c>
      <c r="BT89" s="181">
        <f t="shared" si="338"/>
        <v>0</v>
      </c>
      <c r="BU89" s="181">
        <f t="shared" si="338"/>
        <v>0</v>
      </c>
      <c r="BV89" s="181">
        <f t="shared" si="338"/>
        <v>0</v>
      </c>
      <c r="BW89" s="181">
        <f t="shared" si="338"/>
        <v>1</v>
      </c>
      <c r="BX89" s="181">
        <f t="shared" si="338"/>
        <v>0</v>
      </c>
      <c r="BY89" s="38">
        <f t="shared" ref="BY89:CJ89" si="339">AC89+AO89</f>
        <v>1</v>
      </c>
      <c r="BZ89" s="38">
        <f t="shared" si="339"/>
        <v>0</v>
      </c>
      <c r="CA89" s="38">
        <f t="shared" si="339"/>
        <v>0</v>
      </c>
      <c r="CB89" s="38">
        <f t="shared" si="339"/>
        <v>0</v>
      </c>
      <c r="CC89" s="38">
        <f t="shared" si="339"/>
        <v>1</v>
      </c>
      <c r="CD89" s="38">
        <f t="shared" si="339"/>
        <v>0</v>
      </c>
      <c r="CE89" s="38">
        <f t="shared" si="339"/>
        <v>1</v>
      </c>
      <c r="CF89" s="38">
        <f t="shared" si="339"/>
        <v>0</v>
      </c>
      <c r="CG89" s="38">
        <f t="shared" si="339"/>
        <v>0</v>
      </c>
      <c r="CH89" s="38">
        <f t="shared" si="339"/>
        <v>0</v>
      </c>
      <c r="CI89" s="38">
        <f t="shared" si="339"/>
        <v>1</v>
      </c>
      <c r="CJ89" s="38">
        <f t="shared" si="339"/>
        <v>0</v>
      </c>
      <c r="CK89" s="27">
        <f t="shared" ref="CK89:CN89" si="340">BA89+BM89+BY89</f>
        <v>3</v>
      </c>
      <c r="CL89" s="27">
        <f t="shared" si="340"/>
        <v>0</v>
      </c>
      <c r="CM89" s="27">
        <f t="shared" si="340"/>
        <v>0</v>
      </c>
      <c r="CN89" s="27">
        <f t="shared" si="340"/>
        <v>0</v>
      </c>
      <c r="CO89" s="27">
        <f t="shared" si="18"/>
        <v>3</v>
      </c>
      <c r="CP89" s="27">
        <f t="shared" ref="CP89:CT89" si="341">BF89+BR89+CD89</f>
        <v>0</v>
      </c>
      <c r="CQ89" s="27">
        <f t="shared" si="341"/>
        <v>3</v>
      </c>
      <c r="CR89" s="27">
        <f t="shared" si="341"/>
        <v>0</v>
      </c>
      <c r="CS89" s="27">
        <f t="shared" si="341"/>
        <v>0</v>
      </c>
      <c r="CT89" s="27">
        <f t="shared" si="341"/>
        <v>0</v>
      </c>
      <c r="CU89" s="27">
        <f t="shared" si="20"/>
        <v>3</v>
      </c>
      <c r="CV89" s="27">
        <f t="shared" si="21"/>
        <v>0</v>
      </c>
    </row>
    <row r="90" ht="15.75" customHeight="1">
      <c r="A90" s="1"/>
      <c r="B90" s="1"/>
      <c r="C90" s="13"/>
      <c r="D90" s="26" t="s">
        <v>108</v>
      </c>
      <c r="E90" s="77">
        <v>2.0</v>
      </c>
      <c r="F90" s="77"/>
      <c r="G90" s="77">
        <v>2.0</v>
      </c>
      <c r="H90" s="77"/>
      <c r="I90" s="66">
        <f t="shared" si="5"/>
        <v>4</v>
      </c>
      <c r="J90" s="77"/>
      <c r="K90" s="77">
        <v>2.0</v>
      </c>
      <c r="L90" s="77"/>
      <c r="M90" s="77">
        <v>2.0</v>
      </c>
      <c r="N90" s="77"/>
      <c r="O90" s="66">
        <f t="shared" si="6"/>
        <v>4</v>
      </c>
      <c r="P90" s="66"/>
      <c r="Q90" s="42"/>
      <c r="R90" s="42">
        <v>1.0</v>
      </c>
      <c r="S90" s="42">
        <v>1.0</v>
      </c>
      <c r="T90" s="42"/>
      <c r="U90" s="42">
        <f t="shared" si="7"/>
        <v>2</v>
      </c>
      <c r="V90" s="42"/>
      <c r="W90" s="42"/>
      <c r="X90" s="42">
        <v>1.0</v>
      </c>
      <c r="Y90" s="42">
        <v>1.0</v>
      </c>
      <c r="Z90" s="42"/>
      <c r="AA90" s="42">
        <f t="shared" si="8"/>
        <v>2</v>
      </c>
      <c r="AB90" s="42"/>
      <c r="AC90" s="38"/>
      <c r="AD90" s="38"/>
      <c r="AE90" s="38"/>
      <c r="AF90" s="38"/>
      <c r="AG90" s="38">
        <f t="shared" si="9"/>
        <v>0</v>
      </c>
      <c r="AH90" s="38"/>
      <c r="AI90" s="38"/>
      <c r="AJ90" s="38"/>
      <c r="AK90" s="38"/>
      <c r="AL90" s="38"/>
      <c r="AM90" s="38">
        <f t="shared" si="10"/>
        <v>0</v>
      </c>
      <c r="AN90" s="38"/>
      <c r="AO90" s="178"/>
      <c r="AP90" s="178"/>
      <c r="AQ90" s="178"/>
      <c r="AR90" s="178"/>
      <c r="AS90" s="178">
        <f t="shared" si="11"/>
        <v>0</v>
      </c>
      <c r="AT90" s="201"/>
      <c r="AU90" s="201"/>
      <c r="AV90" s="201"/>
      <c r="AW90" s="201"/>
      <c r="AX90" s="201"/>
      <c r="AY90" s="178">
        <f t="shared" si="12"/>
        <v>0</v>
      </c>
      <c r="AZ90" s="178"/>
      <c r="BA90" s="44">
        <v>1.0</v>
      </c>
      <c r="BB90" s="44">
        <v>1.0</v>
      </c>
      <c r="BC90" s="44">
        <v>1.0</v>
      </c>
      <c r="BD90" s="27"/>
      <c r="BE90" s="27">
        <f t="shared" si="13"/>
        <v>3</v>
      </c>
      <c r="BF90" s="44"/>
      <c r="BG90" s="44">
        <v>1.0</v>
      </c>
      <c r="BH90" s="44">
        <v>1.0</v>
      </c>
      <c r="BI90" s="44">
        <v>1.0</v>
      </c>
      <c r="BJ90" s="44"/>
      <c r="BK90" s="27">
        <f t="shared" si="14"/>
        <v>3</v>
      </c>
      <c r="BL90" s="27"/>
      <c r="BM90" s="181">
        <f t="shared" ref="BM90:BX90" si="342">E90+Q90</f>
        <v>2</v>
      </c>
      <c r="BN90" s="181">
        <f t="shared" si="342"/>
        <v>1</v>
      </c>
      <c r="BO90" s="181">
        <f t="shared" si="342"/>
        <v>3</v>
      </c>
      <c r="BP90" s="181">
        <f t="shared" si="342"/>
        <v>0</v>
      </c>
      <c r="BQ90" s="181">
        <f t="shared" si="342"/>
        <v>6</v>
      </c>
      <c r="BR90" s="181">
        <f t="shared" si="342"/>
        <v>0</v>
      </c>
      <c r="BS90" s="181">
        <f t="shared" si="342"/>
        <v>2</v>
      </c>
      <c r="BT90" s="181">
        <f t="shared" si="342"/>
        <v>1</v>
      </c>
      <c r="BU90" s="181">
        <f t="shared" si="342"/>
        <v>3</v>
      </c>
      <c r="BV90" s="181">
        <f t="shared" si="342"/>
        <v>0</v>
      </c>
      <c r="BW90" s="181">
        <f t="shared" si="342"/>
        <v>6</v>
      </c>
      <c r="BX90" s="181">
        <f t="shared" si="342"/>
        <v>0</v>
      </c>
      <c r="BY90" s="38">
        <f t="shared" ref="BY90:CJ90" si="343">AC90+AO90</f>
        <v>0</v>
      </c>
      <c r="BZ90" s="38">
        <f t="shared" si="343"/>
        <v>0</v>
      </c>
      <c r="CA90" s="38">
        <f t="shared" si="343"/>
        <v>0</v>
      </c>
      <c r="CB90" s="38">
        <f t="shared" si="343"/>
        <v>0</v>
      </c>
      <c r="CC90" s="38">
        <f t="shared" si="343"/>
        <v>0</v>
      </c>
      <c r="CD90" s="38">
        <f t="shared" si="343"/>
        <v>0</v>
      </c>
      <c r="CE90" s="38">
        <f t="shared" si="343"/>
        <v>0</v>
      </c>
      <c r="CF90" s="38">
        <f t="shared" si="343"/>
        <v>0</v>
      </c>
      <c r="CG90" s="38">
        <f t="shared" si="343"/>
        <v>0</v>
      </c>
      <c r="CH90" s="38">
        <f t="shared" si="343"/>
        <v>0</v>
      </c>
      <c r="CI90" s="38">
        <f t="shared" si="343"/>
        <v>0</v>
      </c>
      <c r="CJ90" s="38">
        <f t="shared" si="343"/>
        <v>0</v>
      </c>
      <c r="CK90" s="27">
        <f t="shared" ref="CK90:CN90" si="344">BA90+BM90+BY90</f>
        <v>3</v>
      </c>
      <c r="CL90" s="27">
        <f t="shared" si="344"/>
        <v>2</v>
      </c>
      <c r="CM90" s="27">
        <f t="shared" si="344"/>
        <v>4</v>
      </c>
      <c r="CN90" s="27">
        <f t="shared" si="344"/>
        <v>0</v>
      </c>
      <c r="CO90" s="27">
        <f t="shared" si="18"/>
        <v>9</v>
      </c>
      <c r="CP90" s="27">
        <f t="shared" ref="CP90:CT90" si="345">BF90+BR90+CD90</f>
        <v>0</v>
      </c>
      <c r="CQ90" s="27">
        <f t="shared" si="345"/>
        <v>3</v>
      </c>
      <c r="CR90" s="27">
        <f t="shared" si="345"/>
        <v>2</v>
      </c>
      <c r="CS90" s="27">
        <f t="shared" si="345"/>
        <v>4</v>
      </c>
      <c r="CT90" s="27">
        <f t="shared" si="345"/>
        <v>0</v>
      </c>
      <c r="CU90" s="27">
        <f t="shared" si="20"/>
        <v>9</v>
      </c>
      <c r="CV90" s="27">
        <f t="shared" si="21"/>
        <v>0</v>
      </c>
    </row>
    <row r="91" ht="15.75" customHeight="1">
      <c r="A91" s="52"/>
      <c r="B91" s="52"/>
      <c r="C91" s="21"/>
      <c r="D91" s="55" t="s">
        <v>112</v>
      </c>
      <c r="E91" s="77">
        <v>1.0</v>
      </c>
      <c r="F91" s="77"/>
      <c r="G91" s="77"/>
      <c r="H91" s="77"/>
      <c r="I91" s="66">
        <f t="shared" si="5"/>
        <v>1</v>
      </c>
      <c r="J91" s="77"/>
      <c r="K91" s="77">
        <v>1.0</v>
      </c>
      <c r="L91" s="77"/>
      <c r="M91" s="77"/>
      <c r="N91" s="77"/>
      <c r="O91" s="66">
        <f t="shared" si="6"/>
        <v>1</v>
      </c>
      <c r="P91" s="66"/>
      <c r="Q91" s="42"/>
      <c r="R91" s="42"/>
      <c r="S91" s="42"/>
      <c r="T91" s="42"/>
      <c r="U91" s="42">
        <f t="shared" si="7"/>
        <v>0</v>
      </c>
      <c r="V91" s="42"/>
      <c r="W91" s="42"/>
      <c r="X91" s="42"/>
      <c r="Y91" s="42"/>
      <c r="Z91" s="42"/>
      <c r="AA91" s="42">
        <f t="shared" si="8"/>
        <v>0</v>
      </c>
      <c r="AB91" s="42"/>
      <c r="AC91" s="38">
        <v>1.0</v>
      </c>
      <c r="AD91" s="38"/>
      <c r="AE91" s="38"/>
      <c r="AF91" s="38"/>
      <c r="AG91" s="38">
        <f t="shared" si="9"/>
        <v>1</v>
      </c>
      <c r="AH91" s="38"/>
      <c r="AI91" s="38">
        <v>1.0</v>
      </c>
      <c r="AJ91" s="38"/>
      <c r="AK91" s="38"/>
      <c r="AL91" s="38"/>
      <c r="AM91" s="38">
        <f t="shared" si="10"/>
        <v>1</v>
      </c>
      <c r="AN91" s="38"/>
      <c r="AO91" s="178"/>
      <c r="AP91" s="178"/>
      <c r="AQ91" s="178"/>
      <c r="AR91" s="178"/>
      <c r="AS91" s="178">
        <f t="shared" si="11"/>
        <v>0</v>
      </c>
      <c r="AT91" s="201"/>
      <c r="AU91" s="201"/>
      <c r="AV91" s="201"/>
      <c r="AW91" s="201"/>
      <c r="AX91" s="201"/>
      <c r="AY91" s="178">
        <f t="shared" si="12"/>
        <v>0</v>
      </c>
      <c r="AZ91" s="178"/>
      <c r="BA91" s="27"/>
      <c r="BB91" s="27"/>
      <c r="BC91" s="27">
        <v>1.0</v>
      </c>
      <c r="BD91" s="27"/>
      <c r="BE91" s="27">
        <f t="shared" si="13"/>
        <v>1</v>
      </c>
      <c r="BF91" s="44"/>
      <c r="BG91" s="44"/>
      <c r="BH91" s="44"/>
      <c r="BI91" s="44">
        <v>1.0</v>
      </c>
      <c r="BJ91" s="44"/>
      <c r="BK91" s="27">
        <f t="shared" si="14"/>
        <v>1</v>
      </c>
      <c r="BL91" s="27"/>
      <c r="BM91" s="181">
        <f t="shared" ref="BM91:BX91" si="346">E91+Q91</f>
        <v>1</v>
      </c>
      <c r="BN91" s="181">
        <f t="shared" si="346"/>
        <v>0</v>
      </c>
      <c r="BO91" s="181">
        <f t="shared" si="346"/>
        <v>0</v>
      </c>
      <c r="BP91" s="181">
        <f t="shared" si="346"/>
        <v>0</v>
      </c>
      <c r="BQ91" s="181">
        <f t="shared" si="346"/>
        <v>1</v>
      </c>
      <c r="BR91" s="181">
        <f t="shared" si="346"/>
        <v>0</v>
      </c>
      <c r="BS91" s="181">
        <f t="shared" si="346"/>
        <v>1</v>
      </c>
      <c r="BT91" s="181">
        <f t="shared" si="346"/>
        <v>0</v>
      </c>
      <c r="BU91" s="181">
        <f t="shared" si="346"/>
        <v>0</v>
      </c>
      <c r="BV91" s="181">
        <f t="shared" si="346"/>
        <v>0</v>
      </c>
      <c r="BW91" s="181">
        <f t="shared" si="346"/>
        <v>1</v>
      </c>
      <c r="BX91" s="181">
        <f t="shared" si="346"/>
        <v>0</v>
      </c>
      <c r="BY91" s="38">
        <f t="shared" ref="BY91:CJ91" si="347">AC91+AO91</f>
        <v>1</v>
      </c>
      <c r="BZ91" s="38">
        <f t="shared" si="347"/>
        <v>0</v>
      </c>
      <c r="CA91" s="38">
        <f t="shared" si="347"/>
        <v>0</v>
      </c>
      <c r="CB91" s="38">
        <f t="shared" si="347"/>
        <v>0</v>
      </c>
      <c r="CC91" s="38">
        <f t="shared" si="347"/>
        <v>1</v>
      </c>
      <c r="CD91" s="38">
        <f t="shared" si="347"/>
        <v>0</v>
      </c>
      <c r="CE91" s="38">
        <f t="shared" si="347"/>
        <v>1</v>
      </c>
      <c r="CF91" s="38">
        <f t="shared" si="347"/>
        <v>0</v>
      </c>
      <c r="CG91" s="38">
        <f t="shared" si="347"/>
        <v>0</v>
      </c>
      <c r="CH91" s="38">
        <f t="shared" si="347"/>
        <v>0</v>
      </c>
      <c r="CI91" s="38">
        <f t="shared" si="347"/>
        <v>1</v>
      </c>
      <c r="CJ91" s="38">
        <f t="shared" si="347"/>
        <v>0</v>
      </c>
      <c r="CK91" s="27">
        <f t="shared" ref="CK91:CN91" si="348">BA91+BM91+BY91</f>
        <v>2</v>
      </c>
      <c r="CL91" s="27">
        <f t="shared" si="348"/>
        <v>0</v>
      </c>
      <c r="CM91" s="27">
        <f t="shared" si="348"/>
        <v>1</v>
      </c>
      <c r="CN91" s="27">
        <f t="shared" si="348"/>
        <v>0</v>
      </c>
      <c r="CO91" s="27">
        <f t="shared" si="18"/>
        <v>3</v>
      </c>
      <c r="CP91" s="27">
        <f t="shared" ref="CP91:CT91" si="349">BF91+BR91+CD91</f>
        <v>0</v>
      </c>
      <c r="CQ91" s="27">
        <f t="shared" si="349"/>
        <v>2</v>
      </c>
      <c r="CR91" s="27">
        <f t="shared" si="349"/>
        <v>0</v>
      </c>
      <c r="CS91" s="27">
        <f t="shared" si="349"/>
        <v>1</v>
      </c>
      <c r="CT91" s="27">
        <f t="shared" si="349"/>
        <v>0</v>
      </c>
      <c r="CU91" s="27">
        <f t="shared" si="20"/>
        <v>3</v>
      </c>
      <c r="CV91" s="27">
        <f t="shared" si="21"/>
        <v>0</v>
      </c>
    </row>
    <row r="92" ht="15.75" customHeight="1">
      <c r="A92" s="1"/>
      <c r="B92" s="1"/>
      <c r="C92" s="56" t="s">
        <v>113</v>
      </c>
      <c r="D92" s="57"/>
      <c r="E92" s="66">
        <f t="shared" ref="E92:I92" si="350">SUM(E8:E91)</f>
        <v>24</v>
      </c>
      <c r="F92" s="66">
        <f t="shared" si="350"/>
        <v>18</v>
      </c>
      <c r="G92" s="66">
        <f t="shared" si="350"/>
        <v>108</v>
      </c>
      <c r="H92" s="66">
        <f t="shared" si="350"/>
        <v>21</v>
      </c>
      <c r="I92" s="66">
        <f t="shared" si="350"/>
        <v>171</v>
      </c>
      <c r="J92" s="66"/>
      <c r="K92" s="66">
        <f>SUM(K5:K91)</f>
        <v>23</v>
      </c>
      <c r="L92" s="66">
        <f t="shared" ref="L92:O92" si="351">SUM(L8:L91)</f>
        <v>18</v>
      </c>
      <c r="M92" s="66">
        <f t="shared" si="351"/>
        <v>106</v>
      </c>
      <c r="N92" s="66">
        <f t="shared" si="351"/>
        <v>21</v>
      </c>
      <c r="O92" s="66">
        <f t="shared" si="351"/>
        <v>168</v>
      </c>
      <c r="P92" s="66"/>
      <c r="Q92" s="42">
        <f t="shared" ref="Q92:U92" si="352">SUM(Q8:Q91)</f>
        <v>18</v>
      </c>
      <c r="R92" s="42">
        <f t="shared" si="352"/>
        <v>20</v>
      </c>
      <c r="S92" s="42">
        <f t="shared" si="352"/>
        <v>86</v>
      </c>
      <c r="T92" s="42">
        <f t="shared" si="352"/>
        <v>14</v>
      </c>
      <c r="U92" s="42">
        <f t="shared" si="352"/>
        <v>138</v>
      </c>
      <c r="V92" s="42"/>
      <c r="W92" s="42">
        <f t="shared" ref="W92:AA92" si="353">SUM(W8:W91)</f>
        <v>18</v>
      </c>
      <c r="X92" s="42">
        <f t="shared" si="353"/>
        <v>15</v>
      </c>
      <c r="Y92" s="42">
        <f t="shared" si="353"/>
        <v>86</v>
      </c>
      <c r="Z92" s="42">
        <f t="shared" si="353"/>
        <v>14</v>
      </c>
      <c r="AA92" s="42">
        <f t="shared" si="353"/>
        <v>133</v>
      </c>
      <c r="AB92" s="42"/>
      <c r="AC92" s="38">
        <f t="shared" ref="AC92:AF92" si="354">SUM(AC8:AC91)</f>
        <v>15</v>
      </c>
      <c r="AD92" s="38">
        <f t="shared" si="354"/>
        <v>20</v>
      </c>
      <c r="AE92" s="38">
        <f t="shared" si="354"/>
        <v>99</v>
      </c>
      <c r="AF92" s="38">
        <f t="shared" si="354"/>
        <v>36</v>
      </c>
      <c r="AG92" s="38">
        <f t="shared" si="9"/>
        <v>170</v>
      </c>
      <c r="AH92" s="38"/>
      <c r="AI92" s="38">
        <f t="shared" ref="AI92:AL92" si="355">SUM(AI8:AI91)</f>
        <v>15</v>
      </c>
      <c r="AJ92" s="38">
        <f t="shared" si="355"/>
        <v>18</v>
      </c>
      <c r="AK92" s="38">
        <f t="shared" si="355"/>
        <v>99</v>
      </c>
      <c r="AL92" s="38">
        <f t="shared" si="355"/>
        <v>36</v>
      </c>
      <c r="AM92" s="38">
        <f t="shared" si="10"/>
        <v>168</v>
      </c>
      <c r="AN92" s="38"/>
      <c r="AO92" s="178">
        <f t="shared" ref="AO92:AS92" si="356">SUM(AO8:AO91)</f>
        <v>5</v>
      </c>
      <c r="AP92" s="178">
        <f t="shared" si="356"/>
        <v>0</v>
      </c>
      <c r="AQ92" s="178">
        <f t="shared" si="356"/>
        <v>0</v>
      </c>
      <c r="AR92" s="178">
        <f t="shared" si="356"/>
        <v>0</v>
      </c>
      <c r="AS92" s="178">
        <f t="shared" si="356"/>
        <v>5</v>
      </c>
      <c r="AT92" s="178"/>
      <c r="AU92" s="178">
        <f t="shared" ref="AU92:AX92" si="357">SUM(AU9:AU91)</f>
        <v>4</v>
      </c>
      <c r="AV92" s="178">
        <f t="shared" si="357"/>
        <v>1</v>
      </c>
      <c r="AW92" s="178">
        <f t="shared" si="357"/>
        <v>0</v>
      </c>
      <c r="AX92" s="178">
        <f t="shared" si="357"/>
        <v>0</v>
      </c>
      <c r="AY92" s="178">
        <f>SUM(AY8:AY91)</f>
        <v>5</v>
      </c>
      <c r="AZ92" s="178"/>
      <c r="BA92" s="27">
        <f t="shared" ref="BA92:BD92" si="358">SUM(BA9:BA91)</f>
        <v>25</v>
      </c>
      <c r="BB92" s="27">
        <f t="shared" si="358"/>
        <v>3</v>
      </c>
      <c r="BC92" s="27">
        <f t="shared" si="358"/>
        <v>89</v>
      </c>
      <c r="BD92" s="27">
        <f t="shared" si="358"/>
        <v>9</v>
      </c>
      <c r="BE92" s="27">
        <f>SUM(BE8:BE91)</f>
        <v>126</v>
      </c>
      <c r="BF92" s="27"/>
      <c r="BG92" s="27">
        <f t="shared" ref="BG92:BJ92" si="359">SUM(BG9:BG91)</f>
        <v>24</v>
      </c>
      <c r="BH92" s="27">
        <f t="shared" si="359"/>
        <v>4</v>
      </c>
      <c r="BI92" s="27">
        <f t="shared" si="359"/>
        <v>89</v>
      </c>
      <c r="BJ92" s="27">
        <f t="shared" si="359"/>
        <v>9</v>
      </c>
      <c r="BK92" s="27">
        <f>SUM(BK8:BK91)</f>
        <v>126</v>
      </c>
      <c r="BL92" s="27"/>
      <c r="BM92" s="181">
        <f t="shared" ref="BM92:BX92" si="360">E92+Q92</f>
        <v>42</v>
      </c>
      <c r="BN92" s="181">
        <f t="shared" si="360"/>
        <v>38</v>
      </c>
      <c r="BO92" s="181">
        <f t="shared" si="360"/>
        <v>194</v>
      </c>
      <c r="BP92" s="181">
        <f t="shared" si="360"/>
        <v>35</v>
      </c>
      <c r="BQ92" s="181">
        <f t="shared" si="360"/>
        <v>309</v>
      </c>
      <c r="BR92" s="181">
        <f t="shared" si="360"/>
        <v>0</v>
      </c>
      <c r="BS92" s="181">
        <f t="shared" si="360"/>
        <v>41</v>
      </c>
      <c r="BT92" s="181">
        <f t="shared" si="360"/>
        <v>33</v>
      </c>
      <c r="BU92" s="181">
        <f t="shared" si="360"/>
        <v>192</v>
      </c>
      <c r="BV92" s="181">
        <f t="shared" si="360"/>
        <v>35</v>
      </c>
      <c r="BW92" s="181">
        <f t="shared" si="360"/>
        <v>301</v>
      </c>
      <c r="BX92" s="181">
        <f t="shared" si="360"/>
        <v>0</v>
      </c>
      <c r="BY92" s="38">
        <f t="shared" ref="BY92:CJ92" si="361">AC92+AO92</f>
        <v>20</v>
      </c>
      <c r="BZ92" s="38">
        <f t="shared" si="361"/>
        <v>20</v>
      </c>
      <c r="CA92" s="38">
        <f t="shared" si="361"/>
        <v>99</v>
      </c>
      <c r="CB92" s="38">
        <f t="shared" si="361"/>
        <v>36</v>
      </c>
      <c r="CC92" s="38">
        <f t="shared" si="361"/>
        <v>175</v>
      </c>
      <c r="CD92" s="38">
        <f t="shared" si="361"/>
        <v>0</v>
      </c>
      <c r="CE92" s="38">
        <f t="shared" si="361"/>
        <v>19</v>
      </c>
      <c r="CF92" s="38">
        <f t="shared" si="361"/>
        <v>19</v>
      </c>
      <c r="CG92" s="38">
        <f t="shared" si="361"/>
        <v>99</v>
      </c>
      <c r="CH92" s="38">
        <f t="shared" si="361"/>
        <v>36</v>
      </c>
      <c r="CI92" s="38">
        <f t="shared" si="361"/>
        <v>173</v>
      </c>
      <c r="CJ92" s="38">
        <f t="shared" si="361"/>
        <v>0</v>
      </c>
      <c r="CK92" s="27">
        <f t="shared" ref="CK92:CN92" si="362">BA92+BM92+BY92</f>
        <v>87</v>
      </c>
      <c r="CL92" s="27">
        <f t="shared" si="362"/>
        <v>61</v>
      </c>
      <c r="CM92" s="27">
        <f t="shared" si="362"/>
        <v>382</v>
      </c>
      <c r="CN92" s="27">
        <f t="shared" si="362"/>
        <v>80</v>
      </c>
      <c r="CO92" s="27">
        <f>SUM(CO8:CO91)</f>
        <v>610</v>
      </c>
      <c r="CP92" s="27">
        <f t="shared" ref="CP92:CT92" si="363">BF92+BR92+CD92</f>
        <v>0</v>
      </c>
      <c r="CQ92" s="27">
        <f t="shared" si="363"/>
        <v>84</v>
      </c>
      <c r="CR92" s="27">
        <f t="shared" si="363"/>
        <v>56</v>
      </c>
      <c r="CS92" s="27">
        <f t="shared" si="363"/>
        <v>380</v>
      </c>
      <c r="CT92" s="27">
        <f t="shared" si="363"/>
        <v>80</v>
      </c>
      <c r="CU92" s="27">
        <f>SUM(CU8:CU91)</f>
        <v>600</v>
      </c>
      <c r="CV92" s="27">
        <f t="shared" si="21"/>
        <v>0</v>
      </c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67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67"/>
      <c r="AB93" s="67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67"/>
      <c r="AN93" s="67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67"/>
      <c r="AZ93" s="67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ht="15.75" customHeight="1">
      <c r="A99" s="1"/>
      <c r="B99" s="1"/>
      <c r="C99" s="1"/>
      <c r="D99" s="1"/>
      <c r="E99" s="59"/>
      <c r="F99" s="59"/>
      <c r="G99" s="59"/>
      <c r="H99" s="59"/>
      <c r="I99" s="59"/>
      <c r="J99" s="1"/>
      <c r="K99" s="1"/>
      <c r="L99" s="1"/>
      <c r="M99" s="1"/>
      <c r="N99" s="1"/>
      <c r="O99" s="1"/>
      <c r="P99" s="59"/>
      <c r="Q99" s="59"/>
      <c r="R99" s="59"/>
      <c r="S99" s="59"/>
      <c r="T99" s="59"/>
      <c r="U99" s="59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59"/>
      <c r="AP99" s="59"/>
      <c r="AQ99" s="59"/>
      <c r="AR99" s="59"/>
      <c r="AS99" s="59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ht="15.75" customHeight="1">
      <c r="A100" s="1"/>
      <c r="B100" s="1"/>
      <c r="C100" s="1"/>
      <c r="D100" s="1"/>
      <c r="E100" s="59"/>
      <c r="F100" s="59"/>
      <c r="G100" s="59"/>
      <c r="H100" s="59"/>
      <c r="I100" s="59"/>
      <c r="J100" s="1"/>
      <c r="K100" s="1"/>
      <c r="L100" s="1"/>
      <c r="M100" s="1"/>
      <c r="N100" s="1"/>
      <c r="O100" s="1"/>
      <c r="P100" s="59"/>
      <c r="Q100" s="59"/>
      <c r="R100" s="59"/>
      <c r="S100" s="59"/>
      <c r="T100" s="59"/>
      <c r="U100" s="59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59"/>
      <c r="AP100" s="59"/>
      <c r="AQ100" s="59"/>
      <c r="AR100" s="59"/>
      <c r="AS100" s="59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 ht="15.75" customHeight="1">
      <c r="A101" s="1"/>
      <c r="B101" s="1"/>
      <c r="C101" s="1"/>
      <c r="D101" s="1"/>
      <c r="E101" s="59"/>
      <c r="F101" s="59"/>
      <c r="G101" s="59"/>
      <c r="H101" s="59"/>
      <c r="I101" s="59"/>
      <c r="J101" s="1"/>
      <c r="K101" s="1"/>
      <c r="L101" s="1"/>
      <c r="M101" s="1"/>
      <c r="N101" s="1"/>
      <c r="O101" s="1"/>
      <c r="P101" s="59"/>
      <c r="Q101" s="59"/>
      <c r="R101" s="59"/>
      <c r="S101" s="59"/>
      <c r="T101" s="59"/>
      <c r="U101" s="59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59"/>
      <c r="AP101" s="59"/>
      <c r="AQ101" s="59"/>
      <c r="AR101" s="59"/>
      <c r="AS101" s="59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 ht="15.75" customHeight="1">
      <c r="A102" s="1"/>
      <c r="B102" s="1"/>
      <c r="C102" s="1"/>
      <c r="D102" s="1"/>
      <c r="E102" s="59"/>
      <c r="F102" s="59"/>
      <c r="G102" s="59"/>
      <c r="H102" s="59"/>
      <c r="I102" s="59"/>
      <c r="J102" s="1"/>
      <c r="K102" s="1"/>
      <c r="L102" s="1"/>
      <c r="M102" s="1"/>
      <c r="N102" s="1"/>
      <c r="O102" s="1"/>
      <c r="P102" s="59"/>
      <c r="Q102" s="59"/>
      <c r="R102" s="59"/>
      <c r="S102" s="59"/>
      <c r="T102" s="59"/>
      <c r="U102" s="59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59"/>
      <c r="AP102" s="59"/>
      <c r="AQ102" s="59"/>
      <c r="AR102" s="59"/>
      <c r="AS102" s="59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 ht="15.75" customHeight="1">
      <c r="A103" s="1"/>
      <c r="B103" s="1"/>
      <c r="C103" s="1"/>
      <c r="D103" s="1"/>
      <c r="E103" s="59"/>
      <c r="F103" s="59"/>
      <c r="G103" s="59"/>
      <c r="H103" s="59"/>
      <c r="I103" s="59"/>
      <c r="J103" s="1"/>
      <c r="K103" s="1"/>
      <c r="L103" s="1"/>
      <c r="M103" s="1"/>
      <c r="N103" s="1"/>
      <c r="O103" s="1"/>
      <c r="P103" s="59"/>
      <c r="Q103" s="59"/>
      <c r="R103" s="59"/>
      <c r="S103" s="59"/>
      <c r="T103" s="59"/>
      <c r="U103" s="59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59"/>
      <c r="AP103" s="59"/>
      <c r="AQ103" s="59"/>
      <c r="AR103" s="59"/>
      <c r="AS103" s="59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 ht="15.75" customHeight="1">
      <c r="A104" s="1"/>
      <c r="B104" s="1"/>
      <c r="C104" s="1"/>
      <c r="D104" s="1"/>
      <c r="E104" s="59"/>
      <c r="F104" s="59"/>
      <c r="G104" s="59"/>
      <c r="H104" s="59"/>
      <c r="I104" s="59"/>
      <c r="J104" s="1"/>
      <c r="K104" s="1"/>
      <c r="L104" s="1"/>
      <c r="M104" s="1"/>
      <c r="N104" s="1"/>
      <c r="O104" s="1"/>
      <c r="P104" s="59"/>
      <c r="Q104" s="59"/>
      <c r="R104" s="59"/>
      <c r="S104" s="59"/>
      <c r="T104" s="59"/>
      <c r="U104" s="59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59"/>
      <c r="AP104" s="59"/>
      <c r="AQ104" s="59"/>
      <c r="AR104" s="59"/>
      <c r="AS104" s="59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 ht="15.75" customHeight="1">
      <c r="A105" s="1"/>
      <c r="B105" s="1"/>
      <c r="C105" s="1"/>
      <c r="D105" s="1"/>
      <c r="E105" s="59"/>
      <c r="F105" s="59"/>
      <c r="G105" s="59"/>
      <c r="H105" s="59"/>
      <c r="I105" s="59"/>
      <c r="J105" s="1"/>
      <c r="K105" s="1"/>
      <c r="L105" s="1"/>
      <c r="M105" s="1"/>
      <c r="N105" s="1"/>
      <c r="O105" s="1"/>
      <c r="P105" s="59"/>
      <c r="Q105" s="59"/>
      <c r="R105" s="59"/>
      <c r="S105" s="59"/>
      <c r="T105" s="59"/>
      <c r="U105" s="59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59"/>
      <c r="AP105" s="59"/>
      <c r="AQ105" s="59"/>
      <c r="AR105" s="59"/>
      <c r="AS105" s="59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 ht="15.75" customHeight="1">
      <c r="A106" s="1"/>
      <c r="B106" s="1"/>
      <c r="C106" s="1"/>
      <c r="D106" s="1"/>
      <c r="E106" s="59"/>
      <c r="F106" s="59"/>
      <c r="G106" s="59"/>
      <c r="H106" s="59"/>
      <c r="I106" s="59"/>
      <c r="J106" s="1"/>
      <c r="K106" s="1"/>
      <c r="L106" s="1"/>
      <c r="M106" s="1"/>
      <c r="N106" s="1"/>
      <c r="O106" s="1"/>
      <c r="P106" s="59"/>
      <c r="Q106" s="59"/>
      <c r="R106" s="59"/>
      <c r="S106" s="59"/>
      <c r="T106" s="59"/>
      <c r="U106" s="59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59"/>
      <c r="AP106" s="59"/>
      <c r="AQ106" s="59"/>
      <c r="AR106" s="59"/>
      <c r="AS106" s="59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 ht="15.75" customHeight="1">
      <c r="A107" s="1"/>
      <c r="B107" s="1"/>
      <c r="C107" s="1"/>
      <c r="D107" s="1"/>
      <c r="E107" s="59"/>
      <c r="F107" s="59"/>
      <c r="G107" s="59"/>
      <c r="H107" s="59"/>
      <c r="I107" s="59"/>
      <c r="J107" s="1"/>
      <c r="K107" s="1"/>
      <c r="L107" s="1"/>
      <c r="M107" s="1"/>
      <c r="N107" s="1"/>
      <c r="O107" s="1"/>
      <c r="P107" s="59"/>
      <c r="Q107" s="59"/>
      <c r="R107" s="59"/>
      <c r="S107" s="59"/>
      <c r="T107" s="59"/>
      <c r="U107" s="59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59"/>
      <c r="AP107" s="59"/>
      <c r="AQ107" s="59"/>
      <c r="AR107" s="59"/>
      <c r="AS107" s="59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 ht="15.75" customHeight="1">
      <c r="A108" s="1"/>
      <c r="B108" s="1"/>
      <c r="C108" s="1"/>
      <c r="D108" s="1"/>
      <c r="E108" s="59"/>
      <c r="F108" s="59"/>
      <c r="G108" s="59"/>
      <c r="H108" s="59"/>
      <c r="I108" s="59"/>
      <c r="J108" s="1"/>
      <c r="K108" s="1"/>
      <c r="L108" s="1"/>
      <c r="M108" s="1"/>
      <c r="N108" s="1"/>
      <c r="O108" s="1"/>
      <c r="P108" s="59"/>
      <c r="Q108" s="59"/>
      <c r="R108" s="59"/>
      <c r="S108" s="59"/>
      <c r="T108" s="59"/>
      <c r="U108" s="59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59"/>
      <c r="AP108" s="59"/>
      <c r="AQ108" s="59"/>
      <c r="AR108" s="59"/>
      <c r="AS108" s="59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 ht="15.75" customHeight="1">
      <c r="A109" s="1"/>
      <c r="B109" s="1"/>
      <c r="C109" s="1"/>
      <c r="D109" s="1"/>
      <c r="E109" s="59"/>
      <c r="F109" s="59"/>
      <c r="G109" s="59"/>
      <c r="H109" s="59"/>
      <c r="I109" s="59"/>
      <c r="J109" s="1"/>
      <c r="K109" s="1"/>
      <c r="L109" s="1"/>
      <c r="M109" s="1"/>
      <c r="N109" s="1"/>
      <c r="O109" s="1"/>
      <c r="P109" s="59"/>
      <c r="Q109" s="59"/>
      <c r="R109" s="59"/>
      <c r="S109" s="59"/>
      <c r="T109" s="59"/>
      <c r="U109" s="59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59"/>
      <c r="AP109" s="59"/>
      <c r="AQ109" s="59"/>
      <c r="AR109" s="59"/>
      <c r="AS109" s="59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 ht="15.75" customHeight="1">
      <c r="A110" s="1"/>
      <c r="B110" s="1"/>
      <c r="C110" s="1"/>
      <c r="D110" s="1"/>
      <c r="E110" s="59"/>
      <c r="F110" s="59"/>
      <c r="G110" s="59"/>
      <c r="H110" s="59"/>
      <c r="I110" s="59"/>
      <c r="J110" s="1"/>
      <c r="K110" s="1"/>
      <c r="L110" s="1"/>
      <c r="M110" s="1"/>
      <c r="N110" s="1"/>
      <c r="O110" s="1"/>
      <c r="P110" s="59"/>
      <c r="Q110" s="59"/>
      <c r="R110" s="59"/>
      <c r="S110" s="59"/>
      <c r="T110" s="59"/>
      <c r="U110" s="59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59"/>
      <c r="AP110" s="59"/>
      <c r="AQ110" s="59"/>
      <c r="AR110" s="59"/>
      <c r="AS110" s="59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 ht="15.75" customHeight="1">
      <c r="A111" s="1"/>
      <c r="B111" s="1"/>
      <c r="C111" s="1"/>
      <c r="D111" s="1"/>
      <c r="E111" s="59"/>
      <c r="F111" s="59"/>
      <c r="G111" s="59"/>
      <c r="H111" s="59"/>
      <c r="I111" s="59"/>
      <c r="J111" s="1"/>
      <c r="K111" s="1"/>
      <c r="L111" s="1"/>
      <c r="M111" s="1"/>
      <c r="N111" s="1"/>
      <c r="O111" s="1"/>
      <c r="P111" s="59"/>
      <c r="Q111" s="59"/>
      <c r="R111" s="59"/>
      <c r="S111" s="59"/>
      <c r="T111" s="59"/>
      <c r="U111" s="59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59"/>
      <c r="AP111" s="59"/>
      <c r="AQ111" s="59"/>
      <c r="AR111" s="59"/>
      <c r="AS111" s="59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 ht="15.75" customHeight="1">
      <c r="A112" s="1"/>
      <c r="B112" s="1"/>
      <c r="C112" s="1"/>
      <c r="D112" s="1"/>
      <c r="E112" s="59"/>
      <c r="F112" s="59"/>
      <c r="G112" s="59"/>
      <c r="H112" s="59"/>
      <c r="I112" s="59"/>
      <c r="J112" s="1"/>
      <c r="K112" s="1"/>
      <c r="L112" s="1"/>
      <c r="M112" s="1"/>
      <c r="N112" s="1"/>
      <c r="O112" s="1"/>
      <c r="P112" s="59"/>
      <c r="Q112" s="59"/>
      <c r="R112" s="59"/>
      <c r="S112" s="59"/>
      <c r="T112" s="59"/>
      <c r="U112" s="59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59"/>
      <c r="AP112" s="59"/>
      <c r="AQ112" s="59"/>
      <c r="AR112" s="59"/>
      <c r="AS112" s="59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 ht="15.75" customHeight="1">
      <c r="A113" s="1"/>
      <c r="B113" s="1"/>
      <c r="C113" s="1"/>
      <c r="D113" s="1"/>
      <c r="E113" s="59"/>
      <c r="F113" s="59"/>
      <c r="G113" s="59"/>
      <c r="H113" s="59"/>
      <c r="I113" s="59"/>
      <c r="J113" s="1"/>
      <c r="K113" s="1"/>
      <c r="L113" s="1"/>
      <c r="M113" s="1"/>
      <c r="N113" s="1"/>
      <c r="O113" s="1"/>
      <c r="P113" s="59"/>
      <c r="Q113" s="59"/>
      <c r="R113" s="59"/>
      <c r="S113" s="59"/>
      <c r="T113" s="59"/>
      <c r="U113" s="59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59"/>
      <c r="AP113" s="59"/>
      <c r="AQ113" s="59"/>
      <c r="AR113" s="59"/>
      <c r="AS113" s="59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 ht="15.75" customHeight="1">
      <c r="A114" s="1"/>
      <c r="B114" s="1"/>
      <c r="C114" s="1"/>
      <c r="D114" s="1"/>
      <c r="E114" s="59"/>
      <c r="F114" s="59"/>
      <c r="G114" s="59"/>
      <c r="H114" s="59"/>
      <c r="I114" s="59"/>
      <c r="J114" s="1"/>
      <c r="K114" s="1"/>
      <c r="L114" s="1"/>
      <c r="M114" s="1"/>
      <c r="N114" s="1"/>
      <c r="O114" s="1"/>
      <c r="P114" s="59"/>
      <c r="Q114" s="59"/>
      <c r="R114" s="59"/>
      <c r="S114" s="59"/>
      <c r="T114" s="59"/>
      <c r="U114" s="59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59"/>
      <c r="AP114" s="59"/>
      <c r="AQ114" s="59"/>
      <c r="AR114" s="59"/>
      <c r="AS114" s="59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 ht="15.75" customHeight="1">
      <c r="A115" s="1"/>
      <c r="B115" s="1"/>
      <c r="C115" s="1"/>
      <c r="D115" s="1"/>
      <c r="E115" s="59"/>
      <c r="F115" s="59"/>
      <c r="G115" s="59"/>
      <c r="H115" s="59"/>
      <c r="I115" s="59"/>
      <c r="J115" s="1"/>
      <c r="K115" s="1"/>
      <c r="L115" s="1"/>
      <c r="M115" s="1"/>
      <c r="N115" s="1"/>
      <c r="O115" s="1"/>
      <c r="P115" s="59"/>
      <c r="Q115" s="59"/>
      <c r="R115" s="59"/>
      <c r="S115" s="59"/>
      <c r="T115" s="59"/>
      <c r="U115" s="59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59"/>
      <c r="AP115" s="59"/>
      <c r="AQ115" s="59"/>
      <c r="AR115" s="59"/>
      <c r="AS115" s="59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 ht="15.75" hidden="1" customHeight="1">
      <c r="A120" s="1"/>
      <c r="B120" s="1"/>
      <c r="C120" s="4" t="s">
        <v>142</v>
      </c>
      <c r="D120" s="1"/>
      <c r="E120" s="43"/>
      <c r="F120" s="43"/>
      <c r="G120" s="43"/>
      <c r="H120" s="43"/>
      <c r="I120" s="43"/>
      <c r="J120" s="43"/>
      <c r="K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M120" s="43"/>
      <c r="AN120" s="43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 ht="15.75" hidden="1" customHeight="1">
      <c r="A121" s="1"/>
      <c r="B121" s="1"/>
      <c r="C121" s="10" t="s">
        <v>5</v>
      </c>
      <c r="D121" s="12" t="s">
        <v>6</v>
      </c>
      <c r="E121" s="62"/>
      <c r="F121" s="62"/>
      <c r="G121" s="62"/>
      <c r="H121" s="62"/>
      <c r="I121" s="5" t="s">
        <v>2</v>
      </c>
      <c r="J121" s="7"/>
      <c r="K121" s="7"/>
      <c r="L121" s="7"/>
      <c r="M121" s="7"/>
      <c r="N121" s="7"/>
      <c r="O121" s="8"/>
      <c r="P121" s="63"/>
      <c r="Q121" s="63"/>
      <c r="R121" s="63"/>
      <c r="S121" s="63"/>
      <c r="T121" s="63"/>
      <c r="U121" s="11" t="s">
        <v>194</v>
      </c>
      <c r="V121" s="7"/>
      <c r="W121" s="7"/>
      <c r="X121" s="7"/>
      <c r="Y121" s="7"/>
      <c r="Z121" s="7"/>
      <c r="AA121" s="8"/>
      <c r="AB121" s="63"/>
      <c r="AC121" s="16" t="s">
        <v>152</v>
      </c>
      <c r="AD121" s="7"/>
      <c r="AE121" s="7"/>
      <c r="AF121" s="7"/>
      <c r="AG121" s="7"/>
      <c r="AH121" s="7"/>
      <c r="AI121" s="7"/>
      <c r="AJ121" s="7"/>
      <c r="AK121" s="7"/>
      <c r="AL121" s="7"/>
      <c r="AM121" s="8"/>
      <c r="AN121" s="76"/>
      <c r="AO121" s="201"/>
      <c r="AP121" s="201"/>
      <c r="AQ121" s="201"/>
      <c r="AR121" s="201"/>
      <c r="AS121" s="126" t="s">
        <v>509</v>
      </c>
      <c r="AT121" s="7"/>
      <c r="AU121" s="7"/>
      <c r="AV121" s="7"/>
      <c r="AW121" s="7"/>
      <c r="AX121" s="7"/>
      <c r="AY121" s="8"/>
      <c r="AZ121" s="201"/>
      <c r="BA121" s="68"/>
      <c r="BB121" s="68"/>
      <c r="BC121" s="68"/>
      <c r="BD121" s="68"/>
      <c r="BE121" s="69" t="s">
        <v>149</v>
      </c>
      <c r="BF121" s="7"/>
      <c r="BG121" s="7"/>
      <c r="BH121" s="7"/>
      <c r="BI121" s="7"/>
      <c r="BJ121" s="7"/>
      <c r="BK121" s="8"/>
      <c r="BL121" s="70"/>
      <c r="BM121" s="257"/>
      <c r="BN121" s="257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 ht="15.75" hidden="1" customHeight="1">
      <c r="A122" s="1"/>
      <c r="B122" s="1"/>
      <c r="C122" s="13"/>
      <c r="D122" s="14"/>
      <c r="E122" s="64"/>
      <c r="F122" s="64"/>
      <c r="G122" s="64"/>
      <c r="H122" s="64"/>
      <c r="I122" s="65" t="s">
        <v>7</v>
      </c>
      <c r="J122" s="66"/>
      <c r="K122" s="65" t="s">
        <v>143</v>
      </c>
      <c r="L122" s="65" t="s">
        <v>145</v>
      </c>
      <c r="M122" s="65" t="s">
        <v>146</v>
      </c>
      <c r="N122" s="66"/>
      <c r="O122" s="65" t="s">
        <v>147</v>
      </c>
      <c r="P122" s="42"/>
      <c r="Q122" s="42"/>
      <c r="R122" s="42"/>
      <c r="S122" s="42"/>
      <c r="T122" s="42"/>
      <c r="U122" s="84" t="s">
        <v>7</v>
      </c>
      <c r="V122" s="42"/>
      <c r="W122" s="84" t="s">
        <v>143</v>
      </c>
      <c r="X122" s="84" t="s">
        <v>145</v>
      </c>
      <c r="Y122" s="84" t="s">
        <v>146</v>
      </c>
      <c r="Z122" s="42"/>
      <c r="AA122" s="84" t="s">
        <v>147</v>
      </c>
      <c r="AB122" s="42"/>
      <c r="AC122" s="78" t="s">
        <v>7</v>
      </c>
      <c r="AD122" s="38"/>
      <c r="AE122" s="38"/>
      <c r="AF122" s="38"/>
      <c r="AG122" s="38"/>
      <c r="AH122" s="38"/>
      <c r="AI122" s="78" t="s">
        <v>143</v>
      </c>
      <c r="AJ122" s="78" t="s">
        <v>145</v>
      </c>
      <c r="AK122" s="25" t="s">
        <v>157</v>
      </c>
      <c r="AL122" s="25" t="s">
        <v>159</v>
      </c>
      <c r="AM122" s="78" t="s">
        <v>147</v>
      </c>
      <c r="AN122" s="38"/>
      <c r="AO122" s="178"/>
      <c r="AP122" s="178"/>
      <c r="AQ122" s="178"/>
      <c r="AR122" s="178"/>
      <c r="AS122" s="209" t="s">
        <v>7</v>
      </c>
      <c r="AT122" s="178"/>
      <c r="AU122" s="209" t="s">
        <v>143</v>
      </c>
      <c r="AV122" s="209" t="s">
        <v>145</v>
      </c>
      <c r="AW122" s="209" t="s">
        <v>146</v>
      </c>
      <c r="AX122" s="178"/>
      <c r="AY122" s="209" t="s">
        <v>147</v>
      </c>
      <c r="AZ122" s="178"/>
      <c r="BA122" s="72"/>
      <c r="BB122" s="72"/>
      <c r="BC122" s="72"/>
      <c r="BD122" s="72"/>
      <c r="BE122" s="73" t="s">
        <v>7</v>
      </c>
      <c r="BF122" s="72"/>
      <c r="BG122" s="73" t="s">
        <v>143</v>
      </c>
      <c r="BH122" s="73" t="s">
        <v>145</v>
      </c>
      <c r="BI122" s="73" t="s">
        <v>146</v>
      </c>
      <c r="BJ122" s="72"/>
      <c r="BK122" s="73" t="s">
        <v>147</v>
      </c>
      <c r="BL122" s="74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 ht="15.75" hidden="1" customHeight="1">
      <c r="A123" s="1"/>
      <c r="B123" s="1"/>
      <c r="C123" s="13"/>
      <c r="D123" s="14"/>
      <c r="E123" s="64"/>
      <c r="F123" s="64"/>
      <c r="G123" s="64"/>
      <c r="H123" s="64"/>
      <c r="I123" s="14"/>
      <c r="J123" s="66"/>
      <c r="K123" s="14"/>
      <c r="L123" s="14"/>
      <c r="M123" s="14"/>
      <c r="N123" s="66"/>
      <c r="O123" s="14"/>
      <c r="P123" s="42"/>
      <c r="Q123" s="42"/>
      <c r="R123" s="42"/>
      <c r="S123" s="42"/>
      <c r="T123" s="42"/>
      <c r="U123" s="14"/>
      <c r="V123" s="42"/>
      <c r="W123" s="14"/>
      <c r="X123" s="14"/>
      <c r="Y123" s="14"/>
      <c r="Z123" s="42"/>
      <c r="AA123" s="14"/>
      <c r="AB123" s="42"/>
      <c r="AC123" s="14"/>
      <c r="AD123" s="38"/>
      <c r="AE123" s="38"/>
      <c r="AF123" s="38"/>
      <c r="AG123" s="38"/>
      <c r="AH123" s="38"/>
      <c r="AI123" s="14"/>
      <c r="AJ123" s="14"/>
      <c r="AK123" s="14"/>
      <c r="AL123" s="14"/>
      <c r="AM123" s="14"/>
      <c r="AN123" s="38"/>
      <c r="AO123" s="178"/>
      <c r="AP123" s="178"/>
      <c r="AQ123" s="178"/>
      <c r="AR123" s="178"/>
      <c r="AS123" s="14"/>
      <c r="AT123" s="178"/>
      <c r="AU123" s="14"/>
      <c r="AV123" s="14"/>
      <c r="AW123" s="14"/>
      <c r="AX123" s="178"/>
      <c r="AY123" s="14"/>
      <c r="AZ123" s="178"/>
      <c r="BA123" s="72"/>
      <c r="BB123" s="72"/>
      <c r="BC123" s="72"/>
      <c r="BD123" s="72"/>
      <c r="BE123" s="14"/>
      <c r="BF123" s="72"/>
      <c r="BG123" s="14"/>
      <c r="BH123" s="14"/>
      <c r="BI123" s="14"/>
      <c r="BJ123" s="72"/>
      <c r="BK123" s="14"/>
      <c r="BL123" s="74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 ht="15.75" hidden="1" customHeight="1">
      <c r="A124" s="1"/>
      <c r="B124" s="1"/>
      <c r="C124" s="21"/>
      <c r="D124" s="23"/>
      <c r="E124" s="64"/>
      <c r="F124" s="64"/>
      <c r="G124" s="64"/>
      <c r="H124" s="64"/>
      <c r="I124" s="23"/>
      <c r="J124" s="66"/>
      <c r="K124" s="23"/>
      <c r="L124" s="23"/>
      <c r="M124" s="23"/>
      <c r="N124" s="66"/>
      <c r="O124" s="23"/>
      <c r="P124" s="42"/>
      <c r="Q124" s="42"/>
      <c r="R124" s="42"/>
      <c r="S124" s="42"/>
      <c r="T124" s="42"/>
      <c r="U124" s="23"/>
      <c r="V124" s="42"/>
      <c r="W124" s="23"/>
      <c r="X124" s="23"/>
      <c r="Y124" s="23"/>
      <c r="Z124" s="42"/>
      <c r="AA124" s="23"/>
      <c r="AB124" s="42"/>
      <c r="AC124" s="23"/>
      <c r="AD124" s="38"/>
      <c r="AE124" s="38"/>
      <c r="AF124" s="38"/>
      <c r="AG124" s="38"/>
      <c r="AH124" s="38"/>
      <c r="AI124" s="23"/>
      <c r="AJ124" s="23"/>
      <c r="AK124" s="23"/>
      <c r="AL124" s="23"/>
      <c r="AM124" s="23"/>
      <c r="AN124" s="38"/>
      <c r="AO124" s="178"/>
      <c r="AP124" s="178"/>
      <c r="AQ124" s="178"/>
      <c r="AR124" s="178"/>
      <c r="AS124" s="23"/>
      <c r="AT124" s="178"/>
      <c r="AU124" s="23"/>
      <c r="AV124" s="23"/>
      <c r="AW124" s="23"/>
      <c r="AX124" s="178"/>
      <c r="AY124" s="23"/>
      <c r="AZ124" s="178"/>
      <c r="BA124" s="72"/>
      <c r="BB124" s="72"/>
      <c r="BC124" s="72"/>
      <c r="BD124" s="72"/>
      <c r="BE124" s="23"/>
      <c r="BF124" s="72"/>
      <c r="BG124" s="23"/>
      <c r="BH124" s="23"/>
      <c r="BI124" s="23"/>
      <c r="BJ124" s="72"/>
      <c r="BK124" s="23"/>
      <c r="BL124" s="74"/>
      <c r="BM124" s="1"/>
      <c r="BN124" s="1"/>
      <c r="BO124" s="43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 ht="15.75" hidden="1" customHeight="1">
      <c r="A125" s="1"/>
      <c r="B125" s="1"/>
      <c r="C125" s="24" t="s">
        <v>20</v>
      </c>
      <c r="D125" s="26" t="s">
        <v>20</v>
      </c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>
        <f t="shared" ref="AA125:AA131" si="364">SUM(W125:Y125)</f>
        <v>0</v>
      </c>
      <c r="AB125" s="42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>
        <f t="shared" ref="AM125:AM131" si="365">SUM(AI125:AL125)</f>
        <v>0</v>
      </c>
      <c r="AN125" s="38"/>
      <c r="AO125" s="178"/>
      <c r="AP125" s="178"/>
      <c r="AQ125" s="178"/>
      <c r="AR125" s="178"/>
      <c r="AS125" s="178"/>
      <c r="AT125" s="178"/>
      <c r="AU125" s="178"/>
      <c r="AV125" s="178"/>
      <c r="AW125" s="178"/>
      <c r="AX125" s="178"/>
      <c r="AY125" s="178">
        <f t="shared" ref="AY125:AY131" si="366">SUM(AU125:AW125)</f>
        <v>0</v>
      </c>
      <c r="AZ125" s="178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>
        <f t="shared" ref="BK125:BK168" si="367">SUM(BG125:BI125)</f>
        <v>0</v>
      </c>
      <c r="BL125" s="74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 ht="15.75" hidden="1" customHeight="1">
      <c r="A126" s="1"/>
      <c r="B126" s="1"/>
      <c r="C126" s="24" t="s">
        <v>150</v>
      </c>
      <c r="D126" s="26" t="s">
        <v>19</v>
      </c>
      <c r="E126" s="66"/>
      <c r="F126" s="66"/>
      <c r="G126" s="66"/>
      <c r="H126" s="66"/>
      <c r="I126" s="66">
        <v>1.0</v>
      </c>
      <c r="J126" s="66"/>
      <c r="K126" s="66">
        <v>1.0</v>
      </c>
      <c r="L126" s="66"/>
      <c r="M126" s="66"/>
      <c r="N126" s="66"/>
      <c r="O126" s="66">
        <f>SUM(K126:M126)</f>
        <v>1</v>
      </c>
      <c r="P126" s="42"/>
      <c r="Q126" s="42"/>
      <c r="R126" s="42"/>
      <c r="S126" s="42"/>
      <c r="T126" s="42"/>
      <c r="U126" s="42">
        <v>1.0</v>
      </c>
      <c r="V126" s="42"/>
      <c r="W126" s="42"/>
      <c r="X126" s="42">
        <v>1.0</v>
      </c>
      <c r="Y126" s="42"/>
      <c r="Z126" s="42"/>
      <c r="AA126" s="42">
        <f t="shared" si="364"/>
        <v>1</v>
      </c>
      <c r="AB126" s="42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>
        <f t="shared" si="365"/>
        <v>0</v>
      </c>
      <c r="AN126" s="38"/>
      <c r="AO126" s="178"/>
      <c r="AP126" s="178"/>
      <c r="AQ126" s="178"/>
      <c r="AR126" s="178"/>
      <c r="AS126" s="178"/>
      <c r="AT126" s="178"/>
      <c r="AU126" s="178"/>
      <c r="AV126" s="178"/>
      <c r="AW126" s="178"/>
      <c r="AX126" s="178"/>
      <c r="AY126" s="178">
        <f t="shared" si="366"/>
        <v>0</v>
      </c>
      <c r="AZ126" s="178"/>
      <c r="BA126" s="72"/>
      <c r="BB126" s="72"/>
      <c r="BC126" s="72"/>
      <c r="BD126" s="72"/>
      <c r="BE126" s="72">
        <v>1.0</v>
      </c>
      <c r="BF126" s="72"/>
      <c r="BG126" s="72">
        <v>1.0</v>
      </c>
      <c r="BH126" s="72"/>
      <c r="BI126" s="72"/>
      <c r="BJ126" s="72"/>
      <c r="BK126" s="72">
        <f t="shared" si="367"/>
        <v>1</v>
      </c>
      <c r="BL126" s="74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 ht="15.75" hidden="1" customHeight="1">
      <c r="A127" s="1"/>
      <c r="B127" s="1"/>
      <c r="C127" s="34" t="s">
        <v>21</v>
      </c>
      <c r="D127" s="26" t="s">
        <v>25</v>
      </c>
      <c r="E127" s="66"/>
      <c r="F127" s="66"/>
      <c r="G127" s="66"/>
      <c r="H127" s="66"/>
      <c r="I127" s="66">
        <v>1.0</v>
      </c>
      <c r="J127" s="66"/>
      <c r="K127" s="66"/>
      <c r="L127" s="66">
        <v>1.0</v>
      </c>
      <c r="M127" s="66"/>
      <c r="N127" s="66"/>
      <c r="O127" s="66">
        <v>1.0</v>
      </c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>
        <f t="shared" si="364"/>
        <v>0</v>
      </c>
      <c r="AB127" s="42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>
        <f t="shared" si="365"/>
        <v>0</v>
      </c>
      <c r="AN127" s="38"/>
      <c r="AO127" s="178"/>
      <c r="AP127" s="178"/>
      <c r="AQ127" s="178"/>
      <c r="AR127" s="178"/>
      <c r="AS127" s="178"/>
      <c r="AT127" s="178"/>
      <c r="AU127" s="178"/>
      <c r="AV127" s="178"/>
      <c r="AW127" s="178"/>
      <c r="AX127" s="178"/>
      <c r="AY127" s="178">
        <f t="shared" si="366"/>
        <v>0</v>
      </c>
      <c r="AZ127" s="178"/>
      <c r="BA127" s="72"/>
      <c r="BB127" s="72"/>
      <c r="BC127" s="72"/>
      <c r="BD127" s="72"/>
      <c r="BE127" s="72">
        <v>1.0</v>
      </c>
      <c r="BF127" s="72"/>
      <c r="BG127" s="72">
        <v>1.0</v>
      </c>
      <c r="BH127" s="72"/>
      <c r="BI127" s="72"/>
      <c r="BJ127" s="72"/>
      <c r="BK127" s="72">
        <f t="shared" si="367"/>
        <v>1</v>
      </c>
      <c r="BL127" s="74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 ht="15.75" hidden="1" customHeight="1">
      <c r="A128" s="1"/>
      <c r="B128" s="1"/>
      <c r="C128" s="13"/>
      <c r="D128" s="26" t="s">
        <v>151</v>
      </c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>
        <f>SUM(K128:M128)</f>
        <v>0</v>
      </c>
      <c r="P128" s="42"/>
      <c r="Q128" s="42"/>
      <c r="R128" s="42"/>
      <c r="S128" s="42"/>
      <c r="T128" s="42"/>
      <c r="U128" s="42">
        <v>5.0</v>
      </c>
      <c r="V128" s="42"/>
      <c r="W128" s="42"/>
      <c r="X128" s="42">
        <v>1.0</v>
      </c>
      <c r="Y128" s="42">
        <v>4.0</v>
      </c>
      <c r="Z128" s="42"/>
      <c r="AA128" s="42">
        <f t="shared" si="364"/>
        <v>5</v>
      </c>
      <c r="AB128" s="42"/>
      <c r="AC128" s="38">
        <v>2.0</v>
      </c>
      <c r="AD128" s="38"/>
      <c r="AE128" s="38"/>
      <c r="AF128" s="38"/>
      <c r="AG128" s="38"/>
      <c r="AH128" s="38"/>
      <c r="AI128" s="38"/>
      <c r="AJ128" s="38"/>
      <c r="AK128" s="38">
        <v>2.0</v>
      </c>
      <c r="AL128" s="38">
        <v>2.0</v>
      </c>
      <c r="AM128" s="38">
        <f t="shared" si="365"/>
        <v>4</v>
      </c>
      <c r="AN128" s="38"/>
      <c r="AO128" s="178"/>
      <c r="AP128" s="178"/>
      <c r="AQ128" s="178"/>
      <c r="AR128" s="178"/>
      <c r="AS128" s="178">
        <v>1.0</v>
      </c>
      <c r="AT128" s="178"/>
      <c r="AU128" s="178"/>
      <c r="AV128" s="178"/>
      <c r="AW128" s="178">
        <v>1.0</v>
      </c>
      <c r="AX128" s="178"/>
      <c r="AY128" s="178">
        <f t="shared" si="366"/>
        <v>1</v>
      </c>
      <c r="AZ128" s="178"/>
      <c r="BA128" s="72"/>
      <c r="BB128" s="72"/>
      <c r="BC128" s="72"/>
      <c r="BD128" s="72"/>
      <c r="BE128" s="72">
        <v>2.0</v>
      </c>
      <c r="BF128" s="72"/>
      <c r="BG128" s="72"/>
      <c r="BH128" s="72"/>
      <c r="BI128" s="72">
        <v>2.0</v>
      </c>
      <c r="BJ128" s="72"/>
      <c r="BK128" s="72">
        <f t="shared" si="367"/>
        <v>2</v>
      </c>
      <c r="BL128" s="74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 ht="15.75" hidden="1" customHeight="1">
      <c r="A129" s="1"/>
      <c r="B129" s="1"/>
      <c r="C129" s="21"/>
      <c r="D129" s="26" t="s">
        <v>28</v>
      </c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>
        <v>0.0</v>
      </c>
      <c r="P129" s="42"/>
      <c r="Q129" s="42"/>
      <c r="R129" s="42"/>
      <c r="S129" s="42"/>
      <c r="T129" s="42"/>
      <c r="U129" s="42">
        <v>4.0</v>
      </c>
      <c r="V129" s="42"/>
      <c r="W129" s="42"/>
      <c r="X129" s="42"/>
      <c r="Y129" s="42">
        <v>4.0</v>
      </c>
      <c r="Z129" s="42"/>
      <c r="AA129" s="42">
        <f t="shared" si="364"/>
        <v>4</v>
      </c>
      <c r="AB129" s="42"/>
      <c r="AC129" s="38">
        <v>4.0</v>
      </c>
      <c r="AD129" s="38"/>
      <c r="AE129" s="38"/>
      <c r="AF129" s="38"/>
      <c r="AG129" s="38"/>
      <c r="AH129" s="38"/>
      <c r="AI129" s="38"/>
      <c r="AJ129" s="38"/>
      <c r="AK129" s="38">
        <v>4.0</v>
      </c>
      <c r="AL129" s="38"/>
      <c r="AM129" s="38">
        <f t="shared" si="365"/>
        <v>4</v>
      </c>
      <c r="AN129" s="38"/>
      <c r="AO129" s="178"/>
      <c r="AP129" s="178"/>
      <c r="AQ129" s="178"/>
      <c r="AR129" s="178"/>
      <c r="AS129" s="178">
        <v>2.0</v>
      </c>
      <c r="AT129" s="178"/>
      <c r="AU129" s="178"/>
      <c r="AV129" s="178"/>
      <c r="AW129" s="178">
        <v>2.0</v>
      </c>
      <c r="AX129" s="178"/>
      <c r="AY129" s="178">
        <f t="shared" si="366"/>
        <v>2</v>
      </c>
      <c r="AZ129" s="178"/>
      <c r="BA129" s="72"/>
      <c r="BB129" s="72"/>
      <c r="BC129" s="72"/>
      <c r="BD129" s="72"/>
      <c r="BE129" s="72">
        <v>7.0</v>
      </c>
      <c r="BF129" s="72"/>
      <c r="BG129" s="72"/>
      <c r="BH129" s="72"/>
      <c r="BI129" s="72">
        <v>7.0</v>
      </c>
      <c r="BJ129" s="72"/>
      <c r="BK129" s="72">
        <f t="shared" si="367"/>
        <v>7</v>
      </c>
      <c r="BL129" s="74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 ht="15.75" hidden="1" customHeight="1">
      <c r="A130" s="1"/>
      <c r="B130" s="1"/>
      <c r="C130" s="34" t="s">
        <v>29</v>
      </c>
      <c r="D130" s="26" t="s">
        <v>31</v>
      </c>
      <c r="E130" s="75"/>
      <c r="F130" s="75"/>
      <c r="G130" s="75"/>
      <c r="H130" s="75"/>
      <c r="I130" s="75">
        <v>4.0</v>
      </c>
      <c r="J130" s="66"/>
      <c r="K130" s="66">
        <v>3.0</v>
      </c>
      <c r="L130" s="66"/>
      <c r="M130" s="66"/>
      <c r="N130" s="66"/>
      <c r="O130" s="66">
        <f t="shared" ref="O130:O131" si="368">SUM(K130:M130)</f>
        <v>3</v>
      </c>
      <c r="P130" s="75"/>
      <c r="Q130" s="75"/>
      <c r="R130" s="75"/>
      <c r="S130" s="75"/>
      <c r="T130" s="75"/>
      <c r="U130" s="75">
        <v>3.0</v>
      </c>
      <c r="V130" s="42"/>
      <c r="W130" s="42"/>
      <c r="X130" s="42">
        <v>2.0</v>
      </c>
      <c r="Y130" s="42"/>
      <c r="Z130" s="42"/>
      <c r="AA130" s="42">
        <f t="shared" si="364"/>
        <v>2</v>
      </c>
      <c r="AB130" s="42"/>
      <c r="AC130" s="38">
        <v>3.0</v>
      </c>
      <c r="AD130" s="38"/>
      <c r="AE130" s="38"/>
      <c r="AF130" s="38"/>
      <c r="AG130" s="38"/>
      <c r="AH130" s="38"/>
      <c r="AI130" s="38"/>
      <c r="AJ130" s="38">
        <v>3.0</v>
      </c>
      <c r="AK130" s="38"/>
      <c r="AL130" s="38"/>
      <c r="AM130" s="38">
        <f t="shared" si="365"/>
        <v>3</v>
      </c>
      <c r="AN130" s="38"/>
      <c r="AO130" s="178"/>
      <c r="AP130" s="178"/>
      <c r="AQ130" s="178"/>
      <c r="AR130" s="178"/>
      <c r="AS130" s="178">
        <v>5.0</v>
      </c>
      <c r="AT130" s="178"/>
      <c r="AU130" s="178">
        <v>2.0</v>
      </c>
      <c r="AV130" s="178">
        <v>2.0</v>
      </c>
      <c r="AW130" s="178"/>
      <c r="AX130" s="178"/>
      <c r="AY130" s="178">
        <f t="shared" si="366"/>
        <v>4</v>
      </c>
      <c r="AZ130" s="178"/>
      <c r="BA130" s="72"/>
      <c r="BB130" s="72"/>
      <c r="BC130" s="72"/>
      <c r="BD130" s="72"/>
      <c r="BE130" s="72">
        <v>5.0</v>
      </c>
      <c r="BF130" s="72"/>
      <c r="BG130" s="72">
        <v>4.0</v>
      </c>
      <c r="BH130" s="72">
        <v>1.0</v>
      </c>
      <c r="BI130" s="72"/>
      <c r="BJ130" s="72"/>
      <c r="BK130" s="72">
        <f t="shared" si="367"/>
        <v>5</v>
      </c>
      <c r="BL130" s="74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 ht="15.75" hidden="1" customHeight="1">
      <c r="A131" s="1"/>
      <c r="B131" s="1"/>
      <c r="C131" s="21"/>
      <c r="D131" s="26" t="s">
        <v>32</v>
      </c>
      <c r="E131" s="66"/>
      <c r="F131" s="66"/>
      <c r="G131" s="66"/>
      <c r="H131" s="66"/>
      <c r="I131" s="66">
        <v>1.0</v>
      </c>
      <c r="J131" s="66"/>
      <c r="K131" s="66"/>
      <c r="L131" s="66"/>
      <c r="M131" s="66">
        <v>1.0</v>
      </c>
      <c r="N131" s="66"/>
      <c r="O131" s="66">
        <f t="shared" si="368"/>
        <v>1</v>
      </c>
      <c r="P131" s="42"/>
      <c r="Q131" s="42"/>
      <c r="R131" s="42"/>
      <c r="S131" s="42"/>
      <c r="T131" s="42"/>
      <c r="U131" s="42">
        <v>2.0</v>
      </c>
      <c r="V131" s="42"/>
      <c r="W131" s="42">
        <v>2.0</v>
      </c>
      <c r="X131" s="42"/>
      <c r="Y131" s="42"/>
      <c r="Z131" s="42"/>
      <c r="AA131" s="42">
        <f t="shared" si="364"/>
        <v>2</v>
      </c>
      <c r="AB131" s="42"/>
      <c r="AC131" s="38">
        <v>1.0</v>
      </c>
      <c r="AD131" s="38"/>
      <c r="AE131" s="38"/>
      <c r="AF131" s="38"/>
      <c r="AG131" s="38"/>
      <c r="AH131" s="38"/>
      <c r="AI131" s="38"/>
      <c r="AJ131" s="38"/>
      <c r="AK131" s="38">
        <v>1.0</v>
      </c>
      <c r="AL131" s="38"/>
      <c r="AM131" s="38">
        <f t="shared" si="365"/>
        <v>1</v>
      </c>
      <c r="AN131" s="38"/>
      <c r="AO131" s="178"/>
      <c r="AP131" s="178"/>
      <c r="AQ131" s="178"/>
      <c r="AR131" s="178"/>
      <c r="AS131" s="178"/>
      <c r="AT131" s="178"/>
      <c r="AU131" s="178"/>
      <c r="AV131" s="178"/>
      <c r="AW131" s="178"/>
      <c r="AX131" s="178"/>
      <c r="AY131" s="178">
        <f t="shared" si="366"/>
        <v>0</v>
      </c>
      <c r="AZ131" s="178"/>
      <c r="BA131" s="72"/>
      <c r="BB131" s="72"/>
      <c r="BC131" s="72"/>
      <c r="BD131" s="72"/>
      <c r="BE131" s="72">
        <v>1.0</v>
      </c>
      <c r="BF131" s="72"/>
      <c r="BG131" s="72"/>
      <c r="BH131" s="72"/>
      <c r="BI131" s="72">
        <v>1.0</v>
      </c>
      <c r="BJ131" s="72"/>
      <c r="BK131" s="72">
        <f t="shared" si="367"/>
        <v>1</v>
      </c>
      <c r="BL131" s="74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 ht="15.75" hidden="1" customHeight="1">
      <c r="A132" s="1"/>
      <c r="B132" s="1"/>
      <c r="C132" s="24" t="s">
        <v>34</v>
      </c>
      <c r="D132" s="26" t="s">
        <v>34</v>
      </c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>
        <v>0.0</v>
      </c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178"/>
      <c r="AP132" s="178"/>
      <c r="AQ132" s="178"/>
      <c r="AR132" s="178"/>
      <c r="AS132" s="178"/>
      <c r="AT132" s="178"/>
      <c r="AU132" s="178"/>
      <c r="AV132" s="178"/>
      <c r="AW132" s="178"/>
      <c r="AX132" s="178"/>
      <c r="AY132" s="178"/>
      <c r="AZ132" s="178"/>
      <c r="BA132" s="72"/>
      <c r="BB132" s="72"/>
      <c r="BC132" s="72"/>
      <c r="BD132" s="72"/>
      <c r="BE132" s="72">
        <v>1.0</v>
      </c>
      <c r="BF132" s="72"/>
      <c r="BG132" s="72"/>
      <c r="BH132" s="72">
        <v>1.0</v>
      </c>
      <c r="BI132" s="72"/>
      <c r="BJ132" s="72"/>
      <c r="BK132" s="72">
        <f t="shared" si="367"/>
        <v>1</v>
      </c>
      <c r="BL132" s="74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 ht="15.75" hidden="1" customHeight="1">
      <c r="A133" s="1"/>
      <c r="B133" s="1"/>
      <c r="C133" s="41" t="s">
        <v>63</v>
      </c>
      <c r="D133" s="26" t="s">
        <v>41</v>
      </c>
      <c r="E133" s="66"/>
      <c r="F133" s="66"/>
      <c r="G133" s="66"/>
      <c r="H133" s="66"/>
      <c r="I133" s="66">
        <v>1.0</v>
      </c>
      <c r="J133" s="66"/>
      <c r="K133" s="66">
        <v>1.0</v>
      </c>
      <c r="L133" s="66"/>
      <c r="M133" s="66"/>
      <c r="N133" s="66"/>
      <c r="O133" s="66">
        <f t="shared" ref="O133:O137" si="369">SUM(K133:M133)</f>
        <v>1</v>
      </c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>
        <f t="shared" ref="AA133:AA168" si="370">SUM(W133:Y133)</f>
        <v>0</v>
      </c>
      <c r="AB133" s="42"/>
      <c r="AC133" s="80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>
        <f t="shared" ref="AM133:AM187" si="371">SUM(AI133:AL133)</f>
        <v>0</v>
      </c>
      <c r="AN133" s="38"/>
      <c r="AO133" s="178"/>
      <c r="AP133" s="178"/>
      <c r="AQ133" s="178"/>
      <c r="AR133" s="178"/>
      <c r="AS133" s="178">
        <v>1.0</v>
      </c>
      <c r="AT133" s="178"/>
      <c r="AU133" s="178">
        <v>1.0</v>
      </c>
      <c r="AV133" s="178"/>
      <c r="AW133" s="178"/>
      <c r="AX133" s="178"/>
      <c r="AY133" s="178">
        <f t="shared" ref="AY133:AY168" si="372">SUM(AU133:AW133)</f>
        <v>1</v>
      </c>
      <c r="AZ133" s="178"/>
      <c r="BA133" s="72"/>
      <c r="BB133" s="72"/>
      <c r="BC133" s="72"/>
      <c r="BD133" s="72"/>
      <c r="BE133" s="72">
        <v>1.0</v>
      </c>
      <c r="BF133" s="72"/>
      <c r="BG133" s="72">
        <v>1.0</v>
      </c>
      <c r="BH133" s="72"/>
      <c r="BI133" s="72"/>
      <c r="BJ133" s="72"/>
      <c r="BK133" s="72">
        <f t="shared" si="367"/>
        <v>1</v>
      </c>
      <c r="BL133" s="74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 ht="15.75" hidden="1" customHeight="1">
      <c r="A134" s="1"/>
      <c r="B134" s="1"/>
      <c r="C134" s="13"/>
      <c r="D134" s="26" t="s">
        <v>38</v>
      </c>
      <c r="E134" s="66"/>
      <c r="F134" s="66"/>
      <c r="G134" s="66"/>
      <c r="H134" s="66"/>
      <c r="I134" s="66">
        <v>1.0</v>
      </c>
      <c r="J134" s="66"/>
      <c r="K134" s="66"/>
      <c r="L134" s="66">
        <v>1.0</v>
      </c>
      <c r="M134" s="66"/>
      <c r="N134" s="66"/>
      <c r="O134" s="66">
        <f t="shared" si="369"/>
        <v>1</v>
      </c>
      <c r="P134" s="42"/>
      <c r="Q134" s="42"/>
      <c r="R134" s="42"/>
      <c r="S134" s="42"/>
      <c r="T134" s="42"/>
      <c r="U134" s="42">
        <v>1.0</v>
      </c>
      <c r="V134" s="42"/>
      <c r="W134" s="42">
        <v>1.0</v>
      </c>
      <c r="X134" s="42"/>
      <c r="Y134" s="42"/>
      <c r="Z134" s="42"/>
      <c r="AA134" s="42">
        <f t="shared" si="370"/>
        <v>1</v>
      </c>
      <c r="AB134" s="42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>
        <f t="shared" si="371"/>
        <v>0</v>
      </c>
      <c r="AN134" s="38"/>
      <c r="AO134" s="178"/>
      <c r="AP134" s="178"/>
      <c r="AQ134" s="178"/>
      <c r="AR134" s="178"/>
      <c r="AS134" s="178"/>
      <c r="AT134" s="178"/>
      <c r="AU134" s="178"/>
      <c r="AV134" s="178"/>
      <c r="AW134" s="178"/>
      <c r="AX134" s="178"/>
      <c r="AY134" s="178">
        <f t="shared" si="372"/>
        <v>0</v>
      </c>
      <c r="AZ134" s="178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>
        <f t="shared" si="367"/>
        <v>0</v>
      </c>
      <c r="BL134" s="74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 ht="15.75" hidden="1" customHeight="1">
      <c r="A135" s="1"/>
      <c r="B135" s="1"/>
      <c r="C135" s="13"/>
      <c r="D135" s="26" t="s">
        <v>43</v>
      </c>
      <c r="E135" s="66"/>
      <c r="F135" s="66"/>
      <c r="G135" s="66"/>
      <c r="H135" s="66"/>
      <c r="I135" s="66">
        <v>2.0</v>
      </c>
      <c r="J135" s="66"/>
      <c r="K135" s="66"/>
      <c r="L135" s="66"/>
      <c r="M135" s="66">
        <v>2.0</v>
      </c>
      <c r="N135" s="66"/>
      <c r="O135" s="66">
        <f t="shared" si="369"/>
        <v>2</v>
      </c>
      <c r="P135" s="42"/>
      <c r="Q135" s="42"/>
      <c r="R135" s="42"/>
      <c r="S135" s="42"/>
      <c r="T135" s="42"/>
      <c r="U135" s="42">
        <v>0.0</v>
      </c>
      <c r="V135" s="42"/>
      <c r="W135" s="42"/>
      <c r="X135" s="42"/>
      <c r="Y135" s="42"/>
      <c r="Z135" s="42"/>
      <c r="AA135" s="42">
        <f t="shared" si="370"/>
        <v>0</v>
      </c>
      <c r="AB135" s="42"/>
      <c r="AC135" s="38">
        <v>1.0</v>
      </c>
      <c r="AD135" s="38"/>
      <c r="AE135" s="38"/>
      <c r="AF135" s="38"/>
      <c r="AG135" s="38"/>
      <c r="AH135" s="38"/>
      <c r="AI135" s="38"/>
      <c r="AJ135" s="38"/>
      <c r="AK135" s="38">
        <v>1.0</v>
      </c>
      <c r="AL135" s="38"/>
      <c r="AM135" s="38">
        <f t="shared" si="371"/>
        <v>1</v>
      </c>
      <c r="AN135" s="38"/>
      <c r="AO135" s="178"/>
      <c r="AP135" s="178"/>
      <c r="AQ135" s="178"/>
      <c r="AR135" s="178"/>
      <c r="AS135" s="178"/>
      <c r="AT135" s="178"/>
      <c r="AU135" s="178"/>
      <c r="AV135" s="178"/>
      <c r="AW135" s="178"/>
      <c r="AX135" s="178"/>
      <c r="AY135" s="178">
        <f t="shared" si="372"/>
        <v>0</v>
      </c>
      <c r="AZ135" s="178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>
        <f t="shared" si="367"/>
        <v>0</v>
      </c>
      <c r="BL135" s="74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 ht="15.75" hidden="1" customHeight="1">
      <c r="A136" s="1"/>
      <c r="B136" s="1"/>
      <c r="C136" s="13"/>
      <c r="D136" s="26" t="s">
        <v>42</v>
      </c>
      <c r="E136" s="66"/>
      <c r="F136" s="66"/>
      <c r="G136" s="66"/>
      <c r="H136" s="66"/>
      <c r="I136" s="66">
        <v>1.0</v>
      </c>
      <c r="J136" s="66"/>
      <c r="K136" s="66"/>
      <c r="L136" s="66">
        <v>2.0</v>
      </c>
      <c r="M136" s="66"/>
      <c r="N136" s="66"/>
      <c r="O136" s="66">
        <f t="shared" si="369"/>
        <v>2</v>
      </c>
      <c r="P136" s="42"/>
      <c r="Q136" s="42"/>
      <c r="R136" s="42"/>
      <c r="S136" s="42"/>
      <c r="T136" s="42"/>
      <c r="U136" s="42">
        <v>2.0</v>
      </c>
      <c r="V136" s="42"/>
      <c r="W136" s="42"/>
      <c r="X136" s="42">
        <v>1.0</v>
      </c>
      <c r="Y136" s="42">
        <v>1.0</v>
      </c>
      <c r="Z136" s="42"/>
      <c r="AA136" s="42">
        <f t="shared" si="370"/>
        <v>2</v>
      </c>
      <c r="AB136" s="42"/>
      <c r="AC136" s="80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>
        <f t="shared" si="371"/>
        <v>0</v>
      </c>
      <c r="AN136" s="38"/>
      <c r="AO136" s="178"/>
      <c r="AP136" s="178"/>
      <c r="AQ136" s="178"/>
      <c r="AR136" s="178"/>
      <c r="AS136" s="178"/>
      <c r="AT136" s="178"/>
      <c r="AU136" s="178"/>
      <c r="AV136" s="178"/>
      <c r="AW136" s="178"/>
      <c r="AX136" s="178"/>
      <c r="AY136" s="178">
        <f t="shared" si="372"/>
        <v>0</v>
      </c>
      <c r="AZ136" s="178"/>
      <c r="BA136" s="72"/>
      <c r="BB136" s="72"/>
      <c r="BC136" s="72"/>
      <c r="BD136" s="72"/>
      <c r="BE136" s="72">
        <v>1.0</v>
      </c>
      <c r="BF136" s="72"/>
      <c r="BG136" s="72">
        <v>1.0</v>
      </c>
      <c r="BH136" s="72"/>
      <c r="BI136" s="72"/>
      <c r="BJ136" s="72"/>
      <c r="BK136" s="72">
        <f t="shared" si="367"/>
        <v>1</v>
      </c>
      <c r="BL136" s="74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 ht="15.75" hidden="1" customHeight="1">
      <c r="A137" s="1" t="s">
        <v>153</v>
      </c>
      <c r="B137" s="1"/>
      <c r="C137" s="13"/>
      <c r="D137" s="26" t="s">
        <v>154</v>
      </c>
      <c r="E137" s="66"/>
      <c r="F137" s="66"/>
      <c r="G137" s="66"/>
      <c r="H137" s="66"/>
      <c r="I137" s="66">
        <v>4.0</v>
      </c>
      <c r="J137" s="66"/>
      <c r="K137" s="66"/>
      <c r="L137" s="77"/>
      <c r="M137" s="77">
        <v>4.0</v>
      </c>
      <c r="N137" s="77"/>
      <c r="O137" s="66">
        <f t="shared" si="369"/>
        <v>4</v>
      </c>
      <c r="P137" s="42"/>
      <c r="Q137" s="42"/>
      <c r="R137" s="42"/>
      <c r="S137" s="42"/>
      <c r="T137" s="42"/>
      <c r="U137" s="42">
        <v>4.0</v>
      </c>
      <c r="V137" s="42"/>
      <c r="W137" s="42">
        <v>1.0</v>
      </c>
      <c r="X137" s="63"/>
      <c r="Y137" s="63">
        <v>3.0</v>
      </c>
      <c r="Z137" s="63"/>
      <c r="AA137" s="42">
        <f t="shared" si="370"/>
        <v>4</v>
      </c>
      <c r="AB137" s="42"/>
      <c r="AC137" s="38"/>
      <c r="AD137" s="38"/>
      <c r="AE137" s="38"/>
      <c r="AF137" s="38"/>
      <c r="AG137" s="38"/>
      <c r="AH137" s="38"/>
      <c r="AI137" s="38"/>
      <c r="AJ137" s="76"/>
      <c r="AK137" s="76"/>
      <c r="AL137" s="76">
        <v>3.0</v>
      </c>
      <c r="AM137" s="38">
        <f t="shared" si="371"/>
        <v>3</v>
      </c>
      <c r="AN137" s="38"/>
      <c r="AO137" s="178"/>
      <c r="AP137" s="178"/>
      <c r="AQ137" s="178"/>
      <c r="AR137" s="178"/>
      <c r="AS137" s="178">
        <v>1.0</v>
      </c>
      <c r="AT137" s="178"/>
      <c r="AU137" s="178"/>
      <c r="AV137" s="201"/>
      <c r="AW137" s="201">
        <v>1.0</v>
      </c>
      <c r="AX137" s="201"/>
      <c r="AY137" s="178">
        <f t="shared" si="372"/>
        <v>1</v>
      </c>
      <c r="AZ137" s="178"/>
      <c r="BA137" s="72"/>
      <c r="BB137" s="72"/>
      <c r="BC137" s="72"/>
      <c r="BD137" s="72"/>
      <c r="BE137" s="72">
        <v>9.0</v>
      </c>
      <c r="BF137" s="72"/>
      <c r="BG137" s="72"/>
      <c r="BH137" s="68">
        <v>1.0</v>
      </c>
      <c r="BI137" s="68">
        <v>8.0</v>
      </c>
      <c r="BJ137" s="68"/>
      <c r="BK137" s="72">
        <f t="shared" si="367"/>
        <v>9</v>
      </c>
      <c r="BL137" s="74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 ht="15.75" hidden="1" customHeight="1">
      <c r="A138" s="43"/>
      <c r="B138" s="43"/>
      <c r="C138" s="21"/>
      <c r="D138" s="26" t="s">
        <v>44</v>
      </c>
      <c r="E138" s="66"/>
      <c r="F138" s="66"/>
      <c r="G138" s="66"/>
      <c r="H138" s="66"/>
      <c r="I138" s="66">
        <v>2.0</v>
      </c>
      <c r="J138" s="66"/>
      <c r="K138" s="66">
        <v>1.0</v>
      </c>
      <c r="L138" s="66"/>
      <c r="M138" s="66">
        <v>4.0</v>
      </c>
      <c r="N138" s="66">
        <v>2.0</v>
      </c>
      <c r="O138" s="66">
        <f>SUM(K138:N138)</f>
        <v>7</v>
      </c>
      <c r="P138" s="42"/>
      <c r="Q138" s="42"/>
      <c r="R138" s="42"/>
      <c r="S138" s="42"/>
      <c r="T138" s="42"/>
      <c r="U138" s="42">
        <v>1.0</v>
      </c>
      <c r="V138" s="42"/>
      <c r="W138" s="42"/>
      <c r="X138" s="42"/>
      <c r="Y138" s="42">
        <v>1.0</v>
      </c>
      <c r="Z138" s="42"/>
      <c r="AA138" s="42">
        <f t="shared" si="370"/>
        <v>1</v>
      </c>
      <c r="AB138" s="42"/>
      <c r="AC138" s="38">
        <v>1.0</v>
      </c>
      <c r="AD138" s="38"/>
      <c r="AE138" s="38"/>
      <c r="AF138" s="38"/>
      <c r="AG138" s="38"/>
      <c r="AH138" s="38"/>
      <c r="AI138" s="38"/>
      <c r="AJ138" s="38">
        <v>1.0</v>
      </c>
      <c r="AK138" s="38"/>
      <c r="AL138" s="38">
        <v>1.0</v>
      </c>
      <c r="AM138" s="38">
        <f t="shared" si="371"/>
        <v>2</v>
      </c>
      <c r="AN138" s="38"/>
      <c r="AO138" s="178"/>
      <c r="AP138" s="178"/>
      <c r="AQ138" s="178"/>
      <c r="AR138" s="178"/>
      <c r="AS138" s="178">
        <v>1.0</v>
      </c>
      <c r="AT138" s="178"/>
      <c r="AU138" s="178"/>
      <c r="AV138" s="178">
        <v>1.0</v>
      </c>
      <c r="AW138" s="178"/>
      <c r="AX138" s="178"/>
      <c r="AY138" s="178">
        <f t="shared" si="372"/>
        <v>1</v>
      </c>
      <c r="AZ138" s="178"/>
      <c r="BA138" s="72"/>
      <c r="BB138" s="72"/>
      <c r="BC138" s="72"/>
      <c r="BD138" s="72"/>
      <c r="BE138" s="72">
        <v>1.0</v>
      </c>
      <c r="BF138" s="72"/>
      <c r="BG138" s="72">
        <v>1.0</v>
      </c>
      <c r="BH138" s="72"/>
      <c r="BI138" s="72"/>
      <c r="BJ138" s="72"/>
      <c r="BK138" s="72">
        <f t="shared" si="367"/>
        <v>1</v>
      </c>
      <c r="BL138" s="74"/>
      <c r="BM138" s="1"/>
      <c r="BN138" s="1"/>
      <c r="BO138" s="270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</row>
    <row r="139" ht="15.75" hidden="1" customHeight="1">
      <c r="A139" s="1"/>
      <c r="B139" s="1"/>
      <c r="C139" s="41" t="s">
        <v>49</v>
      </c>
      <c r="D139" s="26" t="s">
        <v>155</v>
      </c>
      <c r="E139" s="66"/>
      <c r="F139" s="66"/>
      <c r="G139" s="66"/>
      <c r="H139" s="66"/>
      <c r="I139" s="66">
        <v>1.0</v>
      </c>
      <c r="J139" s="66"/>
      <c r="K139" s="66"/>
      <c r="L139" s="66">
        <v>1.0</v>
      </c>
      <c r="M139" s="66"/>
      <c r="N139" s="66"/>
      <c r="O139" s="66">
        <f t="shared" ref="O139:O168" si="373">SUM(K139:M139)</f>
        <v>1</v>
      </c>
      <c r="P139" s="42"/>
      <c r="Q139" s="42"/>
      <c r="R139" s="42"/>
      <c r="S139" s="42"/>
      <c r="T139" s="42"/>
      <c r="U139" s="42">
        <v>1.0</v>
      </c>
      <c r="V139" s="42"/>
      <c r="W139" s="42"/>
      <c r="X139" s="42">
        <v>1.0</v>
      </c>
      <c r="Y139" s="42"/>
      <c r="Z139" s="42"/>
      <c r="AA139" s="42">
        <f t="shared" si="370"/>
        <v>1</v>
      </c>
      <c r="AB139" s="42"/>
      <c r="AC139" s="80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>
        <f t="shared" si="371"/>
        <v>0</v>
      </c>
      <c r="AN139" s="38"/>
      <c r="AO139" s="178"/>
      <c r="AP139" s="178"/>
      <c r="AQ139" s="178"/>
      <c r="AR139" s="178"/>
      <c r="AS139" s="178">
        <v>1.0</v>
      </c>
      <c r="AT139" s="178"/>
      <c r="AU139" s="178">
        <v>1.0</v>
      </c>
      <c r="AV139" s="178"/>
      <c r="AW139" s="178"/>
      <c r="AX139" s="178"/>
      <c r="AY139" s="178">
        <f t="shared" si="372"/>
        <v>1</v>
      </c>
      <c r="AZ139" s="178"/>
      <c r="BA139" s="72"/>
      <c r="BB139" s="72"/>
      <c r="BC139" s="72"/>
      <c r="BD139" s="72"/>
      <c r="BE139" s="72">
        <v>1.0</v>
      </c>
      <c r="BF139" s="72"/>
      <c r="BG139" s="72">
        <v>1.0</v>
      </c>
      <c r="BH139" s="72"/>
      <c r="BI139" s="72"/>
      <c r="BJ139" s="72"/>
      <c r="BK139" s="72">
        <f t="shared" si="367"/>
        <v>1</v>
      </c>
      <c r="BL139" s="74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 ht="15.75" hidden="1" customHeight="1">
      <c r="A140" s="1"/>
      <c r="B140" s="1"/>
      <c r="C140" s="13"/>
      <c r="D140" s="26" t="s">
        <v>51</v>
      </c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>
        <f t="shared" si="373"/>
        <v>0</v>
      </c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>
        <f t="shared" si="370"/>
        <v>0</v>
      </c>
      <c r="AB140" s="42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>
        <f t="shared" si="371"/>
        <v>0</v>
      </c>
      <c r="AN140" s="38"/>
      <c r="AO140" s="178"/>
      <c r="AP140" s="178"/>
      <c r="AQ140" s="178"/>
      <c r="AR140" s="178"/>
      <c r="AS140" s="178">
        <v>1.0</v>
      </c>
      <c r="AT140" s="178"/>
      <c r="AU140" s="178">
        <v>1.0</v>
      </c>
      <c r="AV140" s="178"/>
      <c r="AW140" s="178"/>
      <c r="AX140" s="178"/>
      <c r="AY140" s="178">
        <f t="shared" si="372"/>
        <v>1</v>
      </c>
      <c r="AZ140" s="178"/>
      <c r="BA140" s="72"/>
      <c r="BB140" s="72"/>
      <c r="BC140" s="72"/>
      <c r="BD140" s="72"/>
      <c r="BE140" s="72">
        <v>1.0</v>
      </c>
      <c r="BF140" s="72"/>
      <c r="BG140" s="72">
        <v>1.0</v>
      </c>
      <c r="BH140" s="72"/>
      <c r="BI140" s="72"/>
      <c r="BJ140" s="72"/>
      <c r="BK140" s="72">
        <f t="shared" si="367"/>
        <v>1</v>
      </c>
      <c r="BL140" s="74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 ht="15.75" hidden="1" customHeight="1">
      <c r="A141" s="1"/>
      <c r="B141" s="1"/>
      <c r="C141" s="13"/>
      <c r="D141" s="26" t="s">
        <v>156</v>
      </c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>
        <f t="shared" si="373"/>
        <v>0</v>
      </c>
      <c r="P141" s="75"/>
      <c r="Q141" s="75"/>
      <c r="R141" s="75"/>
      <c r="S141" s="75"/>
      <c r="T141" s="75"/>
      <c r="U141" s="75">
        <v>1.0</v>
      </c>
      <c r="V141" s="42"/>
      <c r="W141" s="42"/>
      <c r="X141" s="42"/>
      <c r="Y141" s="42"/>
      <c r="Z141" s="42"/>
      <c r="AA141" s="42">
        <f t="shared" si="370"/>
        <v>0</v>
      </c>
      <c r="AB141" s="42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>
        <f t="shared" si="371"/>
        <v>0</v>
      </c>
      <c r="AN141" s="38"/>
      <c r="AO141" s="178"/>
      <c r="AP141" s="178"/>
      <c r="AQ141" s="178"/>
      <c r="AR141" s="178"/>
      <c r="AS141" s="178"/>
      <c r="AT141" s="178"/>
      <c r="AU141" s="178"/>
      <c r="AV141" s="178"/>
      <c r="AW141" s="178"/>
      <c r="AX141" s="178"/>
      <c r="AY141" s="178">
        <f t="shared" si="372"/>
        <v>0</v>
      </c>
      <c r="AZ141" s="178"/>
      <c r="BA141" s="72"/>
      <c r="BB141" s="72"/>
      <c r="BC141" s="72"/>
      <c r="BD141" s="72"/>
      <c r="BE141" s="72">
        <v>1.0</v>
      </c>
      <c r="BF141" s="72"/>
      <c r="BG141" s="72">
        <v>1.0</v>
      </c>
      <c r="BH141" s="72"/>
      <c r="BI141" s="72"/>
      <c r="BJ141" s="72"/>
      <c r="BK141" s="72">
        <f t="shared" si="367"/>
        <v>1</v>
      </c>
      <c r="BL141" s="74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 ht="15.75" hidden="1" customHeight="1">
      <c r="A142" s="1"/>
      <c r="B142" s="1"/>
      <c r="C142" s="21"/>
      <c r="D142" s="26" t="s">
        <v>55</v>
      </c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>
        <f t="shared" si="373"/>
        <v>0</v>
      </c>
      <c r="P142" s="42"/>
      <c r="Q142" s="42"/>
      <c r="R142" s="42"/>
      <c r="S142" s="42"/>
      <c r="T142" s="42"/>
      <c r="U142" s="42">
        <v>1.0</v>
      </c>
      <c r="V142" s="42"/>
      <c r="W142" s="42"/>
      <c r="X142" s="42">
        <v>1.0</v>
      </c>
      <c r="Y142" s="42"/>
      <c r="Z142" s="42"/>
      <c r="AA142" s="42">
        <f t="shared" si="370"/>
        <v>1</v>
      </c>
      <c r="AB142" s="42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>
        <f t="shared" si="371"/>
        <v>0</v>
      </c>
      <c r="AN142" s="38"/>
      <c r="AO142" s="178"/>
      <c r="AP142" s="178"/>
      <c r="AQ142" s="178"/>
      <c r="AR142" s="178"/>
      <c r="AS142" s="178"/>
      <c r="AT142" s="178"/>
      <c r="AU142" s="178"/>
      <c r="AV142" s="178"/>
      <c r="AW142" s="178"/>
      <c r="AX142" s="178"/>
      <c r="AY142" s="178">
        <f t="shared" si="372"/>
        <v>0</v>
      </c>
      <c r="AZ142" s="178"/>
      <c r="BA142" s="72"/>
      <c r="BB142" s="72"/>
      <c r="BC142" s="72"/>
      <c r="BD142" s="72"/>
      <c r="BE142" s="72">
        <v>1.0</v>
      </c>
      <c r="BF142" s="72"/>
      <c r="BG142" s="72">
        <v>1.0</v>
      </c>
      <c r="BH142" s="72"/>
      <c r="BI142" s="72"/>
      <c r="BJ142" s="72"/>
      <c r="BK142" s="72">
        <f t="shared" si="367"/>
        <v>1</v>
      </c>
      <c r="BL142" s="74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 ht="15.75" hidden="1" customHeight="1">
      <c r="A143" s="1"/>
      <c r="B143" s="1"/>
      <c r="C143" s="49" t="s">
        <v>53</v>
      </c>
      <c r="D143" s="26" t="s">
        <v>53</v>
      </c>
      <c r="E143" s="66"/>
      <c r="F143" s="66"/>
      <c r="G143" s="66"/>
      <c r="H143" s="66"/>
      <c r="I143" s="66">
        <v>1.0</v>
      </c>
      <c r="J143" s="66"/>
      <c r="K143" s="66"/>
      <c r="L143" s="66">
        <v>1.0</v>
      </c>
      <c r="M143" s="66"/>
      <c r="N143" s="66"/>
      <c r="O143" s="66">
        <f t="shared" si="373"/>
        <v>1</v>
      </c>
      <c r="P143" s="42"/>
      <c r="Q143" s="42"/>
      <c r="R143" s="42"/>
      <c r="S143" s="42"/>
      <c r="T143" s="42"/>
      <c r="U143" s="42">
        <v>1.0</v>
      </c>
      <c r="V143" s="42"/>
      <c r="W143" s="42"/>
      <c r="X143" s="42"/>
      <c r="Y143" s="42">
        <v>1.0</v>
      </c>
      <c r="Z143" s="42"/>
      <c r="AA143" s="42">
        <f t="shared" si="370"/>
        <v>1</v>
      </c>
      <c r="AB143" s="42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>
        <f t="shared" si="371"/>
        <v>0</v>
      </c>
      <c r="AN143" s="38"/>
      <c r="AO143" s="178"/>
      <c r="AP143" s="178"/>
      <c r="AQ143" s="178"/>
      <c r="AR143" s="178"/>
      <c r="AS143" s="178">
        <v>1.0</v>
      </c>
      <c r="AT143" s="178"/>
      <c r="AU143" s="178">
        <v>1.0</v>
      </c>
      <c r="AV143" s="178"/>
      <c r="AW143" s="178"/>
      <c r="AX143" s="178"/>
      <c r="AY143" s="178">
        <f t="shared" si="372"/>
        <v>1</v>
      </c>
      <c r="AZ143" s="178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>
        <f t="shared" si="367"/>
        <v>0</v>
      </c>
      <c r="BL143" s="74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 ht="15.75" hidden="1" customHeight="1">
      <c r="A144" s="1"/>
      <c r="B144" s="1"/>
      <c r="C144" s="24" t="s">
        <v>54</v>
      </c>
      <c r="D144" s="26" t="s">
        <v>54</v>
      </c>
      <c r="E144" s="66"/>
      <c r="F144" s="66"/>
      <c r="G144" s="66"/>
      <c r="H144" s="66"/>
      <c r="I144" s="66">
        <v>8.0</v>
      </c>
      <c r="J144" s="66"/>
      <c r="K144" s="66">
        <v>3.0</v>
      </c>
      <c r="L144" s="66">
        <v>5.0</v>
      </c>
      <c r="M144" s="66"/>
      <c r="N144" s="66"/>
      <c r="O144" s="66">
        <f t="shared" si="373"/>
        <v>8</v>
      </c>
      <c r="P144" s="75"/>
      <c r="Q144" s="75"/>
      <c r="R144" s="75"/>
      <c r="S144" s="75"/>
      <c r="T144" s="75"/>
      <c r="U144" s="75">
        <v>10.0</v>
      </c>
      <c r="V144" s="42"/>
      <c r="W144" s="42">
        <v>2.0</v>
      </c>
      <c r="X144" s="42"/>
      <c r="Y144" s="42">
        <v>7.0</v>
      </c>
      <c r="Z144" s="42"/>
      <c r="AA144" s="42">
        <f t="shared" si="370"/>
        <v>9</v>
      </c>
      <c r="AB144" s="42"/>
      <c r="AC144" s="80">
        <v>1.0</v>
      </c>
      <c r="AD144" s="38"/>
      <c r="AE144" s="38"/>
      <c r="AF144" s="38"/>
      <c r="AG144" s="38"/>
      <c r="AH144" s="38"/>
      <c r="AI144" s="38"/>
      <c r="AJ144" s="38"/>
      <c r="AK144" s="38">
        <v>1.0</v>
      </c>
      <c r="AL144" s="38">
        <v>1.0</v>
      </c>
      <c r="AM144" s="38">
        <f t="shared" si="371"/>
        <v>2</v>
      </c>
      <c r="AN144" s="38"/>
      <c r="AO144" s="178"/>
      <c r="AP144" s="178"/>
      <c r="AQ144" s="178"/>
      <c r="AR144" s="178"/>
      <c r="AS144" s="178"/>
      <c r="AT144" s="178"/>
      <c r="AU144" s="178"/>
      <c r="AV144" s="178"/>
      <c r="AW144" s="178"/>
      <c r="AX144" s="178"/>
      <c r="AY144" s="178">
        <f t="shared" si="372"/>
        <v>0</v>
      </c>
      <c r="AZ144" s="178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>
        <f t="shared" si="367"/>
        <v>0</v>
      </c>
      <c r="BL144" s="74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 ht="15.75" hidden="1" customHeight="1">
      <c r="A145" s="1"/>
      <c r="B145" s="1"/>
      <c r="C145" s="34" t="s">
        <v>57</v>
      </c>
      <c r="D145" s="26" t="s">
        <v>114</v>
      </c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>
        <f t="shared" si="373"/>
        <v>0</v>
      </c>
      <c r="P145" s="42"/>
      <c r="Q145" s="42"/>
      <c r="R145" s="42"/>
      <c r="S145" s="42"/>
      <c r="T145" s="42"/>
      <c r="U145" s="42">
        <v>1.0</v>
      </c>
      <c r="V145" s="42"/>
      <c r="W145" s="42">
        <v>1.0</v>
      </c>
      <c r="X145" s="42"/>
      <c r="Y145" s="42"/>
      <c r="Z145" s="42"/>
      <c r="AA145" s="42">
        <f t="shared" si="370"/>
        <v>1</v>
      </c>
      <c r="AB145" s="42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>
        <f t="shared" si="371"/>
        <v>0</v>
      </c>
      <c r="AN145" s="38"/>
      <c r="AO145" s="178"/>
      <c r="AP145" s="178"/>
      <c r="AQ145" s="178"/>
      <c r="AR145" s="178"/>
      <c r="AS145" s="178">
        <v>1.0</v>
      </c>
      <c r="AT145" s="178"/>
      <c r="AU145" s="178">
        <v>1.0</v>
      </c>
      <c r="AV145" s="178"/>
      <c r="AW145" s="178"/>
      <c r="AX145" s="178"/>
      <c r="AY145" s="178">
        <f t="shared" si="372"/>
        <v>1</v>
      </c>
      <c r="AZ145" s="178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>
        <f t="shared" si="367"/>
        <v>0</v>
      </c>
      <c r="BL145" s="74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 ht="15.75" hidden="1" customHeight="1">
      <c r="A146" s="1"/>
      <c r="B146" s="1"/>
      <c r="C146" s="21"/>
      <c r="D146" s="26" t="s">
        <v>60</v>
      </c>
      <c r="E146" s="66"/>
      <c r="F146" s="66"/>
      <c r="G146" s="66"/>
      <c r="H146" s="66"/>
      <c r="I146" s="66">
        <v>1.0</v>
      </c>
      <c r="J146" s="66"/>
      <c r="K146" s="66"/>
      <c r="L146" s="66">
        <v>1.0</v>
      </c>
      <c r="M146" s="66"/>
      <c r="N146" s="66"/>
      <c r="O146" s="66">
        <f t="shared" si="373"/>
        <v>1</v>
      </c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>
        <f t="shared" si="370"/>
        <v>0</v>
      </c>
      <c r="AB146" s="42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>
        <f t="shared" si="371"/>
        <v>0</v>
      </c>
      <c r="AN146" s="38"/>
      <c r="AO146" s="178"/>
      <c r="AP146" s="178"/>
      <c r="AQ146" s="178"/>
      <c r="AR146" s="178"/>
      <c r="AS146" s="178">
        <v>1.0</v>
      </c>
      <c r="AT146" s="178"/>
      <c r="AU146" s="178"/>
      <c r="AV146" s="178"/>
      <c r="AW146" s="178"/>
      <c r="AX146" s="178"/>
      <c r="AY146" s="178">
        <f t="shared" si="372"/>
        <v>0</v>
      </c>
      <c r="AZ146" s="178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>
        <f t="shared" si="367"/>
        <v>0</v>
      </c>
      <c r="BL146" s="74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 ht="15.75" hidden="1" customHeight="1">
      <c r="A147" s="1"/>
      <c r="B147" s="1"/>
      <c r="C147" s="24" t="s">
        <v>162</v>
      </c>
      <c r="D147" s="26" t="s">
        <v>163</v>
      </c>
      <c r="E147" s="66"/>
      <c r="F147" s="66"/>
      <c r="G147" s="66"/>
      <c r="H147" s="66"/>
      <c r="I147" s="66"/>
      <c r="J147" s="66"/>
      <c r="K147" s="66"/>
      <c r="L147" s="66">
        <v>1.0</v>
      </c>
      <c r="M147" s="66"/>
      <c r="N147" s="66"/>
      <c r="O147" s="66">
        <f t="shared" si="373"/>
        <v>1</v>
      </c>
      <c r="P147" s="42"/>
      <c r="Q147" s="42"/>
      <c r="R147" s="42"/>
      <c r="S147" s="42"/>
      <c r="T147" s="42"/>
      <c r="U147" s="42">
        <v>4.0</v>
      </c>
      <c r="V147" s="42"/>
      <c r="W147" s="42"/>
      <c r="X147" s="42">
        <v>2.0</v>
      </c>
      <c r="Y147" s="42">
        <v>2.0</v>
      </c>
      <c r="Z147" s="42"/>
      <c r="AA147" s="42">
        <f t="shared" si="370"/>
        <v>4</v>
      </c>
      <c r="AB147" s="42"/>
      <c r="AC147" s="80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>
        <f t="shared" si="371"/>
        <v>0</v>
      </c>
      <c r="AN147" s="38"/>
      <c r="AO147" s="178"/>
      <c r="AP147" s="178"/>
      <c r="AQ147" s="178"/>
      <c r="AR147" s="178"/>
      <c r="AS147" s="178"/>
      <c r="AT147" s="178"/>
      <c r="AU147" s="178"/>
      <c r="AV147" s="178"/>
      <c r="AW147" s="178"/>
      <c r="AX147" s="178"/>
      <c r="AY147" s="178">
        <f t="shared" si="372"/>
        <v>0</v>
      </c>
      <c r="AZ147" s="178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>
        <f t="shared" si="367"/>
        <v>0</v>
      </c>
      <c r="BL147" s="74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 ht="15.75" hidden="1" customHeight="1">
      <c r="A148" s="1"/>
      <c r="B148" s="1"/>
      <c r="C148" s="34" t="s">
        <v>62</v>
      </c>
      <c r="D148" s="26" t="s">
        <v>165</v>
      </c>
      <c r="E148" s="66"/>
      <c r="F148" s="66"/>
      <c r="G148" s="66"/>
      <c r="H148" s="66"/>
      <c r="I148" s="66">
        <v>1.0</v>
      </c>
      <c r="J148" s="66"/>
      <c r="K148" s="66"/>
      <c r="L148" s="66">
        <v>1.0</v>
      </c>
      <c r="M148" s="66"/>
      <c r="N148" s="66"/>
      <c r="O148" s="66">
        <f t="shared" si="373"/>
        <v>1</v>
      </c>
      <c r="P148" s="42"/>
      <c r="Q148" s="42"/>
      <c r="R148" s="42"/>
      <c r="S148" s="42"/>
      <c r="T148" s="42"/>
      <c r="U148" s="42">
        <v>1.0</v>
      </c>
      <c r="V148" s="42"/>
      <c r="W148" s="42"/>
      <c r="X148" s="42">
        <v>1.0</v>
      </c>
      <c r="Y148" s="42"/>
      <c r="Z148" s="42"/>
      <c r="AA148" s="42">
        <f t="shared" si="370"/>
        <v>1</v>
      </c>
      <c r="AB148" s="42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>
        <f t="shared" si="371"/>
        <v>0</v>
      </c>
      <c r="AN148" s="38"/>
      <c r="AO148" s="178"/>
      <c r="AP148" s="178"/>
      <c r="AQ148" s="178"/>
      <c r="AR148" s="178"/>
      <c r="AS148" s="178"/>
      <c r="AT148" s="178"/>
      <c r="AU148" s="178"/>
      <c r="AV148" s="178"/>
      <c r="AW148" s="178"/>
      <c r="AX148" s="178"/>
      <c r="AY148" s="178">
        <f t="shared" si="372"/>
        <v>0</v>
      </c>
      <c r="AZ148" s="178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>
        <f t="shared" si="367"/>
        <v>0</v>
      </c>
      <c r="BL148" s="74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 ht="15.75" hidden="1" customHeight="1">
      <c r="A149" s="1"/>
      <c r="B149" s="1"/>
      <c r="C149" s="13"/>
      <c r="D149" s="26" t="s">
        <v>167</v>
      </c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>
        <f t="shared" si="373"/>
        <v>0</v>
      </c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>
        <f t="shared" si="370"/>
        <v>0</v>
      </c>
      <c r="AB149" s="42"/>
      <c r="AC149" s="38">
        <v>1.0</v>
      </c>
      <c r="AD149" s="38"/>
      <c r="AE149" s="38"/>
      <c r="AF149" s="38"/>
      <c r="AG149" s="38"/>
      <c r="AH149" s="38"/>
      <c r="AI149" s="38">
        <v>1.0</v>
      </c>
      <c r="AJ149" s="38"/>
      <c r="AK149" s="38"/>
      <c r="AL149" s="38"/>
      <c r="AM149" s="38">
        <f t="shared" si="371"/>
        <v>1</v>
      </c>
      <c r="AN149" s="38"/>
      <c r="AO149" s="178"/>
      <c r="AP149" s="178"/>
      <c r="AQ149" s="178"/>
      <c r="AR149" s="178"/>
      <c r="AS149" s="178"/>
      <c r="AT149" s="178"/>
      <c r="AU149" s="178"/>
      <c r="AV149" s="178"/>
      <c r="AW149" s="178"/>
      <c r="AX149" s="178"/>
      <c r="AY149" s="178">
        <f t="shared" si="372"/>
        <v>0</v>
      </c>
      <c r="AZ149" s="178"/>
      <c r="BA149" s="72"/>
      <c r="BB149" s="72"/>
      <c r="BC149" s="72"/>
      <c r="BD149" s="72"/>
      <c r="BE149" s="72">
        <v>1.0</v>
      </c>
      <c r="BF149" s="72"/>
      <c r="BG149" s="72"/>
      <c r="BH149" s="72">
        <v>1.0</v>
      </c>
      <c r="BI149" s="72"/>
      <c r="BJ149" s="72"/>
      <c r="BK149" s="72">
        <f t="shared" si="367"/>
        <v>1</v>
      </c>
      <c r="BL149" s="74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 ht="15.75" hidden="1" customHeight="1">
      <c r="A150" s="1"/>
      <c r="B150" s="1"/>
      <c r="C150" s="13"/>
      <c r="D150" s="26" t="s">
        <v>168</v>
      </c>
      <c r="E150" s="66"/>
      <c r="F150" s="66"/>
      <c r="G150" s="66"/>
      <c r="H150" s="66"/>
      <c r="I150" s="66">
        <v>1.0</v>
      </c>
      <c r="J150" s="66"/>
      <c r="K150" s="66">
        <v>1.0</v>
      </c>
      <c r="L150" s="66"/>
      <c r="M150" s="66"/>
      <c r="N150" s="66"/>
      <c r="O150" s="66">
        <f t="shared" si="373"/>
        <v>1</v>
      </c>
      <c r="P150" s="42"/>
      <c r="Q150" s="42"/>
      <c r="R150" s="42"/>
      <c r="S150" s="42"/>
      <c r="T150" s="42"/>
      <c r="U150" s="42">
        <v>1.0</v>
      </c>
      <c r="V150" s="42"/>
      <c r="W150" s="42">
        <v>1.0</v>
      </c>
      <c r="X150" s="42"/>
      <c r="Y150" s="42"/>
      <c r="Z150" s="42"/>
      <c r="AA150" s="42">
        <f t="shared" si="370"/>
        <v>1</v>
      </c>
      <c r="AB150" s="42"/>
      <c r="AC150" s="80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>
        <f t="shared" si="371"/>
        <v>0</v>
      </c>
      <c r="AN150" s="38"/>
      <c r="AO150" s="178"/>
      <c r="AP150" s="178"/>
      <c r="AQ150" s="178"/>
      <c r="AR150" s="178"/>
      <c r="AS150" s="178"/>
      <c r="AT150" s="178"/>
      <c r="AU150" s="178"/>
      <c r="AV150" s="178"/>
      <c r="AW150" s="178"/>
      <c r="AX150" s="178"/>
      <c r="AY150" s="178">
        <f t="shared" si="372"/>
        <v>0</v>
      </c>
      <c r="AZ150" s="178"/>
      <c r="BA150" s="72"/>
      <c r="BB150" s="72"/>
      <c r="BC150" s="72"/>
      <c r="BD150" s="72"/>
      <c r="BE150" s="72">
        <v>3.0</v>
      </c>
      <c r="BF150" s="72"/>
      <c r="BG150" s="72">
        <v>3.0</v>
      </c>
      <c r="BH150" s="72"/>
      <c r="BI150" s="72"/>
      <c r="BJ150" s="72"/>
      <c r="BK150" s="72">
        <f t="shared" si="367"/>
        <v>3</v>
      </c>
      <c r="BL150" s="74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 ht="15.75" hidden="1" customHeight="1">
      <c r="A151" s="1"/>
      <c r="B151" s="1"/>
      <c r="C151" s="21"/>
      <c r="D151" s="26" t="s">
        <v>66</v>
      </c>
      <c r="E151" s="66"/>
      <c r="F151" s="66"/>
      <c r="G151" s="66"/>
      <c r="H151" s="66"/>
      <c r="I151" s="66">
        <v>1.0</v>
      </c>
      <c r="J151" s="66"/>
      <c r="K151" s="66"/>
      <c r="L151" s="66"/>
      <c r="M151" s="66">
        <v>1.0</v>
      </c>
      <c r="N151" s="66"/>
      <c r="O151" s="66">
        <f t="shared" si="373"/>
        <v>1</v>
      </c>
      <c r="P151" s="42"/>
      <c r="Q151" s="42"/>
      <c r="R151" s="42"/>
      <c r="S151" s="42"/>
      <c r="T151" s="42"/>
      <c r="U151" s="42">
        <v>1.0</v>
      </c>
      <c r="V151" s="42"/>
      <c r="W151" s="42"/>
      <c r="X151" s="42"/>
      <c r="Y151" s="42">
        <v>1.0</v>
      </c>
      <c r="Z151" s="42"/>
      <c r="AA151" s="42">
        <f t="shared" si="370"/>
        <v>1</v>
      </c>
      <c r="AB151" s="42"/>
      <c r="AC151" s="38">
        <v>1.0</v>
      </c>
      <c r="AD151" s="38"/>
      <c r="AE151" s="38"/>
      <c r="AF151" s="38"/>
      <c r="AG151" s="38"/>
      <c r="AH151" s="38"/>
      <c r="AI151" s="38"/>
      <c r="AJ151" s="38"/>
      <c r="AK151" s="38">
        <v>1.0</v>
      </c>
      <c r="AL151" s="38"/>
      <c r="AM151" s="38">
        <f t="shared" si="371"/>
        <v>1</v>
      </c>
      <c r="AN151" s="38"/>
      <c r="AO151" s="178"/>
      <c r="AP151" s="178"/>
      <c r="AQ151" s="178"/>
      <c r="AR151" s="178"/>
      <c r="AS151" s="178"/>
      <c r="AT151" s="178"/>
      <c r="AU151" s="178"/>
      <c r="AV151" s="178"/>
      <c r="AW151" s="178"/>
      <c r="AX151" s="178"/>
      <c r="AY151" s="178">
        <f t="shared" si="372"/>
        <v>0</v>
      </c>
      <c r="AZ151" s="178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>
        <f t="shared" si="367"/>
        <v>0</v>
      </c>
      <c r="BL151" s="74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 ht="15.75" hidden="1" customHeight="1">
      <c r="A152" s="1"/>
      <c r="B152" s="1"/>
      <c r="C152" s="34" t="s">
        <v>62</v>
      </c>
      <c r="D152" s="26" t="s">
        <v>169</v>
      </c>
      <c r="E152" s="66"/>
      <c r="F152" s="66"/>
      <c r="G152" s="66"/>
      <c r="H152" s="66"/>
      <c r="I152" s="66">
        <v>3.0</v>
      </c>
      <c r="J152" s="77"/>
      <c r="K152" s="77">
        <v>1.0</v>
      </c>
      <c r="L152" s="77"/>
      <c r="M152" s="77">
        <v>2.0</v>
      </c>
      <c r="N152" s="77"/>
      <c r="O152" s="66">
        <f t="shared" si="373"/>
        <v>3</v>
      </c>
      <c r="P152" s="42"/>
      <c r="Q152" s="42"/>
      <c r="R152" s="42"/>
      <c r="S152" s="42"/>
      <c r="T152" s="42"/>
      <c r="U152" s="42">
        <v>2.0</v>
      </c>
      <c r="V152" s="63"/>
      <c r="W152" s="63"/>
      <c r="X152" s="63"/>
      <c r="Y152" s="63">
        <v>2.0</v>
      </c>
      <c r="Z152" s="63"/>
      <c r="AA152" s="42">
        <f t="shared" si="370"/>
        <v>2</v>
      </c>
      <c r="AB152" s="42"/>
      <c r="AC152" s="38"/>
      <c r="AD152" s="76"/>
      <c r="AE152" s="76"/>
      <c r="AF152" s="76"/>
      <c r="AG152" s="76"/>
      <c r="AH152" s="76"/>
      <c r="AI152" s="76"/>
      <c r="AJ152" s="76"/>
      <c r="AK152" s="76"/>
      <c r="AL152" s="76"/>
      <c r="AM152" s="38">
        <f t="shared" si="371"/>
        <v>0</v>
      </c>
      <c r="AN152" s="38"/>
      <c r="AO152" s="178"/>
      <c r="AP152" s="178"/>
      <c r="AQ152" s="178"/>
      <c r="AR152" s="178"/>
      <c r="AS152" s="178">
        <v>1.0</v>
      </c>
      <c r="AT152" s="201"/>
      <c r="AU152" s="201">
        <v>1.0</v>
      </c>
      <c r="AV152" s="201"/>
      <c r="AW152" s="201"/>
      <c r="AX152" s="201"/>
      <c r="AY152" s="178">
        <f t="shared" si="372"/>
        <v>1</v>
      </c>
      <c r="AZ152" s="178"/>
      <c r="BA152" s="72"/>
      <c r="BB152" s="72"/>
      <c r="BC152" s="72"/>
      <c r="BD152" s="72"/>
      <c r="BE152" s="72"/>
      <c r="BF152" s="68"/>
      <c r="BG152" s="68"/>
      <c r="BH152" s="68"/>
      <c r="BI152" s="68"/>
      <c r="BJ152" s="68"/>
      <c r="BK152" s="72">
        <f t="shared" si="367"/>
        <v>0</v>
      </c>
      <c r="BL152" s="74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 ht="15.75" hidden="1" customHeight="1">
      <c r="A153" s="1"/>
      <c r="B153" s="1"/>
      <c r="C153" s="13"/>
      <c r="D153" s="26" t="s">
        <v>171</v>
      </c>
      <c r="E153" s="66"/>
      <c r="F153" s="66"/>
      <c r="G153" s="66"/>
      <c r="H153" s="66"/>
      <c r="I153" s="66"/>
      <c r="J153" s="77"/>
      <c r="K153" s="77"/>
      <c r="L153" s="77"/>
      <c r="M153" s="77"/>
      <c r="N153" s="77"/>
      <c r="O153" s="66">
        <f t="shared" si="373"/>
        <v>0</v>
      </c>
      <c r="P153" s="42"/>
      <c r="Q153" s="42"/>
      <c r="R153" s="42"/>
      <c r="S153" s="42"/>
      <c r="T153" s="42"/>
      <c r="U153" s="42"/>
      <c r="V153" s="63"/>
      <c r="W153" s="63"/>
      <c r="X153" s="63"/>
      <c r="Y153" s="63"/>
      <c r="Z153" s="63"/>
      <c r="AA153" s="42">
        <f t="shared" si="370"/>
        <v>0</v>
      </c>
      <c r="AB153" s="42"/>
      <c r="AC153" s="38"/>
      <c r="AD153" s="76"/>
      <c r="AE153" s="76"/>
      <c r="AF153" s="76"/>
      <c r="AG153" s="76"/>
      <c r="AH153" s="76"/>
      <c r="AI153" s="76"/>
      <c r="AJ153" s="76"/>
      <c r="AK153" s="76"/>
      <c r="AL153" s="76"/>
      <c r="AM153" s="38">
        <f t="shared" si="371"/>
        <v>0</v>
      </c>
      <c r="AN153" s="38"/>
      <c r="AO153" s="178"/>
      <c r="AP153" s="178"/>
      <c r="AQ153" s="178"/>
      <c r="AR153" s="178"/>
      <c r="AS153" s="178"/>
      <c r="AT153" s="201"/>
      <c r="AU153" s="201"/>
      <c r="AV153" s="201"/>
      <c r="AW153" s="201"/>
      <c r="AX153" s="201"/>
      <c r="AY153" s="178">
        <f t="shared" si="372"/>
        <v>0</v>
      </c>
      <c r="AZ153" s="178"/>
      <c r="BA153" s="72"/>
      <c r="BB153" s="72"/>
      <c r="BC153" s="72"/>
      <c r="BD153" s="72"/>
      <c r="BE153" s="72"/>
      <c r="BF153" s="68"/>
      <c r="BG153" s="68"/>
      <c r="BH153" s="68"/>
      <c r="BI153" s="68"/>
      <c r="BJ153" s="68"/>
      <c r="BK153" s="72">
        <f t="shared" si="367"/>
        <v>0</v>
      </c>
      <c r="BL153" s="74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 ht="15.75" hidden="1" customHeight="1">
      <c r="A154" s="1"/>
      <c r="B154" s="1"/>
      <c r="C154" s="13"/>
      <c r="D154" s="26" t="s">
        <v>160</v>
      </c>
      <c r="E154" s="66"/>
      <c r="F154" s="66"/>
      <c r="G154" s="66"/>
      <c r="H154" s="66"/>
      <c r="I154" s="66"/>
      <c r="J154" s="77"/>
      <c r="K154" s="77"/>
      <c r="L154" s="77"/>
      <c r="M154" s="77"/>
      <c r="N154" s="77"/>
      <c r="O154" s="66">
        <f t="shared" si="373"/>
        <v>0</v>
      </c>
      <c r="P154" s="42"/>
      <c r="Q154" s="42"/>
      <c r="R154" s="42"/>
      <c r="S154" s="42"/>
      <c r="T154" s="42"/>
      <c r="U154" s="42">
        <v>1.0</v>
      </c>
      <c r="V154" s="63"/>
      <c r="W154" s="63">
        <v>1.0</v>
      </c>
      <c r="X154" s="63"/>
      <c r="Y154" s="63"/>
      <c r="Z154" s="63"/>
      <c r="AA154" s="42">
        <f t="shared" si="370"/>
        <v>1</v>
      </c>
      <c r="AB154" s="42"/>
      <c r="AC154" s="38"/>
      <c r="AD154" s="76"/>
      <c r="AE154" s="76"/>
      <c r="AF154" s="76"/>
      <c r="AG154" s="76"/>
      <c r="AH154" s="76"/>
      <c r="AI154" s="76"/>
      <c r="AJ154" s="76"/>
      <c r="AK154" s="76"/>
      <c r="AL154" s="76"/>
      <c r="AM154" s="38">
        <f t="shared" si="371"/>
        <v>0</v>
      </c>
      <c r="AN154" s="38"/>
      <c r="AO154" s="178"/>
      <c r="AP154" s="178"/>
      <c r="AQ154" s="178"/>
      <c r="AR154" s="178"/>
      <c r="AS154" s="178"/>
      <c r="AT154" s="201"/>
      <c r="AU154" s="201"/>
      <c r="AV154" s="201"/>
      <c r="AW154" s="201"/>
      <c r="AX154" s="201"/>
      <c r="AY154" s="178">
        <f t="shared" si="372"/>
        <v>0</v>
      </c>
      <c r="AZ154" s="178"/>
      <c r="BA154" s="72"/>
      <c r="BB154" s="72"/>
      <c r="BC154" s="72"/>
      <c r="BD154" s="72"/>
      <c r="BE154" s="72"/>
      <c r="BF154" s="68"/>
      <c r="BG154" s="68"/>
      <c r="BH154" s="68"/>
      <c r="BI154" s="68"/>
      <c r="BJ154" s="68"/>
      <c r="BK154" s="72">
        <f t="shared" si="367"/>
        <v>0</v>
      </c>
      <c r="BL154" s="74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 ht="15.75" hidden="1" customHeight="1">
      <c r="A155" s="1"/>
      <c r="B155" s="1"/>
      <c r="C155" s="13"/>
      <c r="D155" s="26" t="s">
        <v>69</v>
      </c>
      <c r="E155" s="66"/>
      <c r="F155" s="66"/>
      <c r="G155" s="66"/>
      <c r="H155" s="66"/>
      <c r="I155" s="66">
        <v>6.0</v>
      </c>
      <c r="J155" s="66"/>
      <c r="K155" s="66"/>
      <c r="L155" s="66"/>
      <c r="M155" s="66">
        <v>6.0</v>
      </c>
      <c r="N155" s="66"/>
      <c r="O155" s="66">
        <f t="shared" si="373"/>
        <v>6</v>
      </c>
      <c r="P155" s="42"/>
      <c r="Q155" s="42"/>
      <c r="R155" s="42"/>
      <c r="S155" s="42"/>
      <c r="T155" s="42"/>
      <c r="U155" s="42">
        <v>1.0</v>
      </c>
      <c r="V155" s="42"/>
      <c r="W155" s="42"/>
      <c r="X155" s="42"/>
      <c r="Y155" s="42">
        <v>1.0</v>
      </c>
      <c r="Z155" s="42"/>
      <c r="AA155" s="42">
        <f t="shared" si="370"/>
        <v>1</v>
      </c>
      <c r="AB155" s="42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>
        <f t="shared" si="371"/>
        <v>0</v>
      </c>
      <c r="AN155" s="38"/>
      <c r="AO155" s="178"/>
      <c r="AP155" s="178"/>
      <c r="AQ155" s="178"/>
      <c r="AR155" s="178"/>
      <c r="AS155" s="178"/>
      <c r="AT155" s="178"/>
      <c r="AU155" s="178"/>
      <c r="AV155" s="178"/>
      <c r="AW155" s="178"/>
      <c r="AX155" s="178"/>
      <c r="AY155" s="178">
        <f t="shared" si="372"/>
        <v>0</v>
      </c>
      <c r="AZ155" s="178"/>
      <c r="BA155" s="72"/>
      <c r="BB155" s="72"/>
      <c r="BC155" s="72"/>
      <c r="BD155" s="72"/>
      <c r="BE155" s="72">
        <v>9.0</v>
      </c>
      <c r="BF155" s="72"/>
      <c r="BG155" s="72"/>
      <c r="BH155" s="72"/>
      <c r="BI155" s="72">
        <v>9.0</v>
      </c>
      <c r="BJ155" s="72"/>
      <c r="BK155" s="72">
        <f t="shared" si="367"/>
        <v>9</v>
      </c>
      <c r="BL155" s="74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 ht="15.75" hidden="1" customHeight="1">
      <c r="A156" s="1"/>
      <c r="B156" s="1"/>
      <c r="C156" s="13"/>
      <c r="D156" s="26" t="s">
        <v>73</v>
      </c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>
        <f t="shared" si="373"/>
        <v>0</v>
      </c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>
        <f t="shared" si="370"/>
        <v>0</v>
      </c>
      <c r="AB156" s="42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>
        <f t="shared" si="371"/>
        <v>0</v>
      </c>
      <c r="AN156" s="38"/>
      <c r="AO156" s="178"/>
      <c r="AP156" s="178"/>
      <c r="AQ156" s="178"/>
      <c r="AR156" s="178"/>
      <c r="AS156" s="178"/>
      <c r="AT156" s="178"/>
      <c r="AU156" s="178"/>
      <c r="AV156" s="178"/>
      <c r="AW156" s="178"/>
      <c r="AX156" s="178"/>
      <c r="AY156" s="178">
        <f t="shared" si="372"/>
        <v>0</v>
      </c>
      <c r="AZ156" s="178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>
        <f t="shared" si="367"/>
        <v>0</v>
      </c>
      <c r="BL156" s="74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 ht="15.75" hidden="1" customHeight="1">
      <c r="A157" s="1"/>
      <c r="B157" s="1"/>
      <c r="C157" s="13"/>
      <c r="D157" s="26" t="s">
        <v>77</v>
      </c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>
        <f t="shared" si="373"/>
        <v>0</v>
      </c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>
        <f t="shared" si="370"/>
        <v>0</v>
      </c>
      <c r="AB157" s="42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>
        <f t="shared" si="371"/>
        <v>0</v>
      </c>
      <c r="AN157" s="38"/>
      <c r="AO157" s="178"/>
      <c r="AP157" s="178"/>
      <c r="AQ157" s="178"/>
      <c r="AR157" s="178"/>
      <c r="AS157" s="178"/>
      <c r="AT157" s="178"/>
      <c r="AU157" s="178"/>
      <c r="AV157" s="178"/>
      <c r="AW157" s="178"/>
      <c r="AX157" s="178"/>
      <c r="AY157" s="178">
        <f t="shared" si="372"/>
        <v>0</v>
      </c>
      <c r="AZ157" s="178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>
        <f t="shared" si="367"/>
        <v>0</v>
      </c>
      <c r="BL157" s="74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 ht="15.75" hidden="1" customHeight="1">
      <c r="A158" s="1"/>
      <c r="B158" s="1"/>
      <c r="C158" s="13"/>
      <c r="D158" s="26" t="s">
        <v>174</v>
      </c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>
        <f t="shared" si="373"/>
        <v>0</v>
      </c>
      <c r="P158" s="42"/>
      <c r="Q158" s="42"/>
      <c r="R158" s="42"/>
      <c r="S158" s="42"/>
      <c r="T158" s="42"/>
      <c r="U158" s="42">
        <v>12.0</v>
      </c>
      <c r="V158" s="42"/>
      <c r="W158" s="42">
        <v>1.0</v>
      </c>
      <c r="X158" s="42">
        <v>5.0</v>
      </c>
      <c r="Y158" s="42">
        <v>6.0</v>
      </c>
      <c r="Z158" s="42"/>
      <c r="AA158" s="42">
        <f t="shared" si="370"/>
        <v>12</v>
      </c>
      <c r="AB158" s="42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>
        <f t="shared" si="371"/>
        <v>0</v>
      </c>
      <c r="AN158" s="38"/>
      <c r="AO158" s="178"/>
      <c r="AP158" s="178"/>
      <c r="AQ158" s="178"/>
      <c r="AR158" s="178"/>
      <c r="AS158" s="178">
        <v>12.0</v>
      </c>
      <c r="AT158" s="178"/>
      <c r="AU158" s="178">
        <v>2.0</v>
      </c>
      <c r="AV158" s="178">
        <v>3.0</v>
      </c>
      <c r="AW158" s="178">
        <v>5.0</v>
      </c>
      <c r="AX158" s="178"/>
      <c r="AY158" s="178">
        <f t="shared" si="372"/>
        <v>10</v>
      </c>
      <c r="AZ158" s="178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>
        <f t="shared" si="367"/>
        <v>0</v>
      </c>
      <c r="BL158" s="74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 ht="15.75" hidden="1" customHeight="1">
      <c r="A159" s="1"/>
      <c r="B159" s="1"/>
      <c r="C159" s="13"/>
      <c r="D159" s="26" t="s">
        <v>175</v>
      </c>
      <c r="E159" s="66"/>
      <c r="F159" s="66"/>
      <c r="G159" s="66"/>
      <c r="H159" s="66"/>
      <c r="I159" s="66">
        <v>23.0</v>
      </c>
      <c r="J159" s="77"/>
      <c r="K159" s="77">
        <v>2.0</v>
      </c>
      <c r="L159" s="77">
        <v>1.0</v>
      </c>
      <c r="M159" s="66">
        <v>16.0</v>
      </c>
      <c r="N159" s="66"/>
      <c r="O159" s="66">
        <f t="shared" si="373"/>
        <v>19</v>
      </c>
      <c r="P159" s="42"/>
      <c r="Q159" s="42"/>
      <c r="R159" s="42"/>
      <c r="S159" s="42"/>
      <c r="T159" s="42"/>
      <c r="U159" s="42"/>
      <c r="V159" s="63"/>
      <c r="W159" s="63"/>
      <c r="X159" s="63"/>
      <c r="Y159" s="42"/>
      <c r="Z159" s="42"/>
      <c r="AA159" s="42">
        <f t="shared" si="370"/>
        <v>0</v>
      </c>
      <c r="AB159" s="42"/>
      <c r="AC159" s="38"/>
      <c r="AD159" s="76"/>
      <c r="AE159" s="76"/>
      <c r="AF159" s="76"/>
      <c r="AG159" s="76"/>
      <c r="AH159" s="76"/>
      <c r="AI159" s="76"/>
      <c r="AJ159" s="76"/>
      <c r="AK159" s="76"/>
      <c r="AL159" s="38"/>
      <c r="AM159" s="38">
        <f t="shared" si="371"/>
        <v>0</v>
      </c>
      <c r="AN159" s="38"/>
      <c r="AO159" s="178"/>
      <c r="AP159" s="178"/>
      <c r="AQ159" s="178"/>
      <c r="AR159" s="178"/>
      <c r="AS159" s="178"/>
      <c r="AT159" s="201"/>
      <c r="AU159" s="201"/>
      <c r="AV159" s="201"/>
      <c r="AW159" s="178"/>
      <c r="AX159" s="178"/>
      <c r="AY159" s="178">
        <f t="shared" si="372"/>
        <v>0</v>
      </c>
      <c r="AZ159" s="178"/>
      <c r="BA159" s="72"/>
      <c r="BB159" s="72"/>
      <c r="BC159" s="72"/>
      <c r="BD159" s="72"/>
      <c r="BE159" s="72"/>
      <c r="BF159" s="68"/>
      <c r="BG159" s="68"/>
      <c r="BH159" s="68"/>
      <c r="BI159" s="72"/>
      <c r="BJ159" s="72"/>
      <c r="BK159" s="72">
        <f t="shared" si="367"/>
        <v>0</v>
      </c>
      <c r="BL159" s="74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 ht="15.75" hidden="1" customHeight="1">
      <c r="A160" s="1"/>
      <c r="B160" s="1"/>
      <c r="C160" s="13"/>
      <c r="D160" s="26" t="s">
        <v>177</v>
      </c>
      <c r="E160" s="66"/>
      <c r="F160" s="66"/>
      <c r="G160" s="66"/>
      <c r="H160" s="66"/>
      <c r="I160" s="66">
        <v>6.0</v>
      </c>
      <c r="J160" s="77"/>
      <c r="K160" s="77"/>
      <c r="L160" s="77">
        <v>1.0</v>
      </c>
      <c r="M160" s="77">
        <v>5.0</v>
      </c>
      <c r="N160" s="77"/>
      <c r="O160" s="66">
        <f t="shared" si="373"/>
        <v>6</v>
      </c>
      <c r="P160" s="42"/>
      <c r="Q160" s="42"/>
      <c r="R160" s="42"/>
      <c r="S160" s="42"/>
      <c r="T160" s="42"/>
      <c r="U160" s="42">
        <v>6.0</v>
      </c>
      <c r="V160" s="63"/>
      <c r="W160" s="63">
        <v>3.0</v>
      </c>
      <c r="X160" s="63"/>
      <c r="Y160" s="63">
        <v>3.0</v>
      </c>
      <c r="Z160" s="63"/>
      <c r="AA160" s="42">
        <f t="shared" si="370"/>
        <v>6</v>
      </c>
      <c r="AB160" s="42"/>
      <c r="AC160" s="38"/>
      <c r="AD160" s="76"/>
      <c r="AE160" s="76"/>
      <c r="AF160" s="76"/>
      <c r="AG160" s="76"/>
      <c r="AH160" s="76"/>
      <c r="AI160" s="76"/>
      <c r="AJ160" s="76"/>
      <c r="AK160" s="76"/>
      <c r="AL160" s="76"/>
      <c r="AM160" s="38">
        <f t="shared" si="371"/>
        <v>0</v>
      </c>
      <c r="AN160" s="38"/>
      <c r="AO160" s="178"/>
      <c r="AP160" s="178"/>
      <c r="AQ160" s="178"/>
      <c r="AR160" s="178"/>
      <c r="AS160" s="178"/>
      <c r="AT160" s="201"/>
      <c r="AU160" s="201"/>
      <c r="AV160" s="201"/>
      <c r="AW160" s="201"/>
      <c r="AX160" s="201"/>
      <c r="AY160" s="178">
        <f t="shared" si="372"/>
        <v>0</v>
      </c>
      <c r="AZ160" s="178"/>
      <c r="BA160" s="72"/>
      <c r="BB160" s="72"/>
      <c r="BC160" s="72"/>
      <c r="BD160" s="72"/>
      <c r="BE160" s="72"/>
      <c r="BF160" s="68"/>
      <c r="BG160" s="68"/>
      <c r="BH160" s="68"/>
      <c r="BI160" s="68"/>
      <c r="BJ160" s="68"/>
      <c r="BK160" s="72">
        <f t="shared" si="367"/>
        <v>0</v>
      </c>
      <c r="BL160" s="74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 ht="15.75" hidden="1" customHeight="1">
      <c r="A161" s="1"/>
      <c r="B161" s="1"/>
      <c r="C161" s="13"/>
      <c r="D161" s="79" t="s">
        <v>178</v>
      </c>
      <c r="E161" s="66"/>
      <c r="F161" s="66"/>
      <c r="G161" s="66"/>
      <c r="H161" s="66"/>
      <c r="I161" s="66">
        <v>6.0</v>
      </c>
      <c r="J161" s="77"/>
      <c r="K161" s="77"/>
      <c r="L161" s="77">
        <v>1.0</v>
      </c>
      <c r="M161" s="77">
        <v>5.0</v>
      </c>
      <c r="N161" s="77"/>
      <c r="O161" s="66">
        <f t="shared" si="373"/>
        <v>6</v>
      </c>
      <c r="P161" s="42"/>
      <c r="Q161" s="42"/>
      <c r="R161" s="42"/>
      <c r="S161" s="42"/>
      <c r="T161" s="42"/>
      <c r="U161" s="42"/>
      <c r="V161" s="63"/>
      <c r="W161" s="63"/>
      <c r="X161" s="63"/>
      <c r="Y161" s="63"/>
      <c r="Z161" s="63"/>
      <c r="AA161" s="42">
        <f t="shared" si="370"/>
        <v>0</v>
      </c>
      <c r="AB161" s="42"/>
      <c r="AC161" s="38"/>
      <c r="AD161" s="76"/>
      <c r="AE161" s="76"/>
      <c r="AF161" s="76"/>
      <c r="AG161" s="76"/>
      <c r="AH161" s="76"/>
      <c r="AI161" s="76"/>
      <c r="AJ161" s="76"/>
      <c r="AK161" s="76"/>
      <c r="AL161" s="76"/>
      <c r="AM161" s="38">
        <f t="shared" si="371"/>
        <v>0</v>
      </c>
      <c r="AN161" s="38"/>
      <c r="AO161" s="178"/>
      <c r="AP161" s="178"/>
      <c r="AQ161" s="178"/>
      <c r="AR161" s="178"/>
      <c r="AS161" s="178"/>
      <c r="AT161" s="201"/>
      <c r="AU161" s="201"/>
      <c r="AV161" s="201"/>
      <c r="AW161" s="201"/>
      <c r="AX161" s="201"/>
      <c r="AY161" s="178">
        <f t="shared" si="372"/>
        <v>0</v>
      </c>
      <c r="AZ161" s="178"/>
      <c r="BA161" s="72"/>
      <c r="BB161" s="72"/>
      <c r="BC161" s="72"/>
      <c r="BD161" s="72"/>
      <c r="BE161" s="72"/>
      <c r="BF161" s="68"/>
      <c r="BG161" s="68"/>
      <c r="BH161" s="68"/>
      <c r="BI161" s="68"/>
      <c r="BJ161" s="68"/>
      <c r="BK161" s="72">
        <f t="shared" si="367"/>
        <v>0</v>
      </c>
      <c r="BL161" s="74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 ht="15.75" hidden="1" customHeight="1">
      <c r="A162" s="1"/>
      <c r="B162" s="1"/>
      <c r="C162" s="13"/>
      <c r="D162" s="26" t="s">
        <v>172</v>
      </c>
      <c r="E162" s="66"/>
      <c r="F162" s="66"/>
      <c r="G162" s="66"/>
      <c r="H162" s="66"/>
      <c r="I162" s="66">
        <v>6.0</v>
      </c>
      <c r="J162" s="77"/>
      <c r="K162" s="77">
        <v>1.0</v>
      </c>
      <c r="L162" s="77"/>
      <c r="M162" s="77">
        <v>5.0</v>
      </c>
      <c r="N162" s="77"/>
      <c r="O162" s="66">
        <f t="shared" si="373"/>
        <v>6</v>
      </c>
      <c r="P162" s="42"/>
      <c r="Q162" s="42"/>
      <c r="R162" s="42"/>
      <c r="S162" s="42"/>
      <c r="T162" s="42"/>
      <c r="U162" s="42">
        <v>1.0</v>
      </c>
      <c r="V162" s="63"/>
      <c r="W162" s="63"/>
      <c r="X162" s="63"/>
      <c r="Y162" s="63">
        <v>1.0</v>
      </c>
      <c r="Z162" s="63"/>
      <c r="AA162" s="42">
        <f t="shared" si="370"/>
        <v>1</v>
      </c>
      <c r="AB162" s="42"/>
      <c r="AC162" s="38"/>
      <c r="AD162" s="76"/>
      <c r="AE162" s="76"/>
      <c r="AF162" s="76"/>
      <c r="AG162" s="76"/>
      <c r="AH162" s="76"/>
      <c r="AI162" s="76"/>
      <c r="AJ162" s="76"/>
      <c r="AK162" s="76"/>
      <c r="AL162" s="76"/>
      <c r="AM162" s="38">
        <f t="shared" si="371"/>
        <v>0</v>
      </c>
      <c r="AN162" s="38"/>
      <c r="AO162" s="178"/>
      <c r="AP162" s="178"/>
      <c r="AQ162" s="178"/>
      <c r="AR162" s="178"/>
      <c r="AS162" s="178"/>
      <c r="AT162" s="201"/>
      <c r="AU162" s="201"/>
      <c r="AV162" s="201"/>
      <c r="AW162" s="201"/>
      <c r="AX162" s="201"/>
      <c r="AY162" s="178">
        <f t="shared" si="372"/>
        <v>0</v>
      </c>
      <c r="AZ162" s="178"/>
      <c r="BA162" s="72"/>
      <c r="BB162" s="72"/>
      <c r="BC162" s="72"/>
      <c r="BD162" s="72"/>
      <c r="BE162" s="72"/>
      <c r="BF162" s="68"/>
      <c r="BG162" s="68"/>
      <c r="BH162" s="68"/>
      <c r="BI162" s="68"/>
      <c r="BJ162" s="68"/>
      <c r="BK162" s="72">
        <f t="shared" si="367"/>
        <v>0</v>
      </c>
      <c r="BL162" s="74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 ht="15.75" hidden="1" customHeight="1">
      <c r="A163" s="1"/>
      <c r="B163" s="1"/>
      <c r="C163" s="13"/>
      <c r="D163" s="26" t="s">
        <v>179</v>
      </c>
      <c r="E163" s="66"/>
      <c r="F163" s="66"/>
      <c r="G163" s="66"/>
      <c r="H163" s="66"/>
      <c r="I163" s="66">
        <v>3.0</v>
      </c>
      <c r="J163" s="77"/>
      <c r="K163" s="77">
        <v>1.0</v>
      </c>
      <c r="L163" s="77">
        <v>2.0</v>
      </c>
      <c r="M163" s="77"/>
      <c r="N163" s="77"/>
      <c r="O163" s="66">
        <f t="shared" si="373"/>
        <v>3</v>
      </c>
      <c r="P163" s="42"/>
      <c r="Q163" s="42"/>
      <c r="R163" s="42"/>
      <c r="S163" s="42"/>
      <c r="T163" s="42"/>
      <c r="U163" s="42"/>
      <c r="V163" s="63"/>
      <c r="W163" s="63"/>
      <c r="X163" s="63"/>
      <c r="Y163" s="63"/>
      <c r="Z163" s="63"/>
      <c r="AA163" s="42">
        <f t="shared" si="370"/>
        <v>0</v>
      </c>
      <c r="AB163" s="42"/>
      <c r="AC163" s="38"/>
      <c r="AD163" s="76"/>
      <c r="AE163" s="76"/>
      <c r="AF163" s="76"/>
      <c r="AG163" s="76"/>
      <c r="AH163" s="76"/>
      <c r="AI163" s="76"/>
      <c r="AJ163" s="76"/>
      <c r="AK163" s="76"/>
      <c r="AL163" s="76"/>
      <c r="AM163" s="38">
        <f t="shared" si="371"/>
        <v>0</v>
      </c>
      <c r="AN163" s="38"/>
      <c r="AO163" s="178"/>
      <c r="AP163" s="178"/>
      <c r="AQ163" s="178"/>
      <c r="AR163" s="178"/>
      <c r="AS163" s="178"/>
      <c r="AT163" s="201"/>
      <c r="AU163" s="201"/>
      <c r="AV163" s="201"/>
      <c r="AW163" s="201"/>
      <c r="AX163" s="201"/>
      <c r="AY163" s="178">
        <f t="shared" si="372"/>
        <v>0</v>
      </c>
      <c r="AZ163" s="178"/>
      <c r="BA163" s="72"/>
      <c r="BB163" s="72"/>
      <c r="BC163" s="72"/>
      <c r="BD163" s="72"/>
      <c r="BE163" s="72"/>
      <c r="BF163" s="68"/>
      <c r="BG163" s="68"/>
      <c r="BH163" s="68"/>
      <c r="BI163" s="68"/>
      <c r="BJ163" s="68"/>
      <c r="BK163" s="72">
        <f t="shared" si="367"/>
        <v>0</v>
      </c>
      <c r="BL163" s="74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 ht="15.75" hidden="1" customHeight="1">
      <c r="A164" s="1"/>
      <c r="B164" s="1"/>
      <c r="C164" s="13"/>
      <c r="D164" s="26" t="s">
        <v>180</v>
      </c>
      <c r="E164" s="66"/>
      <c r="F164" s="66"/>
      <c r="G164" s="66"/>
      <c r="H164" s="66"/>
      <c r="I164" s="66">
        <v>12.0</v>
      </c>
      <c r="J164" s="77"/>
      <c r="K164" s="77"/>
      <c r="L164" s="77"/>
      <c r="M164" s="77">
        <v>12.0</v>
      </c>
      <c r="N164" s="77"/>
      <c r="O164" s="66">
        <f t="shared" si="373"/>
        <v>12</v>
      </c>
      <c r="P164" s="42"/>
      <c r="Q164" s="42"/>
      <c r="R164" s="42"/>
      <c r="S164" s="42"/>
      <c r="T164" s="42"/>
      <c r="U164" s="42">
        <v>18.0</v>
      </c>
      <c r="V164" s="63"/>
      <c r="W164" s="63">
        <v>1.0</v>
      </c>
      <c r="X164" s="63"/>
      <c r="Y164" s="63">
        <v>17.0</v>
      </c>
      <c r="Z164" s="63"/>
      <c r="AA164" s="42">
        <f t="shared" si="370"/>
        <v>18</v>
      </c>
      <c r="AB164" s="42"/>
      <c r="AC164" s="38"/>
      <c r="AD164" s="76"/>
      <c r="AE164" s="76"/>
      <c r="AF164" s="76"/>
      <c r="AG164" s="76"/>
      <c r="AH164" s="76"/>
      <c r="AI164" s="76"/>
      <c r="AJ164" s="76"/>
      <c r="AK164" s="76"/>
      <c r="AL164" s="76"/>
      <c r="AM164" s="38">
        <f t="shared" si="371"/>
        <v>0</v>
      </c>
      <c r="AN164" s="38"/>
      <c r="AO164" s="178"/>
      <c r="AP164" s="178"/>
      <c r="AQ164" s="178"/>
      <c r="AR164" s="178"/>
      <c r="AS164" s="178"/>
      <c r="AT164" s="201"/>
      <c r="AU164" s="201"/>
      <c r="AV164" s="201"/>
      <c r="AW164" s="201"/>
      <c r="AX164" s="201"/>
      <c r="AY164" s="178">
        <f t="shared" si="372"/>
        <v>0</v>
      </c>
      <c r="AZ164" s="178"/>
      <c r="BA164" s="72"/>
      <c r="BB164" s="72"/>
      <c r="BC164" s="72"/>
      <c r="BD164" s="72"/>
      <c r="BE164" s="72"/>
      <c r="BF164" s="68"/>
      <c r="BG164" s="68"/>
      <c r="BH164" s="68"/>
      <c r="BI164" s="68"/>
      <c r="BJ164" s="68"/>
      <c r="BK164" s="72">
        <f t="shared" si="367"/>
        <v>0</v>
      </c>
      <c r="BL164" s="74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 ht="15.75" hidden="1" customHeight="1">
      <c r="A165" s="1"/>
      <c r="B165" s="1"/>
      <c r="C165" s="13"/>
      <c r="D165" s="26" t="s">
        <v>182</v>
      </c>
      <c r="E165" s="66"/>
      <c r="F165" s="66"/>
      <c r="G165" s="66"/>
      <c r="H165" s="66"/>
      <c r="I165" s="66">
        <v>8.0</v>
      </c>
      <c r="J165" s="77"/>
      <c r="K165" s="77">
        <v>1.0</v>
      </c>
      <c r="L165" s="77"/>
      <c r="M165" s="77">
        <v>7.0</v>
      </c>
      <c r="N165" s="77"/>
      <c r="O165" s="66">
        <f t="shared" si="373"/>
        <v>8</v>
      </c>
      <c r="P165" s="42"/>
      <c r="Q165" s="42"/>
      <c r="R165" s="42"/>
      <c r="S165" s="42"/>
      <c r="T165" s="42"/>
      <c r="U165" s="42"/>
      <c r="V165" s="63"/>
      <c r="W165" s="63"/>
      <c r="X165" s="63"/>
      <c r="Y165" s="63"/>
      <c r="Z165" s="63"/>
      <c r="AA165" s="42">
        <f t="shared" si="370"/>
        <v>0</v>
      </c>
      <c r="AB165" s="42"/>
      <c r="AC165" s="38"/>
      <c r="AD165" s="76"/>
      <c r="AE165" s="76"/>
      <c r="AF165" s="76"/>
      <c r="AG165" s="76"/>
      <c r="AH165" s="76"/>
      <c r="AI165" s="76"/>
      <c r="AJ165" s="76"/>
      <c r="AK165" s="76"/>
      <c r="AL165" s="76"/>
      <c r="AM165" s="38">
        <f t="shared" si="371"/>
        <v>0</v>
      </c>
      <c r="AN165" s="38"/>
      <c r="AO165" s="178"/>
      <c r="AP165" s="178"/>
      <c r="AQ165" s="178"/>
      <c r="AR165" s="178"/>
      <c r="AS165" s="178"/>
      <c r="AT165" s="201"/>
      <c r="AU165" s="201"/>
      <c r="AV165" s="201"/>
      <c r="AW165" s="201"/>
      <c r="AX165" s="201"/>
      <c r="AY165" s="178">
        <f t="shared" si="372"/>
        <v>0</v>
      </c>
      <c r="AZ165" s="178"/>
      <c r="BA165" s="72"/>
      <c r="BB165" s="72"/>
      <c r="BC165" s="72"/>
      <c r="BD165" s="72"/>
      <c r="BE165" s="72"/>
      <c r="BF165" s="68"/>
      <c r="BG165" s="68"/>
      <c r="BH165" s="68"/>
      <c r="BI165" s="68"/>
      <c r="BJ165" s="68"/>
      <c r="BK165" s="72">
        <f t="shared" si="367"/>
        <v>0</v>
      </c>
      <c r="BL165" s="74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 ht="15.75" hidden="1" customHeight="1">
      <c r="A166" s="1"/>
      <c r="B166" s="1"/>
      <c r="C166" s="13"/>
      <c r="D166" s="26" t="s">
        <v>119</v>
      </c>
      <c r="E166" s="66"/>
      <c r="F166" s="66"/>
      <c r="G166" s="66"/>
      <c r="H166" s="66"/>
      <c r="I166" s="66"/>
      <c r="J166" s="77"/>
      <c r="K166" s="77"/>
      <c r="L166" s="77"/>
      <c r="M166" s="77"/>
      <c r="N166" s="77"/>
      <c r="O166" s="66">
        <f t="shared" si="373"/>
        <v>0</v>
      </c>
      <c r="P166" s="42"/>
      <c r="Q166" s="42"/>
      <c r="R166" s="42"/>
      <c r="S166" s="42"/>
      <c r="T166" s="42"/>
      <c r="U166" s="42"/>
      <c r="V166" s="63"/>
      <c r="W166" s="63"/>
      <c r="X166" s="63"/>
      <c r="Y166" s="63"/>
      <c r="Z166" s="63"/>
      <c r="AA166" s="42">
        <f t="shared" si="370"/>
        <v>0</v>
      </c>
      <c r="AB166" s="42"/>
      <c r="AC166" s="38">
        <v>7.0</v>
      </c>
      <c r="AD166" s="76"/>
      <c r="AE166" s="76"/>
      <c r="AF166" s="76"/>
      <c r="AG166" s="76"/>
      <c r="AH166" s="76"/>
      <c r="AI166" s="76"/>
      <c r="AJ166" s="76">
        <v>3.0</v>
      </c>
      <c r="AK166" s="76">
        <v>4.0</v>
      </c>
      <c r="AL166" s="76">
        <v>5.0</v>
      </c>
      <c r="AM166" s="38">
        <f t="shared" si="371"/>
        <v>12</v>
      </c>
      <c r="AN166" s="38"/>
      <c r="AO166" s="178"/>
      <c r="AP166" s="178"/>
      <c r="AQ166" s="178"/>
      <c r="AR166" s="178"/>
      <c r="AS166" s="178"/>
      <c r="AT166" s="201"/>
      <c r="AU166" s="201"/>
      <c r="AV166" s="201"/>
      <c r="AW166" s="201"/>
      <c r="AX166" s="201"/>
      <c r="AY166" s="178">
        <f t="shared" si="372"/>
        <v>0</v>
      </c>
      <c r="AZ166" s="178"/>
      <c r="BA166" s="72"/>
      <c r="BB166" s="72"/>
      <c r="BC166" s="72"/>
      <c r="BD166" s="72"/>
      <c r="BE166" s="72"/>
      <c r="BF166" s="68"/>
      <c r="BG166" s="68"/>
      <c r="BH166" s="68"/>
      <c r="BI166" s="68"/>
      <c r="BJ166" s="68"/>
      <c r="BK166" s="72">
        <f t="shared" si="367"/>
        <v>0</v>
      </c>
      <c r="BL166" s="74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 ht="15.75" hidden="1" customHeight="1">
      <c r="A167" s="1"/>
      <c r="B167" s="1"/>
      <c r="C167" s="13"/>
      <c r="D167" s="26" t="s">
        <v>122</v>
      </c>
      <c r="E167" s="66"/>
      <c r="F167" s="66"/>
      <c r="G167" s="66"/>
      <c r="H167" s="66"/>
      <c r="I167" s="66"/>
      <c r="J167" s="77"/>
      <c r="K167" s="77"/>
      <c r="L167" s="77"/>
      <c r="M167" s="77"/>
      <c r="N167" s="77"/>
      <c r="O167" s="66">
        <f t="shared" si="373"/>
        <v>0</v>
      </c>
      <c r="P167" s="42"/>
      <c r="Q167" s="42"/>
      <c r="R167" s="42"/>
      <c r="S167" s="42"/>
      <c r="T167" s="42"/>
      <c r="U167" s="42"/>
      <c r="V167" s="63"/>
      <c r="W167" s="63"/>
      <c r="X167" s="63"/>
      <c r="Y167" s="63"/>
      <c r="Z167" s="63"/>
      <c r="AA167" s="42">
        <f t="shared" si="370"/>
        <v>0</v>
      </c>
      <c r="AB167" s="42"/>
      <c r="AC167" s="38">
        <v>7.0</v>
      </c>
      <c r="AD167" s="76"/>
      <c r="AE167" s="76"/>
      <c r="AF167" s="76"/>
      <c r="AG167" s="76"/>
      <c r="AH167" s="76"/>
      <c r="AI167" s="76"/>
      <c r="AJ167" s="76">
        <v>3.0</v>
      </c>
      <c r="AK167" s="76">
        <v>4.0</v>
      </c>
      <c r="AL167" s="76">
        <v>5.0</v>
      </c>
      <c r="AM167" s="38">
        <f t="shared" si="371"/>
        <v>12</v>
      </c>
      <c r="AN167" s="38"/>
      <c r="AO167" s="178"/>
      <c r="AP167" s="178"/>
      <c r="AQ167" s="178"/>
      <c r="AR167" s="178"/>
      <c r="AS167" s="178"/>
      <c r="AT167" s="201"/>
      <c r="AU167" s="201"/>
      <c r="AV167" s="201"/>
      <c r="AW167" s="201"/>
      <c r="AX167" s="201"/>
      <c r="AY167" s="178">
        <f t="shared" si="372"/>
        <v>0</v>
      </c>
      <c r="AZ167" s="178"/>
      <c r="BA167" s="72"/>
      <c r="BB167" s="72"/>
      <c r="BC167" s="72"/>
      <c r="BD167" s="72"/>
      <c r="BE167" s="72"/>
      <c r="BF167" s="68"/>
      <c r="BG167" s="68"/>
      <c r="BH167" s="68"/>
      <c r="BI167" s="68"/>
      <c r="BJ167" s="68"/>
      <c r="BK167" s="72">
        <f t="shared" si="367"/>
        <v>0</v>
      </c>
      <c r="BL167" s="74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 ht="15.75" hidden="1" customHeight="1">
      <c r="A168" s="1"/>
      <c r="B168" s="1"/>
      <c r="C168" s="13"/>
      <c r="D168" s="26" t="s">
        <v>89</v>
      </c>
      <c r="E168" s="66"/>
      <c r="F168" s="66"/>
      <c r="G168" s="66"/>
      <c r="H168" s="66"/>
      <c r="I168" s="66"/>
      <c r="J168" s="77"/>
      <c r="K168" s="77"/>
      <c r="L168" s="77"/>
      <c r="M168" s="77"/>
      <c r="N168" s="77"/>
      <c r="O168" s="66">
        <f t="shared" si="373"/>
        <v>0</v>
      </c>
      <c r="P168" s="42"/>
      <c r="Q168" s="42"/>
      <c r="R168" s="42"/>
      <c r="S168" s="42"/>
      <c r="T168" s="42"/>
      <c r="U168" s="42"/>
      <c r="V168" s="63"/>
      <c r="W168" s="63"/>
      <c r="X168" s="63"/>
      <c r="Y168" s="63">
        <v>4.0</v>
      </c>
      <c r="Z168" s="63"/>
      <c r="AA168" s="42">
        <f t="shared" si="370"/>
        <v>4</v>
      </c>
      <c r="AB168" s="42"/>
      <c r="AC168" s="38"/>
      <c r="AD168" s="76"/>
      <c r="AE168" s="76"/>
      <c r="AF168" s="76"/>
      <c r="AG168" s="76"/>
      <c r="AH168" s="76"/>
      <c r="AI168" s="76"/>
      <c r="AJ168" s="76"/>
      <c r="AK168" s="76"/>
      <c r="AL168" s="76"/>
      <c r="AM168" s="38">
        <f t="shared" si="371"/>
        <v>0</v>
      </c>
      <c r="AN168" s="38"/>
      <c r="AO168" s="178"/>
      <c r="AP168" s="178"/>
      <c r="AQ168" s="178"/>
      <c r="AR168" s="178"/>
      <c r="AS168" s="178"/>
      <c r="AT168" s="201"/>
      <c r="AU168" s="201"/>
      <c r="AV168" s="201"/>
      <c r="AW168" s="201"/>
      <c r="AX168" s="201"/>
      <c r="AY168" s="178">
        <f t="shared" si="372"/>
        <v>0</v>
      </c>
      <c r="AZ168" s="178"/>
      <c r="BA168" s="72"/>
      <c r="BB168" s="72"/>
      <c r="BC168" s="72"/>
      <c r="BD168" s="72"/>
      <c r="BE168" s="72">
        <v>6.0</v>
      </c>
      <c r="BF168" s="68"/>
      <c r="BG168" s="68">
        <v>1.0</v>
      </c>
      <c r="BH168" s="68"/>
      <c r="BI168" s="68">
        <v>5.0</v>
      </c>
      <c r="BJ168" s="68"/>
      <c r="BK168" s="72">
        <f t="shared" si="367"/>
        <v>6</v>
      </c>
      <c r="BL168" s="74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 ht="15.75" hidden="1" customHeight="1">
      <c r="A169" s="1"/>
      <c r="B169" s="1"/>
      <c r="C169" s="13"/>
      <c r="D169" s="26" t="s">
        <v>130</v>
      </c>
      <c r="E169" s="66"/>
      <c r="F169" s="66"/>
      <c r="G169" s="66"/>
      <c r="H169" s="66"/>
      <c r="I169" s="66"/>
      <c r="J169" s="77"/>
      <c r="K169" s="77"/>
      <c r="L169" s="77"/>
      <c r="M169" s="77"/>
      <c r="N169" s="77"/>
      <c r="O169" s="66">
        <v>0.0</v>
      </c>
      <c r="P169" s="42"/>
      <c r="Q169" s="42"/>
      <c r="R169" s="42"/>
      <c r="S169" s="42"/>
      <c r="T169" s="42"/>
      <c r="U169" s="42"/>
      <c r="V169" s="63"/>
      <c r="W169" s="63"/>
      <c r="X169" s="63"/>
      <c r="Y169" s="63"/>
      <c r="Z169" s="63"/>
      <c r="AA169" s="42"/>
      <c r="AB169" s="42"/>
      <c r="AC169" s="38">
        <v>1.0</v>
      </c>
      <c r="AD169" s="76"/>
      <c r="AE169" s="76"/>
      <c r="AF169" s="76"/>
      <c r="AG169" s="76"/>
      <c r="AH169" s="76"/>
      <c r="AI169" s="76"/>
      <c r="AJ169" s="76">
        <v>1.0</v>
      </c>
      <c r="AK169" s="76"/>
      <c r="AL169" s="76"/>
      <c r="AM169" s="38">
        <f t="shared" si="371"/>
        <v>1</v>
      </c>
      <c r="AN169" s="38"/>
      <c r="AO169" s="178"/>
      <c r="AP169" s="178"/>
      <c r="AQ169" s="178"/>
      <c r="AR169" s="178"/>
      <c r="AS169" s="178"/>
      <c r="AT169" s="201"/>
      <c r="AU169" s="201"/>
      <c r="AV169" s="201"/>
      <c r="AW169" s="201"/>
      <c r="AX169" s="201"/>
      <c r="AY169" s="178"/>
      <c r="AZ169" s="178"/>
      <c r="BA169" s="72"/>
      <c r="BB169" s="72"/>
      <c r="BC169" s="72"/>
      <c r="BD169" s="72"/>
      <c r="BE169" s="72"/>
      <c r="BF169" s="68"/>
      <c r="BG169" s="68"/>
      <c r="BH169" s="68"/>
      <c r="BI169" s="68"/>
      <c r="BJ169" s="68"/>
      <c r="BK169" s="72"/>
      <c r="BL169" s="74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 ht="15.75" hidden="1" customHeight="1">
      <c r="A170" s="1"/>
      <c r="B170" s="1"/>
      <c r="C170" s="13"/>
      <c r="D170" s="26" t="s">
        <v>185</v>
      </c>
      <c r="E170" s="66"/>
      <c r="F170" s="66"/>
      <c r="G170" s="66"/>
      <c r="H170" s="66"/>
      <c r="I170" s="66"/>
      <c r="J170" s="77"/>
      <c r="K170" s="77"/>
      <c r="L170" s="77"/>
      <c r="M170" s="77"/>
      <c r="N170" s="77"/>
      <c r="O170" s="66">
        <f t="shared" ref="O170:O179" si="374">SUM(K170:M170)</f>
        <v>0</v>
      </c>
      <c r="P170" s="42"/>
      <c r="Q170" s="42"/>
      <c r="R170" s="42"/>
      <c r="S170" s="42"/>
      <c r="T170" s="42"/>
      <c r="U170" s="42"/>
      <c r="V170" s="63"/>
      <c r="W170" s="63"/>
      <c r="X170" s="63"/>
      <c r="Y170" s="63"/>
      <c r="Z170" s="63"/>
      <c r="AA170" s="42">
        <f t="shared" ref="AA170:AA186" si="375">SUM(W170:Y170)</f>
        <v>0</v>
      </c>
      <c r="AB170" s="42"/>
      <c r="AC170" s="38">
        <v>3.0</v>
      </c>
      <c r="AD170" s="76"/>
      <c r="AE170" s="76"/>
      <c r="AF170" s="76"/>
      <c r="AG170" s="76"/>
      <c r="AH170" s="76"/>
      <c r="AI170" s="76"/>
      <c r="AJ170" s="76"/>
      <c r="AK170" s="76">
        <v>3.0</v>
      </c>
      <c r="AL170" s="76">
        <v>3.0</v>
      </c>
      <c r="AM170" s="38">
        <f t="shared" si="371"/>
        <v>6</v>
      </c>
      <c r="AN170" s="38"/>
      <c r="AO170" s="178"/>
      <c r="AP170" s="178"/>
      <c r="AQ170" s="178"/>
      <c r="AR170" s="178"/>
      <c r="AS170" s="178"/>
      <c r="AT170" s="201"/>
      <c r="AU170" s="201"/>
      <c r="AV170" s="201"/>
      <c r="AW170" s="201"/>
      <c r="AX170" s="201"/>
      <c r="AY170" s="178">
        <f t="shared" ref="AY170:AY179" si="376">SUM(AU170:AW170)</f>
        <v>0</v>
      </c>
      <c r="AZ170" s="178"/>
      <c r="BA170" s="72"/>
      <c r="BB170" s="72"/>
      <c r="BC170" s="72"/>
      <c r="BD170" s="72"/>
      <c r="BE170" s="72">
        <v>6.0</v>
      </c>
      <c r="BF170" s="68"/>
      <c r="BG170" s="68">
        <v>3.0</v>
      </c>
      <c r="BH170" s="68"/>
      <c r="BI170" s="68">
        <v>3.0</v>
      </c>
      <c r="BJ170" s="68"/>
      <c r="BK170" s="72">
        <f t="shared" ref="BK170:BK179" si="377">SUM(BG170:BI170)</f>
        <v>6</v>
      </c>
      <c r="BL170" s="74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 ht="15.75" hidden="1" customHeight="1">
      <c r="A171" s="1"/>
      <c r="B171" s="1"/>
      <c r="C171" s="13"/>
      <c r="D171" s="26" t="s">
        <v>91</v>
      </c>
      <c r="E171" s="66"/>
      <c r="F171" s="66"/>
      <c r="G171" s="66"/>
      <c r="H171" s="66"/>
      <c r="I171" s="66"/>
      <c r="J171" s="77"/>
      <c r="K171" s="77"/>
      <c r="L171" s="77"/>
      <c r="M171" s="77"/>
      <c r="N171" s="77"/>
      <c r="O171" s="66">
        <f t="shared" si="374"/>
        <v>0</v>
      </c>
      <c r="P171" s="42"/>
      <c r="Q171" s="42"/>
      <c r="R171" s="42"/>
      <c r="S171" s="42"/>
      <c r="T171" s="42"/>
      <c r="U171" s="42">
        <v>3.0</v>
      </c>
      <c r="V171" s="63"/>
      <c r="W171" s="63"/>
      <c r="X171" s="63"/>
      <c r="Y171" s="63">
        <v>3.0</v>
      </c>
      <c r="Z171" s="63"/>
      <c r="AA171" s="42">
        <f t="shared" si="375"/>
        <v>3</v>
      </c>
      <c r="AB171" s="42"/>
      <c r="AC171" s="38"/>
      <c r="AD171" s="76"/>
      <c r="AE171" s="76"/>
      <c r="AF171" s="76"/>
      <c r="AG171" s="76"/>
      <c r="AH171" s="76"/>
      <c r="AI171" s="76"/>
      <c r="AJ171" s="76"/>
      <c r="AK171" s="76"/>
      <c r="AL171" s="76"/>
      <c r="AM171" s="38">
        <f t="shared" si="371"/>
        <v>0</v>
      </c>
      <c r="AN171" s="38"/>
      <c r="AO171" s="178"/>
      <c r="AP171" s="178"/>
      <c r="AQ171" s="178"/>
      <c r="AR171" s="178"/>
      <c r="AS171" s="178"/>
      <c r="AT171" s="201"/>
      <c r="AU171" s="201"/>
      <c r="AV171" s="201"/>
      <c r="AW171" s="201"/>
      <c r="AX171" s="201"/>
      <c r="AY171" s="178">
        <f t="shared" si="376"/>
        <v>0</v>
      </c>
      <c r="AZ171" s="178"/>
      <c r="BA171" s="72"/>
      <c r="BB171" s="72"/>
      <c r="BC171" s="72"/>
      <c r="BD171" s="72"/>
      <c r="BE171" s="72"/>
      <c r="BF171" s="68"/>
      <c r="BG171" s="68"/>
      <c r="BH171" s="68"/>
      <c r="BI171" s="68"/>
      <c r="BJ171" s="68"/>
      <c r="BK171" s="72">
        <f t="shared" si="377"/>
        <v>0</v>
      </c>
      <c r="BL171" s="74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 ht="15.75" hidden="1" customHeight="1">
      <c r="A172" s="1"/>
      <c r="B172" s="1"/>
      <c r="C172" s="13"/>
      <c r="D172" s="26" t="s">
        <v>92</v>
      </c>
      <c r="E172" s="66"/>
      <c r="F172" s="66"/>
      <c r="G172" s="66"/>
      <c r="H172" s="66"/>
      <c r="I172" s="66"/>
      <c r="J172" s="77"/>
      <c r="K172" s="77"/>
      <c r="L172" s="77"/>
      <c r="M172" s="77"/>
      <c r="N172" s="77"/>
      <c r="O172" s="66">
        <f t="shared" si="374"/>
        <v>0</v>
      </c>
      <c r="P172" s="42"/>
      <c r="Q172" s="42"/>
      <c r="R172" s="42"/>
      <c r="S172" s="42"/>
      <c r="T172" s="42"/>
      <c r="U172" s="42"/>
      <c r="V172" s="63"/>
      <c r="W172" s="63"/>
      <c r="X172" s="63"/>
      <c r="Y172" s="63"/>
      <c r="Z172" s="63"/>
      <c r="AA172" s="42">
        <f t="shared" si="375"/>
        <v>0</v>
      </c>
      <c r="AB172" s="42"/>
      <c r="AC172" s="38"/>
      <c r="AD172" s="76"/>
      <c r="AE172" s="76"/>
      <c r="AF172" s="76"/>
      <c r="AG172" s="76"/>
      <c r="AH172" s="76"/>
      <c r="AI172" s="76"/>
      <c r="AJ172" s="76"/>
      <c r="AK172" s="76"/>
      <c r="AL172" s="76"/>
      <c r="AM172" s="38">
        <f t="shared" si="371"/>
        <v>0</v>
      </c>
      <c r="AN172" s="38"/>
      <c r="AO172" s="178"/>
      <c r="AP172" s="178"/>
      <c r="AQ172" s="178"/>
      <c r="AR172" s="178"/>
      <c r="AS172" s="178"/>
      <c r="AT172" s="201"/>
      <c r="AU172" s="201"/>
      <c r="AV172" s="201"/>
      <c r="AW172" s="201"/>
      <c r="AX172" s="201"/>
      <c r="AY172" s="178">
        <f t="shared" si="376"/>
        <v>0</v>
      </c>
      <c r="AZ172" s="178"/>
      <c r="BA172" s="72"/>
      <c r="BB172" s="72"/>
      <c r="BC172" s="72"/>
      <c r="BD172" s="72"/>
      <c r="BE172" s="72">
        <v>12.0</v>
      </c>
      <c r="BF172" s="68"/>
      <c r="BG172" s="68"/>
      <c r="BH172" s="68"/>
      <c r="BI172" s="68">
        <v>12.0</v>
      </c>
      <c r="BJ172" s="68"/>
      <c r="BK172" s="72">
        <f t="shared" si="377"/>
        <v>12</v>
      </c>
      <c r="BL172" s="74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 ht="15.75" hidden="1" customHeight="1">
      <c r="A173" s="1"/>
      <c r="B173" s="1"/>
      <c r="C173" s="13"/>
      <c r="D173" s="26" t="s">
        <v>100</v>
      </c>
      <c r="E173" s="66"/>
      <c r="F173" s="66"/>
      <c r="G173" s="66"/>
      <c r="H173" s="66"/>
      <c r="I173" s="66"/>
      <c r="J173" s="77"/>
      <c r="K173" s="77"/>
      <c r="L173" s="77"/>
      <c r="M173" s="77"/>
      <c r="N173" s="77"/>
      <c r="O173" s="66">
        <f t="shared" si="374"/>
        <v>0</v>
      </c>
      <c r="P173" s="42"/>
      <c r="Q173" s="42"/>
      <c r="R173" s="42"/>
      <c r="S173" s="42"/>
      <c r="T173" s="42"/>
      <c r="U173" s="42"/>
      <c r="V173" s="63"/>
      <c r="W173" s="63"/>
      <c r="X173" s="63"/>
      <c r="Y173" s="63"/>
      <c r="Z173" s="63"/>
      <c r="AA173" s="42">
        <f t="shared" si="375"/>
        <v>0</v>
      </c>
      <c r="AB173" s="42"/>
      <c r="AC173" s="38"/>
      <c r="AD173" s="76"/>
      <c r="AE173" s="76"/>
      <c r="AF173" s="76"/>
      <c r="AG173" s="76"/>
      <c r="AH173" s="76"/>
      <c r="AI173" s="76"/>
      <c r="AJ173" s="76"/>
      <c r="AK173" s="76"/>
      <c r="AL173" s="76"/>
      <c r="AM173" s="38">
        <f t="shared" si="371"/>
        <v>0</v>
      </c>
      <c r="AN173" s="38"/>
      <c r="AO173" s="178"/>
      <c r="AP173" s="178"/>
      <c r="AQ173" s="178"/>
      <c r="AR173" s="178"/>
      <c r="AS173" s="178"/>
      <c r="AT173" s="201"/>
      <c r="AU173" s="201"/>
      <c r="AV173" s="201"/>
      <c r="AW173" s="201"/>
      <c r="AX173" s="201"/>
      <c r="AY173" s="178">
        <f t="shared" si="376"/>
        <v>0</v>
      </c>
      <c r="AZ173" s="178"/>
      <c r="BA173" s="72"/>
      <c r="BB173" s="72"/>
      <c r="BC173" s="72"/>
      <c r="BD173" s="72"/>
      <c r="BE173" s="72">
        <v>12.0</v>
      </c>
      <c r="BF173" s="68"/>
      <c r="BG173" s="68"/>
      <c r="BH173" s="68"/>
      <c r="BI173" s="68">
        <v>12.0</v>
      </c>
      <c r="BJ173" s="68"/>
      <c r="BK173" s="72">
        <f t="shared" si="377"/>
        <v>12</v>
      </c>
      <c r="BL173" s="74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 ht="15.75" hidden="1" customHeight="1">
      <c r="A174" s="1"/>
      <c r="B174" s="1"/>
      <c r="C174" s="13"/>
      <c r="D174" s="26" t="s">
        <v>94</v>
      </c>
      <c r="E174" s="66"/>
      <c r="F174" s="66"/>
      <c r="G174" s="66"/>
      <c r="H174" s="66"/>
      <c r="I174" s="66"/>
      <c r="J174" s="77"/>
      <c r="K174" s="77"/>
      <c r="L174" s="77"/>
      <c r="M174" s="77"/>
      <c r="N174" s="77"/>
      <c r="O174" s="66">
        <f t="shared" si="374"/>
        <v>0</v>
      </c>
      <c r="P174" s="42"/>
      <c r="Q174" s="42"/>
      <c r="R174" s="42"/>
      <c r="S174" s="42"/>
      <c r="T174" s="42"/>
      <c r="U174" s="42"/>
      <c r="V174" s="63"/>
      <c r="W174" s="63"/>
      <c r="X174" s="63"/>
      <c r="Y174" s="63"/>
      <c r="Z174" s="63"/>
      <c r="AA174" s="42">
        <f t="shared" si="375"/>
        <v>0</v>
      </c>
      <c r="AB174" s="42"/>
      <c r="AC174" s="38"/>
      <c r="AD174" s="76"/>
      <c r="AE174" s="76"/>
      <c r="AF174" s="76"/>
      <c r="AG174" s="76"/>
      <c r="AH174" s="76"/>
      <c r="AI174" s="76"/>
      <c r="AJ174" s="76"/>
      <c r="AK174" s="76"/>
      <c r="AL174" s="76">
        <v>9.0</v>
      </c>
      <c r="AM174" s="38">
        <f t="shared" si="371"/>
        <v>9</v>
      </c>
      <c r="AN174" s="38"/>
      <c r="AO174" s="178"/>
      <c r="AP174" s="178"/>
      <c r="AQ174" s="178"/>
      <c r="AR174" s="178"/>
      <c r="AS174" s="178"/>
      <c r="AT174" s="201"/>
      <c r="AU174" s="201"/>
      <c r="AV174" s="201"/>
      <c r="AW174" s="201"/>
      <c r="AX174" s="201"/>
      <c r="AY174" s="178">
        <f t="shared" si="376"/>
        <v>0</v>
      </c>
      <c r="AZ174" s="178"/>
      <c r="BA174" s="72"/>
      <c r="BB174" s="72"/>
      <c r="BC174" s="72"/>
      <c r="BD174" s="72"/>
      <c r="BE174" s="72">
        <v>3.0</v>
      </c>
      <c r="BF174" s="68"/>
      <c r="BG174" s="68"/>
      <c r="BH174" s="68"/>
      <c r="BI174" s="68">
        <v>3.0</v>
      </c>
      <c r="BJ174" s="68"/>
      <c r="BK174" s="72">
        <f t="shared" si="377"/>
        <v>3</v>
      </c>
      <c r="BL174" s="74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 ht="15.75" hidden="1" customHeight="1">
      <c r="A175" s="1"/>
      <c r="B175" s="1"/>
      <c r="C175" s="21"/>
      <c r="D175" s="26" t="s">
        <v>96</v>
      </c>
      <c r="E175" s="66"/>
      <c r="F175" s="66"/>
      <c r="G175" s="66"/>
      <c r="H175" s="66"/>
      <c r="I175" s="66">
        <v>13.0</v>
      </c>
      <c r="J175" s="77"/>
      <c r="K175" s="77">
        <v>1.0</v>
      </c>
      <c r="L175" s="77"/>
      <c r="M175" s="77">
        <v>12.0</v>
      </c>
      <c r="N175" s="77"/>
      <c r="O175" s="66">
        <f t="shared" si="374"/>
        <v>13</v>
      </c>
      <c r="P175" s="42"/>
      <c r="Q175" s="42"/>
      <c r="R175" s="42"/>
      <c r="S175" s="42"/>
      <c r="T175" s="42"/>
      <c r="U175" s="42">
        <v>36.0</v>
      </c>
      <c r="V175" s="63"/>
      <c r="W175" s="63"/>
      <c r="X175" s="63"/>
      <c r="Y175" s="63">
        <v>36.0</v>
      </c>
      <c r="Z175" s="63"/>
      <c r="AA175" s="42">
        <f t="shared" si="375"/>
        <v>36</v>
      </c>
      <c r="AB175" s="42"/>
      <c r="AC175" s="38"/>
      <c r="AD175" s="76"/>
      <c r="AE175" s="76"/>
      <c r="AF175" s="76"/>
      <c r="AG175" s="76"/>
      <c r="AH175" s="76"/>
      <c r="AI175" s="76"/>
      <c r="AJ175" s="76"/>
      <c r="AK175" s="76"/>
      <c r="AL175" s="76">
        <v>36.0</v>
      </c>
      <c r="AM175" s="38">
        <f t="shared" si="371"/>
        <v>36</v>
      </c>
      <c r="AN175" s="38"/>
      <c r="AO175" s="178"/>
      <c r="AP175" s="178"/>
      <c r="AQ175" s="178"/>
      <c r="AR175" s="178"/>
      <c r="AS175" s="178"/>
      <c r="AT175" s="201"/>
      <c r="AU175" s="201"/>
      <c r="AV175" s="201"/>
      <c r="AW175" s="201"/>
      <c r="AX175" s="201"/>
      <c r="AY175" s="178">
        <f t="shared" si="376"/>
        <v>0</v>
      </c>
      <c r="AZ175" s="178"/>
      <c r="BA175" s="72"/>
      <c r="BB175" s="72"/>
      <c r="BC175" s="72"/>
      <c r="BD175" s="72"/>
      <c r="BE175" s="72"/>
      <c r="BF175" s="68"/>
      <c r="BG175" s="68"/>
      <c r="BH175" s="68"/>
      <c r="BI175" s="68"/>
      <c r="BJ175" s="68"/>
      <c r="BK175" s="72">
        <f t="shared" si="377"/>
        <v>0</v>
      </c>
      <c r="BL175" s="74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 ht="15.75" hidden="1" customHeight="1">
      <c r="A176" s="1"/>
      <c r="B176" s="1"/>
      <c r="C176" s="34"/>
      <c r="D176" s="26" t="s">
        <v>135</v>
      </c>
      <c r="E176" s="66"/>
      <c r="F176" s="66"/>
      <c r="G176" s="66"/>
      <c r="H176" s="66"/>
      <c r="I176" s="66"/>
      <c r="J176" s="77"/>
      <c r="K176" s="77"/>
      <c r="L176" s="77"/>
      <c r="M176" s="77"/>
      <c r="N176" s="77"/>
      <c r="O176" s="66">
        <f t="shared" si="374"/>
        <v>0</v>
      </c>
      <c r="P176" s="42"/>
      <c r="Q176" s="42"/>
      <c r="R176" s="42"/>
      <c r="S176" s="42"/>
      <c r="T176" s="42"/>
      <c r="U176" s="42"/>
      <c r="V176" s="63"/>
      <c r="W176" s="63"/>
      <c r="X176" s="63"/>
      <c r="Y176" s="63"/>
      <c r="Z176" s="63"/>
      <c r="AA176" s="42">
        <f t="shared" si="375"/>
        <v>0</v>
      </c>
      <c r="AB176" s="42"/>
      <c r="AC176" s="38">
        <v>2.0</v>
      </c>
      <c r="AD176" s="76"/>
      <c r="AE176" s="76"/>
      <c r="AF176" s="76"/>
      <c r="AG176" s="76"/>
      <c r="AH176" s="76"/>
      <c r="AI176" s="76"/>
      <c r="AJ176" s="76"/>
      <c r="AK176" s="76">
        <v>2.0</v>
      </c>
      <c r="AL176" s="76">
        <v>4.0</v>
      </c>
      <c r="AM176" s="38">
        <f t="shared" si="371"/>
        <v>6</v>
      </c>
      <c r="AN176" s="38"/>
      <c r="AO176" s="178"/>
      <c r="AP176" s="178"/>
      <c r="AQ176" s="178"/>
      <c r="AR176" s="178"/>
      <c r="AS176" s="178"/>
      <c r="AT176" s="201"/>
      <c r="AU176" s="201"/>
      <c r="AV176" s="201"/>
      <c r="AW176" s="201"/>
      <c r="AX176" s="201"/>
      <c r="AY176" s="178">
        <f t="shared" si="376"/>
        <v>0</v>
      </c>
      <c r="AZ176" s="178"/>
      <c r="BA176" s="72"/>
      <c r="BB176" s="72"/>
      <c r="BC176" s="72"/>
      <c r="BD176" s="72"/>
      <c r="BE176" s="72"/>
      <c r="BF176" s="68"/>
      <c r="BG176" s="68"/>
      <c r="BH176" s="68"/>
      <c r="BI176" s="68"/>
      <c r="BJ176" s="68"/>
      <c r="BK176" s="72">
        <f t="shared" si="377"/>
        <v>0</v>
      </c>
      <c r="BL176" s="74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 ht="15.75" hidden="1" customHeight="1">
      <c r="A177" s="1"/>
      <c r="B177" s="1"/>
      <c r="C177" s="34"/>
      <c r="D177" s="26" t="s">
        <v>186</v>
      </c>
      <c r="E177" s="66"/>
      <c r="F177" s="66"/>
      <c r="G177" s="66"/>
      <c r="H177" s="66"/>
      <c r="I177" s="66"/>
      <c r="J177" s="77"/>
      <c r="K177" s="77"/>
      <c r="L177" s="77"/>
      <c r="M177" s="77"/>
      <c r="N177" s="77"/>
      <c r="O177" s="66">
        <f t="shared" si="374"/>
        <v>0</v>
      </c>
      <c r="P177" s="42"/>
      <c r="Q177" s="42"/>
      <c r="R177" s="42"/>
      <c r="S177" s="42"/>
      <c r="T177" s="42"/>
      <c r="U177" s="42"/>
      <c r="V177" s="63"/>
      <c r="W177" s="63"/>
      <c r="X177" s="63"/>
      <c r="Y177" s="63"/>
      <c r="Z177" s="63"/>
      <c r="AA177" s="42">
        <f t="shared" si="375"/>
        <v>0</v>
      </c>
      <c r="AB177" s="42"/>
      <c r="AC177" s="38"/>
      <c r="AD177" s="76"/>
      <c r="AE177" s="76"/>
      <c r="AF177" s="76"/>
      <c r="AG177" s="76"/>
      <c r="AH177" s="76"/>
      <c r="AI177" s="76"/>
      <c r="AJ177" s="76"/>
      <c r="AK177" s="76"/>
      <c r="AL177" s="76"/>
      <c r="AM177" s="38">
        <f t="shared" si="371"/>
        <v>0</v>
      </c>
      <c r="AN177" s="38"/>
      <c r="AO177" s="178"/>
      <c r="AP177" s="178"/>
      <c r="AQ177" s="178"/>
      <c r="AR177" s="178"/>
      <c r="AS177" s="178"/>
      <c r="AT177" s="201"/>
      <c r="AU177" s="201"/>
      <c r="AV177" s="201"/>
      <c r="AW177" s="201"/>
      <c r="AX177" s="201"/>
      <c r="AY177" s="178">
        <f t="shared" si="376"/>
        <v>0</v>
      </c>
      <c r="AZ177" s="178"/>
      <c r="BA177" s="72"/>
      <c r="BB177" s="72"/>
      <c r="BC177" s="72"/>
      <c r="BD177" s="72"/>
      <c r="BE177" s="72">
        <v>15.0</v>
      </c>
      <c r="BF177" s="68"/>
      <c r="BG177" s="68"/>
      <c r="BH177" s="68"/>
      <c r="BI177" s="68">
        <v>15.0</v>
      </c>
      <c r="BJ177" s="68"/>
      <c r="BK177" s="72">
        <f t="shared" si="377"/>
        <v>15</v>
      </c>
      <c r="BL177" s="74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 ht="15.75" hidden="1" customHeight="1">
      <c r="A178" s="1"/>
      <c r="B178" s="1"/>
      <c r="C178" s="34"/>
      <c r="D178" s="26" t="s">
        <v>105</v>
      </c>
      <c r="E178" s="66"/>
      <c r="F178" s="66"/>
      <c r="G178" s="66"/>
      <c r="H178" s="66"/>
      <c r="I178" s="66"/>
      <c r="J178" s="77"/>
      <c r="K178" s="77"/>
      <c r="L178" s="77"/>
      <c r="M178" s="77"/>
      <c r="N178" s="77"/>
      <c r="O178" s="66">
        <f t="shared" si="374"/>
        <v>0</v>
      </c>
      <c r="P178" s="42"/>
      <c r="Q178" s="42"/>
      <c r="R178" s="42"/>
      <c r="S178" s="42"/>
      <c r="T178" s="42"/>
      <c r="U178" s="42"/>
      <c r="V178" s="63"/>
      <c r="W178" s="63"/>
      <c r="X178" s="63"/>
      <c r="Y178" s="63"/>
      <c r="Z178" s="63"/>
      <c r="AA178" s="42">
        <f t="shared" si="375"/>
        <v>0</v>
      </c>
      <c r="AB178" s="42"/>
      <c r="AC178" s="38"/>
      <c r="AD178" s="76"/>
      <c r="AE178" s="76"/>
      <c r="AF178" s="76"/>
      <c r="AG178" s="76"/>
      <c r="AH178" s="76"/>
      <c r="AI178" s="76"/>
      <c r="AJ178" s="76"/>
      <c r="AK178" s="76"/>
      <c r="AL178" s="76"/>
      <c r="AM178" s="38">
        <f t="shared" si="371"/>
        <v>0</v>
      </c>
      <c r="AN178" s="38"/>
      <c r="AO178" s="178"/>
      <c r="AP178" s="178"/>
      <c r="AQ178" s="178"/>
      <c r="AR178" s="178"/>
      <c r="AS178" s="178"/>
      <c r="AT178" s="201"/>
      <c r="AU178" s="201"/>
      <c r="AV178" s="201"/>
      <c r="AW178" s="201"/>
      <c r="AX178" s="201"/>
      <c r="AY178" s="178">
        <f t="shared" si="376"/>
        <v>0</v>
      </c>
      <c r="AZ178" s="178"/>
      <c r="BA178" s="72"/>
      <c r="BB178" s="72"/>
      <c r="BC178" s="72"/>
      <c r="BD178" s="72"/>
      <c r="BE178" s="72">
        <v>3.0</v>
      </c>
      <c r="BF178" s="68"/>
      <c r="BG178" s="68"/>
      <c r="BH178" s="68"/>
      <c r="BI178" s="68">
        <v>3.0</v>
      </c>
      <c r="BJ178" s="68"/>
      <c r="BK178" s="72">
        <f t="shared" si="377"/>
        <v>3</v>
      </c>
      <c r="BL178" s="74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 ht="15.75" hidden="1" customHeight="1">
      <c r="A179" s="1"/>
      <c r="B179" s="1"/>
      <c r="C179" s="34"/>
      <c r="D179" s="26" t="s">
        <v>181</v>
      </c>
      <c r="E179" s="66"/>
      <c r="F179" s="66"/>
      <c r="G179" s="66"/>
      <c r="H179" s="66"/>
      <c r="I179" s="66"/>
      <c r="J179" s="77"/>
      <c r="K179" s="77"/>
      <c r="L179" s="77"/>
      <c r="M179" s="77"/>
      <c r="N179" s="77"/>
      <c r="O179" s="66">
        <f t="shared" si="374"/>
        <v>0</v>
      </c>
      <c r="P179" s="42"/>
      <c r="Q179" s="42"/>
      <c r="R179" s="42"/>
      <c r="S179" s="42"/>
      <c r="T179" s="42"/>
      <c r="U179" s="42"/>
      <c r="V179" s="63"/>
      <c r="W179" s="63"/>
      <c r="X179" s="63"/>
      <c r="Y179" s="63"/>
      <c r="Z179" s="63"/>
      <c r="AA179" s="42">
        <f t="shared" si="375"/>
        <v>0</v>
      </c>
      <c r="AB179" s="42"/>
      <c r="AC179" s="38"/>
      <c r="AD179" s="76"/>
      <c r="AE179" s="76"/>
      <c r="AF179" s="76"/>
      <c r="AG179" s="76"/>
      <c r="AH179" s="76"/>
      <c r="AI179" s="76"/>
      <c r="AJ179" s="76"/>
      <c r="AK179" s="76"/>
      <c r="AL179" s="76"/>
      <c r="AM179" s="38">
        <f t="shared" si="371"/>
        <v>0</v>
      </c>
      <c r="AN179" s="38"/>
      <c r="AO179" s="178"/>
      <c r="AP179" s="178"/>
      <c r="AQ179" s="178"/>
      <c r="AR179" s="178"/>
      <c r="AS179" s="178"/>
      <c r="AT179" s="201"/>
      <c r="AU179" s="201"/>
      <c r="AV179" s="201"/>
      <c r="AW179" s="201"/>
      <c r="AX179" s="201"/>
      <c r="AY179" s="178">
        <f t="shared" si="376"/>
        <v>0</v>
      </c>
      <c r="AZ179" s="178"/>
      <c r="BA179" s="72"/>
      <c r="BB179" s="72"/>
      <c r="BC179" s="72"/>
      <c r="BD179" s="72"/>
      <c r="BE179" s="72">
        <v>6.0</v>
      </c>
      <c r="BF179" s="68"/>
      <c r="BG179" s="68">
        <v>1.0</v>
      </c>
      <c r="BH179" s="68"/>
      <c r="BI179" s="68">
        <v>5.0</v>
      </c>
      <c r="BJ179" s="68"/>
      <c r="BK179" s="72">
        <f t="shared" si="377"/>
        <v>6</v>
      </c>
      <c r="BL179" s="74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 ht="15.75" hidden="1" customHeight="1">
      <c r="A180" s="1"/>
      <c r="B180" s="1"/>
      <c r="C180" s="34"/>
      <c r="D180" s="26" t="s">
        <v>183</v>
      </c>
      <c r="E180" s="66"/>
      <c r="F180" s="66"/>
      <c r="G180" s="66"/>
      <c r="H180" s="66"/>
      <c r="I180" s="66"/>
      <c r="J180" s="77"/>
      <c r="K180" s="77"/>
      <c r="L180" s="77"/>
      <c r="M180" s="77"/>
      <c r="N180" s="77"/>
      <c r="O180" s="66">
        <v>0.0</v>
      </c>
      <c r="P180" s="42"/>
      <c r="Q180" s="42"/>
      <c r="R180" s="42"/>
      <c r="S180" s="42"/>
      <c r="T180" s="42"/>
      <c r="U180" s="42">
        <v>14.0</v>
      </c>
      <c r="V180" s="63"/>
      <c r="W180" s="63"/>
      <c r="X180" s="63"/>
      <c r="Y180" s="63">
        <v>14.0</v>
      </c>
      <c r="Z180" s="63"/>
      <c r="AA180" s="42">
        <f t="shared" si="375"/>
        <v>14</v>
      </c>
      <c r="AB180" s="42"/>
      <c r="AC180" s="38"/>
      <c r="AD180" s="76"/>
      <c r="AE180" s="76"/>
      <c r="AF180" s="76"/>
      <c r="AG180" s="76"/>
      <c r="AH180" s="76"/>
      <c r="AI180" s="76"/>
      <c r="AJ180" s="76"/>
      <c r="AK180" s="76"/>
      <c r="AL180" s="76"/>
      <c r="AM180" s="38">
        <f t="shared" si="371"/>
        <v>0</v>
      </c>
      <c r="AN180" s="38"/>
      <c r="AO180" s="178"/>
      <c r="AP180" s="178"/>
      <c r="AQ180" s="178"/>
      <c r="AR180" s="178"/>
      <c r="AS180" s="178"/>
      <c r="AT180" s="201"/>
      <c r="AU180" s="201"/>
      <c r="AV180" s="201"/>
      <c r="AW180" s="201"/>
      <c r="AX180" s="201"/>
      <c r="AY180" s="178"/>
      <c r="AZ180" s="178"/>
      <c r="BA180" s="72"/>
      <c r="BB180" s="72"/>
      <c r="BC180" s="72"/>
      <c r="BD180" s="72"/>
      <c r="BE180" s="72"/>
      <c r="BF180" s="68"/>
      <c r="BG180" s="68"/>
      <c r="BH180" s="68"/>
      <c r="BI180" s="68"/>
      <c r="BJ180" s="68"/>
      <c r="BK180" s="72"/>
      <c r="BL180" s="74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 ht="15.75" hidden="1" customHeight="1">
      <c r="A181" s="1"/>
      <c r="B181" s="1"/>
      <c r="C181" s="34"/>
      <c r="D181" s="26" t="s">
        <v>136</v>
      </c>
      <c r="E181" s="66"/>
      <c r="F181" s="66"/>
      <c r="G181" s="66"/>
      <c r="H181" s="66"/>
      <c r="I181" s="66"/>
      <c r="J181" s="77"/>
      <c r="K181" s="77"/>
      <c r="L181" s="77"/>
      <c r="M181" s="77"/>
      <c r="N181" s="77"/>
      <c r="O181" s="66">
        <f>SUM(K181:M181)</f>
        <v>0</v>
      </c>
      <c r="P181" s="42"/>
      <c r="Q181" s="42"/>
      <c r="R181" s="42"/>
      <c r="S181" s="42"/>
      <c r="T181" s="42"/>
      <c r="U181" s="42"/>
      <c r="V181" s="63"/>
      <c r="W181" s="63"/>
      <c r="X181" s="63"/>
      <c r="Y181" s="63"/>
      <c r="Z181" s="63"/>
      <c r="AA181" s="42">
        <f t="shared" si="375"/>
        <v>0</v>
      </c>
      <c r="AB181" s="42"/>
      <c r="AC181" s="38">
        <v>4.0</v>
      </c>
      <c r="AD181" s="76"/>
      <c r="AE181" s="76"/>
      <c r="AF181" s="76"/>
      <c r="AG181" s="76"/>
      <c r="AH181" s="76"/>
      <c r="AI181" s="76"/>
      <c r="AJ181" s="76">
        <v>4.0</v>
      </c>
      <c r="AK181" s="76"/>
      <c r="AL181" s="76">
        <v>3.0</v>
      </c>
      <c r="AM181" s="38">
        <f t="shared" si="371"/>
        <v>7</v>
      </c>
      <c r="AN181" s="38"/>
      <c r="AO181" s="178"/>
      <c r="AP181" s="178"/>
      <c r="AQ181" s="178"/>
      <c r="AR181" s="178"/>
      <c r="AS181" s="178"/>
      <c r="AT181" s="201"/>
      <c r="AU181" s="201"/>
      <c r="AV181" s="201"/>
      <c r="AW181" s="201"/>
      <c r="AX181" s="201"/>
      <c r="AY181" s="178">
        <f>SUM(AU181:AW181)</f>
        <v>0</v>
      </c>
      <c r="AZ181" s="178"/>
      <c r="BA181" s="72"/>
      <c r="BB181" s="72"/>
      <c r="BC181" s="72"/>
      <c r="BD181" s="72"/>
      <c r="BE181" s="72"/>
      <c r="BF181" s="68"/>
      <c r="BG181" s="68"/>
      <c r="BH181" s="68"/>
      <c r="BI181" s="68"/>
      <c r="BJ181" s="68"/>
      <c r="BK181" s="72">
        <f>SUM(BG181:BI181)</f>
        <v>0</v>
      </c>
      <c r="BL181" s="74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 ht="15.75" hidden="1" customHeight="1">
      <c r="A182" s="1"/>
      <c r="B182" s="1"/>
      <c r="C182" s="34"/>
      <c r="D182" s="26" t="s">
        <v>190</v>
      </c>
      <c r="E182" s="66"/>
      <c r="F182" s="66"/>
      <c r="G182" s="66"/>
      <c r="H182" s="66"/>
      <c r="I182" s="66"/>
      <c r="J182" s="77"/>
      <c r="K182" s="77"/>
      <c r="L182" s="77"/>
      <c r="M182" s="77"/>
      <c r="N182" s="77"/>
      <c r="O182" s="66">
        <v>0.0</v>
      </c>
      <c r="P182" s="42"/>
      <c r="Q182" s="42"/>
      <c r="R182" s="42"/>
      <c r="S182" s="42"/>
      <c r="T182" s="42"/>
      <c r="U182" s="42">
        <v>1.0</v>
      </c>
      <c r="V182" s="63"/>
      <c r="W182" s="63">
        <v>1.0</v>
      </c>
      <c r="X182" s="63"/>
      <c r="Y182" s="63"/>
      <c r="Z182" s="63"/>
      <c r="AA182" s="42">
        <f t="shared" si="375"/>
        <v>1</v>
      </c>
      <c r="AB182" s="42"/>
      <c r="AC182" s="38"/>
      <c r="AD182" s="76"/>
      <c r="AE182" s="76"/>
      <c r="AF182" s="76"/>
      <c r="AG182" s="76"/>
      <c r="AH182" s="76"/>
      <c r="AI182" s="76"/>
      <c r="AJ182" s="76"/>
      <c r="AK182" s="76"/>
      <c r="AL182" s="76"/>
      <c r="AM182" s="38">
        <f t="shared" si="371"/>
        <v>0</v>
      </c>
      <c r="AN182" s="38"/>
      <c r="AO182" s="178"/>
      <c r="AP182" s="178"/>
      <c r="AQ182" s="178"/>
      <c r="AR182" s="178"/>
      <c r="AS182" s="178"/>
      <c r="AT182" s="201"/>
      <c r="AU182" s="201"/>
      <c r="AV182" s="201"/>
      <c r="AW182" s="201"/>
      <c r="AX182" s="201"/>
      <c r="AY182" s="178"/>
      <c r="AZ182" s="178"/>
      <c r="BA182" s="72"/>
      <c r="BB182" s="72"/>
      <c r="BC182" s="72"/>
      <c r="BD182" s="72"/>
      <c r="BE182" s="72"/>
      <c r="BF182" s="68"/>
      <c r="BG182" s="68"/>
      <c r="BH182" s="68"/>
      <c r="BI182" s="68"/>
      <c r="BJ182" s="68"/>
      <c r="BK182" s="72"/>
      <c r="BL182" s="74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 ht="15.75" hidden="1" customHeight="1">
      <c r="A183" s="1"/>
      <c r="B183" s="1"/>
      <c r="C183" s="34" t="s">
        <v>139</v>
      </c>
      <c r="D183" s="26" t="s">
        <v>191</v>
      </c>
      <c r="E183" s="66"/>
      <c r="F183" s="66"/>
      <c r="G183" s="66"/>
      <c r="H183" s="66"/>
      <c r="I183" s="66"/>
      <c r="J183" s="66"/>
      <c r="K183" s="66"/>
      <c r="L183" s="77"/>
      <c r="M183" s="77"/>
      <c r="N183" s="77"/>
      <c r="O183" s="66">
        <v>0.0</v>
      </c>
      <c r="P183" s="42"/>
      <c r="Q183" s="42"/>
      <c r="R183" s="42"/>
      <c r="S183" s="42"/>
      <c r="T183" s="42"/>
      <c r="U183" s="42">
        <v>1.0</v>
      </c>
      <c r="V183" s="42"/>
      <c r="W183" s="42">
        <v>1.0</v>
      </c>
      <c r="X183" s="63"/>
      <c r="Y183" s="63"/>
      <c r="Z183" s="63"/>
      <c r="AA183" s="42">
        <f t="shared" si="375"/>
        <v>1</v>
      </c>
      <c r="AB183" s="42"/>
      <c r="AC183" s="38"/>
      <c r="AD183" s="38"/>
      <c r="AE183" s="38"/>
      <c r="AF183" s="38"/>
      <c r="AG183" s="38"/>
      <c r="AH183" s="38"/>
      <c r="AI183" s="38"/>
      <c r="AJ183" s="76"/>
      <c r="AK183" s="76"/>
      <c r="AL183" s="76"/>
      <c r="AM183" s="38">
        <f t="shared" si="371"/>
        <v>0</v>
      </c>
      <c r="AN183" s="38"/>
      <c r="AO183" s="178"/>
      <c r="AP183" s="178"/>
      <c r="AQ183" s="178"/>
      <c r="AR183" s="178"/>
      <c r="AS183" s="178"/>
      <c r="AT183" s="178"/>
      <c r="AU183" s="178"/>
      <c r="AV183" s="201"/>
      <c r="AW183" s="201"/>
      <c r="AX183" s="201"/>
      <c r="AY183" s="178">
        <f t="shared" ref="AY183:AY187" si="378">SUM(AU183:AW183)</f>
        <v>0</v>
      </c>
      <c r="AZ183" s="178"/>
      <c r="BA183" s="72"/>
      <c r="BB183" s="72"/>
      <c r="BC183" s="72"/>
      <c r="BD183" s="72"/>
      <c r="BE183" s="72"/>
      <c r="BF183" s="72"/>
      <c r="BG183" s="72"/>
      <c r="BH183" s="68"/>
      <c r="BI183" s="68"/>
      <c r="BJ183" s="68"/>
      <c r="BK183" s="72">
        <f t="shared" ref="BK183:BK187" si="379">SUM(BG183:BI183)</f>
        <v>0</v>
      </c>
      <c r="BL183" s="74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 ht="15.75" hidden="1" customHeight="1">
      <c r="A184" s="1"/>
      <c r="B184" s="1"/>
      <c r="C184" s="13"/>
      <c r="D184" s="26" t="s">
        <v>192</v>
      </c>
      <c r="E184" s="66"/>
      <c r="F184" s="66"/>
      <c r="G184" s="66"/>
      <c r="H184" s="66"/>
      <c r="I184" s="66">
        <v>1.0</v>
      </c>
      <c r="J184" s="66"/>
      <c r="K184" s="66"/>
      <c r="L184" s="77">
        <v>1.0</v>
      </c>
      <c r="M184" s="77"/>
      <c r="N184" s="77"/>
      <c r="O184" s="66">
        <f t="shared" ref="O184:O186" si="380">SUM(K184:M184)</f>
        <v>1</v>
      </c>
      <c r="P184" s="42"/>
      <c r="Q184" s="42"/>
      <c r="R184" s="42"/>
      <c r="S184" s="42"/>
      <c r="T184" s="42"/>
      <c r="U184" s="42"/>
      <c r="V184" s="42"/>
      <c r="W184" s="42"/>
      <c r="X184" s="63"/>
      <c r="Y184" s="63"/>
      <c r="Z184" s="63"/>
      <c r="AA184" s="42">
        <f t="shared" si="375"/>
        <v>0</v>
      </c>
      <c r="AB184" s="42"/>
      <c r="AC184" s="38">
        <v>1.0</v>
      </c>
      <c r="AD184" s="38"/>
      <c r="AE184" s="38"/>
      <c r="AF184" s="38"/>
      <c r="AG184" s="38"/>
      <c r="AH184" s="38"/>
      <c r="AI184" s="38">
        <v>1.0</v>
      </c>
      <c r="AJ184" s="76"/>
      <c r="AK184" s="76"/>
      <c r="AL184" s="76"/>
      <c r="AM184" s="38">
        <f t="shared" si="371"/>
        <v>1</v>
      </c>
      <c r="AN184" s="38"/>
      <c r="AO184" s="178"/>
      <c r="AP184" s="178"/>
      <c r="AQ184" s="178"/>
      <c r="AR184" s="178"/>
      <c r="AS184" s="178"/>
      <c r="AT184" s="178"/>
      <c r="AU184" s="178"/>
      <c r="AV184" s="201"/>
      <c r="AW184" s="201"/>
      <c r="AX184" s="201"/>
      <c r="AY184" s="178">
        <f t="shared" si="378"/>
        <v>0</v>
      </c>
      <c r="AZ184" s="178"/>
      <c r="BA184" s="72"/>
      <c r="BB184" s="72"/>
      <c r="BC184" s="72"/>
      <c r="BD184" s="72"/>
      <c r="BE184" s="72"/>
      <c r="BF184" s="72"/>
      <c r="BG184" s="72"/>
      <c r="BH184" s="68"/>
      <c r="BI184" s="68"/>
      <c r="BJ184" s="68"/>
      <c r="BK184" s="72">
        <f t="shared" si="379"/>
        <v>0</v>
      </c>
      <c r="BL184" s="74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 ht="15.75" hidden="1" customHeight="1">
      <c r="A185" s="1"/>
      <c r="B185" s="1"/>
      <c r="C185" s="21"/>
      <c r="D185" s="26" t="s">
        <v>139</v>
      </c>
      <c r="E185" s="66"/>
      <c r="F185" s="66"/>
      <c r="G185" s="66"/>
      <c r="H185" s="66"/>
      <c r="I185" s="66">
        <v>4.0</v>
      </c>
      <c r="J185" s="77"/>
      <c r="K185" s="77">
        <v>3.0</v>
      </c>
      <c r="L185" s="77"/>
      <c r="M185" s="77">
        <v>1.0</v>
      </c>
      <c r="N185" s="77"/>
      <c r="O185" s="66">
        <f t="shared" si="380"/>
        <v>4</v>
      </c>
      <c r="P185" s="75"/>
      <c r="Q185" s="75"/>
      <c r="R185" s="75"/>
      <c r="S185" s="75"/>
      <c r="T185" s="75"/>
      <c r="U185" s="75">
        <v>2.0</v>
      </c>
      <c r="V185" s="63"/>
      <c r="W185" s="63"/>
      <c r="X185" s="63">
        <v>1.0</v>
      </c>
      <c r="Y185" s="63"/>
      <c r="Z185" s="63"/>
      <c r="AA185" s="42">
        <f t="shared" si="375"/>
        <v>1</v>
      </c>
      <c r="AB185" s="42"/>
      <c r="AC185" s="80"/>
      <c r="AD185" s="76"/>
      <c r="AE185" s="76"/>
      <c r="AF185" s="76"/>
      <c r="AG185" s="76"/>
      <c r="AH185" s="76"/>
      <c r="AI185" s="76"/>
      <c r="AJ185" s="76"/>
      <c r="AK185" s="76"/>
      <c r="AL185" s="76"/>
      <c r="AM185" s="38">
        <f t="shared" si="371"/>
        <v>0</v>
      </c>
      <c r="AN185" s="38"/>
      <c r="AO185" s="178"/>
      <c r="AP185" s="178"/>
      <c r="AQ185" s="178"/>
      <c r="AR185" s="178"/>
      <c r="AS185" s="178">
        <v>2.0</v>
      </c>
      <c r="AT185" s="201"/>
      <c r="AU185" s="201">
        <v>1.0</v>
      </c>
      <c r="AV185" s="201">
        <v>1.0</v>
      </c>
      <c r="AW185" s="201"/>
      <c r="AX185" s="201"/>
      <c r="AY185" s="178">
        <f t="shared" si="378"/>
        <v>2</v>
      </c>
      <c r="AZ185" s="178"/>
      <c r="BA185" s="72"/>
      <c r="BB185" s="72"/>
      <c r="BC185" s="72"/>
      <c r="BD185" s="72"/>
      <c r="BE185" s="72">
        <v>5.0</v>
      </c>
      <c r="BF185" s="68"/>
      <c r="BG185" s="68">
        <v>3.0</v>
      </c>
      <c r="BH185" s="68"/>
      <c r="BI185" s="68">
        <v>2.0</v>
      </c>
      <c r="BJ185" s="68"/>
      <c r="BK185" s="72">
        <f t="shared" si="379"/>
        <v>5</v>
      </c>
      <c r="BL185" s="74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 ht="15.75" hidden="1" customHeight="1">
      <c r="A186" s="1"/>
      <c r="B186" s="1"/>
      <c r="C186" s="24" t="s">
        <v>193</v>
      </c>
      <c r="D186" s="26" t="s">
        <v>193</v>
      </c>
      <c r="E186" s="66"/>
      <c r="F186" s="66"/>
      <c r="G186" s="66"/>
      <c r="H186" s="66"/>
      <c r="I186" s="66">
        <v>1.0</v>
      </c>
      <c r="J186" s="77"/>
      <c r="K186" s="77"/>
      <c r="L186" s="77"/>
      <c r="M186" s="77">
        <v>1.0</v>
      </c>
      <c r="N186" s="77"/>
      <c r="O186" s="66">
        <f t="shared" si="380"/>
        <v>1</v>
      </c>
      <c r="P186" s="42"/>
      <c r="Q186" s="42"/>
      <c r="R186" s="42"/>
      <c r="S186" s="42"/>
      <c r="T186" s="42"/>
      <c r="U186" s="42">
        <v>1.0</v>
      </c>
      <c r="V186" s="63"/>
      <c r="W186" s="63"/>
      <c r="X186" s="63"/>
      <c r="Y186" s="63">
        <v>1.0</v>
      </c>
      <c r="Z186" s="63"/>
      <c r="AA186" s="42">
        <f t="shared" si="375"/>
        <v>1</v>
      </c>
      <c r="AB186" s="42"/>
      <c r="AC186" s="38"/>
      <c r="AD186" s="76"/>
      <c r="AE186" s="76"/>
      <c r="AF186" s="76"/>
      <c r="AG186" s="76"/>
      <c r="AH186" s="76"/>
      <c r="AI186" s="76"/>
      <c r="AJ186" s="76"/>
      <c r="AK186" s="76"/>
      <c r="AL186" s="76">
        <v>1.0</v>
      </c>
      <c r="AM186" s="38">
        <f t="shared" si="371"/>
        <v>1</v>
      </c>
      <c r="AN186" s="38"/>
      <c r="AO186" s="178"/>
      <c r="AP186" s="178"/>
      <c r="AQ186" s="178"/>
      <c r="AR186" s="178"/>
      <c r="AS186" s="178"/>
      <c r="AT186" s="201"/>
      <c r="AU186" s="201"/>
      <c r="AV186" s="201"/>
      <c r="AW186" s="201"/>
      <c r="AX186" s="201"/>
      <c r="AY186" s="178">
        <f t="shared" si="378"/>
        <v>0</v>
      </c>
      <c r="AZ186" s="178"/>
      <c r="BA186" s="72"/>
      <c r="BB186" s="72"/>
      <c r="BC186" s="72"/>
      <c r="BD186" s="72"/>
      <c r="BE186" s="72"/>
      <c r="BF186" s="68"/>
      <c r="BG186" s="68"/>
      <c r="BH186" s="68"/>
      <c r="BI186" s="68"/>
      <c r="BJ186" s="68"/>
      <c r="BK186" s="72">
        <f t="shared" si="379"/>
        <v>0</v>
      </c>
      <c r="BL186" s="74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 ht="15.75" hidden="1" customHeight="1">
      <c r="A187" s="1"/>
      <c r="B187" s="1"/>
      <c r="C187" s="81" t="s">
        <v>110</v>
      </c>
      <c r="D187" s="82"/>
      <c r="E187" s="83"/>
      <c r="F187" s="83"/>
      <c r="G187" s="83"/>
      <c r="H187" s="83"/>
      <c r="I187" s="66">
        <f>SUM(I125:I186)</f>
        <v>124</v>
      </c>
      <c r="J187" s="66"/>
      <c r="K187" s="66">
        <f t="shared" ref="K187:M187" si="381">SUM(K126:K186)</f>
        <v>20</v>
      </c>
      <c r="L187" s="66">
        <f t="shared" si="381"/>
        <v>20</v>
      </c>
      <c r="M187" s="66">
        <f t="shared" si="381"/>
        <v>84</v>
      </c>
      <c r="N187" s="66"/>
      <c r="O187" s="66">
        <f>SUM(O125:O186)</f>
        <v>126</v>
      </c>
      <c r="P187" s="42"/>
      <c r="Q187" s="42"/>
      <c r="R187" s="42"/>
      <c r="S187" s="42"/>
      <c r="T187" s="42"/>
      <c r="U187" s="42">
        <f>SUM(U125:U186)</f>
        <v>144</v>
      </c>
      <c r="V187" s="42"/>
      <c r="W187" s="42">
        <f t="shared" ref="W187:Y187" si="382">SUM(W125:W186)</f>
        <v>16</v>
      </c>
      <c r="X187" s="42">
        <f t="shared" si="382"/>
        <v>16</v>
      </c>
      <c r="Y187" s="42">
        <f t="shared" si="382"/>
        <v>112</v>
      </c>
      <c r="Z187" s="42"/>
      <c r="AA187" s="42">
        <f>SUM(AA125:AA186)</f>
        <v>144</v>
      </c>
      <c r="AB187" s="42"/>
      <c r="AC187" s="38">
        <f>SUM(AC125:AC186)</f>
        <v>40</v>
      </c>
      <c r="AD187" s="38"/>
      <c r="AE187" s="38"/>
      <c r="AF187" s="38"/>
      <c r="AG187" s="38"/>
      <c r="AH187" s="38"/>
      <c r="AI187" s="38">
        <f t="shared" ref="AI187:AL187" si="383">SUM(AI125:AI186)</f>
        <v>2</v>
      </c>
      <c r="AJ187" s="38">
        <f t="shared" si="383"/>
        <v>15</v>
      </c>
      <c r="AK187" s="38">
        <f t="shared" si="383"/>
        <v>23</v>
      </c>
      <c r="AL187" s="38">
        <f t="shared" si="383"/>
        <v>73</v>
      </c>
      <c r="AM187" s="38">
        <f t="shared" si="371"/>
        <v>113</v>
      </c>
      <c r="AN187" s="38"/>
      <c r="AO187" s="178"/>
      <c r="AP187" s="178"/>
      <c r="AQ187" s="178"/>
      <c r="AR187" s="178"/>
      <c r="AS187" s="178">
        <f>SUM(AS125:AS186)</f>
        <v>31</v>
      </c>
      <c r="AT187" s="178"/>
      <c r="AU187" s="178">
        <f t="shared" ref="AU187:AW187" si="384">SUM(AU126:AU186)</f>
        <v>11</v>
      </c>
      <c r="AV187" s="178">
        <f t="shared" si="384"/>
        <v>7</v>
      </c>
      <c r="AW187" s="178">
        <f t="shared" si="384"/>
        <v>9</v>
      </c>
      <c r="AX187" s="178"/>
      <c r="AY187" s="178">
        <f t="shared" si="378"/>
        <v>27</v>
      </c>
      <c r="AZ187" s="178"/>
      <c r="BA187" s="72"/>
      <c r="BB187" s="72"/>
      <c r="BC187" s="72"/>
      <c r="BD187" s="72"/>
      <c r="BE187" s="72">
        <f>SUM(BE125:BE186)</f>
        <v>115</v>
      </c>
      <c r="BF187" s="72"/>
      <c r="BG187" s="72">
        <f t="shared" ref="BG187:BI187" si="385">SUM(BG126:BG186)</f>
        <v>24</v>
      </c>
      <c r="BH187" s="72">
        <f t="shared" si="385"/>
        <v>4</v>
      </c>
      <c r="BI187" s="72">
        <f t="shared" si="385"/>
        <v>87</v>
      </c>
      <c r="BJ187" s="72"/>
      <c r="BK187" s="72">
        <f t="shared" si="379"/>
        <v>115</v>
      </c>
      <c r="BL187" s="74"/>
      <c r="BM187" s="1"/>
      <c r="BN187" s="1"/>
      <c r="BO187" s="67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>
        <f>I187-O187</f>
        <v>-2</v>
      </c>
      <c r="N188" s="1"/>
      <c r="O188" s="67">
        <f>O187/I187</f>
        <v>1.016129032</v>
      </c>
      <c r="P188" s="1"/>
      <c r="Q188" s="1"/>
      <c r="R188" s="1"/>
      <c r="S188" s="1"/>
      <c r="T188" s="1"/>
      <c r="U188" s="1"/>
      <c r="V188" s="1"/>
      <c r="W188" s="1"/>
      <c r="X188" s="1"/>
      <c r="Y188" s="1">
        <f>U187-AA187</f>
        <v>0</v>
      </c>
      <c r="Z188" s="1"/>
      <c r="AA188" s="67">
        <f>AA187/U187</f>
        <v>1</v>
      </c>
      <c r="AB188" s="67"/>
      <c r="AC188" s="1"/>
      <c r="AD188" s="1"/>
      <c r="AE188" s="1"/>
      <c r="AF188" s="1"/>
      <c r="AG188" s="1"/>
      <c r="AH188" s="1"/>
      <c r="AI188" s="1"/>
      <c r="AJ188" s="1"/>
      <c r="AK188" s="1"/>
      <c r="AL188" s="1">
        <f>AC187-AM187</f>
        <v>-73</v>
      </c>
      <c r="AM188" s="67">
        <f>AM187/AC187</f>
        <v>2.825</v>
      </c>
      <c r="AN188" s="67"/>
      <c r="AO188" s="1"/>
      <c r="AP188" s="1"/>
      <c r="AQ188" s="1"/>
      <c r="AR188" s="1"/>
      <c r="AS188" s="1"/>
      <c r="AT188" s="1"/>
      <c r="AU188" s="1"/>
      <c r="AV188" s="1"/>
      <c r="AW188" s="1">
        <f>AS187-AY187</f>
        <v>4</v>
      </c>
      <c r="AX188" s="1"/>
      <c r="AY188" s="67">
        <f>AY187/AS187</f>
        <v>0.8709677419</v>
      </c>
      <c r="AZ188" s="67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 t="s">
        <v>199</v>
      </c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 ht="15.75" hidden="1" customHeight="1">
      <c r="A194" s="1"/>
      <c r="B194" s="1"/>
      <c r="C194" s="1"/>
      <c r="D194" s="1"/>
      <c r="E194" s="59"/>
      <c r="F194" s="59"/>
      <c r="G194" s="59"/>
      <c r="H194" s="59"/>
      <c r="I194" s="59" t="s">
        <v>195</v>
      </c>
      <c r="J194" s="1"/>
      <c r="K194" s="1"/>
      <c r="L194" s="1"/>
      <c r="M194" s="1"/>
      <c r="N194" s="1"/>
      <c r="O194" s="1"/>
      <c r="P194" s="59"/>
      <c r="Q194" s="59"/>
      <c r="R194" s="59"/>
      <c r="S194" s="59"/>
      <c r="T194" s="59"/>
      <c r="U194" s="59" t="s">
        <v>195</v>
      </c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59"/>
      <c r="AP194" s="59"/>
      <c r="AQ194" s="59"/>
      <c r="AR194" s="59"/>
      <c r="AS194" s="59" t="s">
        <v>195</v>
      </c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 ht="15.75" hidden="1" customHeight="1">
      <c r="A195" s="1"/>
      <c r="B195" s="1"/>
      <c r="C195" s="1"/>
      <c r="D195" s="1"/>
      <c r="E195" s="1"/>
      <c r="F195" s="1"/>
      <c r="G195" s="1"/>
      <c r="H195" s="1"/>
      <c r="I195" s="1" t="s">
        <v>196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 t="s">
        <v>200</v>
      </c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 t="s">
        <v>1117</v>
      </c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 ht="15.75" hidden="1" customHeight="1">
      <c r="A196" s="1"/>
      <c r="B196" s="1"/>
      <c r="C196" s="1"/>
      <c r="D196" s="1"/>
      <c r="E196" s="1"/>
      <c r="F196" s="1"/>
      <c r="G196" s="1"/>
      <c r="H196" s="1"/>
      <c r="I196" s="1" t="s">
        <v>197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 t="s">
        <v>201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 t="s">
        <v>1119</v>
      </c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 ht="15.75" hidden="1" customHeight="1">
      <c r="A197" s="1"/>
      <c r="B197" s="1"/>
      <c r="C197" s="1"/>
      <c r="D197" s="1"/>
      <c r="E197" s="1"/>
      <c r="F197" s="1"/>
      <c r="G197" s="1"/>
      <c r="H197" s="1"/>
      <c r="I197" s="1" t="s">
        <v>198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 t="s">
        <v>202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 t="s">
        <v>1121</v>
      </c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85"/>
      <c r="K206" s="85"/>
      <c r="N206" s="85"/>
      <c r="O206" s="85"/>
      <c r="P206" s="1"/>
      <c r="Q206" s="1"/>
      <c r="R206" s="1"/>
      <c r="S206" s="1"/>
      <c r="T206" s="1"/>
      <c r="U206" s="1"/>
      <c r="V206" s="85"/>
      <c r="W206" s="85"/>
      <c r="Z206" s="85"/>
      <c r="AA206" s="85"/>
      <c r="AB206" s="85"/>
      <c r="AC206" s="1"/>
      <c r="AD206" s="85"/>
      <c r="AE206" s="85"/>
      <c r="AF206" s="85"/>
      <c r="AG206" s="85"/>
      <c r="AH206" s="85"/>
      <c r="AI206" s="85"/>
      <c r="AM206" s="85"/>
      <c r="AN206" s="85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86"/>
      <c r="K207" s="86"/>
      <c r="L207" s="86"/>
      <c r="M207" s="86"/>
      <c r="N207" s="86"/>
      <c r="O207" s="86"/>
      <c r="P207" s="1"/>
      <c r="Q207" s="1"/>
      <c r="R207" s="1"/>
      <c r="S207" s="1"/>
      <c r="T207" s="1"/>
      <c r="U207" s="1"/>
      <c r="V207" s="86"/>
      <c r="W207" s="86"/>
      <c r="X207" s="86"/>
      <c r="Y207" s="86"/>
      <c r="Z207" s="86"/>
      <c r="AA207" s="86"/>
      <c r="AB207" s="86"/>
      <c r="AC207" s="1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86"/>
      <c r="K208" s="86"/>
      <c r="L208" s="86"/>
      <c r="M208" s="1"/>
      <c r="N208" s="1"/>
      <c r="O208" s="1"/>
      <c r="P208" s="1"/>
      <c r="Q208" s="1"/>
      <c r="R208" s="1"/>
      <c r="S208" s="1"/>
      <c r="T208" s="1"/>
      <c r="U208" s="1"/>
      <c r="V208" s="86"/>
      <c r="W208" s="86"/>
      <c r="X208" s="86"/>
      <c r="Y208" s="1"/>
      <c r="Z208" s="1"/>
      <c r="AA208" s="1"/>
      <c r="AB208" s="1"/>
      <c r="AC208" s="1"/>
      <c r="AD208" s="86"/>
      <c r="AE208" s="86"/>
      <c r="AF208" s="86"/>
      <c r="AG208" s="86"/>
      <c r="AH208" s="86"/>
      <c r="AI208" s="86"/>
      <c r="AJ208" s="86"/>
      <c r="AK208" s="86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86"/>
      <c r="K209" s="86"/>
      <c r="L209" s="86"/>
      <c r="M209" s="86"/>
      <c r="N209" s="86"/>
      <c r="O209" s="86"/>
      <c r="P209" s="1"/>
      <c r="Q209" s="1"/>
      <c r="R209" s="1"/>
      <c r="S209" s="1"/>
      <c r="T209" s="1"/>
      <c r="U209" s="1"/>
      <c r="V209" s="86"/>
      <c r="W209" s="86"/>
      <c r="X209" s="86"/>
      <c r="Y209" s="86"/>
      <c r="Z209" s="86"/>
      <c r="AA209" s="86"/>
      <c r="AB209" s="86"/>
      <c r="AC209" s="1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87"/>
      <c r="K210" s="8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87"/>
      <c r="W210" s="87"/>
      <c r="X210" s="1"/>
      <c r="Y210" s="1"/>
      <c r="Z210" s="1"/>
      <c r="AA210" s="1"/>
      <c r="AB210" s="1"/>
      <c r="AC210" s="1"/>
      <c r="AD210" s="87"/>
      <c r="AE210" s="87"/>
      <c r="AF210" s="87"/>
      <c r="AG210" s="87"/>
      <c r="AH210" s="87"/>
      <c r="AI210" s="87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86"/>
      <c r="K211" s="86"/>
      <c r="L211" s="86"/>
      <c r="M211" s="1"/>
      <c r="N211" s="1"/>
      <c r="O211" s="1"/>
      <c r="P211" s="1"/>
      <c r="Q211" s="1"/>
      <c r="R211" s="1"/>
      <c r="S211" s="1"/>
      <c r="T211" s="1"/>
      <c r="U211" s="1"/>
      <c r="V211" s="86"/>
      <c r="W211" s="86"/>
      <c r="X211" s="86"/>
      <c r="Y211" s="1"/>
      <c r="Z211" s="1"/>
      <c r="AA211" s="1"/>
      <c r="AB211" s="1"/>
      <c r="AC211" s="1"/>
      <c r="AD211" s="86"/>
      <c r="AE211" s="86"/>
      <c r="AF211" s="86"/>
      <c r="AG211" s="86"/>
      <c r="AH211" s="86"/>
      <c r="AI211" s="86"/>
      <c r="AJ211" s="86"/>
      <c r="AK211" s="86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</sheetData>
  <mergeCells count="180">
    <mergeCell ref="BY3:CJ3"/>
    <mergeCell ref="CK3:CV3"/>
    <mergeCell ref="C2:M2"/>
    <mergeCell ref="E3:P3"/>
    <mergeCell ref="Q3:AB3"/>
    <mergeCell ref="AC3:AN3"/>
    <mergeCell ref="AO3:AZ3"/>
    <mergeCell ref="BA3:BL3"/>
    <mergeCell ref="BM3:BX3"/>
    <mergeCell ref="AI4:AN4"/>
    <mergeCell ref="AO4:AT4"/>
    <mergeCell ref="AU4:AZ4"/>
    <mergeCell ref="BA4:BF4"/>
    <mergeCell ref="BG4:BL4"/>
    <mergeCell ref="BM4:BR4"/>
    <mergeCell ref="BS4:BX4"/>
    <mergeCell ref="E5:E7"/>
    <mergeCell ref="F5:F7"/>
    <mergeCell ref="G5:G7"/>
    <mergeCell ref="H5:H7"/>
    <mergeCell ref="I5:I7"/>
    <mergeCell ref="J5:J7"/>
    <mergeCell ref="AA5:AA7"/>
    <mergeCell ref="AB5:AB7"/>
    <mergeCell ref="AC5:AC7"/>
    <mergeCell ref="AD5:AD7"/>
    <mergeCell ref="AE5:AE7"/>
    <mergeCell ref="CP5:CP7"/>
    <mergeCell ref="CQ5:CQ7"/>
    <mergeCell ref="CR5:CR7"/>
    <mergeCell ref="CS5:CS7"/>
    <mergeCell ref="CT5:CT7"/>
    <mergeCell ref="CU5:CU7"/>
    <mergeCell ref="CV5:CV7"/>
    <mergeCell ref="BS5:BS7"/>
    <mergeCell ref="BT5:BT7"/>
    <mergeCell ref="CK5:CK7"/>
    <mergeCell ref="CL5:CL7"/>
    <mergeCell ref="CM5:CM7"/>
    <mergeCell ref="CN5:CN7"/>
    <mergeCell ref="CO5:CO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M122:M124"/>
    <mergeCell ref="O122:O124"/>
    <mergeCell ref="M5:M7"/>
    <mergeCell ref="N5:N7"/>
    <mergeCell ref="K120:M120"/>
    <mergeCell ref="I121:O121"/>
    <mergeCell ref="I122:I124"/>
    <mergeCell ref="K122:K124"/>
    <mergeCell ref="L122:L124"/>
    <mergeCell ref="O5:O7"/>
    <mergeCell ref="P5:P7"/>
    <mergeCell ref="Q5:Q7"/>
    <mergeCell ref="R5:R7"/>
    <mergeCell ref="S5:S7"/>
    <mergeCell ref="T5:T7"/>
    <mergeCell ref="U5:U7"/>
    <mergeCell ref="V5:V7"/>
    <mergeCell ref="K5:K7"/>
    <mergeCell ref="L5:L7"/>
    <mergeCell ref="C9:C10"/>
    <mergeCell ref="C11:C15"/>
    <mergeCell ref="C16:C19"/>
    <mergeCell ref="C21:C30"/>
    <mergeCell ref="C31:C37"/>
    <mergeCell ref="W5:W7"/>
    <mergeCell ref="X5:X7"/>
    <mergeCell ref="W120:Y120"/>
    <mergeCell ref="U121:AA121"/>
    <mergeCell ref="U122:U124"/>
    <mergeCell ref="W122:W124"/>
    <mergeCell ref="X122:X124"/>
    <mergeCell ref="C183:C185"/>
    <mergeCell ref="K206:M206"/>
    <mergeCell ref="W206:Y206"/>
    <mergeCell ref="AI206:AL206"/>
    <mergeCell ref="Y122:Y124"/>
    <mergeCell ref="AA122:AA124"/>
    <mergeCell ref="C133:C138"/>
    <mergeCell ref="C139:C142"/>
    <mergeCell ref="C145:C146"/>
    <mergeCell ref="C148:C151"/>
    <mergeCell ref="C152:C175"/>
    <mergeCell ref="Y5:Y7"/>
    <mergeCell ref="Z5:Z7"/>
    <mergeCell ref="C4:C7"/>
    <mergeCell ref="D4:D7"/>
    <mergeCell ref="E4:J4"/>
    <mergeCell ref="K4:P4"/>
    <mergeCell ref="Q4:V4"/>
    <mergeCell ref="W4:AB4"/>
    <mergeCell ref="AC4:AH4"/>
    <mergeCell ref="AF5:AF7"/>
    <mergeCell ref="AG5:AG7"/>
    <mergeCell ref="AH5:AH7"/>
    <mergeCell ref="AI5:AI7"/>
    <mergeCell ref="AJ5:AJ7"/>
    <mergeCell ref="AK5:AK7"/>
    <mergeCell ref="AL5:AL7"/>
    <mergeCell ref="AK122:AK124"/>
    <mergeCell ref="AL122:AL124"/>
    <mergeCell ref="AM5:AM7"/>
    <mergeCell ref="AN5:AN7"/>
    <mergeCell ref="AI120:AL120"/>
    <mergeCell ref="AC121:AM121"/>
    <mergeCell ref="AC122:AC124"/>
    <mergeCell ref="AI122:AI124"/>
    <mergeCell ref="AJ122:AJ124"/>
    <mergeCell ref="AM122:AM124"/>
    <mergeCell ref="AV5:AV7"/>
    <mergeCell ref="AW5:AW7"/>
    <mergeCell ref="AS121:AY121"/>
    <mergeCell ref="AS122:AS124"/>
    <mergeCell ref="AU122:AU124"/>
    <mergeCell ref="AV122:AV124"/>
    <mergeCell ref="AW122:AW124"/>
    <mergeCell ref="AY122:AY124"/>
    <mergeCell ref="AO5:AO7"/>
    <mergeCell ref="AP5:AP7"/>
    <mergeCell ref="AQ5:AQ7"/>
    <mergeCell ref="AR5:AR7"/>
    <mergeCell ref="AS5:AS7"/>
    <mergeCell ref="AT5:AT7"/>
    <mergeCell ref="AU5:AU7"/>
    <mergeCell ref="BE5:BE7"/>
    <mergeCell ref="BF5:BF7"/>
    <mergeCell ref="AX5:AX7"/>
    <mergeCell ref="AY5:AY7"/>
    <mergeCell ref="AZ5:AZ7"/>
    <mergeCell ref="BA5:BA7"/>
    <mergeCell ref="BB5:BB7"/>
    <mergeCell ref="BC5:BC7"/>
    <mergeCell ref="BD5:BD7"/>
    <mergeCell ref="BN5:BN7"/>
    <mergeCell ref="BO5:BO7"/>
    <mergeCell ref="BE121:BK121"/>
    <mergeCell ref="BE122:BE124"/>
    <mergeCell ref="BG122:BG124"/>
    <mergeCell ref="BH122:BH124"/>
    <mergeCell ref="BI122:BI124"/>
    <mergeCell ref="BK122:BK124"/>
    <mergeCell ref="BG5:BG7"/>
    <mergeCell ref="BH5:BH7"/>
    <mergeCell ref="BI5:BI7"/>
    <mergeCell ref="BJ5:BJ7"/>
    <mergeCell ref="BK5:BK7"/>
    <mergeCell ref="BL5:BL7"/>
    <mergeCell ref="BM5:BM7"/>
    <mergeCell ref="CI5:CI7"/>
    <mergeCell ref="CJ5:CJ7"/>
    <mergeCell ref="BY4:CD4"/>
    <mergeCell ref="CE4:CJ4"/>
    <mergeCell ref="CK4:CP4"/>
    <mergeCell ref="CQ4:CV4"/>
    <mergeCell ref="BP5:BP7"/>
    <mergeCell ref="BQ5:BQ7"/>
    <mergeCell ref="BR5:BR7"/>
    <mergeCell ref="C127:C129"/>
    <mergeCell ref="C130:C131"/>
    <mergeCell ref="C39:C41"/>
    <mergeCell ref="C42:C44"/>
    <mergeCell ref="C45:C87"/>
    <mergeCell ref="C88:C91"/>
    <mergeCell ref="C92:D92"/>
    <mergeCell ref="C121:C124"/>
    <mergeCell ref="D121:D124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Col="2"/>
  <cols>
    <col customWidth="1" min="1" max="6" width="14.43"/>
  </cols>
  <sheetData>
    <row r="1">
      <c r="A1" s="146"/>
      <c r="B1" s="149" t="s">
        <v>696</v>
      </c>
      <c r="C1" s="151"/>
      <c r="D1" s="151"/>
      <c r="E1" s="151"/>
      <c r="F1" s="151"/>
      <c r="G1" s="151"/>
      <c r="H1" s="146"/>
      <c r="I1" s="146"/>
      <c r="J1" s="146"/>
      <c r="K1" s="146"/>
      <c r="L1" s="146"/>
      <c r="M1" s="146"/>
      <c r="N1" s="146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</row>
    <row r="2">
      <c r="A2" s="155"/>
      <c r="B2" s="156" t="s">
        <v>670</v>
      </c>
      <c r="C2" s="157" t="s">
        <v>723</v>
      </c>
      <c r="D2" s="158"/>
      <c r="E2" s="157" t="s">
        <v>726</v>
      </c>
      <c r="F2" s="158"/>
      <c r="G2" s="156" t="s">
        <v>727</v>
      </c>
      <c r="H2" s="146"/>
      <c r="I2" s="146"/>
      <c r="J2" s="146"/>
      <c r="K2" s="146"/>
      <c r="L2" s="146"/>
      <c r="M2" s="146"/>
      <c r="N2" s="146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</row>
    <row r="3">
      <c r="A3" s="155"/>
      <c r="B3" s="160"/>
      <c r="C3" s="161" t="s">
        <v>143</v>
      </c>
      <c r="D3" s="161" t="s">
        <v>145</v>
      </c>
      <c r="E3" s="161" t="s">
        <v>143</v>
      </c>
      <c r="F3" s="161" t="s">
        <v>145</v>
      </c>
      <c r="G3" s="160"/>
      <c r="H3" s="146"/>
      <c r="I3" s="146"/>
      <c r="J3" s="146"/>
      <c r="K3" s="146"/>
      <c r="L3" s="146"/>
      <c r="M3" s="146"/>
      <c r="N3" s="146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</row>
    <row r="4">
      <c r="A4" s="155"/>
      <c r="B4" s="163" t="s">
        <v>734</v>
      </c>
      <c r="C4" s="164">
        <v>19.0</v>
      </c>
      <c r="D4" s="164">
        <v>16.0</v>
      </c>
      <c r="E4" s="164">
        <v>4.0</v>
      </c>
      <c r="F4" s="164">
        <v>2.0</v>
      </c>
      <c r="G4" s="164">
        <f t="shared" ref="G4:G8" si="1">SUM(C4:F4)</f>
        <v>41</v>
      </c>
      <c r="H4" s="146">
        <v>41.0</v>
      </c>
      <c r="I4" s="146" t="s">
        <v>747</v>
      </c>
      <c r="J4" s="146"/>
      <c r="K4" s="146"/>
      <c r="L4" s="146"/>
      <c r="M4" s="146"/>
      <c r="N4" s="146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</row>
    <row r="5">
      <c r="A5" s="155"/>
      <c r="B5" s="163" t="s">
        <v>751</v>
      </c>
      <c r="C5" s="164">
        <v>17.0</v>
      </c>
      <c r="D5" s="164">
        <v>12.0</v>
      </c>
      <c r="E5" s="164">
        <v>1.0</v>
      </c>
      <c r="F5" s="164">
        <v>3.0</v>
      </c>
      <c r="G5" s="164">
        <f t="shared" si="1"/>
        <v>33</v>
      </c>
      <c r="H5" s="146">
        <v>33.0</v>
      </c>
      <c r="I5" s="146" t="s">
        <v>747</v>
      </c>
      <c r="J5" s="146"/>
      <c r="K5" s="146"/>
      <c r="L5" s="146"/>
      <c r="M5" s="146"/>
      <c r="N5" s="146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</row>
    <row r="6">
      <c r="A6" s="155"/>
      <c r="B6" s="163" t="s">
        <v>759</v>
      </c>
      <c r="C6" s="164">
        <v>15.0</v>
      </c>
      <c r="D6" s="164">
        <v>15.0</v>
      </c>
      <c r="E6" s="164">
        <v>0.0</v>
      </c>
      <c r="F6" s="164">
        <v>3.0</v>
      </c>
      <c r="G6" s="164">
        <f t="shared" si="1"/>
        <v>33</v>
      </c>
      <c r="H6" s="146">
        <v>33.0</v>
      </c>
      <c r="I6" s="146" t="s">
        <v>747</v>
      </c>
      <c r="J6" s="146"/>
      <c r="K6" s="146"/>
      <c r="L6" s="146"/>
      <c r="M6" s="146"/>
      <c r="N6" s="146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</row>
    <row r="7">
      <c r="A7" s="155"/>
      <c r="B7" s="163" t="s">
        <v>768</v>
      </c>
      <c r="C7" s="164">
        <v>2.0</v>
      </c>
      <c r="D7" s="164">
        <v>1.0</v>
      </c>
      <c r="E7" s="164">
        <v>2.0</v>
      </c>
      <c r="F7" s="164">
        <v>0.0</v>
      </c>
      <c r="G7" s="164">
        <f t="shared" si="1"/>
        <v>5</v>
      </c>
      <c r="H7" s="146">
        <v>5.0</v>
      </c>
      <c r="I7" s="146" t="s">
        <v>747</v>
      </c>
      <c r="J7" s="146"/>
      <c r="K7" s="146"/>
      <c r="L7" s="146"/>
      <c r="M7" s="146"/>
      <c r="N7" s="146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</row>
    <row r="8">
      <c r="A8" s="155"/>
      <c r="B8" s="163" t="s">
        <v>348</v>
      </c>
      <c r="C8" s="164">
        <v>19.0</v>
      </c>
      <c r="D8" s="164">
        <v>4.0</v>
      </c>
      <c r="E8" s="164">
        <v>5.0</v>
      </c>
      <c r="F8" s="164">
        <v>0.0</v>
      </c>
      <c r="G8" s="164">
        <f t="shared" si="1"/>
        <v>28</v>
      </c>
      <c r="H8" s="146">
        <v>28.0</v>
      </c>
      <c r="I8" s="146" t="s">
        <v>747</v>
      </c>
      <c r="J8" s="146"/>
      <c r="K8" s="146"/>
      <c r="L8" s="146"/>
      <c r="M8" s="146"/>
      <c r="N8" s="146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</row>
    <row r="9">
      <c r="A9" s="155"/>
      <c r="B9" s="163" t="s">
        <v>727</v>
      </c>
      <c r="C9" s="164">
        <f t="shared" ref="C9:G9" si="2">SUM(C4:C8)</f>
        <v>72</v>
      </c>
      <c r="D9" s="164">
        <f t="shared" si="2"/>
        <v>48</v>
      </c>
      <c r="E9" s="164">
        <f t="shared" si="2"/>
        <v>12</v>
      </c>
      <c r="F9" s="164">
        <f t="shared" si="2"/>
        <v>8</v>
      </c>
      <c r="G9" s="164">
        <f t="shared" si="2"/>
        <v>140</v>
      </c>
      <c r="H9" s="146"/>
      <c r="I9" s="146"/>
      <c r="J9" s="146"/>
      <c r="K9" s="146"/>
      <c r="L9" s="146"/>
      <c r="M9" s="146"/>
      <c r="N9" s="146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</row>
    <row r="10">
      <c r="A10" s="155"/>
      <c r="B10" s="169"/>
      <c r="C10" s="157">
        <f>SUM(C9:D9)</f>
        <v>120</v>
      </c>
      <c r="D10" s="158"/>
      <c r="E10" s="157">
        <f>SUM(E9:F9)</f>
        <v>20</v>
      </c>
      <c r="F10" s="158"/>
      <c r="G10" s="161">
        <f>C10+E10</f>
        <v>140</v>
      </c>
      <c r="H10" s="146"/>
      <c r="I10" s="146"/>
      <c r="J10" s="146"/>
      <c r="K10" s="146"/>
      <c r="L10" s="146"/>
      <c r="M10" s="146"/>
      <c r="N10" s="146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</row>
    <row r="11">
      <c r="A11" s="146"/>
      <c r="B11" s="151"/>
      <c r="C11" s="174"/>
      <c r="D11" s="151"/>
      <c r="E11" s="174"/>
      <c r="F11" s="151"/>
      <c r="G11" s="151"/>
      <c r="H11" s="151"/>
      <c r="I11" s="151"/>
      <c r="J11" s="151"/>
      <c r="K11" s="151"/>
      <c r="L11" s="151"/>
      <c r="M11" s="146"/>
      <c r="N11" s="146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</row>
    <row r="12">
      <c r="A12" s="155"/>
      <c r="B12" s="175" t="s">
        <v>233</v>
      </c>
      <c r="C12" s="176"/>
      <c r="D12" s="176"/>
      <c r="E12" s="176"/>
      <c r="F12" s="176"/>
      <c r="G12" s="176"/>
      <c r="H12" s="176"/>
      <c r="I12" s="176"/>
      <c r="J12" s="176"/>
      <c r="K12" s="176"/>
      <c r="L12" s="158"/>
      <c r="M12" s="146"/>
      <c r="N12" s="146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</row>
    <row r="13">
      <c r="A13" s="155"/>
      <c r="B13" s="156" t="s">
        <v>230</v>
      </c>
      <c r="C13" s="156" t="s">
        <v>670</v>
      </c>
      <c r="D13" s="157" t="s">
        <v>233</v>
      </c>
      <c r="E13" s="176"/>
      <c r="F13" s="176"/>
      <c r="G13" s="176"/>
      <c r="H13" s="176"/>
      <c r="I13" s="176"/>
      <c r="J13" s="158"/>
      <c r="K13" s="169"/>
      <c r="L13" s="156" t="s">
        <v>727</v>
      </c>
      <c r="M13" s="146"/>
      <c r="N13" s="146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</row>
    <row r="14">
      <c r="A14" s="155"/>
      <c r="B14" s="160"/>
      <c r="C14" s="160"/>
      <c r="D14" s="161" t="s">
        <v>816</v>
      </c>
      <c r="E14" s="161" t="s">
        <v>246</v>
      </c>
      <c r="F14" s="161" t="s">
        <v>275</v>
      </c>
      <c r="G14" s="161" t="s">
        <v>818</v>
      </c>
      <c r="H14" s="161" t="s">
        <v>502</v>
      </c>
      <c r="I14" s="161" t="s">
        <v>541</v>
      </c>
      <c r="J14" s="161" t="s">
        <v>568</v>
      </c>
      <c r="K14" s="161" t="s">
        <v>821</v>
      </c>
      <c r="L14" s="160"/>
      <c r="M14" s="146"/>
      <c r="N14" s="146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</row>
    <row r="15">
      <c r="A15" s="155"/>
      <c r="B15" s="164">
        <v>1.0</v>
      </c>
      <c r="C15" s="163" t="s">
        <v>734</v>
      </c>
      <c r="D15" s="164">
        <v>2.0</v>
      </c>
      <c r="E15" s="164">
        <v>12.0</v>
      </c>
      <c r="F15" s="164">
        <v>5.0</v>
      </c>
      <c r="G15" s="164">
        <v>0.0</v>
      </c>
      <c r="H15" s="164">
        <v>1.0</v>
      </c>
      <c r="I15" s="164">
        <v>21.0</v>
      </c>
      <c r="J15" s="164">
        <v>0.0</v>
      </c>
      <c r="K15" s="164">
        <v>0.0</v>
      </c>
      <c r="L15" s="164">
        <f t="shared" ref="L15:L19" si="3">SUM(D15:K15)</f>
        <v>41</v>
      </c>
      <c r="M15" s="146">
        <v>41.0</v>
      </c>
      <c r="N15" s="146" t="s">
        <v>747</v>
      </c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</row>
    <row r="16">
      <c r="A16" s="155"/>
      <c r="B16" s="164">
        <v>2.0</v>
      </c>
      <c r="C16" s="163" t="s">
        <v>751</v>
      </c>
      <c r="D16" s="164">
        <v>0.0</v>
      </c>
      <c r="E16" s="164">
        <v>7.0</v>
      </c>
      <c r="F16" s="164">
        <v>3.0</v>
      </c>
      <c r="G16" s="164">
        <v>0.0</v>
      </c>
      <c r="H16" s="164">
        <v>0.0</v>
      </c>
      <c r="I16" s="164">
        <v>21.0</v>
      </c>
      <c r="J16" s="164">
        <v>2.0</v>
      </c>
      <c r="K16" s="164">
        <v>0.0</v>
      </c>
      <c r="L16" s="164">
        <f t="shared" si="3"/>
        <v>33</v>
      </c>
      <c r="M16" s="146">
        <v>33.0</v>
      </c>
      <c r="N16" s="146" t="s">
        <v>747</v>
      </c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</row>
    <row r="17">
      <c r="A17" s="155"/>
      <c r="B17" s="164">
        <v>3.0</v>
      </c>
      <c r="C17" s="163" t="s">
        <v>753</v>
      </c>
      <c r="D17" s="164">
        <v>0.0</v>
      </c>
      <c r="E17" s="164">
        <v>6.0</v>
      </c>
      <c r="F17" s="164">
        <v>3.0</v>
      </c>
      <c r="G17" s="164">
        <v>0.0</v>
      </c>
      <c r="H17" s="164">
        <v>0.0</v>
      </c>
      <c r="I17" s="164">
        <v>24.0</v>
      </c>
      <c r="J17" s="164">
        <v>0.0</v>
      </c>
      <c r="K17" s="164">
        <v>0.0</v>
      </c>
      <c r="L17" s="164">
        <f t="shared" si="3"/>
        <v>33</v>
      </c>
      <c r="M17" s="146">
        <v>33.0</v>
      </c>
      <c r="N17" s="146" t="s">
        <v>747</v>
      </c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</row>
    <row r="18">
      <c r="A18" s="155"/>
      <c r="B18" s="164">
        <v>4.0</v>
      </c>
      <c r="C18" s="163" t="s">
        <v>768</v>
      </c>
      <c r="D18" s="164">
        <v>0.0</v>
      </c>
      <c r="E18" s="164">
        <v>2.0</v>
      </c>
      <c r="F18" s="164">
        <v>1.0</v>
      </c>
      <c r="G18" s="164">
        <v>0.0</v>
      </c>
      <c r="H18" s="164">
        <v>0.0</v>
      </c>
      <c r="I18" s="164">
        <v>2.0</v>
      </c>
      <c r="J18" s="164">
        <v>0.0</v>
      </c>
      <c r="K18" s="164">
        <v>0.0</v>
      </c>
      <c r="L18" s="164">
        <f t="shared" si="3"/>
        <v>5</v>
      </c>
      <c r="M18" s="146">
        <v>5.0</v>
      </c>
      <c r="N18" s="146" t="s">
        <v>747</v>
      </c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</row>
    <row r="19">
      <c r="A19" s="155"/>
      <c r="B19" s="164">
        <v>5.0</v>
      </c>
      <c r="C19" s="163" t="s">
        <v>348</v>
      </c>
      <c r="D19" s="164">
        <v>0.0</v>
      </c>
      <c r="E19" s="164">
        <v>5.0</v>
      </c>
      <c r="F19" s="164">
        <v>1.0</v>
      </c>
      <c r="G19" s="164">
        <v>0.0</v>
      </c>
      <c r="H19" s="164">
        <v>0.0</v>
      </c>
      <c r="I19" s="164">
        <v>22.0</v>
      </c>
      <c r="J19" s="164">
        <v>0.0</v>
      </c>
      <c r="K19" s="164">
        <v>0.0</v>
      </c>
      <c r="L19" s="164">
        <f t="shared" si="3"/>
        <v>28</v>
      </c>
      <c r="M19" s="146">
        <v>28.0</v>
      </c>
      <c r="N19" s="146" t="s">
        <v>747</v>
      </c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</row>
    <row r="20">
      <c r="A20" s="155"/>
      <c r="B20" s="157" t="s">
        <v>727</v>
      </c>
      <c r="C20" s="158"/>
      <c r="D20" s="161">
        <f t="shared" ref="D20:L20" si="4">SUM(D15:D19)</f>
        <v>2</v>
      </c>
      <c r="E20" s="161">
        <f t="shared" si="4"/>
        <v>32</v>
      </c>
      <c r="F20" s="161">
        <f t="shared" si="4"/>
        <v>13</v>
      </c>
      <c r="G20" s="161">
        <f t="shared" si="4"/>
        <v>0</v>
      </c>
      <c r="H20" s="161">
        <f t="shared" si="4"/>
        <v>1</v>
      </c>
      <c r="I20" s="161">
        <f t="shared" si="4"/>
        <v>90</v>
      </c>
      <c r="J20" s="161">
        <f t="shared" si="4"/>
        <v>2</v>
      </c>
      <c r="K20" s="161">
        <f t="shared" si="4"/>
        <v>0</v>
      </c>
      <c r="L20" s="161">
        <f t="shared" si="4"/>
        <v>140</v>
      </c>
      <c r="M20" s="146"/>
      <c r="N20" s="146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</row>
    <row r="21" ht="15.75" customHeight="1">
      <c r="A21" s="155"/>
      <c r="B21" s="157" t="s">
        <v>856</v>
      </c>
      <c r="C21" s="158"/>
      <c r="D21" s="179">
        <f>D20/L20</f>
        <v>0.01428571429</v>
      </c>
      <c r="E21" s="179">
        <f>E20/L20</f>
        <v>0.2285714286</v>
      </c>
      <c r="F21" s="179">
        <f>F20/L20</f>
        <v>0.09285714286</v>
      </c>
      <c r="G21" s="179">
        <f>G20/L20</f>
        <v>0</v>
      </c>
      <c r="H21" s="179">
        <f>H20/L20</f>
        <v>0.007142857143</v>
      </c>
      <c r="I21" s="179">
        <f>I20/L20</f>
        <v>0.6428571429</v>
      </c>
      <c r="J21" s="179">
        <f>J20/L20</f>
        <v>0.01428571429</v>
      </c>
      <c r="K21" s="179">
        <f>K20/L20</f>
        <v>0</v>
      </c>
      <c r="L21" s="179">
        <f>SUM(D21:K21)</f>
        <v>1</v>
      </c>
      <c r="M21" s="146"/>
      <c r="N21" s="146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</row>
    <row r="22" ht="15.75" customHeight="1">
      <c r="A22" s="146"/>
      <c r="B22" s="151"/>
      <c r="C22" s="151"/>
      <c r="D22" s="151"/>
      <c r="E22" s="151"/>
      <c r="F22" s="151"/>
      <c r="G22" s="151"/>
      <c r="H22" s="151"/>
      <c r="I22" s="146"/>
      <c r="J22" s="146"/>
      <c r="K22" s="146"/>
      <c r="L22" s="146"/>
      <c r="M22" s="146"/>
      <c r="N22" s="146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</row>
    <row r="23" ht="15.75" customHeight="1">
      <c r="A23" s="155"/>
      <c r="B23" s="161" t="s">
        <v>891</v>
      </c>
      <c r="C23" s="157" t="s">
        <v>893</v>
      </c>
      <c r="D23" s="176"/>
      <c r="E23" s="176"/>
      <c r="F23" s="176"/>
      <c r="G23" s="176"/>
      <c r="H23" s="158"/>
      <c r="I23" s="146"/>
      <c r="J23" s="146"/>
      <c r="K23" s="146"/>
      <c r="L23" s="146"/>
      <c r="M23" s="146"/>
      <c r="N23" s="146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</row>
    <row r="24" ht="15.75" customHeight="1">
      <c r="A24" s="155"/>
      <c r="B24" s="161" t="s">
        <v>902</v>
      </c>
      <c r="C24" s="161" t="s">
        <v>903</v>
      </c>
      <c r="D24" s="161" t="s">
        <v>904</v>
      </c>
      <c r="E24" s="161" t="s">
        <v>905</v>
      </c>
      <c r="F24" s="161" t="s">
        <v>906</v>
      </c>
      <c r="G24" s="161" t="s">
        <v>907</v>
      </c>
      <c r="H24" s="161" t="s">
        <v>405</v>
      </c>
      <c r="I24" s="146"/>
      <c r="J24" s="146"/>
      <c r="K24" s="146"/>
      <c r="L24" s="146"/>
      <c r="M24" s="146"/>
      <c r="N24" s="146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</row>
    <row r="25" ht="15.75" customHeight="1">
      <c r="A25" s="155"/>
      <c r="B25" s="163" t="s">
        <v>734</v>
      </c>
      <c r="C25" s="164">
        <v>0.0</v>
      </c>
      <c r="D25" s="164">
        <v>7.0</v>
      </c>
      <c r="E25" s="164">
        <v>22.0</v>
      </c>
      <c r="F25" s="164">
        <v>11.0</v>
      </c>
      <c r="G25" s="164">
        <v>1.0</v>
      </c>
      <c r="H25" s="164">
        <f t="shared" ref="H25:H29" si="5">SUM(C25:G25)</f>
        <v>41</v>
      </c>
      <c r="I25" s="146">
        <v>41.0</v>
      </c>
      <c r="J25" s="146" t="s">
        <v>747</v>
      </c>
      <c r="K25" s="146"/>
      <c r="L25" s="146"/>
      <c r="M25" s="146"/>
      <c r="N25" s="146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</row>
    <row r="26" ht="15.75" customHeight="1">
      <c r="A26" s="155"/>
      <c r="B26" s="163" t="s">
        <v>751</v>
      </c>
      <c r="C26" s="164">
        <v>0.0</v>
      </c>
      <c r="D26" s="164">
        <v>8.0</v>
      </c>
      <c r="E26" s="164">
        <v>11.0</v>
      </c>
      <c r="F26" s="164">
        <v>11.0</v>
      </c>
      <c r="G26" s="164">
        <v>3.0</v>
      </c>
      <c r="H26" s="164">
        <f t="shared" si="5"/>
        <v>33</v>
      </c>
      <c r="I26" s="146">
        <v>33.0</v>
      </c>
      <c r="J26" s="146" t="s">
        <v>747</v>
      </c>
      <c r="K26" s="146"/>
      <c r="L26" s="146"/>
      <c r="M26" s="146"/>
      <c r="N26" s="146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</row>
    <row r="27" ht="15.75" customHeight="1">
      <c r="A27" s="155"/>
      <c r="B27" s="163" t="s">
        <v>759</v>
      </c>
      <c r="C27" s="164">
        <v>0.0</v>
      </c>
      <c r="D27" s="164">
        <v>17.0</v>
      </c>
      <c r="E27" s="164">
        <v>9.0</v>
      </c>
      <c r="F27" s="164">
        <v>6.0</v>
      </c>
      <c r="G27" s="164">
        <v>1.0</v>
      </c>
      <c r="H27" s="164">
        <f t="shared" si="5"/>
        <v>33</v>
      </c>
      <c r="I27" s="146">
        <v>33.0</v>
      </c>
      <c r="J27" s="146" t="s">
        <v>747</v>
      </c>
      <c r="K27" s="146"/>
      <c r="L27" s="146"/>
      <c r="M27" s="146"/>
      <c r="N27" s="146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</row>
    <row r="28" ht="15.75" customHeight="1">
      <c r="A28" s="155"/>
      <c r="B28" s="163" t="s">
        <v>768</v>
      </c>
      <c r="C28" s="164">
        <v>0.0</v>
      </c>
      <c r="D28" s="164">
        <v>1.0</v>
      </c>
      <c r="E28" s="164">
        <v>2.0</v>
      </c>
      <c r="F28" s="164">
        <v>2.0</v>
      </c>
      <c r="G28" s="164">
        <v>0.0</v>
      </c>
      <c r="H28" s="164">
        <f t="shared" si="5"/>
        <v>5</v>
      </c>
      <c r="I28" s="146">
        <v>5.0</v>
      </c>
      <c r="J28" s="146" t="s">
        <v>747</v>
      </c>
      <c r="K28" s="146"/>
      <c r="L28" s="146"/>
      <c r="M28" s="146"/>
      <c r="N28" s="146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</row>
    <row r="29" ht="15.75" customHeight="1">
      <c r="A29" s="155"/>
      <c r="B29" s="163" t="s">
        <v>348</v>
      </c>
      <c r="C29" s="164">
        <f>SUM(C25:C28)</f>
        <v>0</v>
      </c>
      <c r="D29" s="164">
        <v>7.0</v>
      </c>
      <c r="E29" s="164">
        <v>16.0</v>
      </c>
      <c r="F29" s="164">
        <v>5.0</v>
      </c>
      <c r="G29" s="164">
        <v>0.0</v>
      </c>
      <c r="H29" s="164">
        <f t="shared" si="5"/>
        <v>28</v>
      </c>
      <c r="I29" s="146">
        <v>28.0</v>
      </c>
      <c r="J29" s="146" t="s">
        <v>747</v>
      </c>
      <c r="K29" s="146"/>
      <c r="L29" s="146"/>
      <c r="M29" s="146"/>
      <c r="N29" s="146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</row>
    <row r="30" ht="15.75" customHeight="1">
      <c r="A30" s="155"/>
      <c r="B30" s="169" t="s">
        <v>727</v>
      </c>
      <c r="C30" s="161">
        <f t="shared" ref="C30:H30" si="6">SUM(C25:C29)</f>
        <v>0</v>
      </c>
      <c r="D30" s="161">
        <f t="shared" si="6"/>
        <v>40</v>
      </c>
      <c r="E30" s="161">
        <f t="shared" si="6"/>
        <v>60</v>
      </c>
      <c r="F30" s="161">
        <f t="shared" si="6"/>
        <v>35</v>
      </c>
      <c r="G30" s="161">
        <f t="shared" si="6"/>
        <v>5</v>
      </c>
      <c r="H30" s="161">
        <f t="shared" si="6"/>
        <v>140</v>
      </c>
      <c r="I30" s="146"/>
      <c r="J30" s="146"/>
      <c r="K30" s="146"/>
      <c r="L30" s="146"/>
      <c r="M30" s="146"/>
      <c r="N30" s="146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</row>
    <row r="31" ht="15.75" customHeight="1">
      <c r="A31" s="155"/>
      <c r="B31" s="169"/>
      <c r="C31" s="161">
        <f>C30/H30</f>
        <v>0</v>
      </c>
      <c r="D31" s="185">
        <f>D30/H30</f>
        <v>0.2857142857</v>
      </c>
      <c r="E31" s="185">
        <f>E30/H30</f>
        <v>0.4285714286</v>
      </c>
      <c r="F31" s="185">
        <f>F30/H30</f>
        <v>0.25</v>
      </c>
      <c r="G31" s="185">
        <f>G30/H30</f>
        <v>0.03571428571</v>
      </c>
      <c r="H31" s="185">
        <f>SUM(C31:G31)</f>
        <v>1</v>
      </c>
      <c r="I31" s="146"/>
      <c r="J31" s="146"/>
      <c r="K31" s="146"/>
      <c r="L31" s="146"/>
      <c r="M31" s="146"/>
      <c r="N31" s="146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</row>
    <row r="32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</row>
    <row r="33" ht="15.75" customHeight="1">
      <c r="A33" s="146"/>
      <c r="B33" s="149" t="s">
        <v>224</v>
      </c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46"/>
      <c r="N33" s="146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</row>
    <row r="34" ht="15.75" customHeight="1">
      <c r="A34" s="155"/>
      <c r="B34" s="188" t="s">
        <v>984</v>
      </c>
      <c r="C34" s="188" t="s">
        <v>670</v>
      </c>
      <c r="D34" s="189" t="s">
        <v>225</v>
      </c>
      <c r="E34" s="176"/>
      <c r="F34" s="176"/>
      <c r="G34" s="176"/>
      <c r="H34" s="176"/>
      <c r="I34" s="176"/>
      <c r="J34" s="176"/>
      <c r="K34" s="176"/>
      <c r="L34" s="158"/>
      <c r="M34" s="146"/>
      <c r="N34" s="146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</row>
    <row r="35" ht="15.75" customHeight="1">
      <c r="A35" s="155"/>
      <c r="B35" s="160"/>
      <c r="C35" s="160"/>
      <c r="D35" s="190" t="s">
        <v>999</v>
      </c>
      <c r="E35" s="190" t="s">
        <v>1000</v>
      </c>
      <c r="F35" s="190" t="s">
        <v>1002</v>
      </c>
      <c r="G35" s="190" t="s">
        <v>1003</v>
      </c>
      <c r="H35" s="190" t="s">
        <v>1004</v>
      </c>
      <c r="I35" s="190" t="s">
        <v>1005</v>
      </c>
      <c r="J35" s="190" t="s">
        <v>150</v>
      </c>
      <c r="K35" s="190" t="s">
        <v>20</v>
      </c>
      <c r="L35" s="190" t="s">
        <v>211</v>
      </c>
      <c r="M35" s="146"/>
      <c r="N35" s="146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</row>
    <row r="36" ht="15.75" customHeight="1">
      <c r="A36" s="155"/>
      <c r="B36" s="164">
        <v>1.0</v>
      </c>
      <c r="C36" s="163" t="s">
        <v>734</v>
      </c>
      <c r="D36" s="164">
        <v>29.0</v>
      </c>
      <c r="E36" s="164">
        <v>0.0</v>
      </c>
      <c r="F36" s="164">
        <v>4.0</v>
      </c>
      <c r="G36" s="164">
        <v>0.0</v>
      </c>
      <c r="H36" s="164">
        <v>6.0</v>
      </c>
      <c r="I36" s="164">
        <v>0.0</v>
      </c>
      <c r="J36" s="164">
        <v>1.0</v>
      </c>
      <c r="K36" s="164">
        <v>1.0</v>
      </c>
      <c r="L36" s="164">
        <f t="shared" ref="L36:L40" si="7">SUM(D36:K36)</f>
        <v>41</v>
      </c>
      <c r="M36" s="146">
        <v>41.0</v>
      </c>
      <c r="N36" s="146" t="s">
        <v>747</v>
      </c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</row>
    <row r="37" ht="15.75" customHeight="1">
      <c r="A37" s="155"/>
      <c r="B37" s="164">
        <v>2.0</v>
      </c>
      <c r="C37" s="163" t="s">
        <v>751</v>
      </c>
      <c r="D37" s="164">
        <v>25.0</v>
      </c>
      <c r="E37" s="164">
        <v>0.0</v>
      </c>
      <c r="F37" s="164">
        <v>5.0</v>
      </c>
      <c r="G37" s="164">
        <v>0.0</v>
      </c>
      <c r="H37" s="164">
        <v>2.0</v>
      </c>
      <c r="I37" s="164">
        <v>1.0</v>
      </c>
      <c r="J37" s="164">
        <v>0.0</v>
      </c>
      <c r="K37" s="164">
        <v>0.0</v>
      </c>
      <c r="L37" s="164">
        <f t="shared" si="7"/>
        <v>33</v>
      </c>
      <c r="M37" s="146">
        <v>33.0</v>
      </c>
      <c r="N37" s="146" t="s">
        <v>747</v>
      </c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</row>
    <row r="38" ht="15.75" customHeight="1">
      <c r="A38" s="155"/>
      <c r="B38" s="164">
        <v>3.0</v>
      </c>
      <c r="C38" s="163" t="s">
        <v>753</v>
      </c>
      <c r="D38" s="164">
        <v>28.0</v>
      </c>
      <c r="E38" s="164">
        <v>0.0</v>
      </c>
      <c r="F38" s="164">
        <v>3.0</v>
      </c>
      <c r="G38" s="164">
        <v>1.0</v>
      </c>
      <c r="H38" s="164">
        <v>0.0</v>
      </c>
      <c r="I38" s="164">
        <v>0.0</v>
      </c>
      <c r="J38" s="164">
        <v>1.0</v>
      </c>
      <c r="K38" s="164">
        <v>0.0</v>
      </c>
      <c r="L38" s="164">
        <f t="shared" si="7"/>
        <v>33</v>
      </c>
      <c r="M38" s="146">
        <v>33.0</v>
      </c>
      <c r="N38" s="146" t="s">
        <v>747</v>
      </c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</row>
    <row r="39" ht="15.75" customHeight="1">
      <c r="A39" s="155"/>
      <c r="B39" s="164">
        <v>4.0</v>
      </c>
      <c r="C39" s="163" t="s">
        <v>768</v>
      </c>
      <c r="D39" s="164">
        <v>4.0</v>
      </c>
      <c r="E39" s="164">
        <v>0.0</v>
      </c>
      <c r="F39" s="164">
        <v>0.0</v>
      </c>
      <c r="G39" s="164">
        <v>0.0</v>
      </c>
      <c r="H39" s="164">
        <v>1.0</v>
      </c>
      <c r="I39" s="164">
        <v>0.0</v>
      </c>
      <c r="J39" s="164">
        <v>0.0</v>
      </c>
      <c r="K39" s="164">
        <v>0.0</v>
      </c>
      <c r="L39" s="164">
        <f t="shared" si="7"/>
        <v>5</v>
      </c>
      <c r="M39" s="146">
        <v>5.0</v>
      </c>
      <c r="N39" s="146" t="s">
        <v>747</v>
      </c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</row>
    <row r="40" ht="15.75" customHeight="1">
      <c r="A40" s="155"/>
      <c r="B40" s="164">
        <v>5.0</v>
      </c>
      <c r="C40" s="163" t="s">
        <v>766</v>
      </c>
      <c r="D40" s="164">
        <v>14.0</v>
      </c>
      <c r="E40" s="164">
        <v>3.0</v>
      </c>
      <c r="F40" s="164">
        <v>7.0</v>
      </c>
      <c r="G40" s="164">
        <v>0.0</v>
      </c>
      <c r="H40" s="164">
        <v>3.0</v>
      </c>
      <c r="I40" s="164">
        <v>0.0</v>
      </c>
      <c r="J40" s="164">
        <v>1.0</v>
      </c>
      <c r="K40" s="164">
        <v>0.0</v>
      </c>
      <c r="L40" s="164">
        <f t="shared" si="7"/>
        <v>28</v>
      </c>
      <c r="M40" s="146">
        <v>28.0</v>
      </c>
      <c r="N40" s="146" t="s">
        <v>747</v>
      </c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</row>
    <row r="41" ht="15.75" customHeight="1">
      <c r="A41" s="155"/>
      <c r="B41" s="163"/>
      <c r="C41" s="191" t="s">
        <v>727</v>
      </c>
      <c r="D41" s="192">
        <f t="shared" ref="D41:L41" si="8">SUM(D36:D40)</f>
        <v>100</v>
      </c>
      <c r="E41" s="192">
        <f t="shared" si="8"/>
        <v>3</v>
      </c>
      <c r="F41" s="192">
        <f t="shared" si="8"/>
        <v>19</v>
      </c>
      <c r="G41" s="192">
        <f t="shared" si="8"/>
        <v>1</v>
      </c>
      <c r="H41" s="192">
        <f t="shared" si="8"/>
        <v>12</v>
      </c>
      <c r="I41" s="192">
        <f t="shared" si="8"/>
        <v>1</v>
      </c>
      <c r="J41" s="192">
        <f t="shared" si="8"/>
        <v>3</v>
      </c>
      <c r="K41" s="192">
        <f t="shared" si="8"/>
        <v>1</v>
      </c>
      <c r="L41" s="192">
        <f t="shared" si="8"/>
        <v>140</v>
      </c>
      <c r="M41" s="146"/>
      <c r="N41" s="146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</row>
    <row r="42" ht="15.75" customHeight="1">
      <c r="A42" s="155"/>
      <c r="B42" s="193"/>
      <c r="C42" s="194"/>
      <c r="D42" s="195">
        <f t="shared" ref="D42:K42" si="9">D41/$L$41</f>
        <v>0.7142857143</v>
      </c>
      <c r="E42" s="195">
        <f t="shared" si="9"/>
        <v>0.02142857143</v>
      </c>
      <c r="F42" s="195">
        <f t="shared" si="9"/>
        <v>0.1357142857</v>
      </c>
      <c r="G42" s="195">
        <f t="shared" si="9"/>
        <v>0.007142857143</v>
      </c>
      <c r="H42" s="195">
        <f t="shared" si="9"/>
        <v>0.08571428571</v>
      </c>
      <c r="I42" s="195">
        <f t="shared" si="9"/>
        <v>0.007142857143</v>
      </c>
      <c r="J42" s="195">
        <f t="shared" si="9"/>
        <v>0.02142857143</v>
      </c>
      <c r="K42" s="195">
        <f t="shared" si="9"/>
        <v>0.007142857143</v>
      </c>
      <c r="L42" s="195">
        <f>SUM(D42:K42)</f>
        <v>1</v>
      </c>
      <c r="M42" s="146"/>
      <c r="N42" s="146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</row>
    <row r="43" ht="15.75" customHeight="1">
      <c r="A43" s="146"/>
      <c r="B43" s="146"/>
      <c r="C43" s="146"/>
      <c r="D43" s="146"/>
      <c r="E43" s="146"/>
      <c r="F43" s="146"/>
      <c r="G43" s="196"/>
      <c r="H43" s="146"/>
      <c r="I43" s="146"/>
      <c r="J43" s="146"/>
      <c r="K43" s="146"/>
      <c r="L43" s="146"/>
      <c r="M43" s="146"/>
      <c r="N43" s="146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</row>
    <row r="44" ht="15.75" customHeight="1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</row>
    <row r="45" ht="15.75" customHeight="1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</row>
    <row r="46" ht="15.75" customHeight="1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</row>
    <row r="47" ht="15.75" customHeight="1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</row>
    <row r="48" ht="15.75" customHeight="1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</row>
    <row r="49" ht="15.75" customHeight="1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</row>
    <row r="50" ht="15.75" customHeight="1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</row>
    <row r="51" ht="15.75" customHeight="1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</row>
    <row r="52" ht="15.75" customHeight="1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</row>
    <row r="53" ht="15.75" customHeight="1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</row>
    <row r="54" ht="15.75" customHeight="1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</row>
    <row r="55" ht="15.75" customHeight="1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</row>
    <row r="56" ht="15.75" customHeight="1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</row>
    <row r="57" ht="15.75" customHeight="1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</row>
    <row r="58" ht="15.75" customHeight="1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</row>
    <row r="59" ht="15.75" customHeight="1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</row>
    <row r="60" ht="15.75" customHeight="1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</row>
    <row r="61" ht="15.75" customHeight="1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</row>
    <row r="62" ht="15.75" customHeight="1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</row>
    <row r="63" ht="15.75" customHeight="1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</row>
    <row r="64" ht="15.75" customHeight="1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</row>
    <row r="65" ht="15.75" customHeight="1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</row>
    <row r="66" ht="15.75" customHeight="1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</row>
    <row r="67" ht="15.75" customHeight="1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</row>
    <row r="68" ht="15.75" customHeight="1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</row>
    <row r="69" ht="15.75" customHeight="1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</row>
    <row r="70" ht="15.75" customHeight="1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</row>
    <row r="71" ht="15.75" customHeight="1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</row>
    <row r="72" ht="15.75" customHeight="1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</row>
    <row r="73" ht="15.75" customHeight="1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</row>
    <row r="74" ht="15.75" customHeight="1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</row>
    <row r="75" ht="15.75" customHeight="1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</row>
    <row r="76" ht="15.75" customHeight="1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</row>
    <row r="77" ht="15.75" customHeight="1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</row>
    <row r="78" ht="15.75" customHeight="1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</row>
    <row r="79" ht="15.75" customHeight="1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</row>
    <row r="80" ht="15.75" customHeight="1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</row>
    <row r="81" ht="15.75" customHeight="1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</row>
    <row r="82" ht="15.75" customHeight="1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</row>
    <row r="83" ht="15.75" customHeight="1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</row>
    <row r="84" ht="15.75" customHeight="1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</row>
    <row r="85" ht="15.75" customHeight="1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</row>
    <row r="86" ht="15.75" customHeight="1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</row>
    <row r="87" ht="15.75" customHeight="1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</row>
    <row r="88" ht="15.75" customHeight="1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</row>
    <row r="89" ht="15.75" customHeight="1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</row>
    <row r="90" ht="15.75" customHeight="1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</row>
    <row r="91" ht="15.75" customHeight="1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</row>
    <row r="92" ht="15.75" customHeight="1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</row>
    <row r="93" ht="15.75" customHeight="1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</row>
    <row r="94" ht="15.75" customHeight="1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</row>
    <row r="95" ht="15.75" customHeight="1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</row>
    <row r="96" ht="15.75" customHeight="1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</row>
    <row r="97" ht="15.75" customHeight="1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</row>
    <row r="98" ht="15.75" customHeight="1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</row>
    <row r="99" ht="15.75" customHeight="1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</row>
    <row r="100" ht="15.75" customHeight="1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</row>
    <row r="101" ht="15.75" customHeight="1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</row>
    <row r="102" ht="15.75" customHeight="1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</row>
    <row r="103" ht="15.75" customHeight="1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</row>
    <row r="104" ht="15.75" customHeight="1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</row>
    <row r="105" ht="15.75" customHeight="1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</row>
    <row r="106" ht="15.75" customHeight="1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</row>
    <row r="107" ht="15.75" customHeight="1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</row>
    <row r="108" ht="15.75" customHeight="1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</row>
    <row r="109" ht="15.75" customHeight="1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</row>
    <row r="110" ht="15.75" customHeight="1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</row>
    <row r="111" ht="15.75" customHeight="1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</row>
    <row r="112" ht="15.75" customHeight="1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</row>
    <row r="113" ht="15.75" customHeight="1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</row>
    <row r="114" ht="15.75" customHeight="1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</row>
    <row r="115" ht="15.75" customHeight="1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</row>
    <row r="116" ht="15.75" customHeight="1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</row>
    <row r="117" ht="15.75" customHeight="1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</row>
    <row r="118" ht="15.75" customHeight="1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</row>
    <row r="119" ht="15.75" customHeight="1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</row>
    <row r="120" ht="15.75" customHeight="1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</row>
    <row r="121" ht="15.75" customHeight="1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</row>
    <row r="122" ht="15.75" customHeight="1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</row>
    <row r="123" ht="15.75" customHeight="1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</row>
    <row r="124" ht="15.75" customHeight="1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</row>
    <row r="125" ht="15.75" customHeight="1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</row>
    <row r="126" ht="15.75" customHeight="1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</row>
    <row r="127" ht="15.75" customHeight="1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</row>
    <row r="128" ht="15.75" customHeight="1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</row>
    <row r="129" ht="15.75" customHeight="1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</row>
    <row r="130" ht="15.75" customHeight="1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</row>
    <row r="131" ht="15.75" customHeight="1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</row>
    <row r="132" ht="15.75" customHeight="1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</row>
    <row r="133" ht="15.75" customHeight="1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</row>
    <row r="134" ht="15.75" customHeight="1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</row>
    <row r="135" ht="15.75" customHeight="1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</row>
    <row r="136" ht="15.75" customHeight="1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</row>
    <row r="137" ht="15.75" customHeight="1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</row>
    <row r="138" ht="15.75" customHeight="1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</row>
    <row r="139" ht="15.75" customHeight="1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</row>
    <row r="140" ht="15.75" customHeight="1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</row>
    <row r="141" ht="15.75" customHeight="1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</row>
    <row r="142" ht="15.75" customHeight="1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</row>
    <row r="143" ht="15.75" customHeight="1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</row>
    <row r="144" ht="15.75" customHeight="1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</row>
    <row r="145" ht="15.75" customHeight="1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</row>
    <row r="146" ht="15.75" customHeight="1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</row>
    <row r="147" ht="15.75" customHeight="1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</row>
    <row r="148" ht="15.75" customHeight="1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</row>
    <row r="149" ht="15.75" customHeight="1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</row>
    <row r="150" ht="15.75" customHeight="1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</row>
    <row r="151" ht="15.75" customHeight="1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</row>
    <row r="152" ht="15.75" customHeight="1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</row>
    <row r="153" ht="15.75" customHeight="1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</row>
    <row r="154" ht="15.75" customHeight="1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</row>
    <row r="155" ht="15.75" customHeight="1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</row>
    <row r="156" ht="15.75" customHeight="1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</row>
    <row r="157" ht="15.75" customHeight="1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</row>
    <row r="158" ht="15.75" customHeight="1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</row>
    <row r="159" ht="15.75" customHeight="1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</row>
    <row r="160" ht="15.75" customHeight="1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</row>
    <row r="161" ht="15.75" customHeight="1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</row>
    <row r="162" ht="15.75" customHeight="1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</row>
    <row r="163" ht="15.75" customHeight="1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</row>
    <row r="164" ht="15.75" customHeight="1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</row>
    <row r="165" ht="15.75" customHeight="1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</row>
    <row r="166" ht="15.75" customHeight="1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</row>
    <row r="167" ht="15.75" customHeight="1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</row>
    <row r="168" ht="15.75" customHeight="1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</row>
    <row r="169" ht="15.75" customHeight="1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</row>
    <row r="170" ht="15.75" customHeight="1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</row>
    <row r="171" ht="15.75" customHeight="1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</row>
    <row r="172" ht="15.75" customHeight="1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</row>
    <row r="173" ht="15.75" customHeight="1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</row>
    <row r="174" ht="15.75" customHeight="1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</row>
    <row r="175" ht="15.75" customHeight="1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</row>
    <row r="176" ht="15.75" customHeight="1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</row>
    <row r="177" ht="15.75" customHeight="1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</row>
    <row r="178" ht="15.75" customHeight="1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</row>
    <row r="179" ht="15.75" customHeight="1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</row>
    <row r="180" ht="15.75" customHeight="1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</row>
    <row r="181" ht="15.75" customHeight="1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</row>
    <row r="182" ht="15.75" customHeight="1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</row>
    <row r="183" ht="15.75" customHeight="1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</row>
    <row r="184" ht="15.75" customHeight="1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</row>
    <row r="185" ht="15.75" customHeight="1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</row>
    <row r="186" ht="15.75" customHeight="1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</row>
    <row r="187" ht="15.75" customHeight="1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</row>
    <row r="188" ht="15.75" customHeight="1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</row>
    <row r="189" ht="15.75" customHeight="1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</row>
    <row r="190" ht="15.75" customHeight="1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</row>
    <row r="191" ht="15.75" customHeight="1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</row>
    <row r="192" ht="15.75" customHeight="1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</row>
    <row r="193" ht="15.75" customHeight="1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</row>
    <row r="194" ht="15.75" customHeight="1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</row>
    <row r="195" ht="15.75" customHeight="1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</row>
    <row r="196" ht="15.75" customHeight="1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</row>
    <row r="197" ht="15.75" customHeight="1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</row>
    <row r="198" ht="15.75" customHeight="1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</row>
    <row r="199" ht="15.75" customHeight="1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</row>
    <row r="200" ht="15.75" customHeight="1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</row>
    <row r="201" ht="15.75" customHeight="1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</row>
    <row r="202" ht="15.75" customHeight="1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</row>
    <row r="203" ht="15.75" customHeight="1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</row>
    <row r="204" ht="15.75" customHeight="1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  <c r="AA204" s="142"/>
      <c r="AB204" s="142"/>
      <c r="AC204" s="142"/>
      <c r="AD204" s="142"/>
    </row>
    <row r="205" ht="15.75" customHeight="1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</row>
    <row r="206" ht="15.75" customHeight="1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</row>
    <row r="207" ht="15.75" customHeight="1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2"/>
      <c r="AB207" s="142"/>
      <c r="AC207" s="142"/>
      <c r="AD207" s="142"/>
    </row>
    <row r="208" ht="15.75" customHeight="1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</row>
    <row r="209" ht="15.75" customHeight="1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  <c r="AA209" s="142"/>
      <c r="AB209" s="142"/>
      <c r="AC209" s="142"/>
      <c r="AD209" s="142"/>
    </row>
    <row r="210" ht="15.75" customHeight="1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  <c r="AA210" s="142"/>
      <c r="AB210" s="142"/>
      <c r="AC210" s="142"/>
      <c r="AD210" s="142"/>
    </row>
    <row r="211" ht="15.75" customHeight="1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2"/>
      <c r="AB211" s="142"/>
      <c r="AC211" s="142"/>
      <c r="AD211" s="142"/>
    </row>
    <row r="212" ht="15.75" customHeight="1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  <c r="AA212" s="142"/>
      <c r="AB212" s="142"/>
      <c r="AC212" s="142"/>
      <c r="AD212" s="142"/>
    </row>
    <row r="213" ht="15.75" customHeight="1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142"/>
    </row>
    <row r="214" ht="15.75" customHeight="1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</row>
    <row r="215" ht="15.75" customHeight="1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  <c r="AA215" s="142"/>
      <c r="AB215" s="142"/>
      <c r="AC215" s="142"/>
      <c r="AD215" s="142"/>
    </row>
    <row r="216" ht="15.75" customHeight="1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  <c r="AA216" s="142"/>
      <c r="AB216" s="142"/>
      <c r="AC216" s="142"/>
      <c r="AD216" s="142"/>
    </row>
    <row r="217" ht="15.75" customHeight="1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</row>
    <row r="218" ht="15.75" customHeight="1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</row>
    <row r="219" ht="15.75" customHeight="1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  <c r="AA219" s="142"/>
      <c r="AB219" s="142"/>
      <c r="AC219" s="142"/>
      <c r="AD219" s="142"/>
    </row>
    <row r="220" ht="15.75" customHeight="1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2"/>
      <c r="AB220" s="142"/>
      <c r="AC220" s="142"/>
      <c r="AD220" s="142"/>
    </row>
    <row r="221" ht="15.75" customHeight="1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  <c r="AA221" s="142"/>
      <c r="AB221" s="142"/>
      <c r="AC221" s="142"/>
      <c r="AD221" s="142"/>
    </row>
    <row r="222" ht="15.75" customHeight="1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</row>
    <row r="223" ht="15.75" customHeight="1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  <c r="AA223" s="142"/>
      <c r="AB223" s="142"/>
      <c r="AC223" s="142"/>
      <c r="AD223" s="142"/>
    </row>
    <row r="224" ht="15.75" customHeight="1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  <c r="AA224" s="142"/>
      <c r="AB224" s="142"/>
      <c r="AC224" s="142"/>
      <c r="AD224" s="142"/>
    </row>
    <row r="225" ht="15.75" customHeight="1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  <c r="AA225" s="142"/>
      <c r="AB225" s="142"/>
      <c r="AC225" s="142"/>
      <c r="AD225" s="142"/>
    </row>
    <row r="226" ht="15.75" customHeight="1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</row>
    <row r="227" ht="15.75" customHeight="1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  <c r="AA227" s="142"/>
      <c r="AB227" s="142"/>
      <c r="AC227" s="142"/>
      <c r="AD227" s="142"/>
    </row>
    <row r="228" ht="15.75" customHeight="1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  <c r="AA228" s="142"/>
      <c r="AB228" s="142"/>
      <c r="AC228" s="142"/>
      <c r="AD228" s="142"/>
    </row>
    <row r="229" ht="15.75" customHeight="1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  <c r="AA229" s="142"/>
      <c r="AB229" s="142"/>
      <c r="AC229" s="142"/>
      <c r="AD229" s="142"/>
    </row>
    <row r="230" ht="15.75" customHeight="1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  <c r="AA230" s="142"/>
      <c r="AB230" s="142"/>
      <c r="AC230" s="142"/>
      <c r="AD230" s="142"/>
    </row>
    <row r="231" ht="15.75" customHeight="1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  <c r="AA231" s="142"/>
      <c r="AB231" s="142"/>
      <c r="AC231" s="142"/>
      <c r="AD231" s="142"/>
    </row>
    <row r="232" ht="15.75" customHeight="1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  <c r="AA232" s="142"/>
      <c r="AB232" s="142"/>
      <c r="AC232" s="142"/>
      <c r="AD232" s="142"/>
    </row>
    <row r="233" ht="15.75" customHeight="1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  <c r="AA233" s="142"/>
      <c r="AB233" s="142"/>
      <c r="AC233" s="142"/>
      <c r="AD233" s="142"/>
    </row>
    <row r="234" ht="15.75" customHeight="1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  <c r="AA234" s="142"/>
      <c r="AB234" s="142"/>
      <c r="AC234" s="142"/>
      <c r="AD234" s="142"/>
    </row>
    <row r="235" ht="15.75" customHeight="1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  <c r="AA235" s="142"/>
      <c r="AB235" s="142"/>
      <c r="AC235" s="142"/>
      <c r="AD235" s="142"/>
    </row>
    <row r="236" ht="15.75" customHeight="1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  <c r="AA236" s="142"/>
      <c r="AB236" s="142"/>
      <c r="AC236" s="142"/>
      <c r="AD236" s="142"/>
    </row>
    <row r="237" ht="15.75" customHeight="1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  <c r="AA237" s="142"/>
      <c r="AB237" s="142"/>
      <c r="AC237" s="142"/>
      <c r="AD237" s="142"/>
    </row>
    <row r="238" ht="15.75" customHeight="1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  <c r="AA238" s="142"/>
      <c r="AB238" s="142"/>
      <c r="AC238" s="142"/>
      <c r="AD238" s="142"/>
    </row>
    <row r="239" ht="15.75" customHeight="1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  <c r="AA239" s="142"/>
      <c r="AB239" s="142"/>
      <c r="AC239" s="142"/>
      <c r="AD239" s="142"/>
    </row>
    <row r="240" ht="15.75" customHeight="1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  <c r="AA240" s="142"/>
      <c r="AB240" s="142"/>
      <c r="AC240" s="142"/>
      <c r="AD240" s="142"/>
    </row>
    <row r="241" ht="15.75" customHeight="1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  <c r="AA241" s="142"/>
      <c r="AB241" s="142"/>
      <c r="AC241" s="142"/>
      <c r="AD241" s="142"/>
    </row>
    <row r="242" ht="15.75" customHeight="1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  <c r="AA242" s="142"/>
      <c r="AB242" s="142"/>
      <c r="AC242" s="142"/>
      <c r="AD242" s="142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3:B14"/>
    <mergeCell ref="C13:C14"/>
    <mergeCell ref="B20:C20"/>
    <mergeCell ref="B21:C21"/>
    <mergeCell ref="C23:H23"/>
    <mergeCell ref="B34:B35"/>
    <mergeCell ref="C34:C35"/>
    <mergeCell ref="D34:L34"/>
    <mergeCell ref="D13:J13"/>
    <mergeCell ref="L13:L14"/>
    <mergeCell ref="B2:B3"/>
    <mergeCell ref="C2:D2"/>
    <mergeCell ref="E2:F2"/>
    <mergeCell ref="G2:G3"/>
    <mergeCell ref="C10:D10"/>
    <mergeCell ref="E10:F10"/>
    <mergeCell ref="B12:L1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 outlineLevelCol="2"/>
  <cols>
    <col customWidth="1" min="1" max="1" width="8.71"/>
    <col customWidth="1" min="2" max="2" width="21.14"/>
    <col customWidth="1" min="3" max="3" width="15.71"/>
    <col customWidth="1" min="4" max="6" width="14.43"/>
    <col customWidth="1" min="7" max="7" width="15.57"/>
    <col customWidth="1" min="8" max="8" width="31.0"/>
    <col customWidth="1" min="9" max="9" width="14.43"/>
    <col customWidth="1" min="10" max="10" width="16.71"/>
    <col customWidth="1" min="11" max="14" width="14.43"/>
    <col customWidth="1" min="15" max="15" width="13.29"/>
    <col customWidth="1" min="16" max="16" width="12.71"/>
    <col customWidth="1" min="17" max="17" width="14.14"/>
    <col customWidth="1" min="18" max="22" width="8.71"/>
  </cols>
  <sheetData>
    <row r="1">
      <c r="B1" s="88" t="s">
        <v>203</v>
      </c>
    </row>
    <row r="2">
      <c r="B2" s="88" t="s">
        <v>1066</v>
      </c>
    </row>
    <row r="3">
      <c r="B3" s="89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</row>
    <row r="4">
      <c r="B4" s="91" t="s">
        <v>205</v>
      </c>
      <c r="C4" s="92" t="s">
        <v>206</v>
      </c>
      <c r="D4" s="7"/>
      <c r="E4" s="7"/>
      <c r="F4" s="7"/>
      <c r="G4" s="7"/>
      <c r="H4" s="8"/>
      <c r="I4" s="92" t="s">
        <v>207</v>
      </c>
      <c r="J4" s="7"/>
      <c r="K4" s="7"/>
      <c r="L4" s="7"/>
      <c r="M4" s="7"/>
      <c r="N4" s="93" t="s">
        <v>144</v>
      </c>
    </row>
    <row r="5">
      <c r="B5" s="23"/>
      <c r="C5" s="94" t="s">
        <v>208</v>
      </c>
      <c r="D5" s="94" t="s">
        <v>145</v>
      </c>
      <c r="E5" s="94" t="s">
        <v>209</v>
      </c>
      <c r="F5" s="95" t="s">
        <v>210</v>
      </c>
      <c r="G5" s="94" t="s">
        <v>211</v>
      </c>
      <c r="H5" s="94" t="s">
        <v>212</v>
      </c>
      <c r="I5" s="94" t="s">
        <v>208</v>
      </c>
      <c r="J5" s="94" t="s">
        <v>145</v>
      </c>
      <c r="K5" s="94" t="s">
        <v>209</v>
      </c>
      <c r="L5" s="95" t="s">
        <v>210</v>
      </c>
      <c r="M5" s="94" t="s">
        <v>211</v>
      </c>
      <c r="N5" s="23"/>
    </row>
    <row r="6">
      <c r="B6" s="96" t="s">
        <v>213</v>
      </c>
      <c r="C6" s="98">
        <f>'MAPPING KARAH'!E53</f>
        <v>24</v>
      </c>
      <c r="D6" s="98">
        <f>'MAPPING KARAH'!F53</f>
        <v>18</v>
      </c>
      <c r="E6" s="98">
        <f>'MAPPING KARAH'!G53</f>
        <v>108</v>
      </c>
      <c r="F6" s="98">
        <f>'MAPPING KARAH'!H53</f>
        <v>21</v>
      </c>
      <c r="G6" s="98">
        <f t="shared" ref="G6:G10" si="1">SUM(C6:F6)</f>
        <v>171</v>
      </c>
      <c r="H6" s="102" t="s">
        <v>1067</v>
      </c>
      <c r="I6" s="98">
        <f>'MAPPING KARAH'!K53</f>
        <v>23</v>
      </c>
      <c r="J6" s="98">
        <f>'MAPPING KARAH'!L53</f>
        <v>18</v>
      </c>
      <c r="K6" s="98">
        <f>'MAPPING KARAH'!M53</f>
        <v>106</v>
      </c>
      <c r="L6" s="98">
        <f>'MAPPING KARAH'!N53</f>
        <v>21</v>
      </c>
      <c r="M6" s="98">
        <f t="shared" ref="M6:M10" si="2">SUM(I6:L6)</f>
        <v>168</v>
      </c>
      <c r="N6" s="110">
        <f t="shared" ref="N6:N10" si="3">G6-M6</f>
        <v>3</v>
      </c>
    </row>
    <row r="7">
      <c r="B7" s="96" t="s">
        <v>4</v>
      </c>
      <c r="C7" s="98">
        <f>'MAPPING PACK BEKASI'!E71</f>
        <v>19</v>
      </c>
      <c r="D7" s="98">
        <f>'MAPPING PACK BEKASI'!F71</f>
        <v>15</v>
      </c>
      <c r="E7" s="98">
        <f>'MAPPING PACK BEKASI'!G71</f>
        <v>63</v>
      </c>
      <c r="F7" s="98">
        <f>'MAPPING PACK BEKASI'!H71</f>
        <v>42</v>
      </c>
      <c r="G7" s="98">
        <f t="shared" si="1"/>
        <v>139</v>
      </c>
      <c r="H7" s="112" t="s">
        <v>1068</v>
      </c>
      <c r="I7" s="98">
        <f>'MAPPING PACK BEKASI'!K71</f>
        <v>19</v>
      </c>
      <c r="J7" s="98">
        <f>'MAPPING PACK BEKASI'!L71</f>
        <v>13</v>
      </c>
      <c r="K7" s="98">
        <f>'MAPPING PACK BEKASI'!M71</f>
        <v>62</v>
      </c>
      <c r="L7" s="98">
        <f>'MAPPING PACK BEKASI'!N71</f>
        <v>42</v>
      </c>
      <c r="M7" s="98">
        <f t="shared" si="2"/>
        <v>136</v>
      </c>
      <c r="N7" s="110">
        <f t="shared" si="3"/>
        <v>3</v>
      </c>
    </row>
    <row r="8">
      <c r="B8" s="96" t="s">
        <v>308</v>
      </c>
      <c r="C8" s="98">
        <f>'MAPPING SHOPPINGBAG'!E69</f>
        <v>14</v>
      </c>
      <c r="D8" s="98">
        <f>'MAPPING SHOPPINGBAG'!F69</f>
        <v>23</v>
      </c>
      <c r="E8" s="98">
        <f>'MAPPING SHOPPINGBAG'!G69</f>
        <v>113</v>
      </c>
      <c r="F8" s="98">
        <f>'MAPPING SHOPPINGBAG'!H69</f>
        <v>36</v>
      </c>
      <c r="G8" s="98">
        <f t="shared" si="1"/>
        <v>186</v>
      </c>
      <c r="H8" s="102" t="s">
        <v>1069</v>
      </c>
      <c r="I8" s="98">
        <f>'MAPPING SHOPPINGBAG'!K69</f>
        <v>14</v>
      </c>
      <c r="J8" s="98">
        <f>'MAPPING SHOPPINGBAG'!L69</f>
        <v>21</v>
      </c>
      <c r="K8" s="98">
        <f>'MAPPING SHOPPINGBAG'!M69</f>
        <v>113</v>
      </c>
      <c r="L8" s="98">
        <f>'MAPPING SHOPPINGBAG'!N69</f>
        <v>36</v>
      </c>
      <c r="M8" s="98">
        <f t="shared" si="2"/>
        <v>184</v>
      </c>
      <c r="N8" s="110">
        <f t="shared" si="3"/>
        <v>2</v>
      </c>
    </row>
    <row r="9">
      <c r="B9" s="96" t="s">
        <v>509</v>
      </c>
      <c r="C9" s="98">
        <f>'MAPPING TEMAPACK'!E15</f>
        <v>5</v>
      </c>
      <c r="D9" s="98">
        <f>'MAPPING TEMAPACK'!F15</f>
        <v>0</v>
      </c>
      <c r="E9" s="98">
        <f>'MAPPING TEMAPACK'!G15</f>
        <v>5</v>
      </c>
      <c r="F9" s="98">
        <f>'MAPPING TEMAPACK'!H15</f>
        <v>0</v>
      </c>
      <c r="G9" s="98">
        <f t="shared" si="1"/>
        <v>10</v>
      </c>
      <c r="H9" s="102" t="s">
        <v>622</v>
      </c>
      <c r="I9" s="98">
        <f>'MAPPING TEMAPACK'!K15</f>
        <v>4</v>
      </c>
      <c r="J9" s="98">
        <f>'MAPPING TEMAPACK'!L15</f>
        <v>1</v>
      </c>
      <c r="K9" s="98">
        <f>'MAPPING TEMAPACK'!M15</f>
        <v>0</v>
      </c>
      <c r="L9" s="98">
        <f>'MAPPING TEMAPACK'!N15</f>
        <v>5</v>
      </c>
      <c r="M9" s="98">
        <f t="shared" si="2"/>
        <v>10</v>
      </c>
      <c r="N9" s="110">
        <f t="shared" si="3"/>
        <v>0</v>
      </c>
    </row>
    <row r="10">
      <c r="B10" s="96" t="s">
        <v>348</v>
      </c>
      <c r="C10" s="98">
        <f>'MAPPING TWL'!E50</f>
        <v>25</v>
      </c>
      <c r="D10" s="98">
        <f>'MAPPING TWL'!F50</f>
        <v>3</v>
      </c>
      <c r="E10" s="98">
        <f>'MAPPING TWL'!G50</f>
        <v>89</v>
      </c>
      <c r="F10" s="98">
        <f>'MAPPING TWL'!H50</f>
        <v>9</v>
      </c>
      <c r="G10" s="98">
        <f t="shared" si="1"/>
        <v>126</v>
      </c>
      <c r="H10" s="102" t="s">
        <v>622</v>
      </c>
      <c r="I10" s="98">
        <f>'MAPPING TWL'!K50</f>
        <v>24</v>
      </c>
      <c r="J10" s="98">
        <f>'MAPPING TWL'!L50</f>
        <v>4</v>
      </c>
      <c r="K10" s="98">
        <f>'MAPPING TWL'!M50</f>
        <v>89</v>
      </c>
      <c r="L10" s="98">
        <f>'MAPPING TWL'!N50</f>
        <v>9</v>
      </c>
      <c r="M10" s="98">
        <f t="shared" si="2"/>
        <v>126</v>
      </c>
      <c r="N10" s="110">
        <f t="shared" si="3"/>
        <v>0</v>
      </c>
    </row>
    <row r="11">
      <c r="B11" s="115" t="s">
        <v>381</v>
      </c>
      <c r="C11" s="116">
        <f t="shared" ref="C11:G11" si="4">SUM(C6:C10)</f>
        <v>87</v>
      </c>
      <c r="D11" s="116">
        <f t="shared" si="4"/>
        <v>59</v>
      </c>
      <c r="E11" s="116">
        <f t="shared" si="4"/>
        <v>378</v>
      </c>
      <c r="F11" s="116">
        <f t="shared" si="4"/>
        <v>108</v>
      </c>
      <c r="G11" s="116">
        <f t="shared" si="4"/>
        <v>632</v>
      </c>
      <c r="H11" s="117"/>
      <c r="I11" s="116">
        <f t="shared" ref="I11:N11" si="5">SUM(I6:I10)</f>
        <v>84</v>
      </c>
      <c r="J11" s="116">
        <f t="shared" si="5"/>
        <v>57</v>
      </c>
      <c r="K11" s="116">
        <f t="shared" si="5"/>
        <v>370</v>
      </c>
      <c r="L11" s="116">
        <f t="shared" si="5"/>
        <v>113</v>
      </c>
      <c r="M11" s="116">
        <f t="shared" si="5"/>
        <v>624</v>
      </c>
      <c r="N11" s="118">
        <f t="shared" si="5"/>
        <v>8</v>
      </c>
    </row>
    <row r="12">
      <c r="V12" s="119"/>
    </row>
    <row r="13">
      <c r="B13" s="88" t="s">
        <v>407</v>
      </c>
      <c r="V13" s="119"/>
    </row>
    <row r="14">
      <c r="B14" s="91" t="s">
        <v>205</v>
      </c>
      <c r="C14" s="92" t="s">
        <v>206</v>
      </c>
      <c r="D14" s="7"/>
      <c r="E14" s="7"/>
      <c r="F14" s="7"/>
      <c r="G14" s="7"/>
      <c r="H14" s="8"/>
      <c r="I14" s="92" t="s">
        <v>207</v>
      </c>
      <c r="J14" s="7"/>
      <c r="K14" s="7"/>
      <c r="L14" s="7"/>
      <c r="M14" s="7"/>
      <c r="N14" s="120" t="s">
        <v>144</v>
      </c>
      <c r="O14" s="90" t="s">
        <v>428</v>
      </c>
      <c r="P14" s="197" t="s">
        <v>431</v>
      </c>
      <c r="Q14" s="197" t="s">
        <v>435</v>
      </c>
      <c r="V14" s="119"/>
    </row>
    <row r="15">
      <c r="B15" s="23"/>
      <c r="C15" s="94" t="s">
        <v>208</v>
      </c>
      <c r="D15" s="94" t="s">
        <v>145</v>
      </c>
      <c r="E15" s="94" t="s">
        <v>209</v>
      </c>
      <c r="F15" s="95" t="s">
        <v>210</v>
      </c>
      <c r="G15" s="94" t="s">
        <v>211</v>
      </c>
      <c r="H15" s="94" t="s">
        <v>212</v>
      </c>
      <c r="I15" s="94" t="s">
        <v>208</v>
      </c>
      <c r="J15" s="94" t="s">
        <v>145</v>
      </c>
      <c r="K15" s="94" t="s">
        <v>209</v>
      </c>
      <c r="L15" s="95" t="s">
        <v>210</v>
      </c>
      <c r="M15" s="94" t="s">
        <v>211</v>
      </c>
      <c r="N15" s="23"/>
      <c r="V15" s="119"/>
    </row>
    <row r="16">
      <c r="B16" s="96" t="s">
        <v>213</v>
      </c>
      <c r="C16" s="98">
        <f>I16+(1*4725479)</f>
        <v>147367144</v>
      </c>
      <c r="D16" s="98">
        <v>1.09283662E8</v>
      </c>
      <c r="E16" s="98">
        <f>232257800+3750000+3750000</f>
        <v>239757800</v>
      </c>
      <c r="F16" s="98">
        <f>F6*25*85000</f>
        <v>44625000</v>
      </c>
      <c r="G16" s="98">
        <f t="shared" ref="G16:G20" si="6">SUM(C16:F16)</f>
        <v>541033606</v>
      </c>
      <c r="H16" s="102" t="s">
        <v>1070</v>
      </c>
      <c r="I16" s="98">
        <v>1.42641665E8</v>
      </c>
      <c r="J16" s="98">
        <v>1.09283662E8</v>
      </c>
      <c r="K16" s="98">
        <v>2.322578E8</v>
      </c>
      <c r="L16" s="98">
        <v>3.7081275E7</v>
      </c>
      <c r="M16" s="98">
        <f t="shared" ref="M16:M20" si="7">SUM(I16:L16)</f>
        <v>521264402</v>
      </c>
      <c r="N16" s="110">
        <f t="shared" ref="N16:N21" si="8">G16-M16</f>
        <v>19769204</v>
      </c>
      <c r="O16" s="198">
        <v>3.0E9</v>
      </c>
      <c r="P16" s="199">
        <f t="shared" ref="P16:P18" si="9">G16/O16</f>
        <v>0.1803445353</v>
      </c>
      <c r="Q16" s="199">
        <f t="shared" ref="Q16:Q18" si="10">M16/O16</f>
        <v>0.1737548007</v>
      </c>
      <c r="V16" s="119"/>
    </row>
    <row r="17">
      <c r="B17" s="96" t="s">
        <v>4</v>
      </c>
      <c r="C17" s="98">
        <f t="shared" ref="C17:C18" si="11">I17</f>
        <v>115988816</v>
      </c>
      <c r="D17" s="98">
        <f>J17+(5*5219263)</f>
        <v>125962933</v>
      </c>
      <c r="E17" s="98">
        <f>(84*82674*25)+(2*1908000)</f>
        <v>177431400</v>
      </c>
      <c r="F17" s="98">
        <f>(F7*62969*25)+5354665</f>
        <v>71472115</v>
      </c>
      <c r="G17" s="98">
        <f t="shared" si="6"/>
        <v>490855264</v>
      </c>
      <c r="H17" s="102" t="s">
        <v>1071</v>
      </c>
      <c r="I17" s="98">
        <v>1.15988816E8</v>
      </c>
      <c r="J17" s="98">
        <v>9.9866618E7</v>
      </c>
      <c r="K17" s="98">
        <f>(84*82674*25)+(2*1908000)</f>
        <v>177431400</v>
      </c>
      <c r="L17" s="98">
        <f>(L7*62969*25)+5354665</f>
        <v>71472115</v>
      </c>
      <c r="M17" s="98">
        <f t="shared" si="7"/>
        <v>464758949</v>
      </c>
      <c r="N17" s="110">
        <f t="shared" si="8"/>
        <v>26096315</v>
      </c>
      <c r="O17" s="198">
        <v>2.7E9</v>
      </c>
      <c r="P17" s="199">
        <f t="shared" si="9"/>
        <v>0.1817982459</v>
      </c>
      <c r="Q17" s="199">
        <f t="shared" si="10"/>
        <v>0.1721329441</v>
      </c>
      <c r="V17" s="119"/>
    </row>
    <row r="18">
      <c r="B18" s="96" t="s">
        <v>308</v>
      </c>
      <c r="C18" s="98">
        <f t="shared" si="11"/>
        <v>94084157</v>
      </c>
      <c r="D18" s="98">
        <f>J18+(2*5219263)</f>
        <v>107424697</v>
      </c>
      <c r="E18" s="98">
        <f>(97*68301*25)+(2*1908000)</f>
        <v>169445925</v>
      </c>
      <c r="F18" s="98">
        <v>1.90226888E8</v>
      </c>
      <c r="G18" s="98">
        <f t="shared" si="6"/>
        <v>561181667</v>
      </c>
      <c r="H18" s="102" t="s">
        <v>1072</v>
      </c>
      <c r="I18" s="98">
        <v>9.4084157E7</v>
      </c>
      <c r="J18" s="98">
        <v>9.6986171E7</v>
      </c>
      <c r="K18" s="98">
        <f>(97*68301*25)+(2*1908000)</f>
        <v>169445925</v>
      </c>
      <c r="L18" s="98">
        <v>1.90226888E8</v>
      </c>
      <c r="M18" s="98">
        <f t="shared" si="7"/>
        <v>550743141</v>
      </c>
      <c r="N18" s="110">
        <f t="shared" si="8"/>
        <v>10438526</v>
      </c>
      <c r="O18" s="198">
        <v>2.5E9</v>
      </c>
      <c r="P18" s="199">
        <f t="shared" si="9"/>
        <v>0.2244726668</v>
      </c>
      <c r="Q18" s="199">
        <f t="shared" si="10"/>
        <v>0.2202972564</v>
      </c>
      <c r="V18" s="119"/>
    </row>
    <row r="19">
      <c r="B19" s="96" t="s">
        <v>509</v>
      </c>
      <c r="C19" s="98">
        <f>I19+J19</f>
        <v>30132270</v>
      </c>
      <c r="D19" s="98">
        <v>0.0</v>
      </c>
      <c r="E19" s="98">
        <f>E9*25*115000</f>
        <v>14375000</v>
      </c>
      <c r="F19" s="98">
        <v>0.0</v>
      </c>
      <c r="G19" s="98">
        <f t="shared" si="6"/>
        <v>44507270</v>
      </c>
      <c r="H19" s="102" t="s">
        <v>622</v>
      </c>
      <c r="I19" s="98">
        <v>2.536298E7</v>
      </c>
      <c r="J19" s="98">
        <v>4769290.0</v>
      </c>
      <c r="K19" s="98">
        <v>0.0</v>
      </c>
      <c r="L19" s="98">
        <f>L9*25*115000</f>
        <v>14375000</v>
      </c>
      <c r="M19" s="98">
        <f t="shared" si="7"/>
        <v>44507270</v>
      </c>
      <c r="N19" s="110">
        <f t="shared" si="8"/>
        <v>0</v>
      </c>
      <c r="O19" s="142">
        <v>0.0</v>
      </c>
      <c r="P19" s="199">
        <v>0.0</v>
      </c>
      <c r="Q19" s="199">
        <v>0.0</v>
      </c>
      <c r="V19" s="119"/>
    </row>
    <row r="20">
      <c r="B20" s="96" t="s">
        <v>348</v>
      </c>
      <c r="C20" s="98">
        <v>1.19165176E8</v>
      </c>
      <c r="D20" s="98">
        <v>1.0104825E7</v>
      </c>
      <c r="E20" s="98">
        <f>89*64500*25</f>
        <v>143512500</v>
      </c>
      <c r="F20" s="98">
        <f>F10*64500*25</f>
        <v>14512500</v>
      </c>
      <c r="G20" s="98">
        <f t="shared" si="6"/>
        <v>287295001</v>
      </c>
      <c r="H20" s="102" t="s">
        <v>622</v>
      </c>
      <c r="I20" s="98">
        <v>1.11166901E8</v>
      </c>
      <c r="J20" s="98">
        <v>1.81031E7</v>
      </c>
      <c r="K20" s="98">
        <f>89*64500*25</f>
        <v>143512500</v>
      </c>
      <c r="L20" s="98">
        <f>L10*64500*25</f>
        <v>14512500</v>
      </c>
      <c r="M20" s="98">
        <f t="shared" si="7"/>
        <v>287295001</v>
      </c>
      <c r="N20" s="110">
        <f t="shared" si="8"/>
        <v>0</v>
      </c>
      <c r="O20" s="198">
        <v>4.0E9</v>
      </c>
      <c r="P20" s="199">
        <f>G20/O20</f>
        <v>0.07182375025</v>
      </c>
      <c r="Q20" s="199">
        <f>M20/O20</f>
        <v>0.07182375025</v>
      </c>
      <c r="V20" s="119"/>
    </row>
    <row r="21" ht="15.75" customHeight="1">
      <c r="B21" s="115" t="s">
        <v>381</v>
      </c>
      <c r="C21" s="116">
        <f t="shared" ref="C21:G21" si="12">SUM(C16:C20)</f>
        <v>506737563</v>
      </c>
      <c r="D21" s="116">
        <f t="shared" si="12"/>
        <v>352776117</v>
      </c>
      <c r="E21" s="116">
        <f t="shared" si="12"/>
        <v>744522625</v>
      </c>
      <c r="F21" s="116">
        <f t="shared" si="12"/>
        <v>320836503</v>
      </c>
      <c r="G21" s="116">
        <f t="shared" si="12"/>
        <v>1924872808</v>
      </c>
      <c r="H21" s="117"/>
      <c r="I21" s="116">
        <f t="shared" ref="I21:M21" si="13">SUM(I16:I20)</f>
        <v>489244519</v>
      </c>
      <c r="J21" s="116">
        <f t="shared" si="13"/>
        <v>329008841</v>
      </c>
      <c r="K21" s="116">
        <f t="shared" si="13"/>
        <v>722647625</v>
      </c>
      <c r="L21" s="116">
        <f t="shared" si="13"/>
        <v>327667778</v>
      </c>
      <c r="M21" s="116">
        <f t="shared" si="13"/>
        <v>1868568763</v>
      </c>
      <c r="N21" s="136">
        <f t="shared" si="8"/>
        <v>56304045</v>
      </c>
      <c r="V21" s="119"/>
    </row>
    <row r="22" ht="15.75" customHeight="1">
      <c r="B22" s="88"/>
      <c r="V22" s="119"/>
    </row>
    <row r="23" ht="15.75" customHeight="1">
      <c r="B23" s="88" t="s">
        <v>1073</v>
      </c>
      <c r="V23" s="119"/>
    </row>
    <row r="24" ht="15.75" customHeight="1">
      <c r="B24" s="88" t="s">
        <v>1074</v>
      </c>
      <c r="V24" s="119"/>
    </row>
    <row r="25" ht="15.75" customHeight="1">
      <c r="B25" s="88" t="s">
        <v>1075</v>
      </c>
      <c r="C25" s="200" t="s">
        <v>1076</v>
      </c>
      <c r="V25" s="119"/>
    </row>
    <row r="26" ht="15.75" customHeight="1">
      <c r="B26" s="88" t="s">
        <v>1077</v>
      </c>
      <c r="C26" s="200" t="s">
        <v>1078</v>
      </c>
      <c r="V26" s="119"/>
    </row>
    <row r="27" ht="15.75" customHeight="1">
      <c r="B27" s="88" t="s">
        <v>1079</v>
      </c>
      <c r="C27" s="200" t="s">
        <v>1080</v>
      </c>
      <c r="V27" s="119"/>
    </row>
    <row r="28" ht="15.75" customHeight="1">
      <c r="B28" s="88" t="s">
        <v>1081</v>
      </c>
      <c r="C28" s="200" t="s">
        <v>1082</v>
      </c>
      <c r="V28" s="119"/>
    </row>
    <row r="29" ht="15.75" customHeight="1">
      <c r="B29" s="88"/>
      <c r="V29" s="119"/>
    </row>
    <row r="30" ht="15.75" customHeight="1">
      <c r="B30" s="143"/>
      <c r="C30" s="144"/>
      <c r="D30" s="144"/>
      <c r="E30" s="144"/>
      <c r="F30" s="144"/>
    </row>
    <row r="31" ht="15.75" customHeight="1">
      <c r="B31" s="143" t="s">
        <v>1083</v>
      </c>
      <c r="C31" s="144"/>
      <c r="D31" s="144"/>
      <c r="E31" s="144"/>
      <c r="F31" s="144"/>
    </row>
    <row r="32" ht="15.75" customHeight="1">
      <c r="B32" s="143" t="s">
        <v>669</v>
      </c>
      <c r="C32" s="144"/>
      <c r="D32" s="144"/>
      <c r="E32" s="144"/>
      <c r="F32" s="144"/>
    </row>
    <row r="33" ht="15.75" customHeight="1">
      <c r="B33" s="120" t="s">
        <v>670</v>
      </c>
      <c r="C33" s="93" t="s">
        <v>671</v>
      </c>
      <c r="D33" s="145" t="s">
        <v>672</v>
      </c>
      <c r="E33" s="145" t="s">
        <v>675</v>
      </c>
      <c r="F33" s="93" t="s">
        <v>678</v>
      </c>
      <c r="G33" s="120" t="s">
        <v>680</v>
      </c>
      <c r="H33" s="93" t="s">
        <v>685</v>
      </c>
      <c r="I33" s="93" t="s">
        <v>688</v>
      </c>
      <c r="J33" s="93" t="s">
        <v>690</v>
      </c>
      <c r="K33" s="147" t="s">
        <v>693</v>
      </c>
      <c r="L33" s="8"/>
    </row>
    <row r="34" ht="27.75" customHeight="1">
      <c r="B34" s="23"/>
      <c r="C34" s="23"/>
      <c r="D34" s="23"/>
      <c r="E34" s="23"/>
      <c r="F34" s="23"/>
      <c r="G34" s="23"/>
      <c r="H34" s="23"/>
      <c r="I34" s="23"/>
      <c r="J34" s="23"/>
      <c r="K34" s="150" t="s">
        <v>702</v>
      </c>
      <c r="L34" s="150" t="s">
        <v>704</v>
      </c>
    </row>
    <row r="35" ht="15.75" customHeight="1">
      <c r="B35" s="152" t="s">
        <v>707</v>
      </c>
      <c r="C35" s="153">
        <f t="shared" ref="C35:C39" si="15">C6+D6</f>
        <v>42</v>
      </c>
      <c r="D35" s="153">
        <f t="shared" ref="D35:D39" si="16">E6+F6</f>
        <v>129</v>
      </c>
      <c r="E35" s="153">
        <f t="shared" ref="E35:E39" si="17">SUM(C35:D35)</f>
        <v>171</v>
      </c>
      <c r="F35" s="153">
        <f t="shared" ref="F35:F39" si="18">I6+J6</f>
        <v>41</v>
      </c>
      <c r="G35" s="153">
        <f t="shared" ref="G35:G39" si="19">K6+L6</f>
        <v>127</v>
      </c>
      <c r="H35" s="153">
        <f t="shared" ref="H35:H39" si="20">SUM(F35:G35)</f>
        <v>168</v>
      </c>
      <c r="I35" s="159">
        <f t="shared" ref="I35:J35" si="14">(F35-C35)/C35</f>
        <v>-0.02380952381</v>
      </c>
      <c r="J35" s="162">
        <f t="shared" si="14"/>
        <v>-0.01550387597</v>
      </c>
      <c r="K35" s="153">
        <f t="shared" ref="K35:K39" si="22">H35-E35</f>
        <v>-3</v>
      </c>
      <c r="L35" s="162">
        <f t="shared" ref="L35:L40" si="23">(H35-E35)/E35</f>
        <v>-0.01754385965</v>
      </c>
    </row>
    <row r="36" ht="15.75" customHeight="1">
      <c r="B36" s="152" t="s">
        <v>738</v>
      </c>
      <c r="C36" s="153">
        <f t="shared" si="15"/>
        <v>34</v>
      </c>
      <c r="D36" s="153">
        <f t="shared" si="16"/>
        <v>105</v>
      </c>
      <c r="E36" s="153">
        <f t="shared" si="17"/>
        <v>139</v>
      </c>
      <c r="F36" s="153">
        <f t="shared" si="18"/>
        <v>32</v>
      </c>
      <c r="G36" s="153">
        <f t="shared" si="19"/>
        <v>104</v>
      </c>
      <c r="H36" s="153">
        <f t="shared" si="20"/>
        <v>136</v>
      </c>
      <c r="I36" s="159">
        <f t="shared" ref="I36:J36" si="21">(F36-C36)/C36</f>
        <v>-0.05882352941</v>
      </c>
      <c r="J36" s="162">
        <f t="shared" si="21"/>
        <v>-0.009523809524</v>
      </c>
      <c r="K36" s="153">
        <f t="shared" si="22"/>
        <v>-3</v>
      </c>
      <c r="L36" s="162">
        <f t="shared" si="23"/>
        <v>-0.02158273381</v>
      </c>
    </row>
    <row r="37" ht="15.75" customHeight="1">
      <c r="B37" s="152" t="s">
        <v>753</v>
      </c>
      <c r="C37" s="153">
        <f t="shared" si="15"/>
        <v>37</v>
      </c>
      <c r="D37" s="153">
        <f t="shared" si="16"/>
        <v>149</v>
      </c>
      <c r="E37" s="153">
        <f t="shared" si="17"/>
        <v>186</v>
      </c>
      <c r="F37" s="153">
        <f t="shared" si="18"/>
        <v>35</v>
      </c>
      <c r="G37" s="153">
        <f t="shared" si="19"/>
        <v>149</v>
      </c>
      <c r="H37" s="153">
        <f t="shared" si="20"/>
        <v>184</v>
      </c>
      <c r="I37" s="159">
        <f t="shared" ref="I37:J37" si="24">(F37-C37)/C37</f>
        <v>-0.05405405405</v>
      </c>
      <c r="J37" s="162">
        <f t="shared" si="24"/>
        <v>0</v>
      </c>
      <c r="K37" s="153">
        <f t="shared" si="22"/>
        <v>-2</v>
      </c>
      <c r="L37" s="162">
        <f t="shared" si="23"/>
        <v>-0.01075268817</v>
      </c>
    </row>
    <row r="38" ht="15.75" customHeight="1">
      <c r="B38" s="152" t="s">
        <v>768</v>
      </c>
      <c r="C38" s="153">
        <f t="shared" si="15"/>
        <v>5</v>
      </c>
      <c r="D38" s="153">
        <f t="shared" si="16"/>
        <v>5</v>
      </c>
      <c r="E38" s="153">
        <f t="shared" si="17"/>
        <v>10</v>
      </c>
      <c r="F38" s="153">
        <f t="shared" si="18"/>
        <v>5</v>
      </c>
      <c r="G38" s="153">
        <f t="shared" si="19"/>
        <v>5</v>
      </c>
      <c r="H38" s="153">
        <f t="shared" si="20"/>
        <v>10</v>
      </c>
      <c r="I38" s="159">
        <f t="shared" ref="I38:I40" si="25">(F38-C38)/C38</f>
        <v>0</v>
      </c>
      <c r="J38" s="162">
        <v>0.0</v>
      </c>
      <c r="K38" s="153">
        <f t="shared" si="22"/>
        <v>0</v>
      </c>
      <c r="L38" s="162">
        <f t="shared" si="23"/>
        <v>0</v>
      </c>
    </row>
    <row r="39" ht="15.75" customHeight="1">
      <c r="B39" s="152" t="s">
        <v>766</v>
      </c>
      <c r="C39" s="153">
        <f t="shared" si="15"/>
        <v>28</v>
      </c>
      <c r="D39" s="153">
        <f t="shared" si="16"/>
        <v>98</v>
      </c>
      <c r="E39" s="153">
        <f t="shared" si="17"/>
        <v>126</v>
      </c>
      <c r="F39" s="153">
        <f t="shared" si="18"/>
        <v>28</v>
      </c>
      <c r="G39" s="153">
        <f t="shared" si="19"/>
        <v>98</v>
      </c>
      <c r="H39" s="153">
        <f t="shared" si="20"/>
        <v>126</v>
      </c>
      <c r="I39" s="159">
        <f t="shared" si="25"/>
        <v>0</v>
      </c>
      <c r="J39" s="162">
        <f t="shared" ref="J39:J40" si="27">(G39-D39)/D39</f>
        <v>0</v>
      </c>
      <c r="K39" s="153">
        <f t="shared" si="22"/>
        <v>0</v>
      </c>
      <c r="L39" s="162">
        <f t="shared" si="23"/>
        <v>0</v>
      </c>
    </row>
    <row r="40" ht="15.75" customHeight="1">
      <c r="B40" s="165" t="s">
        <v>525</v>
      </c>
      <c r="C40" s="166">
        <f t="shared" ref="C40:H40" si="26">SUM(C35:C39)</f>
        <v>146</v>
      </c>
      <c r="D40" s="166">
        <f t="shared" si="26"/>
        <v>486</v>
      </c>
      <c r="E40" s="166">
        <f t="shared" si="26"/>
        <v>632</v>
      </c>
      <c r="F40" s="166">
        <f t="shared" si="26"/>
        <v>141</v>
      </c>
      <c r="G40" s="166">
        <f t="shared" si="26"/>
        <v>483</v>
      </c>
      <c r="H40" s="166">
        <f t="shared" si="26"/>
        <v>624</v>
      </c>
      <c r="I40" s="167">
        <f t="shared" si="25"/>
        <v>-0.03424657534</v>
      </c>
      <c r="J40" s="168">
        <f t="shared" si="27"/>
        <v>-0.006172839506</v>
      </c>
      <c r="K40" s="165">
        <f>SUM(K34:K39)</f>
        <v>-8</v>
      </c>
      <c r="L40" s="168">
        <f t="shared" si="23"/>
        <v>-0.01265822785</v>
      </c>
    </row>
    <row r="41" ht="15.75" customHeight="1">
      <c r="B41" s="88"/>
      <c r="V41" s="119"/>
    </row>
    <row r="42" ht="15.75" customHeight="1">
      <c r="B42" s="88" t="s">
        <v>771</v>
      </c>
      <c r="V42" s="119"/>
    </row>
    <row r="43" ht="47.25" customHeight="1">
      <c r="B43" s="115" t="s">
        <v>670</v>
      </c>
      <c r="C43" s="170" t="s">
        <v>772</v>
      </c>
      <c r="D43" s="170" t="s">
        <v>773</v>
      </c>
      <c r="E43" s="170" t="s">
        <v>774</v>
      </c>
      <c r="F43" s="170" t="s">
        <v>775</v>
      </c>
      <c r="G43" s="170" t="s">
        <v>776</v>
      </c>
      <c r="H43" s="170" t="s">
        <v>777</v>
      </c>
      <c r="I43" s="170" t="s">
        <v>778</v>
      </c>
      <c r="J43" s="170" t="s">
        <v>779</v>
      </c>
      <c r="K43" s="171" t="s">
        <v>780</v>
      </c>
      <c r="L43" s="115" t="s">
        <v>781</v>
      </c>
      <c r="N43" s="172"/>
      <c r="V43" s="119"/>
    </row>
    <row r="44" ht="15.75" customHeight="1">
      <c r="B44" s="152" t="s">
        <v>707</v>
      </c>
      <c r="C44" s="173">
        <f t="shared" ref="C44:C48" si="29">C16+D16</f>
        <v>256650806</v>
      </c>
      <c r="D44" s="173">
        <f t="shared" ref="D44:D48" si="30">E16+F16</f>
        <v>284382800</v>
      </c>
      <c r="E44" s="173">
        <f>$C$44+D44</f>
        <v>541033606</v>
      </c>
      <c r="F44" s="173">
        <f t="shared" ref="F44:F48" si="31">I16+J16</f>
        <v>251925327</v>
      </c>
      <c r="G44" s="173">
        <f t="shared" ref="G44:G48" si="32">K16+L16</f>
        <v>269339075</v>
      </c>
      <c r="H44" s="173">
        <f t="shared" ref="H44:H48" si="33">F44+G44</f>
        <v>521264402</v>
      </c>
      <c r="I44" s="125">
        <f t="shared" ref="I44:J44" si="28">(F44-C44)/C44</f>
        <v>-0.01841209491</v>
      </c>
      <c r="J44" s="96">
        <f t="shared" si="28"/>
        <v>-0.05289956003</v>
      </c>
      <c r="K44" s="177">
        <v>3.0E9</v>
      </c>
      <c r="L44" s="125">
        <f t="shared" ref="L44:L48" si="35">H44/K44</f>
        <v>0.1737548007</v>
      </c>
      <c r="N44" s="146"/>
      <c r="V44" s="119"/>
    </row>
    <row r="45" ht="15.75" customHeight="1">
      <c r="B45" s="152" t="s">
        <v>738</v>
      </c>
      <c r="C45" s="173">
        <f t="shared" si="29"/>
        <v>241951749</v>
      </c>
      <c r="D45" s="173">
        <f t="shared" si="30"/>
        <v>248903515</v>
      </c>
      <c r="E45" s="173">
        <f t="shared" ref="E45:E48" si="36">C45+D45</f>
        <v>490855264</v>
      </c>
      <c r="F45" s="173">
        <f t="shared" si="31"/>
        <v>215855434</v>
      </c>
      <c r="G45" s="173">
        <f t="shared" si="32"/>
        <v>248903515</v>
      </c>
      <c r="H45" s="173">
        <f t="shared" si="33"/>
        <v>464758949</v>
      </c>
      <c r="I45" s="125">
        <f t="shared" ref="I45:J45" si="34">(F45-C45)/C45</f>
        <v>-0.1078575175</v>
      </c>
      <c r="J45" s="96">
        <f t="shared" si="34"/>
        <v>0</v>
      </c>
      <c r="K45" s="177">
        <v>2.7E9</v>
      </c>
      <c r="L45" s="125">
        <f t="shared" si="35"/>
        <v>0.1721329441</v>
      </c>
      <c r="N45" s="146"/>
      <c r="V45" s="119"/>
    </row>
    <row r="46" ht="15.75" customHeight="1">
      <c r="B46" s="152" t="s">
        <v>753</v>
      </c>
      <c r="C46" s="173">
        <f t="shared" si="29"/>
        <v>201508854</v>
      </c>
      <c r="D46" s="173">
        <f t="shared" si="30"/>
        <v>359672813</v>
      </c>
      <c r="E46" s="173">
        <f t="shared" si="36"/>
        <v>561181667</v>
      </c>
      <c r="F46" s="173">
        <f t="shared" si="31"/>
        <v>191070328</v>
      </c>
      <c r="G46" s="173">
        <f t="shared" si="32"/>
        <v>359672813</v>
      </c>
      <c r="H46" s="173">
        <f t="shared" si="33"/>
        <v>550743141</v>
      </c>
      <c r="I46" s="125">
        <f t="shared" ref="I46:J46" si="37">(F46-C46)/C46</f>
        <v>-0.05180182306</v>
      </c>
      <c r="J46" s="96">
        <f t="shared" si="37"/>
        <v>0</v>
      </c>
      <c r="K46" s="177">
        <v>2.5E9</v>
      </c>
      <c r="L46" s="125">
        <f t="shared" si="35"/>
        <v>0.2202972564</v>
      </c>
      <c r="N46" s="146"/>
      <c r="V46" s="119"/>
    </row>
    <row r="47" ht="15.75" customHeight="1">
      <c r="B47" s="152" t="s">
        <v>768</v>
      </c>
      <c r="C47" s="173">
        <f t="shared" si="29"/>
        <v>30132270</v>
      </c>
      <c r="D47" s="173">
        <f t="shared" si="30"/>
        <v>14375000</v>
      </c>
      <c r="E47" s="173">
        <f t="shared" si="36"/>
        <v>44507270</v>
      </c>
      <c r="F47" s="173">
        <f t="shared" si="31"/>
        <v>30132270</v>
      </c>
      <c r="G47" s="173">
        <f t="shared" si="32"/>
        <v>14375000</v>
      </c>
      <c r="H47" s="173">
        <f t="shared" si="33"/>
        <v>44507270</v>
      </c>
      <c r="I47" s="125">
        <f t="shared" ref="I47:J47" si="38">(F47-C47)/C47</f>
        <v>0</v>
      </c>
      <c r="J47" s="96">
        <f t="shared" si="38"/>
        <v>0</v>
      </c>
      <c r="K47" s="96">
        <v>0.0</v>
      </c>
      <c r="L47" s="125" t="str">
        <f t="shared" si="35"/>
        <v>#DIV/0!</v>
      </c>
      <c r="N47" s="146"/>
      <c r="V47" s="119"/>
    </row>
    <row r="48" ht="15.75" customHeight="1">
      <c r="B48" s="152" t="s">
        <v>766</v>
      </c>
      <c r="C48" s="173">
        <f t="shared" si="29"/>
        <v>129270001</v>
      </c>
      <c r="D48" s="173">
        <f t="shared" si="30"/>
        <v>158025000</v>
      </c>
      <c r="E48" s="173">
        <f t="shared" si="36"/>
        <v>287295001</v>
      </c>
      <c r="F48" s="173">
        <f t="shared" si="31"/>
        <v>129270001</v>
      </c>
      <c r="G48" s="173">
        <f t="shared" si="32"/>
        <v>158025000</v>
      </c>
      <c r="H48" s="173">
        <f t="shared" si="33"/>
        <v>287295001</v>
      </c>
      <c r="I48" s="125">
        <f t="shared" ref="I48:J48" si="39">(F48-C48)/C48</f>
        <v>0</v>
      </c>
      <c r="J48" s="96">
        <f t="shared" si="39"/>
        <v>0</v>
      </c>
      <c r="K48" s="177">
        <v>4.0E9</v>
      </c>
      <c r="L48" s="125">
        <f t="shared" si="35"/>
        <v>0.07182375025</v>
      </c>
      <c r="N48" s="146"/>
      <c r="V48" s="119"/>
    </row>
    <row r="49" ht="15.75" customHeight="1">
      <c r="B49" s="165" t="s">
        <v>525</v>
      </c>
      <c r="C49" s="166">
        <f t="shared" ref="C49:H49" si="40">SUM(C44:C48)</f>
        <v>859513680</v>
      </c>
      <c r="D49" s="166">
        <f t="shared" si="40"/>
        <v>1065359128</v>
      </c>
      <c r="E49" s="166">
        <f t="shared" si="40"/>
        <v>1924872808</v>
      </c>
      <c r="F49" s="166">
        <f t="shared" si="40"/>
        <v>818253360</v>
      </c>
      <c r="G49" s="166">
        <f t="shared" si="40"/>
        <v>1050315403</v>
      </c>
      <c r="H49" s="166">
        <f t="shared" si="40"/>
        <v>1868568763</v>
      </c>
      <c r="I49" s="167">
        <f t="shared" ref="I49:J49" si="41">(F49-C49)/C49</f>
        <v>-0.04800426213</v>
      </c>
      <c r="J49" s="168">
        <f t="shared" si="41"/>
        <v>-0.01412080171</v>
      </c>
      <c r="K49" s="180">
        <f>SUM(K43:K48)</f>
        <v>12200000000</v>
      </c>
      <c r="L49" s="168">
        <f>(H49-E49)/E49</f>
        <v>-0.02925078726</v>
      </c>
      <c r="N49" s="146"/>
      <c r="V49" s="119"/>
    </row>
    <row r="50" ht="15.75" customHeight="1">
      <c r="B50" s="88"/>
      <c r="V50" s="119"/>
    </row>
    <row r="51" ht="15.75" customHeight="1">
      <c r="B51" s="88"/>
      <c r="V51" s="119"/>
    </row>
    <row r="52" ht="15.75" customHeight="1">
      <c r="B52" s="88"/>
      <c r="V52" s="119"/>
    </row>
    <row r="53" ht="15.75" customHeight="1">
      <c r="B53" s="88"/>
      <c r="V53" s="119"/>
    </row>
    <row r="54" ht="15.75" customHeight="1">
      <c r="B54" s="88"/>
      <c r="V54" s="119"/>
    </row>
    <row r="55" ht="15.75" customHeight="1">
      <c r="B55" s="88"/>
      <c r="V55" s="119"/>
    </row>
    <row r="56" ht="15.75" customHeight="1">
      <c r="B56" s="88"/>
      <c r="V56" s="119"/>
    </row>
    <row r="57" ht="15.75" customHeight="1">
      <c r="B57" s="88"/>
      <c r="V57" s="119"/>
    </row>
    <row r="58" ht="15.75" customHeight="1">
      <c r="B58" s="88"/>
      <c r="V58" s="119"/>
    </row>
    <row r="59" ht="15.75" customHeight="1">
      <c r="B59" s="88"/>
      <c r="V59" s="119"/>
    </row>
    <row r="60" ht="15.75" customHeight="1">
      <c r="B60" s="88"/>
      <c r="V60" s="119"/>
    </row>
    <row r="61" ht="15.75" customHeight="1">
      <c r="B61" s="88"/>
      <c r="V61" s="119"/>
    </row>
    <row r="62" ht="15.75" hidden="1" customHeight="1">
      <c r="B62" s="88" t="s">
        <v>883</v>
      </c>
      <c r="V62" s="119"/>
    </row>
    <row r="63" ht="15.75" hidden="1" customHeight="1">
      <c r="B63" s="121" t="s">
        <v>205</v>
      </c>
      <c r="C63" s="121" t="s">
        <v>211</v>
      </c>
      <c r="D63" s="182" t="s">
        <v>195</v>
      </c>
      <c r="E63" s="7"/>
      <c r="F63" s="8"/>
    </row>
    <row r="64" ht="15.75" hidden="1" customHeight="1">
      <c r="B64" s="96" t="s">
        <v>213</v>
      </c>
      <c r="C64" s="113">
        <f>'MAPPING ALL CABANG'!M92+'MAPPING ALL CABANG'!N92</f>
        <v>127</v>
      </c>
      <c r="D64" s="183"/>
      <c r="E64" s="7"/>
      <c r="F64" s="8"/>
    </row>
    <row r="65" ht="15.75" hidden="1" customHeight="1">
      <c r="B65" s="96" t="s">
        <v>4</v>
      </c>
      <c r="C65" s="113">
        <f>'MAPPING ALL CABANG'!Y92+'MAPPING ALL CABANG'!Z92</f>
        <v>100</v>
      </c>
      <c r="D65" s="183"/>
      <c r="E65" s="7"/>
      <c r="F65" s="8"/>
    </row>
    <row r="66" ht="15.75" hidden="1" customHeight="1">
      <c r="B66" s="96" t="s">
        <v>308</v>
      </c>
      <c r="C66" s="113">
        <f>'MAPPING ALL CABANG'!AK92+'MAPPING ALL CABANG'!AL92</f>
        <v>135</v>
      </c>
      <c r="D66" s="183"/>
      <c r="E66" s="7"/>
      <c r="F66" s="8"/>
    </row>
    <row r="67" ht="15.75" hidden="1" customHeight="1">
      <c r="B67" s="96" t="s">
        <v>509</v>
      </c>
      <c r="C67" s="113">
        <f>'MAPPING ALL CABANG'!AW92+'MAPPING ALL CABANG'!AX92</f>
        <v>0</v>
      </c>
      <c r="D67" s="183"/>
      <c r="E67" s="7"/>
      <c r="F67" s="8"/>
    </row>
    <row r="68" ht="15.75" hidden="1" customHeight="1">
      <c r="B68" s="96" t="s">
        <v>348</v>
      </c>
      <c r="C68" s="113">
        <f>'SDM TWL 2024'!F136</f>
        <v>98</v>
      </c>
      <c r="D68" s="183" t="s">
        <v>622</v>
      </c>
      <c r="E68" s="7"/>
      <c r="F68" s="8"/>
    </row>
    <row r="69" ht="15.75" hidden="1" customHeight="1">
      <c r="B69" s="115" t="s">
        <v>908</v>
      </c>
      <c r="C69" s="171">
        <f>SUM(C64:C68)</f>
        <v>460</v>
      </c>
      <c r="D69" s="184"/>
      <c r="E69" s="7"/>
      <c r="F69" s="8"/>
    </row>
    <row r="70" ht="15.75" hidden="1" customHeight="1"/>
    <row r="71" ht="15.75" hidden="1" customHeight="1">
      <c r="B71" s="88" t="s">
        <v>918</v>
      </c>
    </row>
    <row r="72" ht="15.75" hidden="1" customHeight="1">
      <c r="B72" s="121" t="s">
        <v>205</v>
      </c>
      <c r="C72" s="121" t="s">
        <v>208</v>
      </c>
      <c r="D72" s="121" t="s">
        <v>145</v>
      </c>
      <c r="E72" s="121" t="s">
        <v>922</v>
      </c>
      <c r="F72" s="121" t="s">
        <v>211</v>
      </c>
    </row>
    <row r="73" ht="15.75" hidden="1" customHeight="1">
      <c r="B73" s="96" t="s">
        <v>213</v>
      </c>
      <c r="C73" s="98">
        <f t="shared" ref="C73:D73" si="42">I6</f>
        <v>23</v>
      </c>
      <c r="D73" s="98">
        <f t="shared" si="42"/>
        <v>18</v>
      </c>
      <c r="E73" s="113">
        <f t="shared" ref="E73:E77" si="44">C64</f>
        <v>127</v>
      </c>
      <c r="F73" s="98">
        <f t="shared" ref="F73:F77" si="45">C73+D73+E73</f>
        <v>168</v>
      </c>
    </row>
    <row r="74" ht="15.75" hidden="1" customHeight="1">
      <c r="B74" s="96" t="s">
        <v>4</v>
      </c>
      <c r="C74" s="98">
        <f t="shared" ref="C74:D74" si="43">I7</f>
        <v>19</v>
      </c>
      <c r="D74" s="98">
        <f t="shared" si="43"/>
        <v>13</v>
      </c>
      <c r="E74" s="113">
        <f t="shared" si="44"/>
        <v>100</v>
      </c>
      <c r="F74" s="98">
        <f t="shared" si="45"/>
        <v>132</v>
      </c>
    </row>
    <row r="75" ht="15.75" hidden="1" customHeight="1">
      <c r="B75" s="96" t="s">
        <v>308</v>
      </c>
      <c r="C75" s="98">
        <f t="shared" ref="C75:D75" si="46">I8</f>
        <v>14</v>
      </c>
      <c r="D75" s="98">
        <f t="shared" si="46"/>
        <v>21</v>
      </c>
      <c r="E75" s="113">
        <f t="shared" si="44"/>
        <v>135</v>
      </c>
      <c r="F75" s="98">
        <f t="shared" si="45"/>
        <v>170</v>
      </c>
    </row>
    <row r="76" ht="15.75" hidden="1" customHeight="1">
      <c r="B76" s="96" t="s">
        <v>509</v>
      </c>
      <c r="C76" s="98">
        <f t="shared" ref="C76:D76" si="47">I9</f>
        <v>4</v>
      </c>
      <c r="D76" s="98">
        <f t="shared" si="47"/>
        <v>1</v>
      </c>
      <c r="E76" s="113">
        <f t="shared" si="44"/>
        <v>0</v>
      </c>
      <c r="F76" s="98">
        <f t="shared" si="45"/>
        <v>5</v>
      </c>
    </row>
    <row r="77" ht="15.75" hidden="1" customHeight="1">
      <c r="B77" s="96" t="s">
        <v>348</v>
      </c>
      <c r="C77" s="98">
        <f t="shared" ref="C77:D77" si="48">I10</f>
        <v>24</v>
      </c>
      <c r="D77" s="98">
        <f t="shared" si="48"/>
        <v>4</v>
      </c>
      <c r="E77" s="113">
        <f t="shared" si="44"/>
        <v>98</v>
      </c>
      <c r="F77" s="98">
        <f t="shared" si="45"/>
        <v>126</v>
      </c>
    </row>
    <row r="78" ht="15.75" hidden="1" customHeight="1">
      <c r="B78" s="115" t="s">
        <v>908</v>
      </c>
      <c r="C78" s="116">
        <f t="shared" ref="C78:F78" si="49">SUM(C73:C77)</f>
        <v>84</v>
      </c>
      <c r="D78" s="116">
        <f t="shared" si="49"/>
        <v>57</v>
      </c>
      <c r="E78" s="171">
        <f t="shared" si="49"/>
        <v>460</v>
      </c>
      <c r="F78" s="116">
        <f t="shared" si="49"/>
        <v>601</v>
      </c>
    </row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>
      <c r="B83" s="88" t="s">
        <v>959</v>
      </c>
    </row>
    <row r="84" ht="15.75" hidden="1" customHeight="1">
      <c r="B84" s="88" t="s">
        <v>960</v>
      </c>
    </row>
    <row r="85" ht="15.75" hidden="1" customHeight="1">
      <c r="B85" s="90"/>
      <c r="C85" s="90"/>
      <c r="D85" s="90"/>
    </row>
    <row r="86" ht="15.75" hidden="1" customHeight="1">
      <c r="B86" s="121" t="s">
        <v>205</v>
      </c>
      <c r="C86" s="121" t="s">
        <v>208</v>
      </c>
      <c r="D86" s="121" t="s">
        <v>145</v>
      </c>
      <c r="E86" s="121" t="s">
        <v>211</v>
      </c>
      <c r="F86" s="121" t="s">
        <v>195</v>
      </c>
    </row>
    <row r="87" ht="15.75" hidden="1" customHeight="1">
      <c r="B87" s="96" t="s">
        <v>213</v>
      </c>
      <c r="C87" s="113">
        <v>20.0</v>
      </c>
      <c r="D87" s="113">
        <v>19.0</v>
      </c>
      <c r="E87" s="113">
        <f t="shared" ref="E87:E92" si="50">C87+D87</f>
        <v>39</v>
      </c>
      <c r="F87" s="102" t="s">
        <v>965</v>
      </c>
    </row>
    <row r="88" ht="15.75" hidden="1" customHeight="1">
      <c r="B88" s="96" t="s">
        <v>4</v>
      </c>
      <c r="C88" s="113">
        <v>18.0</v>
      </c>
      <c r="D88" s="113">
        <v>17.0</v>
      </c>
      <c r="E88" s="113">
        <f t="shared" si="50"/>
        <v>35</v>
      </c>
      <c r="F88" s="112" t="s">
        <v>967</v>
      </c>
    </row>
    <row r="89" ht="15.75" hidden="1" customHeight="1">
      <c r="B89" s="96" t="s">
        <v>308</v>
      </c>
      <c r="C89" s="113">
        <v>2.0</v>
      </c>
      <c r="D89" s="113">
        <v>12.0</v>
      </c>
      <c r="E89" s="113">
        <f t="shared" si="50"/>
        <v>14</v>
      </c>
      <c r="F89" s="102" t="s">
        <v>622</v>
      </c>
      <c r="I89" s="186"/>
      <c r="J89" s="187"/>
    </row>
    <row r="90" ht="15.75" hidden="1" customHeight="1">
      <c r="B90" s="96" t="s">
        <v>509</v>
      </c>
      <c r="C90" s="113">
        <v>11.0</v>
      </c>
      <c r="D90" s="113">
        <v>7.0</v>
      </c>
      <c r="E90" s="113">
        <f t="shared" si="50"/>
        <v>18</v>
      </c>
      <c r="F90" s="102" t="s">
        <v>973</v>
      </c>
      <c r="J90" s="187"/>
    </row>
    <row r="91" ht="15.75" hidden="1" customHeight="1">
      <c r="B91" s="96" t="s">
        <v>149</v>
      </c>
      <c r="C91" s="113">
        <v>24.0</v>
      </c>
      <c r="D91" s="113">
        <v>4.0</v>
      </c>
      <c r="E91" s="113">
        <f t="shared" si="50"/>
        <v>28</v>
      </c>
      <c r="F91" s="102" t="s">
        <v>622</v>
      </c>
      <c r="J91" s="187"/>
    </row>
    <row r="92" ht="15.75" hidden="1" customHeight="1">
      <c r="B92" s="115" t="s">
        <v>908</v>
      </c>
      <c r="C92" s="171">
        <f t="shared" ref="C92:D92" si="51">SUM(C87:C91)</f>
        <v>75</v>
      </c>
      <c r="D92" s="171">
        <f t="shared" si="51"/>
        <v>59</v>
      </c>
      <c r="E92" s="171">
        <f t="shared" si="50"/>
        <v>134</v>
      </c>
      <c r="F92" s="117"/>
      <c r="I92" s="186"/>
      <c r="J92" s="187"/>
    </row>
    <row r="93" ht="15.75" hidden="1" customHeight="1">
      <c r="H93" s="119"/>
      <c r="I93" s="119"/>
      <c r="J93" s="119"/>
      <c r="K93" s="119"/>
    </row>
    <row r="94" ht="15.75" hidden="1" customHeight="1">
      <c r="B94" s="88" t="s">
        <v>986</v>
      </c>
      <c r="H94" s="119"/>
      <c r="I94" s="119"/>
      <c r="J94" s="119"/>
      <c r="K94" s="119"/>
    </row>
    <row r="95" ht="15.75" hidden="1" customHeight="1">
      <c r="B95" s="121" t="s">
        <v>205</v>
      </c>
      <c r="C95" s="121" t="s">
        <v>211</v>
      </c>
      <c r="D95" s="182" t="s">
        <v>195</v>
      </c>
      <c r="E95" s="7"/>
      <c r="F95" s="8"/>
    </row>
    <row r="96" ht="15.75" hidden="1" customHeight="1">
      <c r="B96" s="96" t="s">
        <v>213</v>
      </c>
      <c r="C96" s="113">
        <v>82.0</v>
      </c>
      <c r="D96" s="183" t="s">
        <v>198</v>
      </c>
      <c r="E96" s="7"/>
      <c r="F96" s="8"/>
    </row>
    <row r="97" ht="15.75" hidden="1" customHeight="1">
      <c r="B97" s="96" t="s">
        <v>4</v>
      </c>
      <c r="C97" s="113">
        <v>72.0</v>
      </c>
      <c r="D97" s="183" t="s">
        <v>994</v>
      </c>
      <c r="E97" s="7"/>
      <c r="F97" s="8"/>
    </row>
    <row r="98" ht="15.75" hidden="1" customHeight="1">
      <c r="B98" s="96" t="s">
        <v>308</v>
      </c>
      <c r="C98" s="113">
        <v>18.0</v>
      </c>
      <c r="D98" s="183" t="s">
        <v>622</v>
      </c>
      <c r="E98" s="7"/>
      <c r="F98" s="8"/>
    </row>
    <row r="99" ht="15.75" hidden="1" customHeight="1">
      <c r="B99" s="96" t="s">
        <v>509</v>
      </c>
      <c r="C99" s="113">
        <v>9.0</v>
      </c>
      <c r="D99" s="183" t="s">
        <v>1006</v>
      </c>
      <c r="E99" s="7"/>
      <c r="F99" s="8"/>
    </row>
    <row r="100" ht="15.75" hidden="1" customHeight="1">
      <c r="B100" s="96" t="s">
        <v>149</v>
      </c>
      <c r="C100" s="113">
        <v>87.0</v>
      </c>
      <c r="D100" s="183" t="s">
        <v>622</v>
      </c>
      <c r="E100" s="7"/>
      <c r="F100" s="8"/>
    </row>
    <row r="101" ht="15.75" hidden="1" customHeight="1">
      <c r="B101" s="115" t="s">
        <v>908</v>
      </c>
      <c r="C101" s="171">
        <f>SUM(C96:C100)</f>
        <v>268</v>
      </c>
      <c r="D101" s="184"/>
      <c r="E101" s="7"/>
      <c r="F101" s="8"/>
    </row>
    <row r="102" ht="15.75" hidden="1" customHeight="1"/>
    <row r="103" ht="15.75" hidden="1" customHeight="1"/>
    <row r="104" ht="15.75" hidden="1" customHeight="1">
      <c r="B104" s="88" t="s">
        <v>1014</v>
      </c>
    </row>
    <row r="105" ht="15.75" hidden="1" customHeight="1">
      <c r="B105" s="121" t="s">
        <v>205</v>
      </c>
      <c r="C105" s="121" t="s">
        <v>208</v>
      </c>
      <c r="D105" s="121" t="s">
        <v>145</v>
      </c>
      <c r="E105" s="121" t="s">
        <v>1015</v>
      </c>
      <c r="F105" s="121" t="s">
        <v>211</v>
      </c>
    </row>
    <row r="106" ht="15.75" hidden="1" customHeight="1">
      <c r="B106" s="96" t="s">
        <v>213</v>
      </c>
      <c r="C106" s="113">
        <f t="shared" ref="C106:D106" si="52">C87</f>
        <v>20</v>
      </c>
      <c r="D106" s="113">
        <f t="shared" si="52"/>
        <v>19</v>
      </c>
      <c r="E106" s="113">
        <f t="shared" ref="E106:E107" si="54">C96</f>
        <v>82</v>
      </c>
      <c r="F106" s="113">
        <f t="shared" ref="F106:F110" si="55">C106+D106+E106</f>
        <v>121</v>
      </c>
    </row>
    <row r="107" ht="15.75" hidden="1" customHeight="1">
      <c r="B107" s="96" t="s">
        <v>4</v>
      </c>
      <c r="C107" s="113">
        <f t="shared" ref="C107:D107" si="53">C88</f>
        <v>18</v>
      </c>
      <c r="D107" s="113">
        <f t="shared" si="53"/>
        <v>17</v>
      </c>
      <c r="E107" s="113">
        <f t="shared" si="54"/>
        <v>72</v>
      </c>
      <c r="F107" s="113">
        <f t="shared" si="55"/>
        <v>107</v>
      </c>
    </row>
    <row r="108" ht="15.75" hidden="1" customHeight="1">
      <c r="B108" s="96" t="s">
        <v>308</v>
      </c>
      <c r="C108" s="113">
        <f t="shared" ref="C108:D108" si="56">C87</f>
        <v>20</v>
      </c>
      <c r="D108" s="113">
        <f t="shared" si="56"/>
        <v>19</v>
      </c>
      <c r="E108" s="113" t="str">
        <f>#REF!</f>
        <v>#REF!</v>
      </c>
      <c r="F108" s="113" t="str">
        <f t="shared" si="55"/>
        <v>#REF!</v>
      </c>
    </row>
    <row r="109" ht="15.75" hidden="1" customHeight="1">
      <c r="B109" s="96" t="s">
        <v>509</v>
      </c>
      <c r="C109" s="113">
        <f t="shared" ref="C109:D109" si="57">C90</f>
        <v>11</v>
      </c>
      <c r="D109" s="113">
        <f t="shared" si="57"/>
        <v>7</v>
      </c>
      <c r="E109" s="113">
        <f>C99</f>
        <v>9</v>
      </c>
      <c r="F109" s="113">
        <f t="shared" si="55"/>
        <v>27</v>
      </c>
    </row>
    <row r="110" ht="15.75" hidden="1" customHeight="1">
      <c r="B110" s="96" t="s">
        <v>149</v>
      </c>
      <c r="C110" s="113">
        <v>24.0</v>
      </c>
      <c r="D110" s="113">
        <v>4.0</v>
      </c>
      <c r="E110" s="113">
        <v>87.0</v>
      </c>
      <c r="F110" s="113">
        <f t="shared" si="55"/>
        <v>115</v>
      </c>
    </row>
    <row r="111" ht="15.75" hidden="1" customHeight="1">
      <c r="B111" s="115" t="s">
        <v>908</v>
      </c>
      <c r="C111" s="171">
        <f t="shared" ref="C111:F111" si="58">SUM(C106:C110)</f>
        <v>93</v>
      </c>
      <c r="D111" s="171">
        <f t="shared" si="58"/>
        <v>66</v>
      </c>
      <c r="E111" s="171" t="str">
        <f t="shared" si="58"/>
        <v>#REF!</v>
      </c>
      <c r="F111" s="171" t="str">
        <f t="shared" si="58"/>
        <v>#REF!</v>
      </c>
    </row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4:B5"/>
    <mergeCell ref="C4:H4"/>
    <mergeCell ref="I4:M4"/>
    <mergeCell ref="N4:N5"/>
    <mergeCell ref="C14:H14"/>
    <mergeCell ref="I14:M14"/>
    <mergeCell ref="N14:N15"/>
    <mergeCell ref="H33:H34"/>
    <mergeCell ref="I33:I34"/>
    <mergeCell ref="J33:J34"/>
    <mergeCell ref="K33:L33"/>
    <mergeCell ref="B14:B15"/>
    <mergeCell ref="B33:B34"/>
    <mergeCell ref="C33:C34"/>
    <mergeCell ref="D33:D34"/>
    <mergeCell ref="E33:E34"/>
    <mergeCell ref="F33:F34"/>
    <mergeCell ref="G33:G34"/>
    <mergeCell ref="D95:F95"/>
    <mergeCell ref="D96:F96"/>
    <mergeCell ref="D97:F97"/>
    <mergeCell ref="D98:F98"/>
    <mergeCell ref="D99:F99"/>
    <mergeCell ref="D100:F100"/>
    <mergeCell ref="D101:F101"/>
    <mergeCell ref="D63:F63"/>
    <mergeCell ref="D64:F64"/>
    <mergeCell ref="D65:F65"/>
    <mergeCell ref="D66:F66"/>
    <mergeCell ref="D67:F67"/>
    <mergeCell ref="D68:F68"/>
    <mergeCell ref="D69:F69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 outlineLevelCol="2"/>
  <cols>
    <col customWidth="1" hidden="1" min="1" max="2" width="5.29"/>
    <col customWidth="1" min="3" max="3" width="27.29"/>
    <col customWidth="1" min="4" max="4" width="41.86"/>
    <col customWidth="1" min="5" max="8" width="10.14"/>
    <col customWidth="1" min="9" max="10" width="14.43"/>
    <col customWidth="1" min="11" max="14" width="10.14"/>
    <col customWidth="1" min="15" max="16" width="14.4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2"/>
      <c r="N2" s="2"/>
      <c r="O2" s="2"/>
      <c r="P2" s="1"/>
    </row>
    <row r="3">
      <c r="A3" s="1"/>
      <c r="B3" s="1"/>
      <c r="C3" s="3" t="s">
        <v>485</v>
      </c>
      <c r="D3" s="4"/>
      <c r="E3" s="5" t="s">
        <v>2</v>
      </c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>
      <c r="A4" s="1"/>
      <c r="B4" s="1"/>
      <c r="C4" s="10" t="s">
        <v>5</v>
      </c>
      <c r="D4" s="12" t="s">
        <v>6</v>
      </c>
      <c r="E4" s="5" t="s">
        <v>7</v>
      </c>
      <c r="F4" s="7"/>
      <c r="G4" s="7"/>
      <c r="H4" s="7"/>
      <c r="I4" s="7"/>
      <c r="J4" s="8"/>
      <c r="K4" s="5" t="s">
        <v>8</v>
      </c>
      <c r="L4" s="7"/>
      <c r="M4" s="7"/>
      <c r="N4" s="7"/>
      <c r="O4" s="7"/>
      <c r="P4" s="8"/>
    </row>
    <row r="5">
      <c r="A5" s="1"/>
      <c r="B5" s="1"/>
      <c r="C5" s="13"/>
      <c r="D5" s="14"/>
      <c r="E5" s="18" t="s">
        <v>9</v>
      </c>
      <c r="F5" s="18" t="s">
        <v>10</v>
      </c>
      <c r="G5" s="18" t="s">
        <v>12</v>
      </c>
      <c r="H5" s="18" t="s">
        <v>13</v>
      </c>
      <c r="I5" s="20" t="s">
        <v>14</v>
      </c>
      <c r="J5" s="20" t="s">
        <v>15</v>
      </c>
      <c r="K5" s="18" t="s">
        <v>9</v>
      </c>
      <c r="L5" s="18" t="s">
        <v>10</v>
      </c>
      <c r="M5" s="18" t="s">
        <v>12</v>
      </c>
      <c r="N5" s="18" t="s">
        <v>13</v>
      </c>
      <c r="O5" s="20" t="s">
        <v>16</v>
      </c>
      <c r="P5" s="20" t="s">
        <v>17</v>
      </c>
    </row>
    <row r="6">
      <c r="A6" s="1"/>
      <c r="B6" s="1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>
      <c r="A7" s="1"/>
      <c r="B7" s="1"/>
      <c r="C7" s="2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>
      <c r="A8" s="1"/>
      <c r="B8" s="1"/>
      <c r="C8" s="24" t="s">
        <v>20</v>
      </c>
      <c r="D8" s="26" t="s">
        <v>20</v>
      </c>
      <c r="E8" s="66"/>
      <c r="F8" s="66">
        <v>1.0</v>
      </c>
      <c r="G8" s="66"/>
      <c r="H8" s="66"/>
      <c r="I8" s="66">
        <f t="shared" ref="I8:I10" si="1">SUM(E8:H8)</f>
        <v>1</v>
      </c>
      <c r="J8" s="66"/>
      <c r="K8" s="66"/>
      <c r="L8" s="66">
        <v>1.0</v>
      </c>
      <c r="M8" s="66"/>
      <c r="N8" s="66"/>
      <c r="O8" s="66">
        <f t="shared" ref="O8:O10" si="2">SUM(K8:N8)</f>
        <v>1</v>
      </c>
      <c r="P8" s="66"/>
    </row>
    <row r="9">
      <c r="A9" s="1"/>
      <c r="B9" s="1"/>
      <c r="C9" s="24" t="s">
        <v>18</v>
      </c>
      <c r="D9" s="26" t="s">
        <v>19</v>
      </c>
      <c r="E9" s="66">
        <v>1.0</v>
      </c>
      <c r="F9" s="66"/>
      <c r="G9" s="66"/>
      <c r="H9" s="66"/>
      <c r="I9" s="66">
        <f t="shared" si="1"/>
        <v>1</v>
      </c>
      <c r="J9" s="66"/>
      <c r="K9" s="66">
        <v>1.0</v>
      </c>
      <c r="L9" s="66"/>
      <c r="M9" s="66"/>
      <c r="N9" s="66"/>
      <c r="O9" s="66">
        <f t="shared" si="2"/>
        <v>1</v>
      </c>
      <c r="P9" s="66"/>
    </row>
    <row r="10">
      <c r="A10" s="1"/>
      <c r="B10" s="1"/>
      <c r="C10" s="34"/>
      <c r="D10" s="26" t="s">
        <v>25</v>
      </c>
      <c r="E10" s="66"/>
      <c r="F10" s="66">
        <v>1.0</v>
      </c>
      <c r="G10" s="66"/>
      <c r="H10" s="66"/>
      <c r="I10" s="66">
        <f t="shared" si="1"/>
        <v>1</v>
      </c>
      <c r="J10" s="66"/>
      <c r="K10" s="66"/>
      <c r="L10" s="66">
        <v>1.0</v>
      </c>
      <c r="M10" s="66"/>
      <c r="N10" s="66"/>
      <c r="O10" s="66">
        <f t="shared" si="2"/>
        <v>1</v>
      </c>
      <c r="P10" s="66"/>
    </row>
    <row r="11">
      <c r="A11" s="1"/>
      <c r="B11" s="1"/>
      <c r="C11" s="21"/>
      <c r="D11" s="26" t="s">
        <v>26</v>
      </c>
      <c r="E11" s="66"/>
      <c r="F11" s="66"/>
      <c r="G11" s="66">
        <v>1.0</v>
      </c>
      <c r="H11" s="66"/>
      <c r="I11" s="66">
        <v>1.0</v>
      </c>
      <c r="J11" s="66"/>
      <c r="K11" s="66"/>
      <c r="L11" s="66"/>
      <c r="M11" s="66">
        <v>1.0</v>
      </c>
      <c r="N11" s="66"/>
      <c r="O11" s="66">
        <v>1.0</v>
      </c>
      <c r="P11" s="66"/>
    </row>
    <row r="12">
      <c r="A12" s="1"/>
      <c r="B12" s="1"/>
      <c r="C12" s="34" t="s">
        <v>29</v>
      </c>
      <c r="D12" s="26" t="s">
        <v>30</v>
      </c>
      <c r="E12" s="66">
        <v>1.0</v>
      </c>
      <c r="F12" s="66"/>
      <c r="G12" s="66"/>
      <c r="H12" s="66"/>
      <c r="I12" s="66">
        <f t="shared" ref="I12:I32" si="3">SUM(E12:H12)</f>
        <v>1</v>
      </c>
      <c r="J12" s="66"/>
      <c r="K12" s="66">
        <v>1.0</v>
      </c>
      <c r="L12" s="66"/>
      <c r="M12" s="66"/>
      <c r="N12" s="66"/>
      <c r="O12" s="66">
        <f t="shared" ref="O12:O32" si="4">SUM(K12:N12)</f>
        <v>1</v>
      </c>
      <c r="P12" s="66"/>
    </row>
    <row r="13">
      <c r="A13" s="1"/>
      <c r="B13" s="1"/>
      <c r="C13" s="13"/>
      <c r="D13" s="26" t="s">
        <v>31</v>
      </c>
      <c r="E13" s="66">
        <v>3.0</v>
      </c>
      <c r="F13" s="66"/>
      <c r="G13" s="66"/>
      <c r="H13" s="66"/>
      <c r="I13" s="66">
        <f t="shared" si="3"/>
        <v>3</v>
      </c>
      <c r="J13" s="66"/>
      <c r="K13" s="66">
        <v>2.0</v>
      </c>
      <c r="L13" s="66"/>
      <c r="M13" s="66"/>
      <c r="N13" s="66"/>
      <c r="O13" s="66">
        <f t="shared" si="4"/>
        <v>2</v>
      </c>
      <c r="P13" s="66"/>
    </row>
    <row r="14">
      <c r="A14" s="1"/>
      <c r="B14" s="1"/>
      <c r="C14" s="13"/>
      <c r="D14" s="26" t="s">
        <v>32</v>
      </c>
      <c r="E14" s="66"/>
      <c r="F14" s="66"/>
      <c r="G14" s="66">
        <v>1.0</v>
      </c>
      <c r="H14" s="66"/>
      <c r="I14" s="66">
        <f t="shared" si="3"/>
        <v>1</v>
      </c>
      <c r="J14" s="66"/>
      <c r="K14" s="66"/>
      <c r="L14" s="66"/>
      <c r="M14" s="66">
        <v>1.0</v>
      </c>
      <c r="N14" s="66"/>
      <c r="O14" s="66">
        <f t="shared" si="4"/>
        <v>1</v>
      </c>
      <c r="P14" s="66"/>
    </row>
    <row r="15">
      <c r="A15" s="1"/>
      <c r="B15" s="1"/>
      <c r="C15" s="21"/>
      <c r="D15" s="26" t="s">
        <v>33</v>
      </c>
      <c r="E15" s="66"/>
      <c r="F15" s="66">
        <v>1.0</v>
      </c>
      <c r="G15" s="66"/>
      <c r="H15" s="66"/>
      <c r="I15" s="66">
        <f t="shared" si="3"/>
        <v>1</v>
      </c>
      <c r="J15" s="66"/>
      <c r="K15" s="66"/>
      <c r="L15" s="66">
        <v>1.0</v>
      </c>
      <c r="M15" s="66"/>
      <c r="N15" s="66"/>
      <c r="O15" s="66">
        <f t="shared" si="4"/>
        <v>1</v>
      </c>
      <c r="P15" s="66"/>
    </row>
    <row r="16">
      <c r="A16" s="1"/>
      <c r="B16" s="1"/>
      <c r="C16" s="41" t="s">
        <v>63</v>
      </c>
      <c r="D16" s="26" t="s">
        <v>38</v>
      </c>
      <c r="E16" s="66">
        <v>1.0</v>
      </c>
      <c r="F16" s="66"/>
      <c r="G16" s="66"/>
      <c r="H16" s="66"/>
      <c r="I16" s="66">
        <f t="shared" si="3"/>
        <v>1</v>
      </c>
      <c r="J16" s="66"/>
      <c r="K16" s="66">
        <v>1.0</v>
      </c>
      <c r="L16" s="66"/>
      <c r="M16" s="66"/>
      <c r="N16" s="66"/>
      <c r="O16" s="66">
        <f t="shared" si="4"/>
        <v>1</v>
      </c>
      <c r="P16" s="66"/>
    </row>
    <row r="17">
      <c r="A17" s="1"/>
      <c r="B17" s="1"/>
      <c r="C17" s="13"/>
      <c r="D17" s="26" t="s">
        <v>41</v>
      </c>
      <c r="E17" s="66">
        <v>1.0</v>
      </c>
      <c r="F17" s="66"/>
      <c r="G17" s="66"/>
      <c r="H17" s="66"/>
      <c r="I17" s="66">
        <f t="shared" si="3"/>
        <v>1</v>
      </c>
      <c r="J17" s="66"/>
      <c r="K17" s="66">
        <v>1.0</v>
      </c>
      <c r="L17" s="66"/>
      <c r="M17" s="66"/>
      <c r="N17" s="66"/>
      <c r="O17" s="66">
        <f t="shared" si="4"/>
        <v>1</v>
      </c>
      <c r="P17" s="66"/>
    </row>
    <row r="18">
      <c r="A18" s="1"/>
      <c r="B18" s="1"/>
      <c r="C18" s="13"/>
      <c r="D18" s="26" t="s">
        <v>43</v>
      </c>
      <c r="E18" s="66"/>
      <c r="F18" s="66"/>
      <c r="G18" s="66">
        <v>2.0</v>
      </c>
      <c r="H18" s="66"/>
      <c r="I18" s="66">
        <f t="shared" si="3"/>
        <v>2</v>
      </c>
      <c r="J18" s="66"/>
      <c r="K18" s="66"/>
      <c r="L18" s="66"/>
      <c r="M18" s="66">
        <v>2.0</v>
      </c>
      <c r="N18" s="66"/>
      <c r="O18" s="66">
        <f t="shared" si="4"/>
        <v>2</v>
      </c>
      <c r="P18" s="66"/>
    </row>
    <row r="19">
      <c r="A19" s="1"/>
      <c r="B19" s="1"/>
      <c r="C19" s="13"/>
      <c r="D19" s="26" t="s">
        <v>42</v>
      </c>
      <c r="E19" s="66"/>
      <c r="F19" s="66">
        <v>1.0</v>
      </c>
      <c r="G19" s="66"/>
      <c r="H19" s="66"/>
      <c r="I19" s="66">
        <f t="shared" si="3"/>
        <v>1</v>
      </c>
      <c r="J19" s="66"/>
      <c r="K19" s="66"/>
      <c r="L19" s="66">
        <v>1.0</v>
      </c>
      <c r="M19" s="66"/>
      <c r="N19" s="66"/>
      <c r="O19" s="66">
        <f t="shared" si="4"/>
        <v>1</v>
      </c>
      <c r="P19" s="66"/>
    </row>
    <row r="20">
      <c r="A20" s="43"/>
      <c r="B20" s="43"/>
      <c r="C20" s="13"/>
      <c r="D20" s="26" t="s">
        <v>44</v>
      </c>
      <c r="E20" s="66">
        <v>1.0</v>
      </c>
      <c r="F20" s="66"/>
      <c r="G20" s="66">
        <v>1.0</v>
      </c>
      <c r="H20" s="66"/>
      <c r="I20" s="66">
        <f t="shared" si="3"/>
        <v>2</v>
      </c>
      <c r="J20" s="66"/>
      <c r="K20" s="66">
        <v>1.0</v>
      </c>
      <c r="L20" s="66"/>
      <c r="M20" s="66">
        <v>1.0</v>
      </c>
      <c r="N20" s="66"/>
      <c r="O20" s="66">
        <f t="shared" si="4"/>
        <v>2</v>
      </c>
      <c r="P20" s="66"/>
    </row>
    <row r="21" ht="15.75" customHeight="1">
      <c r="A21" s="1"/>
      <c r="B21" s="1"/>
      <c r="C21" s="13"/>
      <c r="D21" s="26" t="s">
        <v>45</v>
      </c>
      <c r="E21" s="66"/>
      <c r="F21" s="77"/>
      <c r="G21" s="77">
        <v>4.0</v>
      </c>
      <c r="H21" s="77"/>
      <c r="I21" s="66">
        <f t="shared" si="3"/>
        <v>4</v>
      </c>
      <c r="J21" s="66"/>
      <c r="K21" s="66"/>
      <c r="L21" s="77"/>
      <c r="M21" s="77">
        <v>4.0</v>
      </c>
      <c r="N21" s="77"/>
      <c r="O21" s="66">
        <f t="shared" si="4"/>
        <v>4</v>
      </c>
      <c r="P21" s="66"/>
    </row>
    <row r="22" ht="15.75" customHeight="1">
      <c r="A22" s="1"/>
      <c r="B22" s="1"/>
      <c r="C22" s="41" t="s">
        <v>49</v>
      </c>
      <c r="D22" s="26" t="s">
        <v>50</v>
      </c>
      <c r="E22" s="66">
        <v>1.0</v>
      </c>
      <c r="F22" s="66"/>
      <c r="G22" s="66"/>
      <c r="H22" s="66"/>
      <c r="I22" s="66">
        <f t="shared" si="3"/>
        <v>1</v>
      </c>
      <c r="J22" s="66"/>
      <c r="K22" s="66">
        <v>1.0</v>
      </c>
      <c r="L22" s="66"/>
      <c r="M22" s="66"/>
      <c r="N22" s="66"/>
      <c r="O22" s="66">
        <f t="shared" si="4"/>
        <v>1</v>
      </c>
      <c r="P22" s="66"/>
    </row>
    <row r="23" ht="15.75" customHeight="1">
      <c r="A23" s="1"/>
      <c r="B23" s="1"/>
      <c r="C23" s="21"/>
      <c r="D23" s="26" t="s">
        <v>51</v>
      </c>
      <c r="E23" s="66"/>
      <c r="F23" s="66"/>
      <c r="G23" s="66">
        <v>1.0</v>
      </c>
      <c r="H23" s="66"/>
      <c r="I23" s="66">
        <f t="shared" si="3"/>
        <v>1</v>
      </c>
      <c r="J23" s="66"/>
      <c r="K23" s="66"/>
      <c r="L23" s="66"/>
      <c r="M23" s="66">
        <v>1.0</v>
      </c>
      <c r="N23" s="66"/>
      <c r="O23" s="66">
        <f t="shared" si="4"/>
        <v>1</v>
      </c>
      <c r="P23" s="66"/>
    </row>
    <row r="24" ht="15.75" customHeight="1">
      <c r="A24" s="1"/>
      <c r="B24" s="1"/>
      <c r="C24" s="49" t="s">
        <v>53</v>
      </c>
      <c r="D24" s="26" t="s">
        <v>53</v>
      </c>
      <c r="E24" s="66"/>
      <c r="F24" s="66">
        <v>1.0</v>
      </c>
      <c r="G24" s="66"/>
      <c r="H24" s="66"/>
      <c r="I24" s="66">
        <f t="shared" si="3"/>
        <v>1</v>
      </c>
      <c r="J24" s="66"/>
      <c r="K24" s="66"/>
      <c r="L24" s="66">
        <v>1.0</v>
      </c>
      <c r="M24" s="66"/>
      <c r="N24" s="66"/>
      <c r="O24" s="66">
        <f t="shared" si="4"/>
        <v>1</v>
      </c>
      <c r="P24" s="66"/>
    </row>
    <row r="25" ht="15.75" customHeight="1">
      <c r="A25" s="1"/>
      <c r="B25" s="1"/>
      <c r="C25" s="34" t="s">
        <v>54</v>
      </c>
      <c r="D25" s="26" t="s">
        <v>56</v>
      </c>
      <c r="E25" s="66"/>
      <c r="F25" s="66">
        <v>1.0</v>
      </c>
      <c r="G25" s="66"/>
      <c r="H25" s="66"/>
      <c r="I25" s="66">
        <f t="shared" si="3"/>
        <v>1</v>
      </c>
      <c r="J25" s="66"/>
      <c r="K25" s="66"/>
      <c r="L25" s="66">
        <v>1.0</v>
      </c>
      <c r="M25" s="66"/>
      <c r="N25" s="66"/>
      <c r="O25" s="66">
        <f t="shared" si="4"/>
        <v>1</v>
      </c>
      <c r="P25" s="66"/>
    </row>
    <row r="26" ht="15.75" customHeight="1">
      <c r="A26" s="1"/>
      <c r="B26" s="1"/>
      <c r="C26" s="21"/>
      <c r="D26" s="26" t="s">
        <v>54</v>
      </c>
      <c r="E26" s="66">
        <v>1.0</v>
      </c>
      <c r="F26" s="66">
        <v>3.0</v>
      </c>
      <c r="G26" s="66">
        <v>2.0</v>
      </c>
      <c r="H26" s="66"/>
      <c r="I26" s="66">
        <f t="shared" si="3"/>
        <v>6</v>
      </c>
      <c r="J26" s="66"/>
      <c r="K26" s="66">
        <v>1.0</v>
      </c>
      <c r="L26" s="66">
        <v>3.0</v>
      </c>
      <c r="M26" s="66"/>
      <c r="N26" s="66"/>
      <c r="O26" s="66">
        <f t="shared" si="4"/>
        <v>4</v>
      </c>
      <c r="P26" s="66"/>
    </row>
    <row r="27" ht="15.75" customHeight="1">
      <c r="A27" s="1"/>
      <c r="B27" s="1"/>
      <c r="C27" s="34" t="s">
        <v>57</v>
      </c>
      <c r="D27" s="26" t="s">
        <v>59</v>
      </c>
      <c r="E27" s="66">
        <v>1.0</v>
      </c>
      <c r="F27" s="66"/>
      <c r="G27" s="66"/>
      <c r="H27" s="66"/>
      <c r="I27" s="66">
        <f t="shared" si="3"/>
        <v>1</v>
      </c>
      <c r="J27" s="66"/>
      <c r="K27" s="66">
        <v>1.0</v>
      </c>
      <c r="L27" s="66"/>
      <c r="M27" s="66"/>
      <c r="N27" s="66"/>
      <c r="O27" s="66">
        <f t="shared" si="4"/>
        <v>1</v>
      </c>
      <c r="P27" s="66"/>
    </row>
    <row r="28" ht="15.75" customHeight="1">
      <c r="A28" s="1"/>
      <c r="B28" s="1"/>
      <c r="C28" s="21"/>
      <c r="D28" s="26" t="s">
        <v>60</v>
      </c>
      <c r="E28" s="66">
        <v>1.0</v>
      </c>
      <c r="F28" s="66"/>
      <c r="G28" s="66"/>
      <c r="H28" s="66"/>
      <c r="I28" s="66">
        <f t="shared" si="3"/>
        <v>1</v>
      </c>
      <c r="J28" s="66"/>
      <c r="K28" s="66">
        <v>1.0</v>
      </c>
      <c r="L28" s="66"/>
      <c r="M28" s="66"/>
      <c r="N28" s="66"/>
      <c r="O28" s="66">
        <f t="shared" si="4"/>
        <v>1</v>
      </c>
      <c r="P28" s="66"/>
    </row>
    <row r="29" ht="15.75" customHeight="1">
      <c r="A29" s="1"/>
      <c r="B29" s="1"/>
      <c r="C29" s="34" t="s">
        <v>62</v>
      </c>
      <c r="D29" s="26" t="s">
        <v>64</v>
      </c>
      <c r="E29" s="66"/>
      <c r="F29" s="66">
        <v>1.0</v>
      </c>
      <c r="G29" s="66"/>
      <c r="H29" s="66"/>
      <c r="I29" s="66">
        <f t="shared" si="3"/>
        <v>1</v>
      </c>
      <c r="J29" s="66"/>
      <c r="K29" s="66"/>
      <c r="L29" s="66">
        <v>1.0</v>
      </c>
      <c r="M29" s="66"/>
      <c r="N29" s="66"/>
      <c r="O29" s="66">
        <f t="shared" si="4"/>
        <v>1</v>
      </c>
      <c r="P29" s="66"/>
    </row>
    <row r="30" ht="15.75" customHeight="1">
      <c r="A30" s="1"/>
      <c r="B30" s="1"/>
      <c r="C30" s="13"/>
      <c r="D30" s="26" t="s">
        <v>65</v>
      </c>
      <c r="E30" s="66">
        <v>2.0</v>
      </c>
      <c r="F30" s="66">
        <v>1.0</v>
      </c>
      <c r="G30" s="66"/>
      <c r="H30" s="66"/>
      <c r="I30" s="66">
        <f t="shared" si="3"/>
        <v>3</v>
      </c>
      <c r="J30" s="66"/>
      <c r="K30" s="66">
        <v>2.0</v>
      </c>
      <c r="L30" s="66">
        <v>1.0</v>
      </c>
      <c r="M30" s="66"/>
      <c r="N30" s="66"/>
      <c r="O30" s="66">
        <f t="shared" si="4"/>
        <v>3</v>
      </c>
      <c r="P30" s="66"/>
    </row>
    <row r="31" ht="15.75" customHeight="1">
      <c r="A31" s="1"/>
      <c r="B31" s="1"/>
      <c r="C31" s="13"/>
      <c r="D31" s="26" t="s">
        <v>66</v>
      </c>
      <c r="E31" s="66"/>
      <c r="F31" s="66"/>
      <c r="G31" s="66">
        <v>1.0</v>
      </c>
      <c r="H31" s="66"/>
      <c r="I31" s="66">
        <f t="shared" si="3"/>
        <v>1</v>
      </c>
      <c r="J31" s="66"/>
      <c r="K31" s="66"/>
      <c r="L31" s="66"/>
      <c r="M31" s="66">
        <v>1.0</v>
      </c>
      <c r="N31" s="66"/>
      <c r="O31" s="66">
        <f t="shared" si="4"/>
        <v>1</v>
      </c>
      <c r="P31" s="66"/>
    </row>
    <row r="32" ht="15.75" customHeight="1">
      <c r="A32" s="1"/>
      <c r="B32" s="1"/>
      <c r="C32" s="13"/>
      <c r="D32" s="26" t="s">
        <v>68</v>
      </c>
      <c r="E32" s="77">
        <v>1.0</v>
      </c>
      <c r="F32" s="77">
        <v>1.0</v>
      </c>
      <c r="G32" s="77">
        <v>1.0</v>
      </c>
      <c r="H32" s="77"/>
      <c r="I32" s="66">
        <f t="shared" si="3"/>
        <v>3</v>
      </c>
      <c r="J32" s="77"/>
      <c r="K32" s="77">
        <v>1.0</v>
      </c>
      <c r="L32" s="77">
        <v>1.0</v>
      </c>
      <c r="M32" s="77">
        <v>1.0</v>
      </c>
      <c r="N32" s="77"/>
      <c r="O32" s="66">
        <f t="shared" si="4"/>
        <v>3</v>
      </c>
      <c r="P32" s="66"/>
    </row>
    <row r="33" ht="15.75" customHeight="1">
      <c r="A33" s="1"/>
      <c r="B33" s="1"/>
      <c r="C33" s="13"/>
      <c r="D33" s="26" t="s">
        <v>70</v>
      </c>
      <c r="E33" s="66"/>
      <c r="F33" s="66">
        <v>1.0</v>
      </c>
      <c r="G33" s="66"/>
      <c r="H33" s="66"/>
      <c r="I33" s="66">
        <v>1.0</v>
      </c>
      <c r="J33" s="66"/>
      <c r="K33" s="66"/>
      <c r="L33" s="66">
        <v>1.0</v>
      </c>
      <c r="M33" s="66"/>
      <c r="N33" s="66"/>
      <c r="O33" s="66">
        <v>1.0</v>
      </c>
      <c r="P33" s="66"/>
    </row>
    <row r="34" ht="15.75" customHeight="1">
      <c r="A34" s="1"/>
      <c r="B34" s="1"/>
      <c r="C34" s="13"/>
      <c r="D34" s="26" t="s">
        <v>72</v>
      </c>
      <c r="E34" s="66"/>
      <c r="F34" s="66">
        <v>1.0</v>
      </c>
      <c r="G34" s="66"/>
      <c r="H34" s="66"/>
      <c r="I34" s="66">
        <v>1.0</v>
      </c>
      <c r="J34" s="66"/>
      <c r="K34" s="66"/>
      <c r="L34" s="66">
        <v>1.0</v>
      </c>
      <c r="M34" s="66"/>
      <c r="N34" s="66"/>
      <c r="O34" s="66">
        <v>1.0</v>
      </c>
      <c r="P34" s="66"/>
    </row>
    <row r="35" ht="15.75" customHeight="1">
      <c r="A35" s="1"/>
      <c r="B35" s="1"/>
      <c r="C35" s="13"/>
      <c r="D35" s="26" t="s">
        <v>74</v>
      </c>
      <c r="E35" s="66"/>
      <c r="F35" s="66">
        <v>1.0</v>
      </c>
      <c r="G35" s="66"/>
      <c r="H35" s="66"/>
      <c r="I35" s="66">
        <v>1.0</v>
      </c>
      <c r="J35" s="66"/>
      <c r="K35" s="66"/>
      <c r="L35" s="66">
        <v>1.0</v>
      </c>
      <c r="M35" s="66"/>
      <c r="N35" s="66"/>
      <c r="O35" s="66">
        <v>1.0</v>
      </c>
      <c r="P35" s="66"/>
    </row>
    <row r="36" ht="15.75" customHeight="1">
      <c r="A36" s="1"/>
      <c r="B36" s="1"/>
      <c r="C36" s="13"/>
      <c r="D36" s="26" t="s">
        <v>76</v>
      </c>
      <c r="E36" s="66"/>
      <c r="F36" s="66"/>
      <c r="G36" s="66">
        <v>3.0</v>
      </c>
      <c r="H36" s="66"/>
      <c r="I36" s="66">
        <f t="shared" ref="I36:I52" si="5">SUM(E36:H36)</f>
        <v>3</v>
      </c>
      <c r="J36" s="66"/>
      <c r="K36" s="66"/>
      <c r="L36" s="66"/>
      <c r="M36" s="66">
        <v>3.0</v>
      </c>
      <c r="N36" s="66"/>
      <c r="O36" s="66">
        <f t="shared" ref="O36:O52" si="6">SUM(K36:N36)</f>
        <v>3</v>
      </c>
      <c r="P36" s="66"/>
    </row>
    <row r="37" ht="15.75" customHeight="1">
      <c r="A37" s="1"/>
      <c r="B37" s="1"/>
      <c r="C37" s="13"/>
      <c r="D37" s="26" t="s">
        <v>79</v>
      </c>
      <c r="E37" s="66"/>
      <c r="F37" s="66"/>
      <c r="G37" s="66">
        <v>12.0</v>
      </c>
      <c r="H37" s="66"/>
      <c r="I37" s="66">
        <f t="shared" si="5"/>
        <v>12</v>
      </c>
      <c r="J37" s="66"/>
      <c r="K37" s="66"/>
      <c r="L37" s="66"/>
      <c r="M37" s="66">
        <v>12.0</v>
      </c>
      <c r="N37" s="66"/>
      <c r="O37" s="66">
        <f t="shared" si="6"/>
        <v>12</v>
      </c>
      <c r="P37" s="66"/>
    </row>
    <row r="38" ht="15.75" customHeight="1">
      <c r="A38" s="1"/>
      <c r="B38" s="1"/>
      <c r="C38" s="13"/>
      <c r="D38" s="26" t="s">
        <v>81</v>
      </c>
      <c r="E38" s="77">
        <v>1.0</v>
      </c>
      <c r="F38" s="77">
        <v>2.0</v>
      </c>
      <c r="G38" s="66">
        <v>12.0</v>
      </c>
      <c r="H38" s="66"/>
      <c r="I38" s="66">
        <f t="shared" si="5"/>
        <v>15</v>
      </c>
      <c r="J38" s="77"/>
      <c r="K38" s="77">
        <v>1.0</v>
      </c>
      <c r="L38" s="77">
        <v>2.0</v>
      </c>
      <c r="M38" s="66">
        <v>12.0</v>
      </c>
      <c r="N38" s="66"/>
      <c r="O38" s="66">
        <f t="shared" si="6"/>
        <v>15</v>
      </c>
      <c r="P38" s="66"/>
    </row>
    <row r="39" ht="15.75" customHeight="1">
      <c r="A39" s="1"/>
      <c r="B39" s="1"/>
      <c r="C39" s="13"/>
      <c r="D39" s="26" t="s">
        <v>82</v>
      </c>
      <c r="E39" s="77"/>
      <c r="F39" s="77"/>
      <c r="G39" s="77">
        <v>6.0</v>
      </c>
      <c r="H39" s="77"/>
      <c r="I39" s="66">
        <f t="shared" si="5"/>
        <v>6</v>
      </c>
      <c r="J39" s="77"/>
      <c r="K39" s="77"/>
      <c r="L39" s="77"/>
      <c r="M39" s="77">
        <v>6.0</v>
      </c>
      <c r="N39" s="77"/>
      <c r="O39" s="66">
        <f t="shared" si="6"/>
        <v>6</v>
      </c>
      <c r="P39" s="66"/>
    </row>
    <row r="40" ht="15.75" customHeight="1">
      <c r="A40" s="1"/>
      <c r="B40" s="1"/>
      <c r="C40" s="13"/>
      <c r="D40" s="79" t="s">
        <v>84</v>
      </c>
      <c r="E40" s="77">
        <v>1.0</v>
      </c>
      <c r="F40" s="77">
        <v>1.0</v>
      </c>
      <c r="G40" s="77">
        <v>4.0</v>
      </c>
      <c r="H40" s="77"/>
      <c r="I40" s="66">
        <f t="shared" si="5"/>
        <v>6</v>
      </c>
      <c r="J40" s="77"/>
      <c r="K40" s="77">
        <v>1.0</v>
      </c>
      <c r="L40" s="77">
        <v>1.0</v>
      </c>
      <c r="M40" s="77">
        <v>4.0</v>
      </c>
      <c r="N40" s="77"/>
      <c r="O40" s="66">
        <f t="shared" si="6"/>
        <v>6</v>
      </c>
      <c r="P40" s="66"/>
    </row>
    <row r="41" ht="15.75" customHeight="1">
      <c r="A41" s="1"/>
      <c r="B41" s="1"/>
      <c r="C41" s="13"/>
      <c r="D41" s="26" t="s">
        <v>86</v>
      </c>
      <c r="E41" s="77"/>
      <c r="F41" s="77"/>
      <c r="G41" s="77">
        <v>6.0</v>
      </c>
      <c r="H41" s="77"/>
      <c r="I41" s="66">
        <f t="shared" si="5"/>
        <v>6</v>
      </c>
      <c r="J41" s="77"/>
      <c r="K41" s="77"/>
      <c r="L41" s="77"/>
      <c r="M41" s="77">
        <v>6.0</v>
      </c>
      <c r="N41" s="77"/>
      <c r="O41" s="66">
        <f t="shared" si="6"/>
        <v>6</v>
      </c>
      <c r="P41" s="66"/>
    </row>
    <row r="42" ht="15.75" customHeight="1">
      <c r="A42" s="1"/>
      <c r="B42" s="1"/>
      <c r="C42" s="13"/>
      <c r="D42" s="26" t="s">
        <v>88</v>
      </c>
      <c r="E42" s="77"/>
      <c r="F42" s="77"/>
      <c r="G42" s="77"/>
      <c r="H42" s="77">
        <v>9.0</v>
      </c>
      <c r="I42" s="66">
        <f t="shared" si="5"/>
        <v>9</v>
      </c>
      <c r="J42" s="77"/>
      <c r="K42" s="77"/>
      <c r="L42" s="77"/>
      <c r="M42" s="77"/>
      <c r="N42" s="77">
        <v>9.0</v>
      </c>
      <c r="O42" s="66">
        <f t="shared" si="6"/>
        <v>9</v>
      </c>
      <c r="P42" s="66"/>
    </row>
    <row r="43" ht="15.75" customHeight="1">
      <c r="A43" s="1"/>
      <c r="B43" s="1"/>
      <c r="C43" s="13"/>
      <c r="D43" s="26" t="s">
        <v>90</v>
      </c>
      <c r="E43" s="77">
        <v>1.0</v>
      </c>
      <c r="F43" s="77"/>
      <c r="G43" s="77">
        <v>11.0</v>
      </c>
      <c r="H43" s="77"/>
      <c r="I43" s="66">
        <f t="shared" si="5"/>
        <v>12</v>
      </c>
      <c r="J43" s="77"/>
      <c r="K43" s="77">
        <v>1.0</v>
      </c>
      <c r="L43" s="77"/>
      <c r="M43" s="77">
        <v>11.0</v>
      </c>
      <c r="N43" s="77"/>
      <c r="O43" s="66">
        <f t="shared" si="6"/>
        <v>12</v>
      </c>
      <c r="P43" s="66"/>
    </row>
    <row r="44" ht="15.75" customHeight="1">
      <c r="A44" s="1"/>
      <c r="B44" s="1"/>
      <c r="C44" s="13"/>
      <c r="D44" s="26" t="s">
        <v>93</v>
      </c>
      <c r="E44" s="77">
        <v>1.0</v>
      </c>
      <c r="F44" s="77"/>
      <c r="G44" s="77">
        <v>11.0</v>
      </c>
      <c r="H44" s="77"/>
      <c r="I44" s="66">
        <f t="shared" si="5"/>
        <v>12</v>
      </c>
      <c r="J44" s="77"/>
      <c r="K44" s="77">
        <v>1.0</v>
      </c>
      <c r="L44" s="77"/>
      <c r="M44" s="77">
        <v>11.0</v>
      </c>
      <c r="N44" s="77"/>
      <c r="O44" s="66">
        <f t="shared" si="6"/>
        <v>12</v>
      </c>
      <c r="P44" s="66"/>
    </row>
    <row r="45" ht="15.75" customHeight="1">
      <c r="A45" s="1"/>
      <c r="B45" s="1"/>
      <c r="C45" s="13"/>
      <c r="D45" s="26" t="s">
        <v>94</v>
      </c>
      <c r="E45" s="77"/>
      <c r="F45" s="77"/>
      <c r="G45" s="77"/>
      <c r="H45" s="77">
        <v>12.0</v>
      </c>
      <c r="I45" s="66">
        <f t="shared" si="5"/>
        <v>12</v>
      </c>
      <c r="J45" s="77"/>
      <c r="K45" s="77"/>
      <c r="L45" s="77"/>
      <c r="M45" s="77"/>
      <c r="N45" s="77">
        <v>12.0</v>
      </c>
      <c r="O45" s="66">
        <f t="shared" si="6"/>
        <v>12</v>
      </c>
      <c r="P45" s="66"/>
    </row>
    <row r="46" ht="15.75" customHeight="1">
      <c r="A46" s="1"/>
      <c r="B46" s="1"/>
      <c r="C46" s="13"/>
      <c r="D46" s="26" t="s">
        <v>96</v>
      </c>
      <c r="E46" s="77">
        <v>1.0</v>
      </c>
      <c r="F46" s="77"/>
      <c r="G46" s="77">
        <v>21.0</v>
      </c>
      <c r="H46" s="77"/>
      <c r="I46" s="66">
        <f t="shared" si="5"/>
        <v>22</v>
      </c>
      <c r="J46" s="77"/>
      <c r="K46" s="77">
        <v>1.0</v>
      </c>
      <c r="L46" s="77"/>
      <c r="M46" s="77">
        <v>21.0</v>
      </c>
      <c r="N46" s="77"/>
      <c r="O46" s="66">
        <f t="shared" si="6"/>
        <v>22</v>
      </c>
      <c r="P46" s="66"/>
    </row>
    <row r="47" ht="15.75" customHeight="1">
      <c r="A47" s="1"/>
      <c r="B47" s="1"/>
      <c r="C47" s="13"/>
      <c r="D47" s="26" t="s">
        <v>98</v>
      </c>
      <c r="E47" s="77"/>
      <c r="F47" s="77"/>
      <c r="G47" s="77">
        <v>2.0</v>
      </c>
      <c r="H47" s="77"/>
      <c r="I47" s="66">
        <f t="shared" si="5"/>
        <v>2</v>
      </c>
      <c r="J47" s="77"/>
      <c r="K47" s="77"/>
      <c r="L47" s="77"/>
      <c r="M47" s="77">
        <v>2.0</v>
      </c>
      <c r="N47" s="77"/>
      <c r="O47" s="66">
        <f t="shared" si="6"/>
        <v>2</v>
      </c>
      <c r="P47" s="66"/>
    </row>
    <row r="48" ht="15.75" customHeight="1">
      <c r="A48" s="1"/>
      <c r="B48" s="1"/>
      <c r="C48" s="13"/>
      <c r="D48" s="26" t="s">
        <v>1084</v>
      </c>
      <c r="E48" s="77"/>
      <c r="F48" s="77"/>
      <c r="G48" s="77">
        <v>2.0</v>
      </c>
      <c r="H48" s="77"/>
      <c r="I48" s="66">
        <f t="shared" si="5"/>
        <v>2</v>
      </c>
      <c r="J48" s="77"/>
      <c r="K48" s="77"/>
      <c r="L48" s="77"/>
      <c r="M48" s="77">
        <v>2.0</v>
      </c>
      <c r="N48" s="77"/>
      <c r="O48" s="66">
        <f t="shared" si="6"/>
        <v>2</v>
      </c>
      <c r="P48" s="66"/>
    </row>
    <row r="49" ht="15.75" customHeight="1">
      <c r="A49" s="1"/>
      <c r="B49" s="1"/>
      <c r="C49" s="21"/>
      <c r="D49" s="26" t="s">
        <v>103</v>
      </c>
      <c r="E49" s="77"/>
      <c r="F49" s="77"/>
      <c r="G49" s="77">
        <v>2.0</v>
      </c>
      <c r="H49" s="77"/>
      <c r="I49" s="66">
        <f t="shared" si="5"/>
        <v>2</v>
      </c>
      <c r="J49" s="77"/>
      <c r="K49" s="77"/>
      <c r="L49" s="77"/>
      <c r="M49" s="77">
        <v>2.0</v>
      </c>
      <c r="N49" s="77"/>
      <c r="O49" s="66">
        <f t="shared" si="6"/>
        <v>2</v>
      </c>
      <c r="P49" s="66"/>
    </row>
    <row r="50" ht="15.75" customHeight="1">
      <c r="A50" s="1"/>
      <c r="B50" s="1"/>
      <c r="C50" s="34"/>
      <c r="D50" s="26" t="s">
        <v>107</v>
      </c>
      <c r="E50" s="66">
        <v>1.0</v>
      </c>
      <c r="F50" s="77"/>
      <c r="G50" s="77"/>
      <c r="H50" s="77"/>
      <c r="I50" s="66">
        <f t="shared" si="5"/>
        <v>1</v>
      </c>
      <c r="J50" s="66"/>
      <c r="K50" s="66">
        <v>1.0</v>
      </c>
      <c r="L50" s="77"/>
      <c r="M50" s="77"/>
      <c r="N50" s="77"/>
      <c r="O50" s="66">
        <f t="shared" si="6"/>
        <v>1</v>
      </c>
      <c r="P50" s="66"/>
    </row>
    <row r="51" ht="15.75" customHeight="1">
      <c r="A51" s="1"/>
      <c r="B51" s="1"/>
      <c r="C51" s="13"/>
      <c r="D51" s="26" t="s">
        <v>108</v>
      </c>
      <c r="E51" s="77">
        <v>2.0</v>
      </c>
      <c r="F51" s="77"/>
      <c r="G51" s="77">
        <v>2.0</v>
      </c>
      <c r="H51" s="77"/>
      <c r="I51" s="66">
        <f t="shared" si="5"/>
        <v>4</v>
      </c>
      <c r="J51" s="77"/>
      <c r="K51" s="77">
        <v>2.0</v>
      </c>
      <c r="L51" s="77"/>
      <c r="M51" s="77">
        <v>2.0</v>
      </c>
      <c r="N51" s="77"/>
      <c r="O51" s="66">
        <f t="shared" si="6"/>
        <v>4</v>
      </c>
      <c r="P51" s="66"/>
    </row>
    <row r="52" ht="15.75" customHeight="1">
      <c r="A52" s="52"/>
      <c r="B52" s="52"/>
      <c r="C52" s="21"/>
      <c r="D52" s="55" t="s">
        <v>112</v>
      </c>
      <c r="E52" s="77">
        <v>1.0</v>
      </c>
      <c r="F52" s="77"/>
      <c r="G52" s="77"/>
      <c r="H52" s="77"/>
      <c r="I52" s="66">
        <f t="shared" si="5"/>
        <v>1</v>
      </c>
      <c r="J52" s="77"/>
      <c r="K52" s="77">
        <v>1.0</v>
      </c>
      <c r="L52" s="77"/>
      <c r="M52" s="77"/>
      <c r="N52" s="77"/>
      <c r="O52" s="66">
        <f t="shared" si="6"/>
        <v>1</v>
      </c>
      <c r="P52" s="66"/>
    </row>
    <row r="53" ht="15.75" customHeight="1">
      <c r="A53" s="1"/>
      <c r="B53" s="1"/>
      <c r="C53" s="56" t="s">
        <v>113</v>
      </c>
      <c r="D53" s="57"/>
      <c r="E53" s="66">
        <f t="shared" ref="E53:I53" si="7">SUM(E8:E52)</f>
        <v>24</v>
      </c>
      <c r="F53" s="66">
        <f t="shared" si="7"/>
        <v>18</v>
      </c>
      <c r="G53" s="66">
        <f t="shared" si="7"/>
        <v>108</v>
      </c>
      <c r="H53" s="66">
        <f t="shared" si="7"/>
        <v>21</v>
      </c>
      <c r="I53" s="66">
        <f t="shared" si="7"/>
        <v>171</v>
      </c>
      <c r="J53" s="66"/>
      <c r="K53" s="66">
        <f>SUM(K5:K52)</f>
        <v>23</v>
      </c>
      <c r="L53" s="66">
        <f t="shared" ref="L53:O53" si="8">SUM(L8:L52)</f>
        <v>18</v>
      </c>
      <c r="M53" s="66">
        <f t="shared" si="8"/>
        <v>106</v>
      </c>
      <c r="N53" s="66">
        <f t="shared" si="8"/>
        <v>21</v>
      </c>
      <c r="O53" s="66">
        <f t="shared" si="8"/>
        <v>168</v>
      </c>
      <c r="P53" s="66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67"/>
      <c r="P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5.75" customHeight="1">
      <c r="A60" s="1"/>
      <c r="B60" s="1"/>
      <c r="C60" s="1"/>
      <c r="D60" s="1"/>
      <c r="E60" s="59"/>
      <c r="F60" s="59"/>
      <c r="G60" s="59"/>
      <c r="H60" s="59"/>
      <c r="I60" s="59"/>
      <c r="J60" s="1"/>
      <c r="K60" s="1"/>
      <c r="L60" s="1"/>
      <c r="M60" s="1"/>
      <c r="N60" s="1"/>
      <c r="O60" s="1"/>
      <c r="P60" s="59"/>
    </row>
    <row r="61" ht="15.75" customHeight="1">
      <c r="A61" s="1"/>
      <c r="B61" s="1"/>
      <c r="C61" s="1"/>
      <c r="D61" s="1"/>
      <c r="E61" s="59"/>
      <c r="F61" s="59"/>
      <c r="G61" s="59"/>
      <c r="H61" s="59"/>
      <c r="I61" s="59"/>
      <c r="J61" s="1"/>
      <c r="K61" s="1"/>
      <c r="L61" s="1"/>
      <c r="M61" s="1"/>
      <c r="N61" s="1"/>
      <c r="O61" s="1"/>
      <c r="P61" s="59"/>
    </row>
    <row r="62" ht="15.75" customHeight="1">
      <c r="A62" s="1"/>
      <c r="B62" s="1"/>
      <c r="C62" s="1"/>
      <c r="D62" s="1"/>
      <c r="E62" s="59"/>
      <c r="F62" s="59"/>
      <c r="G62" s="59"/>
      <c r="H62" s="59"/>
      <c r="I62" s="59"/>
      <c r="J62" s="1"/>
      <c r="K62" s="1"/>
      <c r="L62" s="1"/>
      <c r="M62" s="1"/>
      <c r="N62" s="1"/>
      <c r="O62" s="1"/>
      <c r="P62" s="59"/>
    </row>
    <row r="63" ht="15.75" customHeight="1">
      <c r="A63" s="1"/>
      <c r="B63" s="1"/>
      <c r="C63" s="1"/>
      <c r="D63" s="1"/>
      <c r="E63" s="59"/>
      <c r="F63" s="59"/>
      <c r="G63" s="59"/>
      <c r="H63" s="59"/>
      <c r="I63" s="59"/>
      <c r="J63" s="1"/>
      <c r="K63" s="1"/>
      <c r="L63" s="1"/>
      <c r="M63" s="1"/>
      <c r="N63" s="1"/>
      <c r="O63" s="1"/>
      <c r="P63" s="59"/>
    </row>
    <row r="64" ht="15.75" customHeight="1">
      <c r="A64" s="1"/>
      <c r="B64" s="1"/>
      <c r="C64" s="1"/>
      <c r="D64" s="1"/>
      <c r="E64" s="59"/>
      <c r="F64" s="59"/>
      <c r="G64" s="59"/>
      <c r="H64" s="59"/>
      <c r="I64" s="59"/>
      <c r="J64" s="1"/>
      <c r="K64" s="1"/>
      <c r="L64" s="1"/>
      <c r="M64" s="1"/>
      <c r="N64" s="1"/>
      <c r="O64" s="1"/>
      <c r="P64" s="59"/>
    </row>
    <row r="65" ht="15.75" customHeight="1">
      <c r="A65" s="1"/>
      <c r="B65" s="1"/>
      <c r="C65" s="1"/>
      <c r="D65" s="1"/>
      <c r="E65" s="59"/>
      <c r="F65" s="59"/>
      <c r="G65" s="59"/>
      <c r="H65" s="59"/>
      <c r="I65" s="59"/>
      <c r="J65" s="1"/>
      <c r="K65" s="1"/>
      <c r="L65" s="1"/>
      <c r="M65" s="1"/>
      <c r="N65" s="1"/>
      <c r="O65" s="1"/>
      <c r="P65" s="59"/>
    </row>
    <row r="66" ht="15.75" customHeight="1">
      <c r="A66" s="1"/>
      <c r="B66" s="1"/>
      <c r="C66" s="1"/>
      <c r="D66" s="1"/>
      <c r="E66" s="59"/>
      <c r="F66" s="59"/>
      <c r="G66" s="59"/>
      <c r="H66" s="59"/>
      <c r="I66" s="59"/>
      <c r="J66" s="1"/>
      <c r="K66" s="1"/>
      <c r="L66" s="1"/>
      <c r="M66" s="1"/>
      <c r="N66" s="1"/>
      <c r="O66" s="1"/>
      <c r="P66" s="59"/>
    </row>
    <row r="67" ht="15.75" customHeight="1">
      <c r="A67" s="1"/>
      <c r="B67" s="1"/>
      <c r="C67" s="1"/>
      <c r="D67" s="1"/>
      <c r="E67" s="59"/>
      <c r="F67" s="59"/>
      <c r="G67" s="59"/>
      <c r="H67" s="59"/>
      <c r="I67" s="59"/>
      <c r="J67" s="1"/>
      <c r="K67" s="1"/>
      <c r="L67" s="1"/>
      <c r="M67" s="1"/>
      <c r="N67" s="1"/>
      <c r="O67" s="1"/>
      <c r="P67" s="59"/>
    </row>
    <row r="68" ht="15.75" customHeight="1">
      <c r="A68" s="1"/>
      <c r="B68" s="1"/>
      <c r="C68" s="1"/>
      <c r="D68" s="1"/>
      <c r="E68" s="59"/>
      <c r="F68" s="59"/>
      <c r="G68" s="59"/>
      <c r="H68" s="59"/>
      <c r="I68" s="59"/>
      <c r="J68" s="1"/>
      <c r="K68" s="1"/>
      <c r="L68" s="1"/>
      <c r="M68" s="1"/>
      <c r="N68" s="1"/>
      <c r="O68" s="1"/>
      <c r="P68" s="59"/>
    </row>
    <row r="69" ht="15.75" customHeight="1">
      <c r="A69" s="1"/>
      <c r="B69" s="1"/>
      <c r="C69" s="1"/>
      <c r="D69" s="1"/>
      <c r="E69" s="59"/>
      <c r="F69" s="59"/>
      <c r="G69" s="59"/>
      <c r="H69" s="59"/>
      <c r="I69" s="59"/>
      <c r="J69" s="1"/>
      <c r="K69" s="1"/>
      <c r="L69" s="1"/>
      <c r="M69" s="1"/>
      <c r="N69" s="1"/>
      <c r="O69" s="1"/>
      <c r="P69" s="59"/>
    </row>
    <row r="70" ht="15.75" customHeight="1">
      <c r="A70" s="1"/>
      <c r="B70" s="1"/>
      <c r="C70" s="1"/>
      <c r="D70" s="1"/>
      <c r="E70" s="59"/>
      <c r="F70" s="59"/>
      <c r="G70" s="59"/>
      <c r="H70" s="59"/>
      <c r="I70" s="59"/>
      <c r="J70" s="1"/>
      <c r="K70" s="1"/>
      <c r="L70" s="1"/>
      <c r="M70" s="1"/>
      <c r="N70" s="1"/>
      <c r="O70" s="1"/>
      <c r="P70" s="59"/>
    </row>
    <row r="71" ht="15.75" customHeight="1">
      <c r="A71" s="1"/>
      <c r="B71" s="1"/>
      <c r="C71" s="1"/>
      <c r="D71" s="1"/>
      <c r="E71" s="59"/>
      <c r="F71" s="59"/>
      <c r="G71" s="59"/>
      <c r="H71" s="59"/>
      <c r="I71" s="59"/>
      <c r="J71" s="1"/>
      <c r="K71" s="1"/>
      <c r="L71" s="1"/>
      <c r="M71" s="1"/>
      <c r="N71" s="1"/>
      <c r="O71" s="1"/>
      <c r="P71" s="59"/>
    </row>
    <row r="72" ht="15.75" customHeight="1">
      <c r="A72" s="1"/>
      <c r="B72" s="1"/>
      <c r="C72" s="1"/>
      <c r="D72" s="1"/>
      <c r="E72" s="59"/>
      <c r="F72" s="59"/>
      <c r="G72" s="59"/>
      <c r="H72" s="59"/>
      <c r="I72" s="59"/>
      <c r="J72" s="1"/>
      <c r="K72" s="1"/>
      <c r="L72" s="1"/>
      <c r="M72" s="1"/>
      <c r="N72" s="1"/>
      <c r="O72" s="1"/>
      <c r="P72" s="59"/>
    </row>
    <row r="73" ht="15.75" customHeight="1">
      <c r="A73" s="1"/>
      <c r="B73" s="1"/>
      <c r="C73" s="1"/>
      <c r="D73" s="1"/>
      <c r="E73" s="59"/>
      <c r="F73" s="59"/>
      <c r="G73" s="59"/>
      <c r="H73" s="59"/>
      <c r="I73" s="59"/>
      <c r="J73" s="1"/>
      <c r="K73" s="1"/>
      <c r="L73" s="1"/>
      <c r="M73" s="1"/>
      <c r="N73" s="1"/>
      <c r="O73" s="1"/>
      <c r="P73" s="59"/>
    </row>
    <row r="74" ht="15.75" customHeight="1">
      <c r="A74" s="1"/>
      <c r="B74" s="1"/>
      <c r="C74" s="1"/>
      <c r="D74" s="1"/>
      <c r="E74" s="59"/>
      <c r="F74" s="59"/>
      <c r="G74" s="59"/>
      <c r="H74" s="59"/>
      <c r="I74" s="59"/>
      <c r="J74" s="1"/>
      <c r="K74" s="1"/>
      <c r="L74" s="1"/>
      <c r="M74" s="1"/>
      <c r="N74" s="1"/>
      <c r="O74" s="1"/>
      <c r="P74" s="59"/>
    </row>
    <row r="75" ht="15.75" customHeight="1">
      <c r="A75" s="1"/>
      <c r="B75" s="1"/>
      <c r="C75" s="1"/>
      <c r="D75" s="1"/>
      <c r="E75" s="59"/>
      <c r="F75" s="59"/>
      <c r="G75" s="59"/>
      <c r="H75" s="59"/>
      <c r="I75" s="59"/>
      <c r="J75" s="1"/>
      <c r="K75" s="1"/>
      <c r="L75" s="1"/>
      <c r="M75" s="1"/>
      <c r="N75" s="1"/>
      <c r="O75" s="1"/>
      <c r="P75" s="59"/>
    </row>
    <row r="76" ht="15.75" customHeight="1">
      <c r="A76" s="1"/>
      <c r="B76" s="1"/>
      <c r="C76" s="1"/>
      <c r="D76" s="1"/>
      <c r="E76" s="59"/>
      <c r="F76" s="59"/>
      <c r="G76" s="59"/>
      <c r="H76" s="59"/>
      <c r="I76" s="59"/>
      <c r="J76" s="1"/>
      <c r="K76" s="1"/>
      <c r="L76" s="1"/>
      <c r="M76" s="1"/>
      <c r="N76" s="1"/>
      <c r="O76" s="1"/>
      <c r="P76" s="59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5.75" hidden="1" customHeight="1">
      <c r="A81" s="1"/>
      <c r="B81" s="1"/>
      <c r="C81" s="4" t="s">
        <v>142</v>
      </c>
      <c r="D81" s="1"/>
      <c r="E81" s="43"/>
      <c r="F81" s="43"/>
      <c r="G81" s="43"/>
      <c r="H81" s="43"/>
      <c r="I81" s="43"/>
      <c r="J81" s="43"/>
      <c r="K81" s="43"/>
      <c r="N81" s="43"/>
      <c r="O81" s="43"/>
      <c r="P81" s="43"/>
    </row>
    <row r="82" ht="15.75" hidden="1" customHeight="1">
      <c r="A82" s="1"/>
      <c r="B82" s="1"/>
      <c r="C82" s="10" t="s">
        <v>5</v>
      </c>
      <c r="D82" s="12" t="s">
        <v>6</v>
      </c>
      <c r="E82" s="62"/>
      <c r="F82" s="62"/>
      <c r="G82" s="62"/>
      <c r="H82" s="62"/>
      <c r="I82" s="5" t="s">
        <v>2</v>
      </c>
      <c r="J82" s="7"/>
      <c r="K82" s="7"/>
      <c r="L82" s="7"/>
      <c r="M82" s="7"/>
      <c r="N82" s="7"/>
      <c r="O82" s="8"/>
      <c r="P82" s="63"/>
    </row>
    <row r="83" ht="15.75" hidden="1" customHeight="1">
      <c r="A83" s="1"/>
      <c r="B83" s="1"/>
      <c r="C83" s="13"/>
      <c r="D83" s="14"/>
      <c r="E83" s="64"/>
      <c r="F83" s="64"/>
      <c r="G83" s="64"/>
      <c r="H83" s="64"/>
      <c r="I83" s="65" t="s">
        <v>7</v>
      </c>
      <c r="J83" s="66"/>
      <c r="K83" s="65" t="s">
        <v>143</v>
      </c>
      <c r="L83" s="65" t="s">
        <v>145</v>
      </c>
      <c r="M83" s="65" t="s">
        <v>146</v>
      </c>
      <c r="N83" s="66"/>
      <c r="O83" s="65" t="s">
        <v>147</v>
      </c>
      <c r="P83" s="42"/>
    </row>
    <row r="84" ht="15.75" hidden="1" customHeight="1">
      <c r="A84" s="1"/>
      <c r="B84" s="1"/>
      <c r="C84" s="13"/>
      <c r="D84" s="14"/>
      <c r="E84" s="64"/>
      <c r="F84" s="64"/>
      <c r="G84" s="64"/>
      <c r="H84" s="64"/>
      <c r="I84" s="14"/>
      <c r="J84" s="66"/>
      <c r="K84" s="14"/>
      <c r="L84" s="14"/>
      <c r="M84" s="14"/>
      <c r="N84" s="66"/>
      <c r="O84" s="14"/>
      <c r="P84" s="42"/>
    </row>
    <row r="85" ht="15.75" hidden="1" customHeight="1">
      <c r="A85" s="1"/>
      <c r="B85" s="1"/>
      <c r="C85" s="21"/>
      <c r="D85" s="23"/>
      <c r="E85" s="64"/>
      <c r="F85" s="64"/>
      <c r="G85" s="64"/>
      <c r="H85" s="64"/>
      <c r="I85" s="23"/>
      <c r="J85" s="66"/>
      <c r="K85" s="23"/>
      <c r="L85" s="23"/>
      <c r="M85" s="23"/>
      <c r="N85" s="66"/>
      <c r="O85" s="23"/>
      <c r="P85" s="42"/>
    </row>
    <row r="86" ht="15.75" hidden="1" customHeight="1">
      <c r="A86" s="1"/>
      <c r="B86" s="1"/>
      <c r="C86" s="24" t="s">
        <v>20</v>
      </c>
      <c r="D86" s="26" t="s">
        <v>20</v>
      </c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42"/>
    </row>
    <row r="87" ht="15.75" hidden="1" customHeight="1">
      <c r="A87" s="1"/>
      <c r="B87" s="1"/>
      <c r="C87" s="24" t="s">
        <v>150</v>
      </c>
      <c r="D87" s="26" t="s">
        <v>19</v>
      </c>
      <c r="E87" s="66"/>
      <c r="F87" s="66"/>
      <c r="G87" s="66"/>
      <c r="H87" s="66"/>
      <c r="I87" s="66">
        <v>1.0</v>
      </c>
      <c r="J87" s="66"/>
      <c r="K87" s="66">
        <v>1.0</v>
      </c>
      <c r="L87" s="66"/>
      <c r="M87" s="66"/>
      <c r="N87" s="66"/>
      <c r="O87" s="66">
        <f>SUM(K87:M87)</f>
        <v>1</v>
      </c>
      <c r="P87" s="42"/>
    </row>
    <row r="88" ht="15.75" hidden="1" customHeight="1">
      <c r="A88" s="1"/>
      <c r="B88" s="1"/>
      <c r="C88" s="34" t="s">
        <v>21</v>
      </c>
      <c r="D88" s="26" t="s">
        <v>25</v>
      </c>
      <c r="E88" s="66"/>
      <c r="F88" s="66"/>
      <c r="G88" s="66"/>
      <c r="H88" s="66"/>
      <c r="I88" s="66">
        <v>1.0</v>
      </c>
      <c r="J88" s="66"/>
      <c r="K88" s="66"/>
      <c r="L88" s="66">
        <v>1.0</v>
      </c>
      <c r="M88" s="66"/>
      <c r="N88" s="66"/>
      <c r="O88" s="66">
        <v>1.0</v>
      </c>
      <c r="P88" s="42"/>
    </row>
    <row r="89" ht="15.75" hidden="1" customHeight="1">
      <c r="A89" s="1"/>
      <c r="B89" s="1"/>
      <c r="C89" s="13"/>
      <c r="D89" s="26" t="s">
        <v>151</v>
      </c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>
        <f>SUM(K89:M89)</f>
        <v>0</v>
      </c>
      <c r="P89" s="42"/>
    </row>
    <row r="90" ht="15.75" hidden="1" customHeight="1">
      <c r="A90" s="1"/>
      <c r="B90" s="1"/>
      <c r="C90" s="21"/>
      <c r="D90" s="26" t="s">
        <v>28</v>
      </c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>
        <v>0.0</v>
      </c>
      <c r="P90" s="42"/>
    </row>
    <row r="91" ht="15.75" hidden="1" customHeight="1">
      <c r="A91" s="1"/>
      <c r="B91" s="1"/>
      <c r="C91" s="34" t="s">
        <v>29</v>
      </c>
      <c r="D91" s="26" t="s">
        <v>31</v>
      </c>
      <c r="E91" s="75"/>
      <c r="F91" s="75"/>
      <c r="G91" s="75"/>
      <c r="H91" s="75"/>
      <c r="I91" s="75">
        <v>4.0</v>
      </c>
      <c r="J91" s="66"/>
      <c r="K91" s="66">
        <v>3.0</v>
      </c>
      <c r="L91" s="66"/>
      <c r="M91" s="66"/>
      <c r="N91" s="66"/>
      <c r="O91" s="66">
        <f t="shared" ref="O91:O92" si="9">SUM(K91:M91)</f>
        <v>3</v>
      </c>
      <c r="P91" s="75"/>
    </row>
    <row r="92" ht="15.75" hidden="1" customHeight="1">
      <c r="A92" s="1"/>
      <c r="B92" s="1"/>
      <c r="C92" s="21"/>
      <c r="D92" s="26" t="s">
        <v>32</v>
      </c>
      <c r="E92" s="66"/>
      <c r="F92" s="66"/>
      <c r="G92" s="66"/>
      <c r="H92" s="66"/>
      <c r="I92" s="66">
        <v>1.0</v>
      </c>
      <c r="J92" s="66"/>
      <c r="K92" s="66"/>
      <c r="L92" s="66"/>
      <c r="M92" s="66">
        <v>1.0</v>
      </c>
      <c r="N92" s="66"/>
      <c r="O92" s="66">
        <f t="shared" si="9"/>
        <v>1</v>
      </c>
      <c r="P92" s="42"/>
    </row>
    <row r="93" ht="15.75" hidden="1" customHeight="1">
      <c r="A93" s="1"/>
      <c r="B93" s="1"/>
      <c r="C93" s="24" t="s">
        <v>34</v>
      </c>
      <c r="D93" s="26" t="s">
        <v>34</v>
      </c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>
        <v>0.0</v>
      </c>
      <c r="P93" s="42"/>
    </row>
    <row r="94" ht="15.75" hidden="1" customHeight="1">
      <c r="A94" s="1"/>
      <c r="B94" s="1"/>
      <c r="C94" s="41" t="s">
        <v>63</v>
      </c>
      <c r="D94" s="26" t="s">
        <v>41</v>
      </c>
      <c r="E94" s="66"/>
      <c r="F94" s="66"/>
      <c r="G94" s="66"/>
      <c r="H94" s="66"/>
      <c r="I94" s="66">
        <v>1.0</v>
      </c>
      <c r="J94" s="66"/>
      <c r="K94" s="66">
        <v>1.0</v>
      </c>
      <c r="L94" s="66"/>
      <c r="M94" s="66"/>
      <c r="N94" s="66"/>
      <c r="O94" s="66">
        <f t="shared" ref="O94:O98" si="10">SUM(K94:M94)</f>
        <v>1</v>
      </c>
      <c r="P94" s="42"/>
    </row>
    <row r="95" ht="15.75" hidden="1" customHeight="1">
      <c r="A95" s="1"/>
      <c r="B95" s="1"/>
      <c r="C95" s="13"/>
      <c r="D95" s="26" t="s">
        <v>38</v>
      </c>
      <c r="E95" s="66"/>
      <c r="F95" s="66"/>
      <c r="G95" s="66"/>
      <c r="H95" s="66"/>
      <c r="I95" s="66">
        <v>1.0</v>
      </c>
      <c r="J95" s="66"/>
      <c r="K95" s="66"/>
      <c r="L95" s="66">
        <v>1.0</v>
      </c>
      <c r="M95" s="66"/>
      <c r="N95" s="66"/>
      <c r="O95" s="66">
        <f t="shared" si="10"/>
        <v>1</v>
      </c>
      <c r="P95" s="42"/>
    </row>
    <row r="96" ht="15.75" hidden="1" customHeight="1">
      <c r="A96" s="1"/>
      <c r="B96" s="1"/>
      <c r="C96" s="13"/>
      <c r="D96" s="26" t="s">
        <v>43</v>
      </c>
      <c r="E96" s="66"/>
      <c r="F96" s="66"/>
      <c r="G96" s="66"/>
      <c r="H96" s="66"/>
      <c r="I96" s="66">
        <v>2.0</v>
      </c>
      <c r="J96" s="66"/>
      <c r="K96" s="66"/>
      <c r="L96" s="66"/>
      <c r="M96" s="66">
        <v>2.0</v>
      </c>
      <c r="N96" s="66"/>
      <c r="O96" s="66">
        <f t="shared" si="10"/>
        <v>2</v>
      </c>
      <c r="P96" s="42"/>
    </row>
    <row r="97" ht="15.75" hidden="1" customHeight="1">
      <c r="A97" s="1"/>
      <c r="B97" s="1"/>
      <c r="C97" s="13"/>
      <c r="D97" s="26" t="s">
        <v>42</v>
      </c>
      <c r="E97" s="66"/>
      <c r="F97" s="66"/>
      <c r="G97" s="66"/>
      <c r="H97" s="66"/>
      <c r="I97" s="66">
        <v>1.0</v>
      </c>
      <c r="J97" s="66"/>
      <c r="K97" s="66"/>
      <c r="L97" s="66">
        <v>2.0</v>
      </c>
      <c r="M97" s="66"/>
      <c r="N97" s="66"/>
      <c r="O97" s="66">
        <f t="shared" si="10"/>
        <v>2</v>
      </c>
      <c r="P97" s="42"/>
    </row>
    <row r="98" ht="15.75" hidden="1" customHeight="1">
      <c r="A98" s="1" t="s">
        <v>153</v>
      </c>
      <c r="B98" s="1"/>
      <c r="C98" s="13"/>
      <c r="D98" s="26" t="s">
        <v>154</v>
      </c>
      <c r="E98" s="66"/>
      <c r="F98" s="66"/>
      <c r="G98" s="66"/>
      <c r="H98" s="66"/>
      <c r="I98" s="66">
        <v>4.0</v>
      </c>
      <c r="J98" s="66"/>
      <c r="K98" s="66"/>
      <c r="L98" s="77"/>
      <c r="M98" s="77">
        <v>4.0</v>
      </c>
      <c r="N98" s="77"/>
      <c r="O98" s="66">
        <f t="shared" si="10"/>
        <v>4</v>
      </c>
      <c r="P98" s="42"/>
    </row>
    <row r="99" ht="15.75" hidden="1" customHeight="1">
      <c r="A99" s="43"/>
      <c r="B99" s="43"/>
      <c r="C99" s="21"/>
      <c r="D99" s="26" t="s">
        <v>44</v>
      </c>
      <c r="E99" s="66"/>
      <c r="F99" s="66"/>
      <c r="G99" s="66"/>
      <c r="H99" s="66"/>
      <c r="I99" s="66">
        <v>2.0</v>
      </c>
      <c r="J99" s="66"/>
      <c r="K99" s="66">
        <v>1.0</v>
      </c>
      <c r="L99" s="66"/>
      <c r="M99" s="66">
        <v>4.0</v>
      </c>
      <c r="N99" s="66">
        <v>2.0</v>
      </c>
      <c r="O99" s="66">
        <f>SUM(K99:N99)</f>
        <v>7</v>
      </c>
      <c r="P99" s="42"/>
    </row>
    <row r="100" ht="15.75" hidden="1" customHeight="1">
      <c r="A100" s="1"/>
      <c r="B100" s="1"/>
      <c r="C100" s="41" t="s">
        <v>49</v>
      </c>
      <c r="D100" s="26" t="s">
        <v>155</v>
      </c>
      <c r="E100" s="66"/>
      <c r="F100" s="66"/>
      <c r="G100" s="66"/>
      <c r="H100" s="66"/>
      <c r="I100" s="66">
        <v>1.0</v>
      </c>
      <c r="J100" s="66"/>
      <c r="K100" s="66"/>
      <c r="L100" s="66">
        <v>1.0</v>
      </c>
      <c r="M100" s="66"/>
      <c r="N100" s="66"/>
      <c r="O100" s="66">
        <f t="shared" ref="O100:O129" si="11">SUM(K100:M100)</f>
        <v>1</v>
      </c>
      <c r="P100" s="42"/>
    </row>
    <row r="101" ht="15.75" hidden="1" customHeight="1">
      <c r="A101" s="1"/>
      <c r="B101" s="1"/>
      <c r="C101" s="13"/>
      <c r="D101" s="26" t="s">
        <v>51</v>
      </c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>
        <f t="shared" si="11"/>
        <v>0</v>
      </c>
      <c r="P101" s="42"/>
    </row>
    <row r="102" ht="15.75" hidden="1" customHeight="1">
      <c r="A102" s="1"/>
      <c r="B102" s="1"/>
      <c r="C102" s="13"/>
      <c r="D102" s="26" t="s">
        <v>156</v>
      </c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>
        <f t="shared" si="11"/>
        <v>0</v>
      </c>
      <c r="P102" s="75"/>
    </row>
    <row r="103" ht="15.75" hidden="1" customHeight="1">
      <c r="A103" s="1"/>
      <c r="B103" s="1"/>
      <c r="C103" s="21"/>
      <c r="D103" s="26" t="s">
        <v>55</v>
      </c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>
        <f t="shared" si="11"/>
        <v>0</v>
      </c>
      <c r="P103" s="42"/>
    </row>
    <row r="104" ht="15.75" hidden="1" customHeight="1">
      <c r="A104" s="1"/>
      <c r="B104" s="1"/>
      <c r="C104" s="49" t="s">
        <v>53</v>
      </c>
      <c r="D104" s="26" t="s">
        <v>53</v>
      </c>
      <c r="E104" s="66"/>
      <c r="F104" s="66"/>
      <c r="G104" s="66"/>
      <c r="H104" s="66"/>
      <c r="I104" s="66">
        <v>1.0</v>
      </c>
      <c r="J104" s="66"/>
      <c r="K104" s="66"/>
      <c r="L104" s="66">
        <v>1.0</v>
      </c>
      <c r="M104" s="66"/>
      <c r="N104" s="66"/>
      <c r="O104" s="66">
        <f t="shared" si="11"/>
        <v>1</v>
      </c>
      <c r="P104" s="42"/>
    </row>
    <row r="105" ht="15.75" hidden="1" customHeight="1">
      <c r="A105" s="1"/>
      <c r="B105" s="1"/>
      <c r="C105" s="24" t="s">
        <v>54</v>
      </c>
      <c r="D105" s="26" t="s">
        <v>54</v>
      </c>
      <c r="E105" s="66"/>
      <c r="F105" s="66"/>
      <c r="G105" s="66"/>
      <c r="H105" s="66"/>
      <c r="I105" s="66">
        <v>8.0</v>
      </c>
      <c r="J105" s="66"/>
      <c r="K105" s="66">
        <v>3.0</v>
      </c>
      <c r="L105" s="66">
        <v>5.0</v>
      </c>
      <c r="M105" s="66"/>
      <c r="N105" s="66"/>
      <c r="O105" s="66">
        <f t="shared" si="11"/>
        <v>8</v>
      </c>
      <c r="P105" s="75"/>
    </row>
    <row r="106" ht="15.75" hidden="1" customHeight="1">
      <c r="A106" s="1"/>
      <c r="B106" s="1"/>
      <c r="C106" s="34" t="s">
        <v>57</v>
      </c>
      <c r="D106" s="26" t="s">
        <v>114</v>
      </c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>
        <f t="shared" si="11"/>
        <v>0</v>
      </c>
      <c r="P106" s="42"/>
    </row>
    <row r="107" ht="15.75" hidden="1" customHeight="1">
      <c r="A107" s="1"/>
      <c r="B107" s="1"/>
      <c r="C107" s="21"/>
      <c r="D107" s="26" t="s">
        <v>60</v>
      </c>
      <c r="E107" s="66"/>
      <c r="F107" s="66"/>
      <c r="G107" s="66"/>
      <c r="H107" s="66"/>
      <c r="I107" s="66">
        <v>1.0</v>
      </c>
      <c r="J107" s="66"/>
      <c r="K107" s="66"/>
      <c r="L107" s="66">
        <v>1.0</v>
      </c>
      <c r="M107" s="66"/>
      <c r="N107" s="66"/>
      <c r="O107" s="66">
        <f t="shared" si="11"/>
        <v>1</v>
      </c>
      <c r="P107" s="42"/>
    </row>
    <row r="108" ht="15.75" hidden="1" customHeight="1">
      <c r="A108" s="1"/>
      <c r="B108" s="1"/>
      <c r="C108" s="24" t="s">
        <v>162</v>
      </c>
      <c r="D108" s="26" t="s">
        <v>163</v>
      </c>
      <c r="E108" s="66"/>
      <c r="F108" s="66"/>
      <c r="G108" s="66"/>
      <c r="H108" s="66"/>
      <c r="I108" s="66"/>
      <c r="J108" s="66"/>
      <c r="K108" s="66"/>
      <c r="L108" s="66">
        <v>1.0</v>
      </c>
      <c r="M108" s="66"/>
      <c r="N108" s="66"/>
      <c r="O108" s="66">
        <f t="shared" si="11"/>
        <v>1</v>
      </c>
      <c r="P108" s="42"/>
    </row>
    <row r="109" ht="15.75" hidden="1" customHeight="1">
      <c r="A109" s="1"/>
      <c r="B109" s="1"/>
      <c r="C109" s="34" t="s">
        <v>62</v>
      </c>
      <c r="D109" s="26" t="s">
        <v>165</v>
      </c>
      <c r="E109" s="66"/>
      <c r="F109" s="66"/>
      <c r="G109" s="66"/>
      <c r="H109" s="66"/>
      <c r="I109" s="66">
        <v>1.0</v>
      </c>
      <c r="J109" s="66"/>
      <c r="K109" s="66"/>
      <c r="L109" s="66">
        <v>1.0</v>
      </c>
      <c r="M109" s="66"/>
      <c r="N109" s="66"/>
      <c r="O109" s="66">
        <f t="shared" si="11"/>
        <v>1</v>
      </c>
      <c r="P109" s="42"/>
    </row>
    <row r="110" ht="15.75" hidden="1" customHeight="1">
      <c r="A110" s="1"/>
      <c r="B110" s="1"/>
      <c r="C110" s="13"/>
      <c r="D110" s="26" t="s">
        <v>167</v>
      </c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>
        <f t="shared" si="11"/>
        <v>0</v>
      </c>
      <c r="P110" s="42"/>
    </row>
    <row r="111" ht="15.75" hidden="1" customHeight="1">
      <c r="A111" s="1"/>
      <c r="B111" s="1"/>
      <c r="C111" s="13"/>
      <c r="D111" s="26" t="s">
        <v>168</v>
      </c>
      <c r="E111" s="66"/>
      <c r="F111" s="66"/>
      <c r="G111" s="66"/>
      <c r="H111" s="66"/>
      <c r="I111" s="66">
        <v>1.0</v>
      </c>
      <c r="J111" s="66"/>
      <c r="K111" s="66">
        <v>1.0</v>
      </c>
      <c r="L111" s="66"/>
      <c r="M111" s="66"/>
      <c r="N111" s="66"/>
      <c r="O111" s="66">
        <f t="shared" si="11"/>
        <v>1</v>
      </c>
      <c r="P111" s="42"/>
    </row>
    <row r="112" ht="15.75" hidden="1" customHeight="1">
      <c r="A112" s="1"/>
      <c r="B112" s="1"/>
      <c r="C112" s="21"/>
      <c r="D112" s="26" t="s">
        <v>66</v>
      </c>
      <c r="E112" s="66"/>
      <c r="F112" s="66"/>
      <c r="G112" s="66"/>
      <c r="H112" s="66"/>
      <c r="I112" s="66">
        <v>1.0</v>
      </c>
      <c r="J112" s="66"/>
      <c r="K112" s="66"/>
      <c r="L112" s="66"/>
      <c r="M112" s="66">
        <v>1.0</v>
      </c>
      <c r="N112" s="66"/>
      <c r="O112" s="66">
        <f t="shared" si="11"/>
        <v>1</v>
      </c>
      <c r="P112" s="42"/>
    </row>
    <row r="113" ht="15.75" hidden="1" customHeight="1">
      <c r="A113" s="1"/>
      <c r="B113" s="1"/>
      <c r="C113" s="34" t="s">
        <v>62</v>
      </c>
      <c r="D113" s="26" t="s">
        <v>169</v>
      </c>
      <c r="E113" s="66"/>
      <c r="F113" s="66"/>
      <c r="G113" s="66"/>
      <c r="H113" s="66"/>
      <c r="I113" s="66">
        <v>3.0</v>
      </c>
      <c r="J113" s="77"/>
      <c r="K113" s="77">
        <v>1.0</v>
      </c>
      <c r="L113" s="77"/>
      <c r="M113" s="77">
        <v>2.0</v>
      </c>
      <c r="N113" s="77"/>
      <c r="O113" s="66">
        <f t="shared" si="11"/>
        <v>3</v>
      </c>
      <c r="P113" s="42"/>
    </row>
    <row r="114" ht="15.75" hidden="1" customHeight="1">
      <c r="A114" s="1"/>
      <c r="B114" s="1"/>
      <c r="C114" s="13"/>
      <c r="D114" s="26" t="s">
        <v>171</v>
      </c>
      <c r="E114" s="66"/>
      <c r="F114" s="66"/>
      <c r="G114" s="66"/>
      <c r="H114" s="66"/>
      <c r="I114" s="66"/>
      <c r="J114" s="77"/>
      <c r="K114" s="77"/>
      <c r="L114" s="77"/>
      <c r="M114" s="77"/>
      <c r="N114" s="77"/>
      <c r="O114" s="66">
        <f t="shared" si="11"/>
        <v>0</v>
      </c>
      <c r="P114" s="42"/>
    </row>
    <row r="115" ht="15.75" hidden="1" customHeight="1">
      <c r="A115" s="1"/>
      <c r="B115" s="1"/>
      <c r="C115" s="13"/>
      <c r="D115" s="26" t="s">
        <v>160</v>
      </c>
      <c r="E115" s="66"/>
      <c r="F115" s="66"/>
      <c r="G115" s="66"/>
      <c r="H115" s="66"/>
      <c r="I115" s="66"/>
      <c r="J115" s="77"/>
      <c r="K115" s="77"/>
      <c r="L115" s="77"/>
      <c r="M115" s="77"/>
      <c r="N115" s="77"/>
      <c r="O115" s="66">
        <f t="shared" si="11"/>
        <v>0</v>
      </c>
      <c r="P115" s="42"/>
    </row>
    <row r="116" ht="15.75" hidden="1" customHeight="1">
      <c r="A116" s="1"/>
      <c r="B116" s="1"/>
      <c r="C116" s="13"/>
      <c r="D116" s="26" t="s">
        <v>69</v>
      </c>
      <c r="E116" s="66"/>
      <c r="F116" s="66"/>
      <c r="G116" s="66"/>
      <c r="H116" s="66"/>
      <c r="I116" s="66">
        <v>6.0</v>
      </c>
      <c r="J116" s="66"/>
      <c r="K116" s="66"/>
      <c r="L116" s="66"/>
      <c r="M116" s="66">
        <v>6.0</v>
      </c>
      <c r="N116" s="66"/>
      <c r="O116" s="66">
        <f t="shared" si="11"/>
        <v>6</v>
      </c>
      <c r="P116" s="42"/>
    </row>
    <row r="117" ht="15.75" hidden="1" customHeight="1">
      <c r="A117" s="1"/>
      <c r="B117" s="1"/>
      <c r="C117" s="13"/>
      <c r="D117" s="26" t="s">
        <v>73</v>
      </c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>
        <f t="shared" si="11"/>
        <v>0</v>
      </c>
      <c r="P117" s="42"/>
    </row>
    <row r="118" ht="15.75" hidden="1" customHeight="1">
      <c r="A118" s="1"/>
      <c r="B118" s="1"/>
      <c r="C118" s="13"/>
      <c r="D118" s="26" t="s">
        <v>77</v>
      </c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>
        <f t="shared" si="11"/>
        <v>0</v>
      </c>
      <c r="P118" s="42"/>
    </row>
    <row r="119" ht="15.75" hidden="1" customHeight="1">
      <c r="A119" s="1"/>
      <c r="B119" s="1"/>
      <c r="C119" s="13"/>
      <c r="D119" s="26" t="s">
        <v>174</v>
      </c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>
        <f t="shared" si="11"/>
        <v>0</v>
      </c>
      <c r="P119" s="42"/>
    </row>
    <row r="120" ht="15.75" hidden="1" customHeight="1">
      <c r="A120" s="1"/>
      <c r="B120" s="1"/>
      <c r="C120" s="13"/>
      <c r="D120" s="26" t="s">
        <v>175</v>
      </c>
      <c r="E120" s="66"/>
      <c r="F120" s="66"/>
      <c r="G120" s="66"/>
      <c r="H120" s="66"/>
      <c r="I120" s="66">
        <v>23.0</v>
      </c>
      <c r="J120" s="77"/>
      <c r="K120" s="77">
        <v>2.0</v>
      </c>
      <c r="L120" s="77">
        <v>1.0</v>
      </c>
      <c r="M120" s="66">
        <v>16.0</v>
      </c>
      <c r="N120" s="66"/>
      <c r="O120" s="66">
        <f t="shared" si="11"/>
        <v>19</v>
      </c>
      <c r="P120" s="42"/>
    </row>
    <row r="121" ht="15.75" hidden="1" customHeight="1">
      <c r="A121" s="1"/>
      <c r="B121" s="1"/>
      <c r="C121" s="13"/>
      <c r="D121" s="26" t="s">
        <v>177</v>
      </c>
      <c r="E121" s="66"/>
      <c r="F121" s="66"/>
      <c r="G121" s="66"/>
      <c r="H121" s="66"/>
      <c r="I121" s="66">
        <v>6.0</v>
      </c>
      <c r="J121" s="77"/>
      <c r="K121" s="77"/>
      <c r="L121" s="77">
        <v>1.0</v>
      </c>
      <c r="M121" s="77">
        <v>5.0</v>
      </c>
      <c r="N121" s="77"/>
      <c r="O121" s="66">
        <f t="shared" si="11"/>
        <v>6</v>
      </c>
      <c r="P121" s="42"/>
    </row>
    <row r="122" ht="15.75" hidden="1" customHeight="1">
      <c r="A122" s="1"/>
      <c r="B122" s="1"/>
      <c r="C122" s="13"/>
      <c r="D122" s="79" t="s">
        <v>178</v>
      </c>
      <c r="E122" s="66"/>
      <c r="F122" s="66"/>
      <c r="G122" s="66"/>
      <c r="H122" s="66"/>
      <c r="I122" s="66">
        <v>6.0</v>
      </c>
      <c r="J122" s="77"/>
      <c r="K122" s="77"/>
      <c r="L122" s="77">
        <v>1.0</v>
      </c>
      <c r="M122" s="77">
        <v>5.0</v>
      </c>
      <c r="N122" s="77"/>
      <c r="O122" s="66">
        <f t="shared" si="11"/>
        <v>6</v>
      </c>
      <c r="P122" s="42"/>
    </row>
    <row r="123" ht="15.75" hidden="1" customHeight="1">
      <c r="A123" s="1"/>
      <c r="B123" s="1"/>
      <c r="C123" s="13"/>
      <c r="D123" s="26" t="s">
        <v>172</v>
      </c>
      <c r="E123" s="66"/>
      <c r="F123" s="66"/>
      <c r="G123" s="66"/>
      <c r="H123" s="66"/>
      <c r="I123" s="66">
        <v>6.0</v>
      </c>
      <c r="J123" s="77"/>
      <c r="K123" s="77">
        <v>1.0</v>
      </c>
      <c r="L123" s="77"/>
      <c r="M123" s="77">
        <v>5.0</v>
      </c>
      <c r="N123" s="77"/>
      <c r="O123" s="66">
        <f t="shared" si="11"/>
        <v>6</v>
      </c>
      <c r="P123" s="42"/>
    </row>
    <row r="124" ht="15.75" hidden="1" customHeight="1">
      <c r="A124" s="1"/>
      <c r="B124" s="1"/>
      <c r="C124" s="13"/>
      <c r="D124" s="26" t="s">
        <v>179</v>
      </c>
      <c r="E124" s="66"/>
      <c r="F124" s="66"/>
      <c r="G124" s="66"/>
      <c r="H124" s="66"/>
      <c r="I124" s="66">
        <v>3.0</v>
      </c>
      <c r="J124" s="77"/>
      <c r="K124" s="77">
        <v>1.0</v>
      </c>
      <c r="L124" s="77">
        <v>2.0</v>
      </c>
      <c r="M124" s="77"/>
      <c r="N124" s="77"/>
      <c r="O124" s="66">
        <f t="shared" si="11"/>
        <v>3</v>
      </c>
      <c r="P124" s="42"/>
    </row>
    <row r="125" ht="15.75" hidden="1" customHeight="1">
      <c r="A125" s="1"/>
      <c r="B125" s="1"/>
      <c r="C125" s="13"/>
      <c r="D125" s="26" t="s">
        <v>180</v>
      </c>
      <c r="E125" s="66"/>
      <c r="F125" s="66"/>
      <c r="G125" s="66"/>
      <c r="H125" s="66"/>
      <c r="I125" s="66">
        <v>12.0</v>
      </c>
      <c r="J125" s="77"/>
      <c r="K125" s="77"/>
      <c r="L125" s="77"/>
      <c r="M125" s="77">
        <v>12.0</v>
      </c>
      <c r="N125" s="77"/>
      <c r="O125" s="66">
        <f t="shared" si="11"/>
        <v>12</v>
      </c>
      <c r="P125" s="42"/>
    </row>
    <row r="126" ht="15.75" hidden="1" customHeight="1">
      <c r="A126" s="1"/>
      <c r="B126" s="1"/>
      <c r="C126" s="13"/>
      <c r="D126" s="26" t="s">
        <v>182</v>
      </c>
      <c r="E126" s="66"/>
      <c r="F126" s="66"/>
      <c r="G126" s="66"/>
      <c r="H126" s="66"/>
      <c r="I126" s="66">
        <v>8.0</v>
      </c>
      <c r="J126" s="77"/>
      <c r="K126" s="77">
        <v>1.0</v>
      </c>
      <c r="L126" s="77"/>
      <c r="M126" s="77">
        <v>7.0</v>
      </c>
      <c r="N126" s="77"/>
      <c r="O126" s="66">
        <f t="shared" si="11"/>
        <v>8</v>
      </c>
      <c r="P126" s="42"/>
    </row>
    <row r="127" ht="15.75" hidden="1" customHeight="1">
      <c r="A127" s="1"/>
      <c r="B127" s="1"/>
      <c r="C127" s="13"/>
      <c r="D127" s="26" t="s">
        <v>119</v>
      </c>
      <c r="E127" s="66"/>
      <c r="F127" s="66"/>
      <c r="G127" s="66"/>
      <c r="H127" s="66"/>
      <c r="I127" s="66"/>
      <c r="J127" s="77"/>
      <c r="K127" s="77"/>
      <c r="L127" s="77"/>
      <c r="M127" s="77"/>
      <c r="N127" s="77"/>
      <c r="O127" s="66">
        <f t="shared" si="11"/>
        <v>0</v>
      </c>
      <c r="P127" s="42"/>
    </row>
    <row r="128" ht="15.75" hidden="1" customHeight="1">
      <c r="A128" s="1"/>
      <c r="B128" s="1"/>
      <c r="C128" s="13"/>
      <c r="D128" s="26" t="s">
        <v>122</v>
      </c>
      <c r="E128" s="66"/>
      <c r="F128" s="66"/>
      <c r="G128" s="66"/>
      <c r="H128" s="66"/>
      <c r="I128" s="66"/>
      <c r="J128" s="77"/>
      <c r="K128" s="77"/>
      <c r="L128" s="77"/>
      <c r="M128" s="77"/>
      <c r="N128" s="77"/>
      <c r="O128" s="66">
        <f t="shared" si="11"/>
        <v>0</v>
      </c>
      <c r="P128" s="42"/>
    </row>
    <row r="129" ht="15.75" hidden="1" customHeight="1">
      <c r="A129" s="1"/>
      <c r="B129" s="1"/>
      <c r="C129" s="13"/>
      <c r="D129" s="26" t="s">
        <v>89</v>
      </c>
      <c r="E129" s="66"/>
      <c r="F129" s="66"/>
      <c r="G129" s="66"/>
      <c r="H129" s="66"/>
      <c r="I129" s="66"/>
      <c r="J129" s="77"/>
      <c r="K129" s="77"/>
      <c r="L129" s="77"/>
      <c r="M129" s="77"/>
      <c r="N129" s="77"/>
      <c r="O129" s="66">
        <f t="shared" si="11"/>
        <v>0</v>
      </c>
      <c r="P129" s="42"/>
    </row>
    <row r="130" ht="15.75" hidden="1" customHeight="1">
      <c r="A130" s="1"/>
      <c r="B130" s="1"/>
      <c r="C130" s="13"/>
      <c r="D130" s="26" t="s">
        <v>130</v>
      </c>
      <c r="E130" s="66"/>
      <c r="F130" s="66"/>
      <c r="G130" s="66"/>
      <c r="H130" s="66"/>
      <c r="I130" s="66"/>
      <c r="J130" s="77"/>
      <c r="K130" s="77"/>
      <c r="L130" s="77"/>
      <c r="M130" s="77"/>
      <c r="N130" s="77"/>
      <c r="O130" s="66">
        <v>0.0</v>
      </c>
      <c r="P130" s="42"/>
    </row>
    <row r="131" ht="15.75" hidden="1" customHeight="1">
      <c r="A131" s="1"/>
      <c r="B131" s="1"/>
      <c r="C131" s="13"/>
      <c r="D131" s="26" t="s">
        <v>185</v>
      </c>
      <c r="E131" s="66"/>
      <c r="F131" s="66"/>
      <c r="G131" s="66"/>
      <c r="H131" s="66"/>
      <c r="I131" s="66"/>
      <c r="J131" s="77"/>
      <c r="K131" s="77"/>
      <c r="L131" s="77"/>
      <c r="M131" s="77"/>
      <c r="N131" s="77"/>
      <c r="O131" s="66">
        <f t="shared" ref="O131:O140" si="12">SUM(K131:M131)</f>
        <v>0</v>
      </c>
      <c r="P131" s="42"/>
    </row>
    <row r="132" ht="15.75" hidden="1" customHeight="1">
      <c r="A132" s="1"/>
      <c r="B132" s="1"/>
      <c r="C132" s="13"/>
      <c r="D132" s="26" t="s">
        <v>91</v>
      </c>
      <c r="E132" s="66"/>
      <c r="F132" s="66"/>
      <c r="G132" s="66"/>
      <c r="H132" s="66"/>
      <c r="I132" s="66"/>
      <c r="J132" s="77"/>
      <c r="K132" s="77"/>
      <c r="L132" s="77"/>
      <c r="M132" s="77"/>
      <c r="N132" s="77"/>
      <c r="O132" s="66">
        <f t="shared" si="12"/>
        <v>0</v>
      </c>
      <c r="P132" s="42"/>
    </row>
    <row r="133" ht="15.75" hidden="1" customHeight="1">
      <c r="A133" s="1"/>
      <c r="B133" s="1"/>
      <c r="C133" s="13"/>
      <c r="D133" s="26" t="s">
        <v>92</v>
      </c>
      <c r="E133" s="66"/>
      <c r="F133" s="66"/>
      <c r="G133" s="66"/>
      <c r="H133" s="66"/>
      <c r="I133" s="66"/>
      <c r="J133" s="77"/>
      <c r="K133" s="77"/>
      <c r="L133" s="77"/>
      <c r="M133" s="77"/>
      <c r="N133" s="77"/>
      <c r="O133" s="66">
        <f t="shared" si="12"/>
        <v>0</v>
      </c>
      <c r="P133" s="42"/>
    </row>
    <row r="134" ht="15.75" hidden="1" customHeight="1">
      <c r="A134" s="1"/>
      <c r="B134" s="1"/>
      <c r="C134" s="13"/>
      <c r="D134" s="26" t="s">
        <v>100</v>
      </c>
      <c r="E134" s="66"/>
      <c r="F134" s="66"/>
      <c r="G134" s="66"/>
      <c r="H134" s="66"/>
      <c r="I134" s="66"/>
      <c r="J134" s="77"/>
      <c r="K134" s="77"/>
      <c r="L134" s="77"/>
      <c r="M134" s="77"/>
      <c r="N134" s="77"/>
      <c r="O134" s="66">
        <f t="shared" si="12"/>
        <v>0</v>
      </c>
      <c r="P134" s="42"/>
    </row>
    <row r="135" ht="15.75" hidden="1" customHeight="1">
      <c r="A135" s="1"/>
      <c r="B135" s="1"/>
      <c r="C135" s="13"/>
      <c r="D135" s="26" t="s">
        <v>94</v>
      </c>
      <c r="E135" s="66"/>
      <c r="F135" s="66"/>
      <c r="G135" s="66"/>
      <c r="H135" s="66"/>
      <c r="I135" s="66"/>
      <c r="J135" s="77"/>
      <c r="K135" s="77"/>
      <c r="L135" s="77"/>
      <c r="M135" s="77"/>
      <c r="N135" s="77"/>
      <c r="O135" s="66">
        <f t="shared" si="12"/>
        <v>0</v>
      </c>
      <c r="P135" s="42"/>
    </row>
    <row r="136" ht="15.75" hidden="1" customHeight="1">
      <c r="A136" s="1"/>
      <c r="B136" s="1"/>
      <c r="C136" s="21"/>
      <c r="D136" s="26" t="s">
        <v>96</v>
      </c>
      <c r="E136" s="66"/>
      <c r="F136" s="66"/>
      <c r="G136" s="66"/>
      <c r="H136" s="66"/>
      <c r="I136" s="66">
        <v>13.0</v>
      </c>
      <c r="J136" s="77"/>
      <c r="K136" s="77">
        <v>1.0</v>
      </c>
      <c r="L136" s="77"/>
      <c r="M136" s="77">
        <v>12.0</v>
      </c>
      <c r="N136" s="77"/>
      <c r="O136" s="66">
        <f t="shared" si="12"/>
        <v>13</v>
      </c>
      <c r="P136" s="42"/>
    </row>
    <row r="137" ht="15.75" hidden="1" customHeight="1">
      <c r="A137" s="1"/>
      <c r="B137" s="1"/>
      <c r="C137" s="34"/>
      <c r="D137" s="26" t="s">
        <v>135</v>
      </c>
      <c r="E137" s="66"/>
      <c r="F137" s="66"/>
      <c r="G137" s="66"/>
      <c r="H137" s="66"/>
      <c r="I137" s="66"/>
      <c r="J137" s="77"/>
      <c r="K137" s="77"/>
      <c r="L137" s="77"/>
      <c r="M137" s="77"/>
      <c r="N137" s="77"/>
      <c r="O137" s="66">
        <f t="shared" si="12"/>
        <v>0</v>
      </c>
      <c r="P137" s="42"/>
    </row>
    <row r="138" ht="15.75" hidden="1" customHeight="1">
      <c r="A138" s="1"/>
      <c r="B138" s="1"/>
      <c r="C138" s="34"/>
      <c r="D138" s="26" t="s">
        <v>186</v>
      </c>
      <c r="E138" s="66"/>
      <c r="F138" s="66"/>
      <c r="G138" s="66"/>
      <c r="H138" s="66"/>
      <c r="I138" s="66"/>
      <c r="J138" s="77"/>
      <c r="K138" s="77"/>
      <c r="L138" s="77"/>
      <c r="M138" s="77"/>
      <c r="N138" s="77"/>
      <c r="O138" s="66">
        <f t="shared" si="12"/>
        <v>0</v>
      </c>
      <c r="P138" s="42"/>
    </row>
    <row r="139" ht="15.75" hidden="1" customHeight="1">
      <c r="A139" s="1"/>
      <c r="B139" s="1"/>
      <c r="C139" s="34"/>
      <c r="D139" s="26" t="s">
        <v>105</v>
      </c>
      <c r="E139" s="66"/>
      <c r="F139" s="66"/>
      <c r="G139" s="66"/>
      <c r="H139" s="66"/>
      <c r="I139" s="66"/>
      <c r="J139" s="77"/>
      <c r="K139" s="77"/>
      <c r="L139" s="77"/>
      <c r="M139" s="77"/>
      <c r="N139" s="77"/>
      <c r="O139" s="66">
        <f t="shared" si="12"/>
        <v>0</v>
      </c>
      <c r="P139" s="42"/>
    </row>
    <row r="140" ht="15.75" hidden="1" customHeight="1">
      <c r="A140" s="1"/>
      <c r="B140" s="1"/>
      <c r="C140" s="34"/>
      <c r="D140" s="26" t="s">
        <v>181</v>
      </c>
      <c r="E140" s="66"/>
      <c r="F140" s="66"/>
      <c r="G140" s="66"/>
      <c r="H140" s="66"/>
      <c r="I140" s="66"/>
      <c r="J140" s="77"/>
      <c r="K140" s="77"/>
      <c r="L140" s="77"/>
      <c r="M140" s="77"/>
      <c r="N140" s="77"/>
      <c r="O140" s="66">
        <f t="shared" si="12"/>
        <v>0</v>
      </c>
      <c r="P140" s="42"/>
    </row>
    <row r="141" ht="15.75" hidden="1" customHeight="1">
      <c r="A141" s="1"/>
      <c r="B141" s="1"/>
      <c r="C141" s="34"/>
      <c r="D141" s="26" t="s">
        <v>183</v>
      </c>
      <c r="E141" s="66"/>
      <c r="F141" s="66"/>
      <c r="G141" s="66"/>
      <c r="H141" s="66"/>
      <c r="I141" s="66"/>
      <c r="J141" s="77"/>
      <c r="K141" s="77"/>
      <c r="L141" s="77"/>
      <c r="M141" s="77"/>
      <c r="N141" s="77"/>
      <c r="O141" s="66">
        <v>0.0</v>
      </c>
      <c r="P141" s="42"/>
    </row>
    <row r="142" ht="15.75" hidden="1" customHeight="1">
      <c r="A142" s="1"/>
      <c r="B142" s="1"/>
      <c r="C142" s="34"/>
      <c r="D142" s="26" t="s">
        <v>136</v>
      </c>
      <c r="E142" s="66"/>
      <c r="F142" s="66"/>
      <c r="G142" s="66"/>
      <c r="H142" s="66"/>
      <c r="I142" s="66"/>
      <c r="J142" s="77"/>
      <c r="K142" s="77"/>
      <c r="L142" s="77"/>
      <c r="M142" s="77"/>
      <c r="N142" s="77"/>
      <c r="O142" s="66">
        <f>SUM(K142:M142)</f>
        <v>0</v>
      </c>
      <c r="P142" s="42"/>
    </row>
    <row r="143" ht="15.75" hidden="1" customHeight="1">
      <c r="A143" s="1"/>
      <c r="B143" s="1"/>
      <c r="C143" s="34"/>
      <c r="D143" s="26" t="s">
        <v>190</v>
      </c>
      <c r="E143" s="66"/>
      <c r="F143" s="66"/>
      <c r="G143" s="66"/>
      <c r="H143" s="66"/>
      <c r="I143" s="66"/>
      <c r="J143" s="77"/>
      <c r="K143" s="77"/>
      <c r="L143" s="77"/>
      <c r="M143" s="77"/>
      <c r="N143" s="77"/>
      <c r="O143" s="66">
        <v>0.0</v>
      </c>
      <c r="P143" s="42"/>
    </row>
    <row r="144" ht="15.75" hidden="1" customHeight="1">
      <c r="A144" s="1"/>
      <c r="B144" s="1"/>
      <c r="C144" s="34" t="s">
        <v>139</v>
      </c>
      <c r="D144" s="26" t="s">
        <v>191</v>
      </c>
      <c r="E144" s="66"/>
      <c r="F144" s="66"/>
      <c r="G144" s="66"/>
      <c r="H144" s="66"/>
      <c r="I144" s="66"/>
      <c r="J144" s="66"/>
      <c r="K144" s="66"/>
      <c r="L144" s="77"/>
      <c r="M144" s="77"/>
      <c r="N144" s="77"/>
      <c r="O144" s="66">
        <v>0.0</v>
      </c>
      <c r="P144" s="42"/>
    </row>
    <row r="145" ht="15.75" hidden="1" customHeight="1">
      <c r="A145" s="1"/>
      <c r="B145" s="1"/>
      <c r="C145" s="13"/>
      <c r="D145" s="26" t="s">
        <v>192</v>
      </c>
      <c r="E145" s="66"/>
      <c r="F145" s="66"/>
      <c r="G145" s="66"/>
      <c r="H145" s="66"/>
      <c r="I145" s="66">
        <v>1.0</v>
      </c>
      <c r="J145" s="66"/>
      <c r="K145" s="66"/>
      <c r="L145" s="77">
        <v>1.0</v>
      </c>
      <c r="M145" s="77"/>
      <c r="N145" s="77"/>
      <c r="O145" s="66">
        <f t="shared" ref="O145:O147" si="13">SUM(K145:M145)</f>
        <v>1</v>
      </c>
      <c r="P145" s="42"/>
    </row>
    <row r="146" ht="15.75" hidden="1" customHeight="1">
      <c r="A146" s="1"/>
      <c r="B146" s="1"/>
      <c r="C146" s="21"/>
      <c r="D146" s="26" t="s">
        <v>139</v>
      </c>
      <c r="E146" s="66"/>
      <c r="F146" s="66"/>
      <c r="G146" s="66"/>
      <c r="H146" s="66"/>
      <c r="I146" s="66">
        <v>4.0</v>
      </c>
      <c r="J146" s="77"/>
      <c r="K146" s="77">
        <v>3.0</v>
      </c>
      <c r="L146" s="77"/>
      <c r="M146" s="77">
        <v>1.0</v>
      </c>
      <c r="N146" s="77"/>
      <c r="O146" s="66">
        <f t="shared" si="13"/>
        <v>4</v>
      </c>
      <c r="P146" s="75"/>
    </row>
    <row r="147" ht="15.75" hidden="1" customHeight="1">
      <c r="A147" s="1"/>
      <c r="B147" s="1"/>
      <c r="C147" s="24" t="s">
        <v>193</v>
      </c>
      <c r="D147" s="26" t="s">
        <v>193</v>
      </c>
      <c r="E147" s="66"/>
      <c r="F147" s="66"/>
      <c r="G147" s="66"/>
      <c r="H147" s="66"/>
      <c r="I147" s="66">
        <v>1.0</v>
      </c>
      <c r="J147" s="77"/>
      <c r="K147" s="77"/>
      <c r="L147" s="77"/>
      <c r="M147" s="77">
        <v>1.0</v>
      </c>
      <c r="N147" s="77"/>
      <c r="O147" s="66">
        <f t="shared" si="13"/>
        <v>1</v>
      </c>
      <c r="P147" s="42"/>
    </row>
    <row r="148" ht="15.75" hidden="1" customHeight="1">
      <c r="A148" s="1"/>
      <c r="B148" s="1"/>
      <c r="C148" s="81" t="s">
        <v>110</v>
      </c>
      <c r="D148" s="82"/>
      <c r="E148" s="83"/>
      <c r="F148" s="83"/>
      <c r="G148" s="83"/>
      <c r="H148" s="83"/>
      <c r="I148" s="66">
        <f>SUM(I86:I147)</f>
        <v>124</v>
      </c>
      <c r="J148" s="66"/>
      <c r="K148" s="66">
        <f t="shared" ref="K148:M148" si="14">SUM(K87:K147)</f>
        <v>20</v>
      </c>
      <c r="L148" s="66">
        <f t="shared" si="14"/>
        <v>20</v>
      </c>
      <c r="M148" s="66">
        <f t="shared" si="14"/>
        <v>84</v>
      </c>
      <c r="N148" s="66"/>
      <c r="O148" s="66">
        <f>SUM(O86:O147)</f>
        <v>126</v>
      </c>
      <c r="P148" s="42"/>
    </row>
    <row r="149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>
        <f>I148-O148</f>
        <v>-2</v>
      </c>
      <c r="N149" s="1"/>
      <c r="O149" s="67">
        <f>O148/I148</f>
        <v>1.016129032</v>
      </c>
      <c r="P149" s="1"/>
    </row>
    <row r="150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ht="15.75" hidden="1" customHeight="1">
      <c r="A155" s="1"/>
      <c r="B155" s="1"/>
      <c r="C155" s="1"/>
      <c r="D155" s="1"/>
      <c r="E155" s="59"/>
      <c r="F155" s="59"/>
      <c r="G155" s="59"/>
      <c r="H155" s="59"/>
      <c r="I155" s="59" t="s">
        <v>195</v>
      </c>
      <c r="J155" s="1"/>
      <c r="K155" s="1"/>
      <c r="L155" s="1"/>
      <c r="M155" s="1"/>
      <c r="N155" s="1"/>
      <c r="O155" s="1"/>
      <c r="P155" s="59"/>
    </row>
    <row r="156" ht="15.75" hidden="1" customHeight="1">
      <c r="A156" s="1"/>
      <c r="B156" s="1"/>
      <c r="C156" s="1"/>
      <c r="D156" s="1"/>
      <c r="E156" s="1"/>
      <c r="F156" s="1"/>
      <c r="G156" s="1"/>
      <c r="H156" s="1"/>
      <c r="I156" s="1" t="s">
        <v>196</v>
      </c>
      <c r="J156" s="1"/>
      <c r="K156" s="1"/>
      <c r="L156" s="1"/>
      <c r="M156" s="1"/>
      <c r="N156" s="1"/>
      <c r="O156" s="1"/>
      <c r="P156" s="1"/>
    </row>
    <row r="157" ht="15.75" hidden="1" customHeight="1">
      <c r="A157" s="1"/>
      <c r="B157" s="1"/>
      <c r="C157" s="1"/>
      <c r="D157" s="1"/>
      <c r="E157" s="1"/>
      <c r="F157" s="1"/>
      <c r="G157" s="1"/>
      <c r="H157" s="1"/>
      <c r="I157" s="1" t="s">
        <v>197</v>
      </c>
      <c r="J157" s="1"/>
      <c r="K157" s="1"/>
      <c r="L157" s="1"/>
      <c r="M157" s="1"/>
      <c r="N157" s="1"/>
      <c r="O157" s="1"/>
      <c r="P157" s="1"/>
    </row>
    <row r="158" ht="15.75" hidden="1" customHeight="1">
      <c r="A158" s="1"/>
      <c r="B158" s="1"/>
      <c r="C158" s="1"/>
      <c r="D158" s="1"/>
      <c r="E158" s="1"/>
      <c r="F158" s="1"/>
      <c r="G158" s="1"/>
      <c r="H158" s="1"/>
      <c r="I158" s="1" t="s">
        <v>198</v>
      </c>
      <c r="J158" s="1"/>
      <c r="K158" s="1"/>
      <c r="L158" s="1"/>
      <c r="M158" s="1"/>
      <c r="N158" s="1"/>
      <c r="O158" s="1"/>
      <c r="P158" s="1"/>
    </row>
    <row r="159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85"/>
      <c r="K167" s="85"/>
      <c r="N167" s="85"/>
      <c r="O167" s="85"/>
      <c r="P167" s="1"/>
    </row>
    <row r="168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86"/>
      <c r="K168" s="86"/>
      <c r="L168" s="86"/>
      <c r="M168" s="86"/>
      <c r="N168" s="86"/>
      <c r="O168" s="86"/>
      <c r="P168" s="1"/>
    </row>
    <row r="169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86"/>
      <c r="K169" s="86"/>
      <c r="L169" s="86"/>
      <c r="M169" s="1"/>
      <c r="N169" s="1"/>
      <c r="O169" s="1"/>
      <c r="P169" s="1"/>
    </row>
    <row r="170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86"/>
      <c r="K170" s="86"/>
      <c r="L170" s="86"/>
      <c r="M170" s="86"/>
      <c r="N170" s="86"/>
      <c r="O170" s="86"/>
      <c r="P170" s="1"/>
    </row>
    <row r="171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87"/>
      <c r="K171" s="87"/>
      <c r="L171" s="1"/>
      <c r="M171" s="1"/>
      <c r="N171" s="1"/>
      <c r="O171" s="1"/>
      <c r="P171" s="1"/>
    </row>
    <row r="172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86"/>
      <c r="K172" s="86"/>
      <c r="L172" s="86"/>
      <c r="M172" s="1"/>
      <c r="N172" s="1"/>
      <c r="O172" s="1"/>
      <c r="P172" s="1"/>
    </row>
    <row r="173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C91:C92"/>
    <mergeCell ref="C94:C99"/>
    <mergeCell ref="C100:C103"/>
    <mergeCell ref="C106:C107"/>
    <mergeCell ref="C109:C112"/>
    <mergeCell ref="C113:C136"/>
    <mergeCell ref="C144:C146"/>
    <mergeCell ref="C27:C28"/>
    <mergeCell ref="C29:C49"/>
    <mergeCell ref="C50:C52"/>
    <mergeCell ref="C53:D53"/>
    <mergeCell ref="C82:C85"/>
    <mergeCell ref="D82:D85"/>
    <mergeCell ref="C88:C90"/>
    <mergeCell ref="H5:H7"/>
    <mergeCell ref="I5:I7"/>
    <mergeCell ref="J5:J7"/>
    <mergeCell ref="K5:K7"/>
    <mergeCell ref="N5:N7"/>
    <mergeCell ref="O5:O7"/>
    <mergeCell ref="C2:M2"/>
    <mergeCell ref="E3:P3"/>
    <mergeCell ref="C4:C7"/>
    <mergeCell ref="D4:D7"/>
    <mergeCell ref="E4:J4"/>
    <mergeCell ref="K4:P4"/>
    <mergeCell ref="E5:E7"/>
    <mergeCell ref="P5:P7"/>
    <mergeCell ref="F5:F7"/>
    <mergeCell ref="G5:G7"/>
    <mergeCell ref="C10:C11"/>
    <mergeCell ref="C12:C15"/>
    <mergeCell ref="C16:C21"/>
    <mergeCell ref="C22:C23"/>
    <mergeCell ref="C25:C26"/>
    <mergeCell ref="M83:M85"/>
    <mergeCell ref="O83:O85"/>
    <mergeCell ref="K167:M167"/>
    <mergeCell ref="L5:L7"/>
    <mergeCell ref="M5:M7"/>
    <mergeCell ref="K81:M81"/>
    <mergeCell ref="I82:O82"/>
    <mergeCell ref="I83:I85"/>
    <mergeCell ref="K83:K85"/>
    <mergeCell ref="L83:L85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 outlineLevelCol="2"/>
  <cols>
    <col customWidth="1" hidden="1" min="1" max="2" width="5.29"/>
    <col customWidth="1" min="3" max="3" width="27.29"/>
    <col customWidth="1" min="4" max="4" width="44.43"/>
    <col customWidth="1" min="5" max="5" width="10.71"/>
    <col customWidth="1" min="6" max="6" width="11.14"/>
    <col customWidth="1" min="7" max="7" width="8.71"/>
    <col customWidth="1" min="8" max="8" width="10.86"/>
    <col customWidth="1" min="9" max="9" width="13.0"/>
    <col customWidth="1" min="10" max="10" width="14.29"/>
    <col customWidth="1" min="11" max="11" width="9.86"/>
    <col customWidth="1" min="12" max="12" width="11.71"/>
    <col customWidth="1" min="13" max="13" width="7.0"/>
    <col customWidth="1" min="14" max="14" width="9.71"/>
    <col customWidth="1" min="15" max="15" width="9.86"/>
    <col customWidth="1" min="16" max="16" width="11.14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2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>
      <c r="A3" s="1"/>
      <c r="B3" s="1"/>
      <c r="C3" s="3" t="s">
        <v>485</v>
      </c>
      <c r="D3" s="4"/>
      <c r="E3" s="11" t="s">
        <v>4</v>
      </c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>
      <c r="A4" s="1"/>
      <c r="B4" s="1"/>
      <c r="C4" s="10" t="s">
        <v>5</v>
      </c>
      <c r="D4" s="12" t="s">
        <v>6</v>
      </c>
      <c r="E4" s="11" t="s">
        <v>7</v>
      </c>
      <c r="F4" s="7"/>
      <c r="G4" s="7"/>
      <c r="H4" s="7"/>
      <c r="I4" s="7"/>
      <c r="J4" s="8"/>
      <c r="K4" s="11" t="s">
        <v>8</v>
      </c>
      <c r="L4" s="7"/>
      <c r="M4" s="7"/>
      <c r="N4" s="7"/>
      <c r="O4" s="7"/>
      <c r="P4" s="8"/>
    </row>
    <row r="5">
      <c r="A5" s="1"/>
      <c r="B5" s="1"/>
      <c r="C5" s="13"/>
      <c r="D5" s="14"/>
      <c r="E5" s="28" t="s">
        <v>9</v>
      </c>
      <c r="F5" s="28" t="s">
        <v>10</v>
      </c>
      <c r="G5" s="28" t="s">
        <v>12</v>
      </c>
      <c r="H5" s="28" t="s">
        <v>13</v>
      </c>
      <c r="I5" s="32" t="s">
        <v>14</v>
      </c>
      <c r="J5" s="32" t="s">
        <v>15</v>
      </c>
      <c r="K5" s="28" t="s">
        <v>9</v>
      </c>
      <c r="L5" s="28" t="s">
        <v>10</v>
      </c>
      <c r="M5" s="28" t="s">
        <v>12</v>
      </c>
      <c r="N5" s="28" t="s">
        <v>13</v>
      </c>
      <c r="O5" s="32" t="s">
        <v>16</v>
      </c>
      <c r="P5" s="32" t="s">
        <v>17</v>
      </c>
    </row>
    <row r="6">
      <c r="A6" s="1"/>
      <c r="B6" s="1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>
      <c r="A7" s="1"/>
      <c r="B7" s="1"/>
      <c r="C7" s="2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>
      <c r="A8" s="1"/>
      <c r="B8" s="1"/>
      <c r="C8" s="24" t="s">
        <v>20</v>
      </c>
      <c r="D8" s="26" t="s">
        <v>20</v>
      </c>
      <c r="E8" s="42"/>
      <c r="F8" s="42"/>
      <c r="G8" s="42"/>
      <c r="H8" s="42"/>
      <c r="I8" s="42">
        <f t="shared" ref="I8:I70" si="1">SUM(E8:H8)</f>
        <v>0</v>
      </c>
      <c r="J8" s="42"/>
      <c r="K8" s="42"/>
      <c r="L8" s="42"/>
      <c r="M8" s="42"/>
      <c r="N8" s="42"/>
      <c r="O8" s="42">
        <f t="shared" ref="O8:O70" si="2">SUM(K8:N8)</f>
        <v>0</v>
      </c>
      <c r="P8" s="42"/>
    </row>
    <row r="9">
      <c r="A9" s="1"/>
      <c r="B9" s="1"/>
      <c r="C9" s="34" t="s">
        <v>18</v>
      </c>
      <c r="D9" s="26" t="s">
        <v>19</v>
      </c>
      <c r="E9" s="42"/>
      <c r="F9" s="42"/>
      <c r="G9" s="42"/>
      <c r="H9" s="42"/>
      <c r="I9" s="42">
        <f t="shared" si="1"/>
        <v>0</v>
      </c>
      <c r="J9" s="42"/>
      <c r="K9" s="42"/>
      <c r="L9" s="42"/>
      <c r="M9" s="42"/>
      <c r="N9" s="42"/>
      <c r="O9" s="42">
        <f t="shared" si="2"/>
        <v>0</v>
      </c>
      <c r="P9" s="42"/>
    </row>
    <row r="10">
      <c r="A10" s="1"/>
      <c r="B10" s="1"/>
      <c r="C10" s="21"/>
      <c r="D10" s="26" t="s">
        <v>36</v>
      </c>
      <c r="E10" s="42">
        <v>1.0</v>
      </c>
      <c r="F10" s="42"/>
      <c r="G10" s="42"/>
      <c r="H10" s="42"/>
      <c r="I10" s="42">
        <f t="shared" si="1"/>
        <v>1</v>
      </c>
      <c r="J10" s="42"/>
      <c r="K10" s="42">
        <v>1.0</v>
      </c>
      <c r="L10" s="42"/>
      <c r="M10" s="42"/>
      <c r="N10" s="42"/>
      <c r="O10" s="42">
        <f t="shared" si="2"/>
        <v>1</v>
      </c>
      <c r="P10" s="42"/>
    </row>
    <row r="11">
      <c r="A11" s="1"/>
      <c r="B11" s="1"/>
      <c r="C11" s="34" t="s">
        <v>21</v>
      </c>
      <c r="D11" s="26" t="s">
        <v>22</v>
      </c>
      <c r="E11" s="42"/>
      <c r="F11" s="42"/>
      <c r="G11" s="42"/>
      <c r="H11" s="42"/>
      <c r="I11" s="42">
        <f t="shared" si="1"/>
        <v>0</v>
      </c>
      <c r="J11" s="42"/>
      <c r="K11" s="42"/>
      <c r="L11" s="42"/>
      <c r="M11" s="42"/>
      <c r="N11" s="42"/>
      <c r="O11" s="42">
        <f t="shared" si="2"/>
        <v>0</v>
      </c>
      <c r="P11" s="42"/>
    </row>
    <row r="12">
      <c r="A12" s="1"/>
      <c r="B12" s="1"/>
      <c r="C12" s="13"/>
      <c r="D12" s="26" t="s">
        <v>25</v>
      </c>
      <c r="E12" s="42"/>
      <c r="F12" s="42">
        <v>1.0</v>
      </c>
      <c r="G12" s="42"/>
      <c r="H12" s="42"/>
      <c r="I12" s="42">
        <f t="shared" si="1"/>
        <v>1</v>
      </c>
      <c r="J12" s="42"/>
      <c r="K12" s="42"/>
      <c r="L12" s="42">
        <v>1.0</v>
      </c>
      <c r="M12" s="42"/>
      <c r="N12" s="42"/>
      <c r="O12" s="42">
        <f t="shared" si="2"/>
        <v>1</v>
      </c>
      <c r="P12" s="42"/>
    </row>
    <row r="13">
      <c r="A13" s="1"/>
      <c r="B13" s="1"/>
      <c r="C13" s="13"/>
      <c r="D13" s="26" t="s">
        <v>23</v>
      </c>
      <c r="E13" s="42">
        <v>1.0</v>
      </c>
      <c r="F13" s="42"/>
      <c r="G13" s="42"/>
      <c r="H13" s="42"/>
      <c r="I13" s="42">
        <f t="shared" si="1"/>
        <v>1</v>
      </c>
      <c r="J13" s="42"/>
      <c r="K13" s="42">
        <v>1.0</v>
      </c>
      <c r="L13" s="42"/>
      <c r="M13" s="42"/>
      <c r="N13" s="42"/>
      <c r="O13" s="42">
        <f t="shared" si="2"/>
        <v>1</v>
      </c>
      <c r="P13" s="42"/>
    </row>
    <row r="14">
      <c r="A14" s="1"/>
      <c r="B14" s="1"/>
      <c r="C14" s="13"/>
      <c r="D14" s="26" t="s">
        <v>24</v>
      </c>
      <c r="E14" s="42"/>
      <c r="F14" s="42"/>
      <c r="G14" s="42">
        <v>1.0</v>
      </c>
      <c r="H14" s="42"/>
      <c r="I14" s="42">
        <f t="shared" si="1"/>
        <v>1</v>
      </c>
      <c r="J14" s="42"/>
      <c r="K14" s="42"/>
      <c r="L14" s="42"/>
      <c r="M14" s="42">
        <v>1.0</v>
      </c>
      <c r="N14" s="42"/>
      <c r="O14" s="42">
        <f t="shared" si="2"/>
        <v>1</v>
      </c>
      <c r="P14" s="42"/>
    </row>
    <row r="15">
      <c r="A15" s="1"/>
      <c r="B15" s="1"/>
      <c r="C15" s="13"/>
      <c r="D15" s="26" t="s">
        <v>26</v>
      </c>
      <c r="E15" s="42"/>
      <c r="F15" s="42"/>
      <c r="G15" s="42">
        <v>1.0</v>
      </c>
      <c r="H15" s="42"/>
      <c r="I15" s="42">
        <f t="shared" si="1"/>
        <v>1</v>
      </c>
      <c r="J15" s="42"/>
      <c r="K15" s="42"/>
      <c r="L15" s="42"/>
      <c r="M15" s="42">
        <v>1.0</v>
      </c>
      <c r="N15" s="42"/>
      <c r="O15" s="42">
        <f t="shared" si="2"/>
        <v>1</v>
      </c>
      <c r="P15" s="42"/>
    </row>
    <row r="16">
      <c r="A16" s="1"/>
      <c r="B16" s="1"/>
      <c r="C16" s="13"/>
      <c r="D16" s="26" t="s">
        <v>27</v>
      </c>
      <c r="E16" s="42"/>
      <c r="F16" s="42"/>
      <c r="G16" s="42">
        <v>2.0</v>
      </c>
      <c r="H16" s="42"/>
      <c r="I16" s="42">
        <f t="shared" si="1"/>
        <v>2</v>
      </c>
      <c r="J16" s="42"/>
      <c r="K16" s="42"/>
      <c r="L16" s="42"/>
      <c r="M16" s="42">
        <v>2.0</v>
      </c>
      <c r="N16" s="42"/>
      <c r="O16" s="42">
        <f t="shared" si="2"/>
        <v>2</v>
      </c>
      <c r="P16" s="42"/>
    </row>
    <row r="17">
      <c r="A17" s="1"/>
      <c r="B17" s="1"/>
      <c r="C17" s="21"/>
      <c r="D17" s="26" t="s">
        <v>28</v>
      </c>
      <c r="E17" s="42"/>
      <c r="F17" s="42"/>
      <c r="G17" s="42">
        <v>2.0</v>
      </c>
      <c r="H17" s="42"/>
      <c r="I17" s="42">
        <f t="shared" si="1"/>
        <v>2</v>
      </c>
      <c r="J17" s="42"/>
      <c r="K17" s="42"/>
      <c r="L17" s="42"/>
      <c r="M17" s="42">
        <v>2.0</v>
      </c>
      <c r="N17" s="42"/>
      <c r="O17" s="42">
        <f t="shared" si="2"/>
        <v>2</v>
      </c>
      <c r="P17" s="42"/>
    </row>
    <row r="18">
      <c r="A18" s="1"/>
      <c r="B18" s="1"/>
      <c r="C18" s="34" t="s">
        <v>29</v>
      </c>
      <c r="D18" s="26" t="s">
        <v>30</v>
      </c>
      <c r="E18" s="42"/>
      <c r="F18" s="42">
        <v>1.0</v>
      </c>
      <c r="G18" s="42"/>
      <c r="H18" s="42"/>
      <c r="I18" s="42">
        <f t="shared" si="1"/>
        <v>1</v>
      </c>
      <c r="J18" s="42"/>
      <c r="K18" s="42"/>
      <c r="L18" s="42">
        <v>1.0</v>
      </c>
      <c r="M18" s="42"/>
      <c r="N18" s="42"/>
      <c r="O18" s="42">
        <f t="shared" si="2"/>
        <v>1</v>
      </c>
      <c r="P18" s="42"/>
    </row>
    <row r="19">
      <c r="A19" s="1"/>
      <c r="B19" s="1"/>
      <c r="C19" s="13"/>
      <c r="D19" s="26" t="s">
        <v>31</v>
      </c>
      <c r="E19" s="42"/>
      <c r="F19" s="42">
        <v>1.0</v>
      </c>
      <c r="G19" s="42"/>
      <c r="H19" s="42"/>
      <c r="I19" s="42">
        <f t="shared" si="1"/>
        <v>1</v>
      </c>
      <c r="J19" s="42"/>
      <c r="K19" s="42"/>
      <c r="L19" s="42">
        <v>1.0</v>
      </c>
      <c r="M19" s="42"/>
      <c r="N19" s="42"/>
      <c r="O19" s="42">
        <f t="shared" si="2"/>
        <v>1</v>
      </c>
      <c r="P19" s="42"/>
    </row>
    <row r="20">
      <c r="A20" s="1"/>
      <c r="B20" s="1"/>
      <c r="C20" s="13"/>
      <c r="D20" s="26" t="s">
        <v>32</v>
      </c>
      <c r="E20" s="42">
        <v>1.0</v>
      </c>
      <c r="F20" s="42"/>
      <c r="G20" s="42"/>
      <c r="H20" s="42"/>
      <c r="I20" s="42">
        <f t="shared" si="1"/>
        <v>1</v>
      </c>
      <c r="J20" s="42"/>
      <c r="K20" s="42">
        <v>1.0</v>
      </c>
      <c r="L20" s="42"/>
      <c r="M20" s="42"/>
      <c r="N20" s="42"/>
      <c r="O20" s="42">
        <f t="shared" si="2"/>
        <v>1</v>
      </c>
      <c r="P20" s="42"/>
    </row>
    <row r="21" ht="15.75" customHeight="1">
      <c r="A21" s="1"/>
      <c r="B21" s="1"/>
      <c r="C21" s="21"/>
      <c r="D21" s="26" t="s">
        <v>33</v>
      </c>
      <c r="E21" s="42"/>
      <c r="F21" s="42"/>
      <c r="G21" s="42"/>
      <c r="H21" s="42"/>
      <c r="I21" s="42">
        <f t="shared" si="1"/>
        <v>0</v>
      </c>
      <c r="J21" s="42"/>
      <c r="K21" s="42"/>
      <c r="L21" s="42"/>
      <c r="M21" s="42"/>
      <c r="N21" s="42"/>
      <c r="O21" s="42">
        <f t="shared" si="2"/>
        <v>0</v>
      </c>
      <c r="P21" s="42"/>
    </row>
    <row r="22" ht="15.75" customHeight="1">
      <c r="A22" s="1"/>
      <c r="B22" s="1"/>
      <c r="C22" s="24" t="s">
        <v>34</v>
      </c>
      <c r="D22" s="26" t="s">
        <v>35</v>
      </c>
      <c r="E22" s="42"/>
      <c r="F22" s="42">
        <v>1.0</v>
      </c>
      <c r="G22" s="42"/>
      <c r="H22" s="42"/>
      <c r="I22" s="42">
        <f t="shared" si="1"/>
        <v>1</v>
      </c>
      <c r="J22" s="42"/>
      <c r="K22" s="42"/>
      <c r="L22" s="42"/>
      <c r="M22" s="42"/>
      <c r="N22" s="42"/>
      <c r="O22" s="42">
        <f t="shared" si="2"/>
        <v>0</v>
      </c>
      <c r="P22" s="42"/>
    </row>
    <row r="23" ht="15.75" customHeight="1">
      <c r="A23" s="1"/>
      <c r="B23" s="1"/>
      <c r="C23" s="41" t="s">
        <v>63</v>
      </c>
      <c r="D23" s="26" t="s">
        <v>38</v>
      </c>
      <c r="E23" s="42"/>
      <c r="F23" s="42"/>
      <c r="G23" s="42"/>
      <c r="H23" s="42"/>
      <c r="I23" s="42">
        <f t="shared" si="1"/>
        <v>0</v>
      </c>
      <c r="J23" s="42"/>
      <c r="K23" s="42"/>
      <c r="L23" s="42"/>
      <c r="M23" s="42"/>
      <c r="N23" s="42"/>
      <c r="O23" s="42">
        <f t="shared" si="2"/>
        <v>0</v>
      </c>
      <c r="P23" s="42"/>
    </row>
    <row r="24" ht="15.75" customHeight="1">
      <c r="A24" s="1"/>
      <c r="B24" s="1"/>
      <c r="C24" s="13"/>
      <c r="D24" s="26" t="s">
        <v>39</v>
      </c>
      <c r="E24" s="42"/>
      <c r="F24" s="42"/>
      <c r="G24" s="42"/>
      <c r="H24" s="42"/>
      <c r="I24" s="42">
        <f t="shared" si="1"/>
        <v>0</v>
      </c>
      <c r="J24" s="42"/>
      <c r="K24" s="42"/>
      <c r="L24" s="42"/>
      <c r="M24" s="42"/>
      <c r="N24" s="42"/>
      <c r="O24" s="42">
        <f t="shared" si="2"/>
        <v>0</v>
      </c>
      <c r="P24" s="42"/>
    </row>
    <row r="25" ht="15.75" customHeight="1">
      <c r="A25" s="1"/>
      <c r="B25" s="1"/>
      <c r="C25" s="13"/>
      <c r="D25" s="26" t="s">
        <v>41</v>
      </c>
      <c r="E25" s="42"/>
      <c r="F25" s="42">
        <v>1.0</v>
      </c>
      <c r="G25" s="42"/>
      <c r="H25" s="42"/>
      <c r="I25" s="42">
        <f t="shared" si="1"/>
        <v>1</v>
      </c>
      <c r="J25" s="42"/>
      <c r="K25" s="42"/>
      <c r="L25" s="42">
        <v>1.0</v>
      </c>
      <c r="M25" s="42"/>
      <c r="N25" s="42"/>
      <c r="O25" s="42">
        <f t="shared" si="2"/>
        <v>1</v>
      </c>
      <c r="P25" s="42"/>
    </row>
    <row r="26" ht="15.75" customHeight="1">
      <c r="A26" s="1"/>
      <c r="B26" s="1"/>
      <c r="C26" s="13"/>
      <c r="D26" s="26" t="s">
        <v>43</v>
      </c>
      <c r="E26" s="42"/>
      <c r="F26" s="42"/>
      <c r="G26" s="42"/>
      <c r="H26" s="42"/>
      <c r="I26" s="42">
        <f t="shared" si="1"/>
        <v>0</v>
      </c>
      <c r="J26" s="42"/>
      <c r="K26" s="42"/>
      <c r="L26" s="42"/>
      <c r="M26" s="42"/>
      <c r="N26" s="42"/>
      <c r="O26" s="42">
        <f t="shared" si="2"/>
        <v>0</v>
      </c>
      <c r="P26" s="42"/>
    </row>
    <row r="27" ht="15.75" customHeight="1">
      <c r="A27" s="1"/>
      <c r="B27" s="1"/>
      <c r="C27" s="13"/>
      <c r="D27" s="26" t="s">
        <v>40</v>
      </c>
      <c r="E27" s="42"/>
      <c r="F27" s="42"/>
      <c r="G27" s="42"/>
      <c r="H27" s="42"/>
      <c r="I27" s="42">
        <f t="shared" si="1"/>
        <v>0</v>
      </c>
      <c r="J27" s="42"/>
      <c r="K27" s="42"/>
      <c r="L27" s="42"/>
      <c r="M27" s="42"/>
      <c r="N27" s="42"/>
      <c r="O27" s="42">
        <f t="shared" si="2"/>
        <v>0</v>
      </c>
      <c r="P27" s="42"/>
    </row>
    <row r="28" ht="15.75" customHeight="1">
      <c r="A28" s="1"/>
      <c r="B28" s="1"/>
      <c r="C28" s="13"/>
      <c r="D28" s="26" t="s">
        <v>42</v>
      </c>
      <c r="E28" s="42"/>
      <c r="F28" s="42">
        <v>1.0</v>
      </c>
      <c r="G28" s="42"/>
      <c r="H28" s="42"/>
      <c r="I28" s="42">
        <f t="shared" si="1"/>
        <v>1</v>
      </c>
      <c r="J28" s="42"/>
      <c r="K28" s="42"/>
      <c r="L28" s="42">
        <v>1.0</v>
      </c>
      <c r="M28" s="42"/>
      <c r="N28" s="42"/>
      <c r="O28" s="42">
        <f t="shared" si="2"/>
        <v>1</v>
      </c>
      <c r="P28" s="42"/>
    </row>
    <row r="29" ht="15.75" customHeight="1">
      <c r="A29" s="1"/>
      <c r="B29" s="1"/>
      <c r="C29" s="13"/>
      <c r="D29" s="26" t="s">
        <v>78</v>
      </c>
      <c r="E29" s="42"/>
      <c r="F29" s="42">
        <v>1.0</v>
      </c>
      <c r="G29" s="42"/>
      <c r="H29" s="42"/>
      <c r="I29" s="42">
        <f t="shared" si="1"/>
        <v>1</v>
      </c>
      <c r="J29" s="42"/>
      <c r="K29" s="42"/>
      <c r="L29" s="42">
        <v>1.0</v>
      </c>
      <c r="M29" s="42"/>
      <c r="N29" s="42"/>
      <c r="O29" s="42">
        <f t="shared" si="2"/>
        <v>1</v>
      </c>
      <c r="P29" s="42"/>
    </row>
    <row r="30" ht="15.75" customHeight="1">
      <c r="A30" s="43"/>
      <c r="B30" s="43"/>
      <c r="C30" s="13"/>
      <c r="D30" s="26" t="s">
        <v>44</v>
      </c>
      <c r="E30" s="42"/>
      <c r="F30" s="42"/>
      <c r="G30" s="42">
        <v>1.0</v>
      </c>
      <c r="H30" s="42"/>
      <c r="I30" s="42">
        <f t="shared" si="1"/>
        <v>1</v>
      </c>
      <c r="J30" s="42"/>
      <c r="K30" s="42"/>
      <c r="L30" s="42"/>
      <c r="M30" s="42">
        <v>1.0</v>
      </c>
      <c r="N30" s="42"/>
      <c r="O30" s="42">
        <f t="shared" si="2"/>
        <v>1</v>
      </c>
      <c r="P30" s="42"/>
    </row>
    <row r="31" ht="15.75" customHeight="1">
      <c r="A31" s="1"/>
      <c r="B31" s="1"/>
      <c r="C31" s="13"/>
      <c r="D31" s="26" t="s">
        <v>141</v>
      </c>
      <c r="E31" s="42">
        <v>1.0</v>
      </c>
      <c r="F31" s="42"/>
      <c r="G31" s="42"/>
      <c r="H31" s="42"/>
      <c r="I31" s="42">
        <f t="shared" si="1"/>
        <v>1</v>
      </c>
      <c r="J31" s="42"/>
      <c r="K31" s="42">
        <v>1.0</v>
      </c>
      <c r="L31" s="42"/>
      <c r="M31" s="42"/>
      <c r="N31" s="42"/>
      <c r="O31" s="42">
        <f t="shared" si="2"/>
        <v>1</v>
      </c>
      <c r="P31" s="42"/>
    </row>
    <row r="32" ht="15.75" customHeight="1">
      <c r="A32" s="1"/>
      <c r="B32" s="1"/>
      <c r="C32" s="13"/>
      <c r="D32" s="26" t="s">
        <v>45</v>
      </c>
      <c r="E32" s="42"/>
      <c r="F32" s="42"/>
      <c r="G32" s="42">
        <v>1.0</v>
      </c>
      <c r="H32" s="42"/>
      <c r="I32" s="42">
        <f t="shared" si="1"/>
        <v>1</v>
      </c>
      <c r="J32" s="42"/>
      <c r="K32" s="42"/>
      <c r="L32" s="42"/>
      <c r="M32" s="42">
        <v>1.0</v>
      </c>
      <c r="N32" s="42"/>
      <c r="O32" s="42">
        <f t="shared" si="2"/>
        <v>1</v>
      </c>
      <c r="P32" s="42"/>
    </row>
    <row r="33" ht="15.75" customHeight="1">
      <c r="A33" s="1"/>
      <c r="B33" s="1"/>
      <c r="C33" s="13"/>
      <c r="D33" s="26" t="s">
        <v>46</v>
      </c>
      <c r="E33" s="42"/>
      <c r="F33" s="42"/>
      <c r="G33" s="42">
        <v>2.0</v>
      </c>
      <c r="H33" s="42"/>
      <c r="I33" s="42">
        <f t="shared" si="1"/>
        <v>2</v>
      </c>
      <c r="J33" s="42"/>
      <c r="K33" s="42"/>
      <c r="L33" s="42"/>
      <c r="M33" s="42">
        <v>2.0</v>
      </c>
      <c r="N33" s="42"/>
      <c r="O33" s="42">
        <f t="shared" si="2"/>
        <v>2</v>
      </c>
      <c r="P33" s="42"/>
    </row>
    <row r="34" ht="15.75" customHeight="1">
      <c r="A34" s="1"/>
      <c r="B34" s="1"/>
      <c r="C34" s="13"/>
      <c r="D34" s="26" t="s">
        <v>47</v>
      </c>
      <c r="E34" s="42"/>
      <c r="F34" s="42"/>
      <c r="G34" s="42">
        <v>1.0</v>
      </c>
      <c r="H34" s="42"/>
      <c r="I34" s="42">
        <f t="shared" si="1"/>
        <v>1</v>
      </c>
      <c r="J34" s="42"/>
      <c r="K34" s="42"/>
      <c r="L34" s="42"/>
      <c r="M34" s="42">
        <v>1.0</v>
      </c>
      <c r="N34" s="42"/>
      <c r="O34" s="42">
        <f t="shared" si="2"/>
        <v>1</v>
      </c>
      <c r="P34" s="42"/>
    </row>
    <row r="35" ht="15.75" customHeight="1">
      <c r="A35" s="1"/>
      <c r="B35" s="1"/>
      <c r="C35" s="13"/>
      <c r="D35" s="26" t="s">
        <v>48</v>
      </c>
      <c r="E35" s="42"/>
      <c r="F35" s="42"/>
      <c r="G35" s="42">
        <v>2.0</v>
      </c>
      <c r="H35" s="42"/>
      <c r="I35" s="42">
        <f t="shared" si="1"/>
        <v>2</v>
      </c>
      <c r="J35" s="42"/>
      <c r="K35" s="42"/>
      <c r="L35" s="42"/>
      <c r="M35" s="42">
        <v>2.0</v>
      </c>
      <c r="N35" s="42"/>
      <c r="O35" s="42">
        <f t="shared" si="2"/>
        <v>2</v>
      </c>
      <c r="P35" s="42"/>
    </row>
    <row r="36" ht="15.75" customHeight="1">
      <c r="A36" s="1"/>
      <c r="B36" s="1"/>
      <c r="C36" s="41" t="s">
        <v>49</v>
      </c>
      <c r="D36" s="26" t="s">
        <v>50</v>
      </c>
      <c r="E36" s="42"/>
      <c r="F36" s="42"/>
      <c r="G36" s="42"/>
      <c r="H36" s="42"/>
      <c r="I36" s="42">
        <f t="shared" si="1"/>
        <v>0</v>
      </c>
      <c r="J36" s="42"/>
      <c r="K36" s="42"/>
      <c r="L36" s="42"/>
      <c r="M36" s="42"/>
      <c r="N36" s="42"/>
      <c r="O36" s="42">
        <f t="shared" si="2"/>
        <v>0</v>
      </c>
      <c r="P36" s="42"/>
    </row>
    <row r="37" ht="15.75" customHeight="1">
      <c r="A37" s="1"/>
      <c r="B37" s="1"/>
      <c r="C37" s="13"/>
      <c r="D37" s="26" t="s">
        <v>95</v>
      </c>
      <c r="E37" s="42"/>
      <c r="F37" s="42">
        <v>1.0</v>
      </c>
      <c r="G37" s="42">
        <v>1.0</v>
      </c>
      <c r="H37" s="42"/>
      <c r="I37" s="42">
        <f t="shared" si="1"/>
        <v>2</v>
      </c>
      <c r="J37" s="42"/>
      <c r="K37" s="42"/>
      <c r="L37" s="42"/>
      <c r="M37" s="42">
        <v>1.0</v>
      </c>
      <c r="N37" s="42"/>
      <c r="O37" s="42">
        <f t="shared" si="2"/>
        <v>1</v>
      </c>
      <c r="P37" s="42"/>
    </row>
    <row r="38" ht="15.75" customHeight="1">
      <c r="A38" s="1"/>
      <c r="B38" s="1"/>
      <c r="C38" s="13"/>
      <c r="D38" s="26" t="s">
        <v>51</v>
      </c>
      <c r="E38" s="42"/>
      <c r="F38" s="42"/>
      <c r="G38" s="42">
        <v>1.0</v>
      </c>
      <c r="H38" s="42"/>
      <c r="I38" s="42">
        <f t="shared" si="1"/>
        <v>1</v>
      </c>
      <c r="J38" s="42"/>
      <c r="K38" s="42"/>
      <c r="L38" s="42"/>
      <c r="M38" s="42">
        <v>1.0</v>
      </c>
      <c r="N38" s="42"/>
      <c r="O38" s="42">
        <f t="shared" si="2"/>
        <v>1</v>
      </c>
      <c r="P38" s="42"/>
    </row>
    <row r="39" ht="15.75" customHeight="1">
      <c r="A39" s="1"/>
      <c r="B39" s="1"/>
      <c r="C39" s="13"/>
      <c r="D39" s="26" t="s">
        <v>52</v>
      </c>
      <c r="E39" s="42"/>
      <c r="F39" s="42"/>
      <c r="G39" s="42"/>
      <c r="H39" s="42"/>
      <c r="I39" s="42">
        <f t="shared" si="1"/>
        <v>0</v>
      </c>
      <c r="J39" s="42"/>
      <c r="K39" s="42"/>
      <c r="L39" s="42"/>
      <c r="M39" s="42"/>
      <c r="N39" s="42"/>
      <c r="O39" s="42">
        <f t="shared" si="2"/>
        <v>0</v>
      </c>
      <c r="P39" s="42"/>
    </row>
    <row r="40" ht="15.75" customHeight="1">
      <c r="A40" s="1"/>
      <c r="B40" s="1"/>
      <c r="C40" s="13"/>
      <c r="D40" s="26" t="s">
        <v>104</v>
      </c>
      <c r="E40" s="42"/>
      <c r="F40" s="42"/>
      <c r="G40" s="42">
        <v>1.0</v>
      </c>
      <c r="H40" s="42"/>
      <c r="I40" s="42">
        <f t="shared" si="1"/>
        <v>1</v>
      </c>
      <c r="J40" s="42"/>
      <c r="K40" s="42"/>
      <c r="L40" s="42"/>
      <c r="M40" s="42"/>
      <c r="N40" s="42"/>
      <c r="O40" s="42">
        <f t="shared" si="2"/>
        <v>0</v>
      </c>
      <c r="P40" s="42"/>
    </row>
    <row r="41" ht="15.75" customHeight="1">
      <c r="A41" s="1"/>
      <c r="B41" s="1"/>
      <c r="C41" s="13"/>
      <c r="D41" s="26" t="s">
        <v>55</v>
      </c>
      <c r="E41" s="42"/>
      <c r="F41" s="42"/>
      <c r="G41" s="42"/>
      <c r="H41" s="42"/>
      <c r="I41" s="42">
        <f t="shared" si="1"/>
        <v>0</v>
      </c>
      <c r="J41" s="42"/>
      <c r="K41" s="42"/>
      <c r="L41" s="42"/>
      <c r="M41" s="42"/>
      <c r="N41" s="42"/>
      <c r="O41" s="42">
        <f t="shared" si="2"/>
        <v>0</v>
      </c>
      <c r="P41" s="42"/>
    </row>
    <row r="42" ht="15.75" customHeight="1">
      <c r="A42" s="1"/>
      <c r="B42" s="1"/>
      <c r="C42" s="21"/>
      <c r="D42" s="26" t="s">
        <v>106</v>
      </c>
      <c r="E42" s="42"/>
      <c r="F42" s="42"/>
      <c r="G42" s="42">
        <v>1.0</v>
      </c>
      <c r="H42" s="42"/>
      <c r="I42" s="42">
        <f t="shared" si="1"/>
        <v>1</v>
      </c>
      <c r="J42" s="42"/>
      <c r="K42" s="42"/>
      <c r="L42" s="42"/>
      <c r="M42" s="42">
        <v>1.0</v>
      </c>
      <c r="N42" s="42"/>
      <c r="O42" s="42">
        <f t="shared" si="2"/>
        <v>1</v>
      </c>
      <c r="P42" s="42"/>
    </row>
    <row r="43" ht="15.75" customHeight="1">
      <c r="A43" s="1"/>
      <c r="B43" s="1"/>
      <c r="C43" s="49" t="s">
        <v>53</v>
      </c>
      <c r="D43" s="26" t="s">
        <v>53</v>
      </c>
      <c r="E43" s="42">
        <v>1.0</v>
      </c>
      <c r="F43" s="42"/>
      <c r="G43" s="42">
        <v>1.0</v>
      </c>
      <c r="H43" s="42"/>
      <c r="I43" s="42">
        <f t="shared" si="1"/>
        <v>2</v>
      </c>
      <c r="J43" s="42"/>
      <c r="K43" s="42">
        <v>1.0</v>
      </c>
      <c r="L43" s="42"/>
      <c r="M43" s="42">
        <v>1.0</v>
      </c>
      <c r="N43" s="42"/>
      <c r="O43" s="42">
        <f t="shared" si="2"/>
        <v>2</v>
      </c>
      <c r="P43" s="42"/>
    </row>
    <row r="44" ht="15.75" customHeight="1">
      <c r="A44" s="1"/>
      <c r="B44" s="1"/>
      <c r="C44" s="34" t="s">
        <v>54</v>
      </c>
      <c r="D44" s="26" t="s">
        <v>56</v>
      </c>
      <c r="E44" s="42"/>
      <c r="F44" s="42"/>
      <c r="G44" s="42"/>
      <c r="H44" s="42"/>
      <c r="I44" s="42">
        <f t="shared" si="1"/>
        <v>0</v>
      </c>
      <c r="J44" s="42"/>
      <c r="K44" s="42"/>
      <c r="L44" s="42"/>
      <c r="M44" s="42"/>
      <c r="N44" s="42"/>
      <c r="O44" s="42">
        <f t="shared" si="2"/>
        <v>0</v>
      </c>
      <c r="P44" s="42"/>
    </row>
    <row r="45" ht="15.75" customHeight="1">
      <c r="A45" s="1"/>
      <c r="B45" s="1"/>
      <c r="C45" s="13"/>
      <c r="D45" s="26" t="s">
        <v>111</v>
      </c>
      <c r="E45" s="42">
        <v>1.0</v>
      </c>
      <c r="F45" s="42"/>
      <c r="G45" s="42"/>
      <c r="H45" s="42"/>
      <c r="I45" s="42">
        <f t="shared" si="1"/>
        <v>1</v>
      </c>
      <c r="J45" s="42"/>
      <c r="K45" s="42">
        <v>1.0</v>
      </c>
      <c r="L45" s="42"/>
      <c r="M45" s="42"/>
      <c r="N45" s="42"/>
      <c r="O45" s="42">
        <f t="shared" si="2"/>
        <v>1</v>
      </c>
      <c r="P45" s="42"/>
    </row>
    <row r="46" ht="15.75" customHeight="1">
      <c r="A46" s="1"/>
      <c r="B46" s="1"/>
      <c r="C46" s="21"/>
      <c r="D46" s="26" t="s">
        <v>54</v>
      </c>
      <c r="E46" s="42">
        <v>1.0</v>
      </c>
      <c r="F46" s="42"/>
      <c r="G46" s="42">
        <f>2+4</f>
        <v>6</v>
      </c>
      <c r="H46" s="42"/>
      <c r="I46" s="42">
        <f t="shared" si="1"/>
        <v>7</v>
      </c>
      <c r="J46" s="42"/>
      <c r="K46" s="42">
        <v>1.0</v>
      </c>
      <c r="L46" s="42"/>
      <c r="M46" s="42">
        <f>2+4</f>
        <v>6</v>
      </c>
      <c r="N46" s="42"/>
      <c r="O46" s="42">
        <f t="shared" si="2"/>
        <v>7</v>
      </c>
      <c r="P46" s="42"/>
    </row>
    <row r="47" ht="15.75" customHeight="1">
      <c r="A47" s="1"/>
      <c r="B47" s="1"/>
      <c r="C47" s="34" t="s">
        <v>57</v>
      </c>
      <c r="D47" s="26" t="s">
        <v>59</v>
      </c>
      <c r="E47" s="42"/>
      <c r="F47" s="42"/>
      <c r="G47" s="42"/>
      <c r="H47" s="42"/>
      <c r="I47" s="42">
        <f t="shared" si="1"/>
        <v>0</v>
      </c>
      <c r="J47" s="42"/>
      <c r="K47" s="42"/>
      <c r="L47" s="42"/>
      <c r="M47" s="42"/>
      <c r="N47" s="42"/>
      <c r="O47" s="42">
        <f t="shared" si="2"/>
        <v>0</v>
      </c>
      <c r="P47" s="42"/>
    </row>
    <row r="48" ht="15.75" customHeight="1">
      <c r="A48" s="1"/>
      <c r="B48" s="1"/>
      <c r="C48" s="13"/>
      <c r="D48" s="26" t="s">
        <v>114</v>
      </c>
      <c r="E48" s="42">
        <v>1.0</v>
      </c>
      <c r="F48" s="42">
        <v>1.0</v>
      </c>
      <c r="G48" s="42"/>
      <c r="H48" s="42"/>
      <c r="I48" s="42">
        <f t="shared" si="1"/>
        <v>2</v>
      </c>
      <c r="J48" s="42"/>
      <c r="K48" s="42">
        <v>1.0</v>
      </c>
      <c r="L48" s="42">
        <v>1.0</v>
      </c>
      <c r="M48" s="42"/>
      <c r="N48" s="42"/>
      <c r="O48" s="42">
        <f t="shared" si="2"/>
        <v>2</v>
      </c>
      <c r="P48" s="42"/>
    </row>
    <row r="49" ht="15.75" customHeight="1">
      <c r="A49" s="1"/>
      <c r="B49" s="1"/>
      <c r="C49" s="21"/>
      <c r="D49" s="26" t="s">
        <v>60</v>
      </c>
      <c r="E49" s="42"/>
      <c r="F49" s="42"/>
      <c r="G49" s="42">
        <v>1.0</v>
      </c>
      <c r="H49" s="42"/>
      <c r="I49" s="42">
        <f t="shared" si="1"/>
        <v>1</v>
      </c>
      <c r="J49" s="42"/>
      <c r="K49" s="42"/>
      <c r="L49" s="42"/>
      <c r="M49" s="42">
        <v>1.0</v>
      </c>
      <c r="N49" s="42"/>
      <c r="O49" s="42">
        <f t="shared" si="2"/>
        <v>1</v>
      </c>
      <c r="P49" s="42"/>
    </row>
    <row r="50" ht="15.75" customHeight="1">
      <c r="A50" s="1"/>
      <c r="B50" s="1"/>
      <c r="C50" s="34" t="s">
        <v>62</v>
      </c>
      <c r="D50" s="26" t="s">
        <v>64</v>
      </c>
      <c r="E50" s="42">
        <v>1.0</v>
      </c>
      <c r="F50" s="42"/>
      <c r="G50" s="42"/>
      <c r="H50" s="42"/>
      <c r="I50" s="42">
        <f t="shared" si="1"/>
        <v>1</v>
      </c>
      <c r="J50" s="42"/>
      <c r="K50" s="42">
        <v>1.0</v>
      </c>
      <c r="L50" s="42"/>
      <c r="M50" s="42"/>
      <c r="N50" s="42"/>
      <c r="O50" s="42">
        <f t="shared" si="2"/>
        <v>1</v>
      </c>
      <c r="P50" s="42"/>
    </row>
    <row r="51" ht="15.75" customHeight="1">
      <c r="A51" s="1"/>
      <c r="B51" s="1"/>
      <c r="C51" s="13"/>
      <c r="D51" s="26" t="s">
        <v>65</v>
      </c>
      <c r="E51" s="42">
        <v>1.0</v>
      </c>
      <c r="F51" s="42"/>
      <c r="G51" s="42"/>
      <c r="H51" s="42"/>
      <c r="I51" s="42">
        <f t="shared" si="1"/>
        <v>1</v>
      </c>
      <c r="J51" s="42"/>
      <c r="K51" s="42">
        <v>1.0</v>
      </c>
      <c r="L51" s="42"/>
      <c r="M51" s="42"/>
      <c r="N51" s="42"/>
      <c r="O51" s="42">
        <f t="shared" si="2"/>
        <v>1</v>
      </c>
      <c r="P51" s="42"/>
    </row>
    <row r="52" ht="15.75" customHeight="1">
      <c r="A52" s="1"/>
      <c r="B52" s="1"/>
      <c r="C52" s="13"/>
      <c r="D52" s="26" t="s">
        <v>66</v>
      </c>
      <c r="E52" s="42"/>
      <c r="F52" s="42"/>
      <c r="G52" s="42">
        <v>1.0</v>
      </c>
      <c r="H52" s="42"/>
      <c r="I52" s="42">
        <f t="shared" si="1"/>
        <v>1</v>
      </c>
      <c r="J52" s="42"/>
      <c r="K52" s="42"/>
      <c r="L52" s="42"/>
      <c r="M52" s="42">
        <v>1.0</v>
      </c>
      <c r="N52" s="42"/>
      <c r="O52" s="42">
        <f t="shared" si="2"/>
        <v>1</v>
      </c>
      <c r="P52" s="42"/>
    </row>
    <row r="53" ht="15.75" customHeight="1">
      <c r="A53" s="1"/>
      <c r="B53" s="1"/>
      <c r="C53" s="13"/>
      <c r="D53" s="26" t="s">
        <v>158</v>
      </c>
      <c r="E53" s="42">
        <v>1.0</v>
      </c>
      <c r="F53" s="42"/>
      <c r="G53" s="42"/>
      <c r="H53" s="42"/>
      <c r="I53" s="42">
        <f t="shared" si="1"/>
        <v>1</v>
      </c>
      <c r="J53" s="42"/>
      <c r="K53" s="42">
        <v>1.0</v>
      </c>
      <c r="L53" s="42"/>
      <c r="M53" s="42"/>
      <c r="N53" s="42"/>
      <c r="O53" s="42">
        <f t="shared" si="2"/>
        <v>1</v>
      </c>
      <c r="P53" s="42"/>
    </row>
    <row r="54" ht="15.75" customHeight="1">
      <c r="A54" s="1"/>
      <c r="B54" s="1"/>
      <c r="C54" s="13"/>
      <c r="D54" s="26" t="s">
        <v>160</v>
      </c>
      <c r="E54" s="42">
        <v>1.0</v>
      </c>
      <c r="F54" s="42"/>
      <c r="G54" s="42"/>
      <c r="H54" s="42"/>
      <c r="I54" s="42">
        <f t="shared" si="1"/>
        <v>1</v>
      </c>
      <c r="J54" s="42"/>
      <c r="K54" s="42">
        <v>1.0</v>
      </c>
      <c r="L54" s="42"/>
      <c r="M54" s="42"/>
      <c r="N54" s="42"/>
      <c r="O54" s="42">
        <f t="shared" si="2"/>
        <v>1</v>
      </c>
      <c r="P54" s="42"/>
    </row>
    <row r="55" ht="15.75" customHeight="1">
      <c r="A55" s="1"/>
      <c r="B55" s="1"/>
      <c r="C55" s="13"/>
      <c r="D55" s="26" t="s">
        <v>161</v>
      </c>
      <c r="E55" s="42"/>
      <c r="F55" s="42"/>
      <c r="G55" s="42">
        <v>1.0</v>
      </c>
      <c r="H55" s="42"/>
      <c r="I55" s="42">
        <f t="shared" si="1"/>
        <v>1</v>
      </c>
      <c r="J55" s="42"/>
      <c r="K55" s="42"/>
      <c r="L55" s="42"/>
      <c r="M55" s="42">
        <v>1.0</v>
      </c>
      <c r="N55" s="42"/>
      <c r="O55" s="42">
        <f t="shared" si="2"/>
        <v>1</v>
      </c>
      <c r="P55" s="42"/>
    </row>
    <row r="56" ht="15.75" customHeight="1">
      <c r="A56" s="1"/>
      <c r="B56" s="1"/>
      <c r="C56" s="13"/>
      <c r="D56" s="26" t="s">
        <v>166</v>
      </c>
      <c r="E56" s="42">
        <v>2.0</v>
      </c>
      <c r="F56" s="42">
        <v>5.0</v>
      </c>
      <c r="G56" s="42">
        <f>1+1+3</f>
        <v>5</v>
      </c>
      <c r="H56" s="42"/>
      <c r="I56" s="42">
        <f t="shared" si="1"/>
        <v>12</v>
      </c>
      <c r="J56" s="42"/>
      <c r="K56" s="42">
        <v>2.0</v>
      </c>
      <c r="L56" s="42">
        <v>5.0</v>
      </c>
      <c r="M56" s="42">
        <f>1+1+3</f>
        <v>5</v>
      </c>
      <c r="N56" s="42"/>
      <c r="O56" s="42">
        <f t="shared" si="2"/>
        <v>12</v>
      </c>
      <c r="P56" s="42"/>
    </row>
    <row r="57" ht="15.75" customHeight="1">
      <c r="A57" s="1"/>
      <c r="B57" s="1"/>
      <c r="C57" s="13"/>
      <c r="D57" s="79" t="s">
        <v>170</v>
      </c>
      <c r="E57" s="42">
        <v>3.0</v>
      </c>
      <c r="F57" s="42"/>
      <c r="G57" s="42">
        <v>3.0</v>
      </c>
      <c r="H57" s="42"/>
      <c r="I57" s="42">
        <f t="shared" si="1"/>
        <v>6</v>
      </c>
      <c r="J57" s="42"/>
      <c r="K57" s="42">
        <v>3.0</v>
      </c>
      <c r="L57" s="42"/>
      <c r="M57" s="42">
        <v>3.0</v>
      </c>
      <c r="N57" s="42"/>
      <c r="O57" s="42">
        <f t="shared" si="2"/>
        <v>6</v>
      </c>
      <c r="P57" s="42"/>
    </row>
    <row r="58" ht="15.75" customHeight="1">
      <c r="A58" s="1"/>
      <c r="B58" s="1"/>
      <c r="C58" s="13"/>
      <c r="D58" s="26" t="s">
        <v>172</v>
      </c>
      <c r="E58" s="42"/>
      <c r="F58" s="42"/>
      <c r="G58" s="42">
        <v>1.0</v>
      </c>
      <c r="H58" s="42"/>
      <c r="I58" s="42">
        <f t="shared" si="1"/>
        <v>1</v>
      </c>
      <c r="J58" s="42"/>
      <c r="K58" s="42"/>
      <c r="L58" s="42"/>
      <c r="M58" s="42">
        <v>1.0</v>
      </c>
      <c r="N58" s="42"/>
      <c r="O58" s="42">
        <f t="shared" si="2"/>
        <v>1</v>
      </c>
      <c r="P58" s="42"/>
    </row>
    <row r="59" ht="15.75" customHeight="1">
      <c r="A59" s="1"/>
      <c r="B59" s="1"/>
      <c r="C59" s="13"/>
      <c r="D59" s="26" t="s">
        <v>173</v>
      </c>
      <c r="E59" s="42">
        <v>1.0</v>
      </c>
      <c r="F59" s="42"/>
      <c r="G59" s="42">
        <v>2.0</v>
      </c>
      <c r="H59" s="42">
        <v>15.0</v>
      </c>
      <c r="I59" s="42">
        <f t="shared" si="1"/>
        <v>18</v>
      </c>
      <c r="J59" s="42"/>
      <c r="K59" s="42">
        <v>1.0</v>
      </c>
      <c r="L59" s="42"/>
      <c r="M59" s="42">
        <v>2.0</v>
      </c>
      <c r="N59" s="42">
        <v>15.0</v>
      </c>
      <c r="O59" s="42">
        <f t="shared" si="2"/>
        <v>18</v>
      </c>
      <c r="P59" s="42"/>
    </row>
    <row r="60" ht="15.75" customHeight="1">
      <c r="A60" s="1"/>
      <c r="B60" s="1"/>
      <c r="C60" s="13"/>
      <c r="D60" s="26" t="s">
        <v>89</v>
      </c>
      <c r="E60" s="42"/>
      <c r="F60" s="42"/>
      <c r="G60" s="42">
        <v>2.0</v>
      </c>
      <c r="H60" s="42"/>
      <c r="I60" s="42">
        <f t="shared" si="1"/>
        <v>2</v>
      </c>
      <c r="J60" s="42"/>
      <c r="K60" s="42"/>
      <c r="L60" s="42"/>
      <c r="M60" s="42">
        <v>2.0</v>
      </c>
      <c r="N60" s="42"/>
      <c r="O60" s="42">
        <f t="shared" si="2"/>
        <v>2</v>
      </c>
      <c r="P60" s="42"/>
    </row>
    <row r="61" ht="15.75" customHeight="1">
      <c r="A61" s="1"/>
      <c r="B61" s="1"/>
      <c r="C61" s="13"/>
      <c r="D61" s="26" t="s">
        <v>176</v>
      </c>
      <c r="E61" s="42"/>
      <c r="F61" s="42"/>
      <c r="G61" s="42">
        <v>6.0</v>
      </c>
      <c r="H61" s="42"/>
      <c r="I61" s="42">
        <f t="shared" si="1"/>
        <v>6</v>
      </c>
      <c r="J61" s="42"/>
      <c r="K61" s="42"/>
      <c r="L61" s="42"/>
      <c r="M61" s="42">
        <v>6.0</v>
      </c>
      <c r="N61" s="42"/>
      <c r="O61" s="42">
        <f t="shared" si="2"/>
        <v>6</v>
      </c>
      <c r="P61" s="42"/>
    </row>
    <row r="62" ht="15.75" customHeight="1">
      <c r="A62" s="1"/>
      <c r="B62" s="1"/>
      <c r="C62" s="13"/>
      <c r="D62" s="26" t="s">
        <v>94</v>
      </c>
      <c r="E62" s="42"/>
      <c r="F62" s="42"/>
      <c r="G62" s="42">
        <v>6.0</v>
      </c>
      <c r="H62" s="42"/>
      <c r="I62" s="42">
        <f t="shared" si="1"/>
        <v>6</v>
      </c>
      <c r="J62" s="42"/>
      <c r="K62" s="42"/>
      <c r="L62" s="42"/>
      <c r="M62" s="42">
        <v>6.0</v>
      </c>
      <c r="N62" s="42"/>
      <c r="O62" s="42">
        <f t="shared" si="2"/>
        <v>6</v>
      </c>
      <c r="P62" s="42"/>
    </row>
    <row r="63" ht="15.75" customHeight="1">
      <c r="A63" s="1"/>
      <c r="B63" s="1"/>
      <c r="C63" s="13"/>
      <c r="D63" s="26" t="s">
        <v>96</v>
      </c>
      <c r="E63" s="42"/>
      <c r="F63" s="42"/>
      <c r="G63" s="42">
        <v>3.0</v>
      </c>
      <c r="H63" s="42">
        <v>27.0</v>
      </c>
      <c r="I63" s="42">
        <f t="shared" si="1"/>
        <v>30</v>
      </c>
      <c r="J63" s="42"/>
      <c r="K63" s="42"/>
      <c r="L63" s="42"/>
      <c r="M63" s="42">
        <v>3.0</v>
      </c>
      <c r="N63" s="42">
        <v>27.0</v>
      </c>
      <c r="O63" s="42">
        <f t="shared" si="2"/>
        <v>30</v>
      </c>
      <c r="P63" s="42"/>
    </row>
    <row r="64" ht="15.75" customHeight="1">
      <c r="A64" s="1"/>
      <c r="B64" s="1"/>
      <c r="C64" s="13"/>
      <c r="D64" s="26" t="s">
        <v>181</v>
      </c>
      <c r="E64" s="42"/>
      <c r="F64" s="42"/>
      <c r="G64" s="42"/>
      <c r="H64" s="42"/>
      <c r="I64" s="42">
        <f t="shared" si="1"/>
        <v>0</v>
      </c>
      <c r="J64" s="42"/>
      <c r="K64" s="42"/>
      <c r="L64" s="42"/>
      <c r="M64" s="42"/>
      <c r="N64" s="42"/>
      <c r="O64" s="42">
        <f t="shared" si="2"/>
        <v>0</v>
      </c>
      <c r="P64" s="42"/>
    </row>
    <row r="65" ht="15.75" customHeight="1">
      <c r="A65" s="1"/>
      <c r="B65" s="1"/>
      <c r="C65" s="13"/>
      <c r="D65" s="26" t="s">
        <v>183</v>
      </c>
      <c r="E65" s="42"/>
      <c r="F65" s="42"/>
      <c r="G65" s="42">
        <v>6.0</v>
      </c>
      <c r="H65" s="42"/>
      <c r="I65" s="42">
        <f t="shared" si="1"/>
        <v>6</v>
      </c>
      <c r="J65" s="42"/>
      <c r="K65" s="42"/>
      <c r="L65" s="42"/>
      <c r="M65" s="42">
        <v>6.0</v>
      </c>
      <c r="N65" s="42"/>
      <c r="O65" s="42">
        <f t="shared" si="2"/>
        <v>6</v>
      </c>
      <c r="P65" s="42"/>
    </row>
    <row r="66" ht="15.75" customHeight="1">
      <c r="A66" s="1"/>
      <c r="B66" s="1"/>
      <c r="C66" s="13"/>
      <c r="D66" s="26" t="s">
        <v>184</v>
      </c>
      <c r="E66" s="42"/>
      <c r="F66" s="42"/>
      <c r="G66" s="42"/>
      <c r="H66" s="42"/>
      <c r="I66" s="42">
        <f t="shared" si="1"/>
        <v>0</v>
      </c>
      <c r="J66" s="42"/>
      <c r="K66" s="42"/>
      <c r="L66" s="42"/>
      <c r="M66" s="42"/>
      <c r="N66" s="42"/>
      <c r="O66" s="42">
        <f t="shared" si="2"/>
        <v>0</v>
      </c>
      <c r="P66" s="42"/>
    </row>
    <row r="67" ht="15.75" customHeight="1">
      <c r="A67" s="1"/>
      <c r="B67" s="1"/>
      <c r="C67" s="21"/>
      <c r="D67" s="26" t="s">
        <v>137</v>
      </c>
      <c r="E67" s="42"/>
      <c r="F67" s="42"/>
      <c r="G67" s="42">
        <v>1.0</v>
      </c>
      <c r="H67" s="42"/>
      <c r="I67" s="42">
        <f t="shared" si="1"/>
        <v>1</v>
      </c>
      <c r="J67" s="42"/>
      <c r="K67" s="42"/>
      <c r="L67" s="42"/>
      <c r="M67" s="42">
        <v>1.0</v>
      </c>
      <c r="N67" s="42"/>
      <c r="O67" s="42">
        <f t="shared" si="2"/>
        <v>1</v>
      </c>
      <c r="P67" s="42"/>
    </row>
    <row r="68" ht="15.75" customHeight="1">
      <c r="A68" s="1"/>
      <c r="B68" s="1"/>
      <c r="C68" s="34" t="s">
        <v>139</v>
      </c>
      <c r="D68" s="26" t="s">
        <v>140</v>
      </c>
      <c r="E68" s="42">
        <v>1.0</v>
      </c>
      <c r="F68" s="42"/>
      <c r="G68" s="42"/>
      <c r="H68" s="42"/>
      <c r="I68" s="42">
        <f t="shared" si="1"/>
        <v>1</v>
      </c>
      <c r="J68" s="42"/>
      <c r="K68" s="42">
        <v>1.0</v>
      </c>
      <c r="L68" s="42"/>
      <c r="M68" s="42"/>
      <c r="N68" s="42"/>
      <c r="O68" s="42">
        <f t="shared" si="2"/>
        <v>1</v>
      </c>
      <c r="P68" s="42"/>
    </row>
    <row r="69" ht="15.75" customHeight="1">
      <c r="A69" s="1"/>
      <c r="B69" s="1"/>
      <c r="C69" s="13"/>
      <c r="D69" s="26" t="s">
        <v>107</v>
      </c>
      <c r="E69" s="42"/>
      <c r="F69" s="42"/>
      <c r="G69" s="42"/>
      <c r="H69" s="42"/>
      <c r="I69" s="42">
        <f t="shared" si="1"/>
        <v>0</v>
      </c>
      <c r="J69" s="42"/>
      <c r="K69" s="42"/>
      <c r="L69" s="42"/>
      <c r="M69" s="42"/>
      <c r="N69" s="42"/>
      <c r="O69" s="42">
        <f t="shared" si="2"/>
        <v>0</v>
      </c>
      <c r="P69" s="42"/>
    </row>
    <row r="70" ht="15.75" customHeight="1">
      <c r="A70" s="1"/>
      <c r="B70" s="1"/>
      <c r="C70" s="21"/>
      <c r="D70" s="26" t="s">
        <v>108</v>
      </c>
      <c r="E70" s="42"/>
      <c r="F70" s="42">
        <v>1.0</v>
      </c>
      <c r="G70" s="42">
        <v>1.0</v>
      </c>
      <c r="H70" s="42"/>
      <c r="I70" s="42">
        <f t="shared" si="1"/>
        <v>2</v>
      </c>
      <c r="J70" s="42"/>
      <c r="K70" s="42"/>
      <c r="L70" s="42">
        <v>1.0</v>
      </c>
      <c r="M70" s="42">
        <v>1.0</v>
      </c>
      <c r="N70" s="42"/>
      <c r="O70" s="42">
        <f t="shared" si="2"/>
        <v>2</v>
      </c>
      <c r="P70" s="42"/>
    </row>
    <row r="71" ht="15.75" customHeight="1">
      <c r="A71" s="1"/>
      <c r="B71" s="1"/>
      <c r="C71" s="56" t="s">
        <v>113</v>
      </c>
      <c r="D71" s="57"/>
      <c r="E71" s="42">
        <f t="shared" ref="E71:I71" si="3">SUM(E8:E70)</f>
        <v>19</v>
      </c>
      <c r="F71" s="42">
        <f t="shared" si="3"/>
        <v>15</v>
      </c>
      <c r="G71" s="42">
        <f t="shared" si="3"/>
        <v>63</v>
      </c>
      <c r="H71" s="42">
        <f t="shared" si="3"/>
        <v>42</v>
      </c>
      <c r="I71" s="42">
        <f t="shared" si="3"/>
        <v>139</v>
      </c>
      <c r="J71" s="42"/>
      <c r="K71" s="42">
        <f t="shared" ref="K71:O71" si="4">SUM(K8:K70)</f>
        <v>19</v>
      </c>
      <c r="L71" s="42">
        <f t="shared" si="4"/>
        <v>13</v>
      </c>
      <c r="M71" s="42">
        <f t="shared" si="4"/>
        <v>62</v>
      </c>
      <c r="N71" s="42">
        <f t="shared" si="4"/>
        <v>42</v>
      </c>
      <c r="O71" s="42">
        <f t="shared" si="4"/>
        <v>136</v>
      </c>
      <c r="P71" s="42"/>
    </row>
    <row r="72" ht="15.75" customHeight="1">
      <c r="A72" s="1"/>
      <c r="B72" s="1"/>
      <c r="C72" s="1"/>
      <c r="D72" s="1"/>
      <c r="E72" s="1"/>
      <c r="F72" s="1"/>
      <c r="G72" s="1"/>
      <c r="H72" s="1" t="s">
        <v>187</v>
      </c>
      <c r="I72" s="1">
        <f>I71-O71</f>
        <v>3</v>
      </c>
      <c r="J72" s="1"/>
      <c r="K72" s="1"/>
      <c r="L72" s="1"/>
      <c r="M72" s="1"/>
      <c r="N72" s="1"/>
      <c r="O72" s="67"/>
      <c r="P72" s="67"/>
    </row>
    <row r="73" ht="15.75" customHeight="1">
      <c r="A73" s="1"/>
      <c r="B73" s="1"/>
      <c r="C73" s="1"/>
      <c r="D73" s="1"/>
      <c r="E73" s="1"/>
      <c r="F73" s="1"/>
      <c r="G73" s="1"/>
      <c r="H73" s="1" t="s">
        <v>1085</v>
      </c>
      <c r="I73" s="1"/>
      <c r="J73" s="1"/>
      <c r="K73" s="1"/>
      <c r="L73" s="1"/>
      <c r="M73" s="1"/>
      <c r="N73" s="1"/>
      <c r="O73" s="1"/>
      <c r="P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5.75" customHeight="1">
      <c r="A78" s="1"/>
      <c r="B78" s="1"/>
      <c r="C78" s="1"/>
      <c r="D78" s="1"/>
      <c r="E78" s="59"/>
      <c r="F78" s="59"/>
      <c r="G78" s="59"/>
      <c r="H78" s="59"/>
      <c r="I78" s="59"/>
      <c r="J78" s="1"/>
      <c r="K78" s="1"/>
      <c r="L78" s="1"/>
      <c r="M78" s="1"/>
      <c r="N78" s="1"/>
      <c r="O78" s="1"/>
      <c r="P78" s="1"/>
    </row>
    <row r="79" ht="15.75" customHeight="1">
      <c r="A79" s="1"/>
      <c r="B79" s="1"/>
      <c r="C79" s="1"/>
      <c r="D79" s="1"/>
      <c r="E79" s="59"/>
      <c r="F79" s="59"/>
      <c r="G79" s="59"/>
      <c r="H79" s="59"/>
      <c r="I79" s="59"/>
      <c r="J79" s="1"/>
      <c r="K79" s="1"/>
      <c r="L79" s="1"/>
      <c r="M79" s="1"/>
      <c r="N79" s="1"/>
      <c r="O79" s="1"/>
      <c r="P79" s="1"/>
    </row>
    <row r="80" ht="15.75" customHeight="1">
      <c r="A80" s="1"/>
      <c r="B80" s="1"/>
      <c r="C80" s="1"/>
      <c r="D80" s="1"/>
      <c r="E80" s="59"/>
      <c r="F80" s="59"/>
      <c r="G80" s="59"/>
      <c r="H80" s="59"/>
      <c r="I80" s="59"/>
      <c r="J80" s="1"/>
      <c r="K80" s="1"/>
      <c r="L80" s="1"/>
      <c r="M80" s="1"/>
      <c r="N80" s="1"/>
      <c r="O80" s="1"/>
      <c r="P80" s="1"/>
    </row>
    <row r="81" ht="15.75" customHeight="1">
      <c r="A81" s="1"/>
      <c r="B81" s="1"/>
      <c r="C81" s="1"/>
      <c r="D81" s="1"/>
      <c r="E81" s="59"/>
      <c r="F81" s="59"/>
      <c r="G81" s="59"/>
      <c r="H81" s="59"/>
      <c r="I81" s="59"/>
      <c r="J81" s="1"/>
      <c r="K81" s="1"/>
      <c r="L81" s="1"/>
      <c r="M81" s="1"/>
      <c r="N81" s="1"/>
      <c r="O81" s="1"/>
      <c r="P81" s="1"/>
    </row>
    <row r="82" ht="15.75" customHeight="1">
      <c r="A82" s="1"/>
      <c r="B82" s="1"/>
      <c r="C82" s="1"/>
      <c r="D82" s="1"/>
      <c r="E82" s="59"/>
      <c r="F82" s="59"/>
      <c r="G82" s="59"/>
      <c r="H82" s="59"/>
      <c r="I82" s="59"/>
      <c r="J82" s="1"/>
      <c r="K82" s="1"/>
      <c r="L82" s="1"/>
      <c r="M82" s="1"/>
      <c r="N82" s="1"/>
      <c r="O82" s="1"/>
      <c r="P82" s="1"/>
    </row>
    <row r="83" ht="15.75" customHeight="1">
      <c r="A83" s="1"/>
      <c r="B83" s="1"/>
      <c r="C83" s="1"/>
      <c r="D83" s="1"/>
      <c r="E83" s="59"/>
      <c r="F83" s="59"/>
      <c r="G83" s="59"/>
      <c r="H83" s="59"/>
      <c r="I83" s="59"/>
      <c r="J83" s="1"/>
      <c r="K83" s="1"/>
      <c r="L83" s="1"/>
      <c r="M83" s="1"/>
      <c r="N83" s="1"/>
      <c r="O83" s="1"/>
      <c r="P83" s="1"/>
    </row>
    <row r="84" ht="15.75" customHeight="1">
      <c r="A84" s="1"/>
      <c r="B84" s="1"/>
      <c r="C84" s="1"/>
      <c r="D84" s="1"/>
      <c r="E84" s="59"/>
      <c r="F84" s="59"/>
      <c r="G84" s="59"/>
      <c r="H84" s="59"/>
      <c r="I84" s="59"/>
      <c r="J84" s="1"/>
      <c r="K84" s="1"/>
      <c r="L84" s="1"/>
      <c r="M84" s="1"/>
      <c r="N84" s="1"/>
      <c r="O84" s="1"/>
      <c r="P84" s="1"/>
    </row>
    <row r="85" ht="15.75" customHeight="1">
      <c r="A85" s="1"/>
      <c r="B85" s="1"/>
      <c r="C85" s="1"/>
      <c r="D85" s="1"/>
      <c r="E85" s="59"/>
      <c r="F85" s="59"/>
      <c r="G85" s="59"/>
      <c r="H85" s="59"/>
      <c r="I85" s="59"/>
      <c r="J85" s="1"/>
      <c r="K85" s="1"/>
      <c r="L85" s="1"/>
      <c r="M85" s="1"/>
      <c r="N85" s="1"/>
      <c r="O85" s="1"/>
      <c r="P85" s="1"/>
    </row>
    <row r="86" ht="15.75" customHeight="1">
      <c r="A86" s="1"/>
      <c r="B86" s="1"/>
      <c r="C86" s="1"/>
      <c r="D86" s="1"/>
      <c r="E86" s="59"/>
      <c r="F86" s="59"/>
      <c r="G86" s="59"/>
      <c r="H86" s="59"/>
      <c r="I86" s="59"/>
      <c r="J86" s="1"/>
      <c r="K86" s="1"/>
      <c r="L86" s="1"/>
      <c r="M86" s="1"/>
      <c r="N86" s="1"/>
      <c r="O86" s="1"/>
      <c r="P86" s="1"/>
    </row>
    <row r="87" ht="15.75" customHeight="1">
      <c r="A87" s="1"/>
      <c r="B87" s="1"/>
      <c r="C87" s="1"/>
      <c r="D87" s="1"/>
      <c r="E87" s="59"/>
      <c r="F87" s="59"/>
      <c r="G87" s="59"/>
      <c r="H87" s="59"/>
      <c r="I87" s="59"/>
      <c r="J87" s="1"/>
      <c r="K87" s="1"/>
      <c r="L87" s="1"/>
      <c r="M87" s="1"/>
      <c r="N87" s="1"/>
      <c r="O87" s="1"/>
      <c r="P87" s="1"/>
    </row>
    <row r="88" ht="15.75" customHeight="1">
      <c r="A88" s="1"/>
      <c r="B88" s="1"/>
      <c r="C88" s="1"/>
      <c r="D88" s="1"/>
      <c r="E88" s="59"/>
      <c r="F88" s="59"/>
      <c r="G88" s="59"/>
      <c r="H88" s="59"/>
      <c r="I88" s="59"/>
      <c r="J88" s="1"/>
      <c r="K88" s="1"/>
      <c r="L88" s="1"/>
      <c r="M88" s="1"/>
      <c r="N88" s="1"/>
      <c r="O88" s="1"/>
      <c r="P88" s="1"/>
    </row>
    <row r="89" ht="15.75" customHeight="1">
      <c r="A89" s="1"/>
      <c r="B89" s="1"/>
      <c r="C89" s="1"/>
      <c r="D89" s="1"/>
      <c r="E89" s="59"/>
      <c r="F89" s="59"/>
      <c r="G89" s="59"/>
      <c r="H89" s="59"/>
      <c r="I89" s="59"/>
      <c r="J89" s="1"/>
      <c r="K89" s="1"/>
      <c r="L89" s="1"/>
      <c r="M89" s="1"/>
      <c r="N89" s="1"/>
      <c r="O89" s="1"/>
      <c r="P89" s="1"/>
    </row>
    <row r="90" ht="15.75" customHeight="1">
      <c r="A90" s="1"/>
      <c r="B90" s="1"/>
      <c r="C90" s="1"/>
      <c r="D90" s="1"/>
      <c r="E90" s="59"/>
      <c r="F90" s="59"/>
      <c r="G90" s="59"/>
      <c r="H90" s="59"/>
      <c r="I90" s="59"/>
      <c r="J90" s="1"/>
      <c r="K90" s="1"/>
      <c r="L90" s="1"/>
      <c r="M90" s="1"/>
      <c r="N90" s="1"/>
      <c r="O90" s="1"/>
      <c r="P90" s="1"/>
    </row>
    <row r="91" ht="15.75" customHeight="1">
      <c r="A91" s="1"/>
      <c r="B91" s="1"/>
      <c r="C91" s="1"/>
      <c r="D91" s="1"/>
      <c r="E91" s="59"/>
      <c r="F91" s="59"/>
      <c r="G91" s="59"/>
      <c r="H91" s="59"/>
      <c r="I91" s="59"/>
      <c r="J91" s="1"/>
      <c r="K91" s="1"/>
      <c r="L91" s="1"/>
      <c r="M91" s="1"/>
      <c r="N91" s="1"/>
      <c r="O91" s="1"/>
      <c r="P91" s="1"/>
    </row>
    <row r="92" ht="15.75" customHeight="1">
      <c r="A92" s="1"/>
      <c r="B92" s="1"/>
      <c r="C92" s="1"/>
      <c r="D92" s="1"/>
      <c r="E92" s="59"/>
      <c r="F92" s="59"/>
      <c r="G92" s="59"/>
      <c r="H92" s="59"/>
      <c r="I92" s="59"/>
      <c r="J92" s="1"/>
      <c r="K92" s="1"/>
      <c r="L92" s="1"/>
      <c r="M92" s="1"/>
      <c r="N92" s="1"/>
      <c r="O92" s="1"/>
      <c r="P92" s="1"/>
    </row>
    <row r="93" ht="15.75" customHeight="1">
      <c r="A93" s="1"/>
      <c r="B93" s="1"/>
      <c r="C93" s="1"/>
      <c r="D93" s="1"/>
      <c r="E93" s="59"/>
      <c r="F93" s="59"/>
      <c r="G93" s="59"/>
      <c r="H93" s="59"/>
      <c r="I93" s="59"/>
      <c r="J93" s="1"/>
      <c r="K93" s="1"/>
      <c r="L93" s="1"/>
      <c r="M93" s="1"/>
      <c r="N93" s="1"/>
      <c r="O93" s="1"/>
      <c r="P93" s="1"/>
    </row>
    <row r="94" ht="15.75" customHeight="1">
      <c r="A94" s="1"/>
      <c r="B94" s="1"/>
      <c r="C94" s="1"/>
      <c r="D94" s="1"/>
      <c r="E94" s="59"/>
      <c r="F94" s="59"/>
      <c r="G94" s="59"/>
      <c r="H94" s="59"/>
      <c r="I94" s="59"/>
      <c r="J94" s="1"/>
      <c r="K94" s="1"/>
      <c r="L94" s="1"/>
      <c r="M94" s="1"/>
      <c r="N94" s="1"/>
      <c r="O94" s="1"/>
      <c r="P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5.75" hidden="1" customHeight="1">
      <c r="A99" s="1"/>
      <c r="B99" s="1"/>
      <c r="C99" s="4" t="s">
        <v>142</v>
      </c>
      <c r="D99" s="1"/>
      <c r="E99" s="43"/>
      <c r="F99" s="43"/>
      <c r="G99" s="43"/>
      <c r="H99" s="43"/>
      <c r="I99" s="43"/>
      <c r="J99" s="43"/>
      <c r="K99" s="43"/>
      <c r="N99" s="43"/>
      <c r="O99" s="43"/>
      <c r="P99" s="43"/>
    </row>
    <row r="100" ht="15.75" hidden="1" customHeight="1">
      <c r="A100" s="1"/>
      <c r="B100" s="1"/>
      <c r="C100" s="10" t="s">
        <v>5</v>
      </c>
      <c r="D100" s="12" t="s">
        <v>6</v>
      </c>
      <c r="E100" s="63"/>
      <c r="F100" s="63"/>
      <c r="G100" s="63"/>
      <c r="H100" s="63"/>
      <c r="I100" s="11" t="s">
        <v>194</v>
      </c>
      <c r="J100" s="7"/>
      <c r="K100" s="7"/>
      <c r="L100" s="7"/>
      <c r="M100" s="7"/>
      <c r="N100" s="7"/>
      <c r="O100" s="8"/>
      <c r="P100" s="63"/>
    </row>
    <row r="101" ht="15.75" hidden="1" customHeight="1">
      <c r="A101" s="1"/>
      <c r="B101" s="1"/>
      <c r="C101" s="13"/>
      <c r="D101" s="14"/>
      <c r="E101" s="42"/>
      <c r="F101" s="42"/>
      <c r="G101" s="42"/>
      <c r="H101" s="42"/>
      <c r="I101" s="84" t="s">
        <v>7</v>
      </c>
      <c r="J101" s="42"/>
      <c r="K101" s="84" t="s">
        <v>143</v>
      </c>
      <c r="L101" s="84" t="s">
        <v>145</v>
      </c>
      <c r="M101" s="84" t="s">
        <v>146</v>
      </c>
      <c r="N101" s="42"/>
      <c r="O101" s="84" t="s">
        <v>147</v>
      </c>
      <c r="P101" s="42"/>
    </row>
    <row r="102" ht="15.75" hidden="1" customHeight="1">
      <c r="A102" s="1"/>
      <c r="B102" s="1"/>
      <c r="C102" s="13"/>
      <c r="D102" s="14"/>
      <c r="E102" s="42"/>
      <c r="F102" s="42"/>
      <c r="G102" s="42"/>
      <c r="H102" s="42"/>
      <c r="I102" s="14"/>
      <c r="J102" s="42"/>
      <c r="K102" s="14"/>
      <c r="L102" s="14"/>
      <c r="M102" s="14"/>
      <c r="N102" s="42"/>
      <c r="O102" s="14"/>
      <c r="P102" s="42"/>
    </row>
    <row r="103" ht="15.75" hidden="1" customHeight="1">
      <c r="A103" s="1"/>
      <c r="B103" s="1"/>
      <c r="C103" s="21"/>
      <c r="D103" s="23"/>
      <c r="E103" s="42"/>
      <c r="F103" s="42"/>
      <c r="G103" s="42"/>
      <c r="H103" s="42"/>
      <c r="I103" s="23"/>
      <c r="J103" s="42"/>
      <c r="K103" s="23"/>
      <c r="L103" s="23"/>
      <c r="M103" s="23"/>
      <c r="N103" s="42"/>
      <c r="O103" s="23"/>
      <c r="P103" s="42"/>
    </row>
    <row r="104" ht="15.75" hidden="1" customHeight="1">
      <c r="A104" s="1"/>
      <c r="B104" s="1"/>
      <c r="C104" s="24" t="s">
        <v>20</v>
      </c>
      <c r="D104" s="26" t="s">
        <v>20</v>
      </c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>
        <f t="shared" ref="O104:O110" si="5">SUM(K104:M104)</f>
        <v>0</v>
      </c>
      <c r="P104" s="42"/>
    </row>
    <row r="105" ht="15.75" hidden="1" customHeight="1">
      <c r="A105" s="1"/>
      <c r="B105" s="1"/>
      <c r="C105" s="24" t="s">
        <v>150</v>
      </c>
      <c r="D105" s="26" t="s">
        <v>19</v>
      </c>
      <c r="E105" s="42"/>
      <c r="F105" s="42"/>
      <c r="G105" s="42"/>
      <c r="H105" s="42"/>
      <c r="I105" s="42">
        <v>1.0</v>
      </c>
      <c r="J105" s="42"/>
      <c r="K105" s="42"/>
      <c r="L105" s="42">
        <v>1.0</v>
      </c>
      <c r="M105" s="42"/>
      <c r="N105" s="42"/>
      <c r="O105" s="42">
        <f t="shared" si="5"/>
        <v>1</v>
      </c>
      <c r="P105" s="42"/>
    </row>
    <row r="106" ht="15.75" hidden="1" customHeight="1">
      <c r="A106" s="1"/>
      <c r="B106" s="1"/>
      <c r="C106" s="34" t="s">
        <v>21</v>
      </c>
      <c r="D106" s="26" t="s">
        <v>25</v>
      </c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>
        <f t="shared" si="5"/>
        <v>0</v>
      </c>
      <c r="P106" s="42"/>
    </row>
    <row r="107" ht="15.75" hidden="1" customHeight="1">
      <c r="A107" s="1"/>
      <c r="B107" s="1"/>
      <c r="C107" s="13"/>
      <c r="D107" s="26" t="s">
        <v>151</v>
      </c>
      <c r="E107" s="42"/>
      <c r="F107" s="42"/>
      <c r="G107" s="42"/>
      <c r="H107" s="42"/>
      <c r="I107" s="42">
        <v>5.0</v>
      </c>
      <c r="J107" s="42"/>
      <c r="K107" s="42"/>
      <c r="L107" s="42">
        <v>1.0</v>
      </c>
      <c r="M107" s="42">
        <v>4.0</v>
      </c>
      <c r="N107" s="42"/>
      <c r="O107" s="42">
        <f t="shared" si="5"/>
        <v>5</v>
      </c>
      <c r="P107" s="42"/>
    </row>
    <row r="108" ht="15.75" hidden="1" customHeight="1">
      <c r="A108" s="1"/>
      <c r="B108" s="1"/>
      <c r="C108" s="21"/>
      <c r="D108" s="26" t="s">
        <v>28</v>
      </c>
      <c r="E108" s="42"/>
      <c r="F108" s="42"/>
      <c r="G108" s="42"/>
      <c r="H108" s="42"/>
      <c r="I108" s="42">
        <v>4.0</v>
      </c>
      <c r="J108" s="42"/>
      <c r="K108" s="42"/>
      <c r="L108" s="42"/>
      <c r="M108" s="42">
        <v>4.0</v>
      </c>
      <c r="N108" s="42"/>
      <c r="O108" s="42">
        <f t="shared" si="5"/>
        <v>4</v>
      </c>
      <c r="P108" s="42"/>
    </row>
    <row r="109" ht="15.75" hidden="1" customHeight="1">
      <c r="A109" s="1"/>
      <c r="B109" s="1"/>
      <c r="C109" s="34" t="s">
        <v>29</v>
      </c>
      <c r="D109" s="26" t="s">
        <v>31</v>
      </c>
      <c r="E109" s="75"/>
      <c r="F109" s="75"/>
      <c r="G109" s="75"/>
      <c r="H109" s="75"/>
      <c r="I109" s="75">
        <v>3.0</v>
      </c>
      <c r="J109" s="42"/>
      <c r="K109" s="42"/>
      <c r="L109" s="42">
        <v>2.0</v>
      </c>
      <c r="M109" s="42"/>
      <c r="N109" s="42"/>
      <c r="O109" s="42">
        <f t="shared" si="5"/>
        <v>2</v>
      </c>
      <c r="P109" s="42"/>
    </row>
    <row r="110" ht="15.75" hidden="1" customHeight="1">
      <c r="A110" s="1"/>
      <c r="B110" s="1"/>
      <c r="C110" s="21"/>
      <c r="D110" s="26" t="s">
        <v>32</v>
      </c>
      <c r="E110" s="42"/>
      <c r="F110" s="42"/>
      <c r="G110" s="42"/>
      <c r="H110" s="42"/>
      <c r="I110" s="42">
        <v>2.0</v>
      </c>
      <c r="J110" s="42"/>
      <c r="K110" s="42">
        <v>2.0</v>
      </c>
      <c r="L110" s="42"/>
      <c r="M110" s="42"/>
      <c r="N110" s="42"/>
      <c r="O110" s="42">
        <f t="shared" si="5"/>
        <v>2</v>
      </c>
      <c r="P110" s="42"/>
    </row>
    <row r="111" ht="15.75" hidden="1" customHeight="1">
      <c r="A111" s="1"/>
      <c r="B111" s="1"/>
      <c r="C111" s="24" t="s">
        <v>34</v>
      </c>
      <c r="D111" s="26" t="s">
        <v>34</v>
      </c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</row>
    <row r="112" ht="15.75" hidden="1" customHeight="1">
      <c r="A112" s="1"/>
      <c r="B112" s="1"/>
      <c r="C112" s="41" t="s">
        <v>63</v>
      </c>
      <c r="D112" s="26" t="s">
        <v>41</v>
      </c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>
        <f t="shared" ref="O112:O147" si="6">SUM(K112:M112)</f>
        <v>0</v>
      </c>
      <c r="P112" s="42"/>
    </row>
    <row r="113" ht="15.75" hidden="1" customHeight="1">
      <c r="A113" s="1"/>
      <c r="B113" s="1"/>
      <c r="C113" s="13"/>
      <c r="D113" s="26" t="s">
        <v>38</v>
      </c>
      <c r="E113" s="42"/>
      <c r="F113" s="42"/>
      <c r="G113" s="42"/>
      <c r="H113" s="42"/>
      <c r="I113" s="42">
        <v>1.0</v>
      </c>
      <c r="J113" s="42"/>
      <c r="K113" s="42">
        <v>1.0</v>
      </c>
      <c r="L113" s="42"/>
      <c r="M113" s="42"/>
      <c r="N113" s="42"/>
      <c r="O113" s="42">
        <f t="shared" si="6"/>
        <v>1</v>
      </c>
      <c r="P113" s="42"/>
    </row>
    <row r="114" ht="15.75" hidden="1" customHeight="1">
      <c r="A114" s="1"/>
      <c r="B114" s="1"/>
      <c r="C114" s="13"/>
      <c r="D114" s="26" t="s">
        <v>43</v>
      </c>
      <c r="E114" s="42"/>
      <c r="F114" s="42"/>
      <c r="G114" s="42"/>
      <c r="H114" s="42"/>
      <c r="I114" s="42">
        <v>0.0</v>
      </c>
      <c r="J114" s="42"/>
      <c r="K114" s="42"/>
      <c r="L114" s="42"/>
      <c r="M114" s="42"/>
      <c r="N114" s="42"/>
      <c r="O114" s="42">
        <f t="shared" si="6"/>
        <v>0</v>
      </c>
      <c r="P114" s="42"/>
    </row>
    <row r="115" ht="15.75" hidden="1" customHeight="1">
      <c r="A115" s="1"/>
      <c r="B115" s="1"/>
      <c r="C115" s="13"/>
      <c r="D115" s="26" t="s">
        <v>42</v>
      </c>
      <c r="E115" s="42"/>
      <c r="F115" s="42"/>
      <c r="G115" s="42"/>
      <c r="H115" s="42"/>
      <c r="I115" s="42">
        <v>2.0</v>
      </c>
      <c r="J115" s="42"/>
      <c r="K115" s="42"/>
      <c r="L115" s="42">
        <v>1.0</v>
      </c>
      <c r="M115" s="42">
        <v>1.0</v>
      </c>
      <c r="N115" s="42"/>
      <c r="O115" s="42">
        <f t="shared" si="6"/>
        <v>2</v>
      </c>
      <c r="P115" s="42"/>
    </row>
    <row r="116" ht="15.75" hidden="1" customHeight="1">
      <c r="A116" s="1" t="s">
        <v>153</v>
      </c>
      <c r="B116" s="1"/>
      <c r="C116" s="13"/>
      <c r="D116" s="26" t="s">
        <v>154</v>
      </c>
      <c r="E116" s="42"/>
      <c r="F116" s="42"/>
      <c r="G116" s="42"/>
      <c r="H116" s="42"/>
      <c r="I116" s="42">
        <v>4.0</v>
      </c>
      <c r="J116" s="42"/>
      <c r="K116" s="42">
        <v>1.0</v>
      </c>
      <c r="L116" s="63"/>
      <c r="M116" s="63">
        <v>3.0</v>
      </c>
      <c r="N116" s="63"/>
      <c r="O116" s="42">
        <f t="shared" si="6"/>
        <v>4</v>
      </c>
      <c r="P116" s="42"/>
    </row>
    <row r="117" ht="15.75" hidden="1" customHeight="1">
      <c r="A117" s="43"/>
      <c r="B117" s="43"/>
      <c r="C117" s="21"/>
      <c r="D117" s="26" t="s">
        <v>44</v>
      </c>
      <c r="E117" s="42"/>
      <c r="F117" s="42"/>
      <c r="G117" s="42"/>
      <c r="H117" s="42"/>
      <c r="I117" s="42">
        <v>1.0</v>
      </c>
      <c r="J117" s="42"/>
      <c r="K117" s="42"/>
      <c r="L117" s="42"/>
      <c r="M117" s="42">
        <v>1.0</v>
      </c>
      <c r="N117" s="42"/>
      <c r="O117" s="42">
        <f t="shared" si="6"/>
        <v>1</v>
      </c>
      <c r="P117" s="42"/>
    </row>
    <row r="118" ht="15.75" hidden="1" customHeight="1">
      <c r="A118" s="1"/>
      <c r="B118" s="1"/>
      <c r="C118" s="41" t="s">
        <v>49</v>
      </c>
      <c r="D118" s="26" t="s">
        <v>155</v>
      </c>
      <c r="E118" s="42"/>
      <c r="F118" s="42"/>
      <c r="G118" s="42"/>
      <c r="H118" s="42"/>
      <c r="I118" s="42">
        <v>1.0</v>
      </c>
      <c r="J118" s="42"/>
      <c r="K118" s="42"/>
      <c r="L118" s="42">
        <v>1.0</v>
      </c>
      <c r="M118" s="42"/>
      <c r="N118" s="42"/>
      <c r="O118" s="42">
        <f t="shared" si="6"/>
        <v>1</v>
      </c>
      <c r="P118" s="42"/>
    </row>
    <row r="119" ht="15.75" hidden="1" customHeight="1">
      <c r="A119" s="1"/>
      <c r="B119" s="1"/>
      <c r="C119" s="13"/>
      <c r="D119" s="26" t="s">
        <v>51</v>
      </c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>
        <f t="shared" si="6"/>
        <v>0</v>
      </c>
      <c r="P119" s="42"/>
    </row>
    <row r="120" ht="15.75" hidden="1" customHeight="1">
      <c r="A120" s="1"/>
      <c r="B120" s="1"/>
      <c r="C120" s="13"/>
      <c r="D120" s="26" t="s">
        <v>156</v>
      </c>
      <c r="E120" s="75"/>
      <c r="F120" s="75"/>
      <c r="G120" s="75"/>
      <c r="H120" s="75"/>
      <c r="I120" s="75">
        <v>1.0</v>
      </c>
      <c r="J120" s="42"/>
      <c r="K120" s="42"/>
      <c r="L120" s="42"/>
      <c r="M120" s="42"/>
      <c r="N120" s="42"/>
      <c r="O120" s="42">
        <f t="shared" si="6"/>
        <v>0</v>
      </c>
      <c r="P120" s="42"/>
    </row>
    <row r="121" ht="15.75" hidden="1" customHeight="1">
      <c r="A121" s="1"/>
      <c r="B121" s="1"/>
      <c r="C121" s="21"/>
      <c r="D121" s="26" t="s">
        <v>55</v>
      </c>
      <c r="E121" s="42"/>
      <c r="F121" s="42"/>
      <c r="G121" s="42"/>
      <c r="H121" s="42"/>
      <c r="I121" s="42">
        <v>1.0</v>
      </c>
      <c r="J121" s="42"/>
      <c r="K121" s="42"/>
      <c r="L121" s="42">
        <v>1.0</v>
      </c>
      <c r="M121" s="42"/>
      <c r="N121" s="42"/>
      <c r="O121" s="42">
        <f t="shared" si="6"/>
        <v>1</v>
      </c>
      <c r="P121" s="42"/>
    </row>
    <row r="122" ht="15.75" hidden="1" customHeight="1">
      <c r="A122" s="1"/>
      <c r="B122" s="1"/>
      <c r="C122" s="49" t="s">
        <v>53</v>
      </c>
      <c r="D122" s="26" t="s">
        <v>53</v>
      </c>
      <c r="E122" s="42"/>
      <c r="F122" s="42"/>
      <c r="G122" s="42"/>
      <c r="H122" s="42"/>
      <c r="I122" s="42">
        <v>1.0</v>
      </c>
      <c r="J122" s="42"/>
      <c r="K122" s="42"/>
      <c r="L122" s="42"/>
      <c r="M122" s="42">
        <v>1.0</v>
      </c>
      <c r="N122" s="42"/>
      <c r="O122" s="42">
        <f t="shared" si="6"/>
        <v>1</v>
      </c>
      <c r="P122" s="42"/>
    </row>
    <row r="123" ht="15.75" hidden="1" customHeight="1">
      <c r="A123" s="1"/>
      <c r="B123" s="1"/>
      <c r="C123" s="24" t="s">
        <v>54</v>
      </c>
      <c r="D123" s="26" t="s">
        <v>54</v>
      </c>
      <c r="E123" s="75"/>
      <c r="F123" s="75"/>
      <c r="G123" s="75"/>
      <c r="H123" s="75"/>
      <c r="I123" s="75">
        <v>10.0</v>
      </c>
      <c r="J123" s="42"/>
      <c r="K123" s="42">
        <v>2.0</v>
      </c>
      <c r="L123" s="42"/>
      <c r="M123" s="42">
        <v>7.0</v>
      </c>
      <c r="N123" s="42"/>
      <c r="O123" s="42">
        <f t="shared" si="6"/>
        <v>9</v>
      </c>
      <c r="P123" s="42"/>
    </row>
    <row r="124" ht="15.75" hidden="1" customHeight="1">
      <c r="A124" s="1"/>
      <c r="B124" s="1"/>
      <c r="C124" s="34" t="s">
        <v>57</v>
      </c>
      <c r="D124" s="26" t="s">
        <v>114</v>
      </c>
      <c r="E124" s="42"/>
      <c r="F124" s="42"/>
      <c r="G124" s="42"/>
      <c r="H124" s="42"/>
      <c r="I124" s="42">
        <v>1.0</v>
      </c>
      <c r="J124" s="42"/>
      <c r="K124" s="42">
        <v>1.0</v>
      </c>
      <c r="L124" s="42"/>
      <c r="M124" s="42"/>
      <c r="N124" s="42"/>
      <c r="O124" s="42">
        <f t="shared" si="6"/>
        <v>1</v>
      </c>
      <c r="P124" s="42"/>
    </row>
    <row r="125" ht="15.75" hidden="1" customHeight="1">
      <c r="A125" s="1"/>
      <c r="B125" s="1"/>
      <c r="C125" s="21"/>
      <c r="D125" s="26" t="s">
        <v>60</v>
      </c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>
        <f t="shared" si="6"/>
        <v>0</v>
      </c>
      <c r="P125" s="42"/>
    </row>
    <row r="126" ht="15.75" hidden="1" customHeight="1">
      <c r="A126" s="1"/>
      <c r="B126" s="1"/>
      <c r="C126" s="24" t="s">
        <v>162</v>
      </c>
      <c r="D126" s="26" t="s">
        <v>163</v>
      </c>
      <c r="E126" s="42"/>
      <c r="F126" s="42"/>
      <c r="G126" s="42"/>
      <c r="H126" s="42"/>
      <c r="I126" s="42">
        <v>4.0</v>
      </c>
      <c r="J126" s="42"/>
      <c r="K126" s="42"/>
      <c r="L126" s="42">
        <v>2.0</v>
      </c>
      <c r="M126" s="42">
        <v>2.0</v>
      </c>
      <c r="N126" s="42"/>
      <c r="O126" s="42">
        <f t="shared" si="6"/>
        <v>4</v>
      </c>
      <c r="P126" s="42"/>
    </row>
    <row r="127" ht="15.75" hidden="1" customHeight="1">
      <c r="A127" s="1"/>
      <c r="B127" s="1"/>
      <c r="C127" s="34" t="s">
        <v>62</v>
      </c>
      <c r="D127" s="26" t="s">
        <v>165</v>
      </c>
      <c r="E127" s="42"/>
      <c r="F127" s="42"/>
      <c r="G127" s="42"/>
      <c r="H127" s="42"/>
      <c r="I127" s="42">
        <v>1.0</v>
      </c>
      <c r="J127" s="42"/>
      <c r="K127" s="42"/>
      <c r="L127" s="42">
        <v>1.0</v>
      </c>
      <c r="M127" s="42"/>
      <c r="N127" s="42"/>
      <c r="O127" s="42">
        <f t="shared" si="6"/>
        <v>1</v>
      </c>
      <c r="P127" s="42"/>
    </row>
    <row r="128" ht="15.75" hidden="1" customHeight="1">
      <c r="A128" s="1"/>
      <c r="B128" s="1"/>
      <c r="C128" s="13"/>
      <c r="D128" s="26" t="s">
        <v>167</v>
      </c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>
        <f t="shared" si="6"/>
        <v>0</v>
      </c>
      <c r="P128" s="42"/>
    </row>
    <row r="129" ht="15.75" hidden="1" customHeight="1">
      <c r="A129" s="1"/>
      <c r="B129" s="1"/>
      <c r="C129" s="13"/>
      <c r="D129" s="26" t="s">
        <v>168</v>
      </c>
      <c r="E129" s="42"/>
      <c r="F129" s="42"/>
      <c r="G129" s="42"/>
      <c r="H129" s="42"/>
      <c r="I129" s="42">
        <v>1.0</v>
      </c>
      <c r="J129" s="42"/>
      <c r="K129" s="42">
        <v>1.0</v>
      </c>
      <c r="L129" s="42"/>
      <c r="M129" s="42"/>
      <c r="N129" s="42"/>
      <c r="O129" s="42">
        <f t="shared" si="6"/>
        <v>1</v>
      </c>
      <c r="P129" s="42"/>
    </row>
    <row r="130" ht="15.75" hidden="1" customHeight="1">
      <c r="A130" s="1"/>
      <c r="B130" s="1"/>
      <c r="C130" s="21"/>
      <c r="D130" s="26" t="s">
        <v>66</v>
      </c>
      <c r="E130" s="42"/>
      <c r="F130" s="42"/>
      <c r="G130" s="42"/>
      <c r="H130" s="42"/>
      <c r="I130" s="42">
        <v>1.0</v>
      </c>
      <c r="J130" s="42"/>
      <c r="K130" s="42"/>
      <c r="L130" s="42"/>
      <c r="M130" s="42">
        <v>1.0</v>
      </c>
      <c r="N130" s="42"/>
      <c r="O130" s="42">
        <f t="shared" si="6"/>
        <v>1</v>
      </c>
      <c r="P130" s="42"/>
    </row>
    <row r="131" ht="15.75" hidden="1" customHeight="1">
      <c r="A131" s="1"/>
      <c r="B131" s="1"/>
      <c r="C131" s="34" t="s">
        <v>62</v>
      </c>
      <c r="D131" s="26" t="s">
        <v>169</v>
      </c>
      <c r="E131" s="42"/>
      <c r="F131" s="42"/>
      <c r="G131" s="42"/>
      <c r="H131" s="42"/>
      <c r="I131" s="42">
        <v>2.0</v>
      </c>
      <c r="J131" s="63"/>
      <c r="K131" s="63"/>
      <c r="L131" s="63"/>
      <c r="M131" s="63">
        <v>2.0</v>
      </c>
      <c r="N131" s="63"/>
      <c r="O131" s="42">
        <f t="shared" si="6"/>
        <v>2</v>
      </c>
      <c r="P131" s="42"/>
    </row>
    <row r="132" ht="15.75" hidden="1" customHeight="1">
      <c r="A132" s="1"/>
      <c r="B132" s="1"/>
      <c r="C132" s="13"/>
      <c r="D132" s="26" t="s">
        <v>171</v>
      </c>
      <c r="E132" s="42"/>
      <c r="F132" s="42"/>
      <c r="G132" s="42"/>
      <c r="H132" s="42"/>
      <c r="I132" s="42"/>
      <c r="J132" s="63"/>
      <c r="K132" s="63"/>
      <c r="L132" s="63"/>
      <c r="M132" s="63"/>
      <c r="N132" s="63"/>
      <c r="O132" s="42">
        <f t="shared" si="6"/>
        <v>0</v>
      </c>
      <c r="P132" s="42"/>
    </row>
    <row r="133" ht="15.75" hidden="1" customHeight="1">
      <c r="A133" s="1"/>
      <c r="B133" s="1"/>
      <c r="C133" s="13"/>
      <c r="D133" s="26" t="s">
        <v>160</v>
      </c>
      <c r="E133" s="42"/>
      <c r="F133" s="42"/>
      <c r="G133" s="42"/>
      <c r="H133" s="42"/>
      <c r="I133" s="42">
        <v>1.0</v>
      </c>
      <c r="J133" s="63"/>
      <c r="K133" s="63">
        <v>1.0</v>
      </c>
      <c r="L133" s="63"/>
      <c r="M133" s="63"/>
      <c r="N133" s="63"/>
      <c r="O133" s="42">
        <f t="shared" si="6"/>
        <v>1</v>
      </c>
      <c r="P133" s="42"/>
    </row>
    <row r="134" ht="15.75" hidden="1" customHeight="1">
      <c r="A134" s="1"/>
      <c r="B134" s="1"/>
      <c r="C134" s="13"/>
      <c r="D134" s="26" t="s">
        <v>69</v>
      </c>
      <c r="E134" s="42"/>
      <c r="F134" s="42"/>
      <c r="G134" s="42"/>
      <c r="H134" s="42"/>
      <c r="I134" s="42">
        <v>1.0</v>
      </c>
      <c r="J134" s="42"/>
      <c r="K134" s="42"/>
      <c r="L134" s="42"/>
      <c r="M134" s="42">
        <v>1.0</v>
      </c>
      <c r="N134" s="42"/>
      <c r="O134" s="42">
        <f t="shared" si="6"/>
        <v>1</v>
      </c>
      <c r="P134" s="42"/>
    </row>
    <row r="135" ht="15.75" hidden="1" customHeight="1">
      <c r="A135" s="1"/>
      <c r="B135" s="1"/>
      <c r="C135" s="13"/>
      <c r="D135" s="26" t="s">
        <v>73</v>
      </c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>
        <f t="shared" si="6"/>
        <v>0</v>
      </c>
      <c r="P135" s="42"/>
    </row>
    <row r="136" ht="15.75" hidden="1" customHeight="1">
      <c r="A136" s="1"/>
      <c r="B136" s="1"/>
      <c r="C136" s="13"/>
      <c r="D136" s="26" t="s">
        <v>77</v>
      </c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>
        <f t="shared" si="6"/>
        <v>0</v>
      </c>
      <c r="P136" s="42"/>
    </row>
    <row r="137" ht="15.75" hidden="1" customHeight="1">
      <c r="A137" s="1"/>
      <c r="B137" s="1"/>
      <c r="C137" s="13"/>
      <c r="D137" s="26" t="s">
        <v>174</v>
      </c>
      <c r="E137" s="42"/>
      <c r="F137" s="42"/>
      <c r="G137" s="42"/>
      <c r="H137" s="42"/>
      <c r="I137" s="42">
        <v>12.0</v>
      </c>
      <c r="J137" s="42"/>
      <c r="K137" s="42">
        <v>1.0</v>
      </c>
      <c r="L137" s="42">
        <v>5.0</v>
      </c>
      <c r="M137" s="42">
        <v>6.0</v>
      </c>
      <c r="N137" s="42"/>
      <c r="O137" s="42">
        <f t="shared" si="6"/>
        <v>12</v>
      </c>
      <c r="P137" s="42"/>
    </row>
    <row r="138" ht="15.75" hidden="1" customHeight="1">
      <c r="A138" s="1"/>
      <c r="B138" s="1"/>
      <c r="C138" s="13"/>
      <c r="D138" s="26" t="s">
        <v>175</v>
      </c>
      <c r="E138" s="42"/>
      <c r="F138" s="42"/>
      <c r="G138" s="42"/>
      <c r="H138" s="42"/>
      <c r="I138" s="42"/>
      <c r="J138" s="63"/>
      <c r="K138" s="63"/>
      <c r="L138" s="63"/>
      <c r="M138" s="42"/>
      <c r="N138" s="42"/>
      <c r="O138" s="42">
        <f t="shared" si="6"/>
        <v>0</v>
      </c>
      <c r="P138" s="42"/>
    </row>
    <row r="139" ht="15.75" hidden="1" customHeight="1">
      <c r="A139" s="1"/>
      <c r="B139" s="1"/>
      <c r="C139" s="13"/>
      <c r="D139" s="26" t="s">
        <v>177</v>
      </c>
      <c r="E139" s="42"/>
      <c r="F139" s="42"/>
      <c r="G139" s="42"/>
      <c r="H139" s="42"/>
      <c r="I139" s="42">
        <v>6.0</v>
      </c>
      <c r="J139" s="63"/>
      <c r="K139" s="63">
        <v>3.0</v>
      </c>
      <c r="L139" s="63"/>
      <c r="M139" s="63">
        <v>3.0</v>
      </c>
      <c r="N139" s="63"/>
      <c r="O139" s="42">
        <f t="shared" si="6"/>
        <v>6</v>
      </c>
      <c r="P139" s="42"/>
    </row>
    <row r="140" ht="15.75" hidden="1" customHeight="1">
      <c r="A140" s="1"/>
      <c r="B140" s="1"/>
      <c r="C140" s="13"/>
      <c r="D140" s="79" t="s">
        <v>178</v>
      </c>
      <c r="E140" s="42"/>
      <c r="F140" s="42"/>
      <c r="G140" s="42"/>
      <c r="H140" s="42"/>
      <c r="I140" s="42"/>
      <c r="J140" s="63"/>
      <c r="K140" s="63"/>
      <c r="L140" s="63"/>
      <c r="M140" s="63"/>
      <c r="N140" s="63"/>
      <c r="O140" s="42">
        <f t="shared" si="6"/>
        <v>0</v>
      </c>
      <c r="P140" s="42"/>
    </row>
    <row r="141" ht="15.75" hidden="1" customHeight="1">
      <c r="A141" s="1"/>
      <c r="B141" s="1"/>
      <c r="C141" s="13"/>
      <c r="D141" s="26" t="s">
        <v>172</v>
      </c>
      <c r="E141" s="42"/>
      <c r="F141" s="42"/>
      <c r="G141" s="42"/>
      <c r="H141" s="42"/>
      <c r="I141" s="42">
        <v>1.0</v>
      </c>
      <c r="J141" s="63"/>
      <c r="K141" s="63"/>
      <c r="L141" s="63"/>
      <c r="M141" s="63">
        <v>1.0</v>
      </c>
      <c r="N141" s="63"/>
      <c r="O141" s="42">
        <f t="shared" si="6"/>
        <v>1</v>
      </c>
      <c r="P141" s="42"/>
    </row>
    <row r="142" ht="15.75" hidden="1" customHeight="1">
      <c r="A142" s="1"/>
      <c r="B142" s="1"/>
      <c r="C142" s="13"/>
      <c r="D142" s="26" t="s">
        <v>179</v>
      </c>
      <c r="E142" s="42"/>
      <c r="F142" s="42"/>
      <c r="G142" s="42"/>
      <c r="H142" s="42"/>
      <c r="I142" s="42"/>
      <c r="J142" s="63"/>
      <c r="K142" s="63"/>
      <c r="L142" s="63"/>
      <c r="M142" s="63"/>
      <c r="N142" s="63"/>
      <c r="O142" s="42">
        <f t="shared" si="6"/>
        <v>0</v>
      </c>
      <c r="P142" s="42"/>
    </row>
    <row r="143" ht="15.75" hidden="1" customHeight="1">
      <c r="A143" s="1"/>
      <c r="B143" s="1"/>
      <c r="C143" s="13"/>
      <c r="D143" s="26" t="s">
        <v>180</v>
      </c>
      <c r="E143" s="42"/>
      <c r="F143" s="42"/>
      <c r="G143" s="42"/>
      <c r="H143" s="42"/>
      <c r="I143" s="42">
        <v>18.0</v>
      </c>
      <c r="J143" s="63"/>
      <c r="K143" s="63">
        <v>1.0</v>
      </c>
      <c r="L143" s="63"/>
      <c r="M143" s="63">
        <v>17.0</v>
      </c>
      <c r="N143" s="63"/>
      <c r="O143" s="42">
        <f t="shared" si="6"/>
        <v>18</v>
      </c>
      <c r="P143" s="42"/>
    </row>
    <row r="144" ht="15.75" hidden="1" customHeight="1">
      <c r="A144" s="1"/>
      <c r="B144" s="1"/>
      <c r="C144" s="13"/>
      <c r="D144" s="26" t="s">
        <v>182</v>
      </c>
      <c r="E144" s="42"/>
      <c r="F144" s="42"/>
      <c r="G144" s="42"/>
      <c r="H144" s="42"/>
      <c r="I144" s="42"/>
      <c r="J144" s="63"/>
      <c r="K144" s="63"/>
      <c r="L144" s="63"/>
      <c r="M144" s="63"/>
      <c r="N144" s="63"/>
      <c r="O144" s="42">
        <f t="shared" si="6"/>
        <v>0</v>
      </c>
      <c r="P144" s="42"/>
    </row>
    <row r="145" ht="15.75" hidden="1" customHeight="1">
      <c r="A145" s="1"/>
      <c r="B145" s="1"/>
      <c r="C145" s="13"/>
      <c r="D145" s="26" t="s">
        <v>119</v>
      </c>
      <c r="E145" s="42"/>
      <c r="F145" s="42"/>
      <c r="G145" s="42"/>
      <c r="H145" s="42"/>
      <c r="I145" s="42"/>
      <c r="J145" s="63"/>
      <c r="K145" s="63"/>
      <c r="L145" s="63"/>
      <c r="M145" s="63"/>
      <c r="N145" s="63"/>
      <c r="O145" s="42">
        <f t="shared" si="6"/>
        <v>0</v>
      </c>
      <c r="P145" s="42"/>
    </row>
    <row r="146" ht="15.75" hidden="1" customHeight="1">
      <c r="A146" s="1"/>
      <c r="B146" s="1"/>
      <c r="C146" s="13"/>
      <c r="D146" s="26" t="s">
        <v>122</v>
      </c>
      <c r="E146" s="42"/>
      <c r="F146" s="42"/>
      <c r="G146" s="42"/>
      <c r="H146" s="42"/>
      <c r="I146" s="42"/>
      <c r="J146" s="63"/>
      <c r="K146" s="63"/>
      <c r="L146" s="63"/>
      <c r="M146" s="63"/>
      <c r="N146" s="63"/>
      <c r="O146" s="42">
        <f t="shared" si="6"/>
        <v>0</v>
      </c>
      <c r="P146" s="42"/>
    </row>
    <row r="147" ht="15.75" hidden="1" customHeight="1">
      <c r="A147" s="1"/>
      <c r="B147" s="1"/>
      <c r="C147" s="13"/>
      <c r="D147" s="26" t="s">
        <v>89</v>
      </c>
      <c r="E147" s="42"/>
      <c r="F147" s="42"/>
      <c r="G147" s="42"/>
      <c r="H147" s="42"/>
      <c r="I147" s="42"/>
      <c r="J147" s="63"/>
      <c r="K147" s="63"/>
      <c r="L147" s="63"/>
      <c r="M147" s="63">
        <v>4.0</v>
      </c>
      <c r="N147" s="63"/>
      <c r="O147" s="42">
        <f t="shared" si="6"/>
        <v>4</v>
      </c>
      <c r="P147" s="42"/>
    </row>
    <row r="148" ht="15.75" hidden="1" customHeight="1">
      <c r="A148" s="1"/>
      <c r="B148" s="1"/>
      <c r="C148" s="13"/>
      <c r="D148" s="26" t="s">
        <v>130</v>
      </c>
      <c r="E148" s="42"/>
      <c r="F148" s="42"/>
      <c r="G148" s="42"/>
      <c r="H148" s="42"/>
      <c r="I148" s="42"/>
      <c r="J148" s="63"/>
      <c r="K148" s="63"/>
      <c r="L148" s="63"/>
      <c r="M148" s="63"/>
      <c r="N148" s="63"/>
      <c r="O148" s="42"/>
      <c r="P148" s="42"/>
    </row>
    <row r="149" ht="15.75" hidden="1" customHeight="1">
      <c r="A149" s="1"/>
      <c r="B149" s="1"/>
      <c r="C149" s="13"/>
      <c r="D149" s="26" t="s">
        <v>185</v>
      </c>
      <c r="E149" s="42"/>
      <c r="F149" s="42"/>
      <c r="G149" s="42"/>
      <c r="H149" s="42"/>
      <c r="I149" s="42"/>
      <c r="J149" s="63"/>
      <c r="K149" s="63"/>
      <c r="L149" s="63"/>
      <c r="M149" s="63"/>
      <c r="N149" s="63"/>
      <c r="O149" s="42">
        <f t="shared" ref="O149:O165" si="7">SUM(K149:M149)</f>
        <v>0</v>
      </c>
      <c r="P149" s="42"/>
    </row>
    <row r="150" ht="15.75" hidden="1" customHeight="1">
      <c r="A150" s="1"/>
      <c r="B150" s="1"/>
      <c r="C150" s="13"/>
      <c r="D150" s="26" t="s">
        <v>91</v>
      </c>
      <c r="E150" s="42"/>
      <c r="F150" s="42"/>
      <c r="G150" s="42"/>
      <c r="H150" s="42"/>
      <c r="I150" s="42">
        <v>3.0</v>
      </c>
      <c r="J150" s="63"/>
      <c r="K150" s="63"/>
      <c r="L150" s="63"/>
      <c r="M150" s="63">
        <v>3.0</v>
      </c>
      <c r="N150" s="63"/>
      <c r="O150" s="42">
        <f t="shared" si="7"/>
        <v>3</v>
      </c>
      <c r="P150" s="42"/>
    </row>
    <row r="151" ht="15.75" hidden="1" customHeight="1">
      <c r="A151" s="1"/>
      <c r="B151" s="1"/>
      <c r="C151" s="13"/>
      <c r="D151" s="26" t="s">
        <v>92</v>
      </c>
      <c r="E151" s="42"/>
      <c r="F151" s="42"/>
      <c r="G151" s="42"/>
      <c r="H151" s="42"/>
      <c r="I151" s="42"/>
      <c r="J151" s="63"/>
      <c r="K151" s="63"/>
      <c r="L151" s="63"/>
      <c r="M151" s="63"/>
      <c r="N151" s="63"/>
      <c r="O151" s="42">
        <f t="shared" si="7"/>
        <v>0</v>
      </c>
      <c r="P151" s="42"/>
    </row>
    <row r="152" ht="15.75" hidden="1" customHeight="1">
      <c r="A152" s="1"/>
      <c r="B152" s="1"/>
      <c r="C152" s="13"/>
      <c r="D152" s="26" t="s">
        <v>100</v>
      </c>
      <c r="E152" s="42"/>
      <c r="F152" s="42"/>
      <c r="G152" s="42"/>
      <c r="H152" s="42"/>
      <c r="I152" s="42"/>
      <c r="J152" s="63"/>
      <c r="K152" s="63"/>
      <c r="L152" s="63"/>
      <c r="M152" s="63"/>
      <c r="N152" s="63"/>
      <c r="O152" s="42">
        <f t="shared" si="7"/>
        <v>0</v>
      </c>
      <c r="P152" s="42"/>
    </row>
    <row r="153" ht="15.75" hidden="1" customHeight="1">
      <c r="A153" s="1"/>
      <c r="B153" s="1"/>
      <c r="C153" s="13"/>
      <c r="D153" s="26" t="s">
        <v>94</v>
      </c>
      <c r="E153" s="42"/>
      <c r="F153" s="42"/>
      <c r="G153" s="42"/>
      <c r="H153" s="42"/>
      <c r="I153" s="42"/>
      <c r="J153" s="63"/>
      <c r="K153" s="63"/>
      <c r="L153" s="63"/>
      <c r="M153" s="63"/>
      <c r="N153" s="63"/>
      <c r="O153" s="42">
        <f t="shared" si="7"/>
        <v>0</v>
      </c>
      <c r="P153" s="42"/>
    </row>
    <row r="154" ht="15.75" hidden="1" customHeight="1">
      <c r="A154" s="1"/>
      <c r="B154" s="1"/>
      <c r="C154" s="21"/>
      <c r="D154" s="26" t="s">
        <v>96</v>
      </c>
      <c r="E154" s="42"/>
      <c r="F154" s="42"/>
      <c r="G154" s="42"/>
      <c r="H154" s="42"/>
      <c r="I154" s="42">
        <v>36.0</v>
      </c>
      <c r="J154" s="63"/>
      <c r="K154" s="63"/>
      <c r="L154" s="63"/>
      <c r="M154" s="63">
        <v>36.0</v>
      </c>
      <c r="N154" s="63"/>
      <c r="O154" s="42">
        <f t="shared" si="7"/>
        <v>36</v>
      </c>
      <c r="P154" s="42"/>
    </row>
    <row r="155" ht="15.75" hidden="1" customHeight="1">
      <c r="A155" s="1"/>
      <c r="B155" s="1"/>
      <c r="C155" s="34"/>
      <c r="D155" s="26" t="s">
        <v>135</v>
      </c>
      <c r="E155" s="42"/>
      <c r="F155" s="42"/>
      <c r="G155" s="42"/>
      <c r="H155" s="42"/>
      <c r="I155" s="42"/>
      <c r="J155" s="63"/>
      <c r="K155" s="63"/>
      <c r="L155" s="63"/>
      <c r="M155" s="63"/>
      <c r="N155" s="63"/>
      <c r="O155" s="42">
        <f t="shared" si="7"/>
        <v>0</v>
      </c>
      <c r="P155" s="42"/>
    </row>
    <row r="156" ht="15.75" hidden="1" customHeight="1">
      <c r="A156" s="1"/>
      <c r="B156" s="1"/>
      <c r="C156" s="34"/>
      <c r="D156" s="26" t="s">
        <v>186</v>
      </c>
      <c r="E156" s="42"/>
      <c r="F156" s="42"/>
      <c r="G156" s="42"/>
      <c r="H156" s="42"/>
      <c r="I156" s="42"/>
      <c r="J156" s="63"/>
      <c r="K156" s="63"/>
      <c r="L156" s="63"/>
      <c r="M156" s="63"/>
      <c r="N156" s="63"/>
      <c r="O156" s="42">
        <f t="shared" si="7"/>
        <v>0</v>
      </c>
      <c r="P156" s="42"/>
    </row>
    <row r="157" ht="15.75" hidden="1" customHeight="1">
      <c r="A157" s="1"/>
      <c r="B157" s="1"/>
      <c r="C157" s="34"/>
      <c r="D157" s="26" t="s">
        <v>105</v>
      </c>
      <c r="E157" s="42"/>
      <c r="F157" s="42"/>
      <c r="G157" s="42"/>
      <c r="H157" s="42"/>
      <c r="I157" s="42"/>
      <c r="J157" s="63"/>
      <c r="K157" s="63"/>
      <c r="L157" s="63"/>
      <c r="M157" s="63"/>
      <c r="N157" s="63"/>
      <c r="O157" s="42">
        <f t="shared" si="7"/>
        <v>0</v>
      </c>
      <c r="P157" s="42"/>
    </row>
    <row r="158" ht="15.75" hidden="1" customHeight="1">
      <c r="A158" s="1"/>
      <c r="B158" s="1"/>
      <c r="C158" s="34"/>
      <c r="D158" s="26" t="s">
        <v>181</v>
      </c>
      <c r="E158" s="42"/>
      <c r="F158" s="42"/>
      <c r="G158" s="42"/>
      <c r="H158" s="42"/>
      <c r="I158" s="42"/>
      <c r="J158" s="63"/>
      <c r="K158" s="63"/>
      <c r="L158" s="63"/>
      <c r="M158" s="63"/>
      <c r="N158" s="63"/>
      <c r="O158" s="42">
        <f t="shared" si="7"/>
        <v>0</v>
      </c>
      <c r="P158" s="42"/>
    </row>
    <row r="159" ht="15.75" hidden="1" customHeight="1">
      <c r="A159" s="1"/>
      <c r="B159" s="1"/>
      <c r="C159" s="34"/>
      <c r="D159" s="26" t="s">
        <v>183</v>
      </c>
      <c r="E159" s="42"/>
      <c r="F159" s="42"/>
      <c r="G159" s="42"/>
      <c r="H159" s="42"/>
      <c r="I159" s="42">
        <v>14.0</v>
      </c>
      <c r="J159" s="63"/>
      <c r="K159" s="63"/>
      <c r="L159" s="63"/>
      <c r="M159" s="63">
        <v>14.0</v>
      </c>
      <c r="N159" s="63"/>
      <c r="O159" s="42">
        <f t="shared" si="7"/>
        <v>14</v>
      </c>
      <c r="P159" s="42"/>
    </row>
    <row r="160" ht="15.75" hidden="1" customHeight="1">
      <c r="A160" s="1"/>
      <c r="B160" s="1"/>
      <c r="C160" s="34"/>
      <c r="D160" s="26" t="s">
        <v>136</v>
      </c>
      <c r="E160" s="42"/>
      <c r="F160" s="42"/>
      <c r="G160" s="42"/>
      <c r="H160" s="42"/>
      <c r="I160" s="42"/>
      <c r="J160" s="63"/>
      <c r="K160" s="63"/>
      <c r="L160" s="63"/>
      <c r="M160" s="63"/>
      <c r="N160" s="63"/>
      <c r="O160" s="42">
        <f t="shared" si="7"/>
        <v>0</v>
      </c>
      <c r="P160" s="42"/>
    </row>
    <row r="161" ht="15.75" hidden="1" customHeight="1">
      <c r="A161" s="1"/>
      <c r="B161" s="1"/>
      <c r="C161" s="34"/>
      <c r="D161" s="26" t="s">
        <v>190</v>
      </c>
      <c r="E161" s="42"/>
      <c r="F161" s="42"/>
      <c r="G161" s="42"/>
      <c r="H161" s="42"/>
      <c r="I161" s="42">
        <v>1.0</v>
      </c>
      <c r="J161" s="63"/>
      <c r="K161" s="63">
        <v>1.0</v>
      </c>
      <c r="L161" s="63"/>
      <c r="M161" s="63"/>
      <c r="N161" s="63"/>
      <c r="O161" s="42">
        <f t="shared" si="7"/>
        <v>1</v>
      </c>
      <c r="P161" s="42"/>
    </row>
    <row r="162" ht="15.75" hidden="1" customHeight="1">
      <c r="A162" s="1"/>
      <c r="B162" s="1"/>
      <c r="C162" s="34" t="s">
        <v>139</v>
      </c>
      <c r="D162" s="26" t="s">
        <v>191</v>
      </c>
      <c r="E162" s="42"/>
      <c r="F162" s="42"/>
      <c r="G162" s="42"/>
      <c r="H162" s="42"/>
      <c r="I162" s="42">
        <v>1.0</v>
      </c>
      <c r="J162" s="42"/>
      <c r="K162" s="42">
        <v>1.0</v>
      </c>
      <c r="L162" s="63"/>
      <c r="M162" s="63"/>
      <c r="N162" s="63"/>
      <c r="O162" s="42">
        <f t="shared" si="7"/>
        <v>1</v>
      </c>
      <c r="P162" s="42"/>
    </row>
    <row r="163" ht="15.75" hidden="1" customHeight="1">
      <c r="A163" s="1"/>
      <c r="B163" s="1"/>
      <c r="C163" s="13"/>
      <c r="D163" s="26" t="s">
        <v>192</v>
      </c>
      <c r="E163" s="42"/>
      <c r="F163" s="42"/>
      <c r="G163" s="42"/>
      <c r="H163" s="42"/>
      <c r="I163" s="42"/>
      <c r="J163" s="42"/>
      <c r="K163" s="42"/>
      <c r="L163" s="63"/>
      <c r="M163" s="63"/>
      <c r="N163" s="63"/>
      <c r="O163" s="42">
        <f t="shared" si="7"/>
        <v>0</v>
      </c>
      <c r="P163" s="42"/>
    </row>
    <row r="164" ht="15.75" hidden="1" customHeight="1">
      <c r="A164" s="1"/>
      <c r="B164" s="1"/>
      <c r="C164" s="21"/>
      <c r="D164" s="26" t="s">
        <v>139</v>
      </c>
      <c r="E164" s="75"/>
      <c r="F164" s="75"/>
      <c r="G164" s="75"/>
      <c r="H164" s="75"/>
      <c r="I164" s="75">
        <v>2.0</v>
      </c>
      <c r="J164" s="63"/>
      <c r="K164" s="63"/>
      <c r="L164" s="63">
        <v>1.0</v>
      </c>
      <c r="M164" s="63"/>
      <c r="N164" s="63"/>
      <c r="O164" s="42">
        <f t="shared" si="7"/>
        <v>1</v>
      </c>
      <c r="P164" s="42"/>
    </row>
    <row r="165" ht="15.75" hidden="1" customHeight="1">
      <c r="A165" s="1"/>
      <c r="B165" s="1"/>
      <c r="C165" s="24" t="s">
        <v>193</v>
      </c>
      <c r="D165" s="26" t="s">
        <v>193</v>
      </c>
      <c r="E165" s="42"/>
      <c r="F165" s="42"/>
      <c r="G165" s="42"/>
      <c r="H165" s="42"/>
      <c r="I165" s="42">
        <v>1.0</v>
      </c>
      <c r="J165" s="63"/>
      <c r="K165" s="63"/>
      <c r="L165" s="63"/>
      <c r="M165" s="63">
        <v>1.0</v>
      </c>
      <c r="N165" s="63"/>
      <c r="O165" s="42">
        <f t="shared" si="7"/>
        <v>1</v>
      </c>
      <c r="P165" s="42"/>
    </row>
    <row r="166" ht="15.75" hidden="1" customHeight="1">
      <c r="A166" s="1"/>
      <c r="B166" s="1"/>
      <c r="C166" s="81" t="s">
        <v>110</v>
      </c>
      <c r="D166" s="82"/>
      <c r="E166" s="42"/>
      <c r="F166" s="42"/>
      <c r="G166" s="42"/>
      <c r="H166" s="42"/>
      <c r="I166" s="42">
        <f>SUM(I104:I165)</f>
        <v>144</v>
      </c>
      <c r="J166" s="42"/>
      <c r="K166" s="42">
        <f t="shared" ref="K166:M166" si="8">SUM(K104:K165)</f>
        <v>16</v>
      </c>
      <c r="L166" s="42">
        <f t="shared" si="8"/>
        <v>16</v>
      </c>
      <c r="M166" s="42">
        <f t="shared" si="8"/>
        <v>112</v>
      </c>
      <c r="N166" s="42"/>
      <c r="O166" s="42">
        <f>SUM(O104:O165)</f>
        <v>144</v>
      </c>
      <c r="P166" s="42"/>
    </row>
    <row r="167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>
        <f>I166-O166</f>
        <v>0</v>
      </c>
      <c r="N167" s="1"/>
      <c r="O167" s="67">
        <f>O166/I166</f>
        <v>1</v>
      </c>
      <c r="P167" s="67"/>
    </row>
    <row r="168" ht="15.75" hidden="1" customHeight="1">
      <c r="A168" s="1"/>
      <c r="B168" s="1"/>
      <c r="C168" s="1"/>
      <c r="D168" s="1"/>
      <c r="E168" s="1"/>
      <c r="F168" s="1"/>
      <c r="G168" s="1"/>
      <c r="H168" s="1"/>
      <c r="I168" s="1" t="s">
        <v>199</v>
      </c>
      <c r="J168" s="1"/>
      <c r="K168" s="1"/>
      <c r="L168" s="1"/>
      <c r="M168" s="1"/>
      <c r="N168" s="1"/>
      <c r="O168" s="1"/>
      <c r="P168" s="1"/>
    </row>
    <row r="169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15.75" hidden="1" customHeight="1">
      <c r="A173" s="1"/>
      <c r="B173" s="1"/>
      <c r="C173" s="1"/>
      <c r="D173" s="1"/>
      <c r="E173" s="59"/>
      <c r="F173" s="59"/>
      <c r="G173" s="59"/>
      <c r="H173" s="59"/>
      <c r="I173" s="59" t="s">
        <v>195</v>
      </c>
      <c r="J173" s="1"/>
      <c r="K173" s="1"/>
      <c r="L173" s="1"/>
      <c r="M173" s="1"/>
      <c r="N173" s="1"/>
      <c r="O173" s="1"/>
      <c r="P173" s="1"/>
    </row>
    <row r="174" ht="15.75" hidden="1" customHeight="1">
      <c r="A174" s="1"/>
      <c r="B174" s="1"/>
      <c r="C174" s="1"/>
      <c r="D174" s="1"/>
      <c r="E174" s="1"/>
      <c r="F174" s="1"/>
      <c r="G174" s="1"/>
      <c r="H174" s="1"/>
      <c r="I174" s="1" t="s">
        <v>200</v>
      </c>
      <c r="J174" s="1"/>
      <c r="K174" s="1"/>
      <c r="L174" s="1"/>
      <c r="M174" s="1"/>
      <c r="N174" s="1"/>
      <c r="O174" s="1"/>
      <c r="P174" s="1"/>
    </row>
    <row r="175" ht="15.75" hidden="1" customHeight="1">
      <c r="A175" s="1"/>
      <c r="B175" s="1"/>
      <c r="C175" s="1"/>
      <c r="D175" s="1"/>
      <c r="E175" s="1"/>
      <c r="F175" s="1"/>
      <c r="G175" s="1"/>
      <c r="H175" s="1"/>
      <c r="I175" s="1" t="s">
        <v>201</v>
      </c>
      <c r="J175" s="1"/>
      <c r="K175" s="1"/>
      <c r="L175" s="1"/>
      <c r="M175" s="1"/>
      <c r="N175" s="1"/>
      <c r="O175" s="1"/>
      <c r="P175" s="1"/>
    </row>
    <row r="176" ht="15.75" hidden="1" customHeight="1">
      <c r="A176" s="1"/>
      <c r="B176" s="1"/>
      <c r="C176" s="1"/>
      <c r="D176" s="1"/>
      <c r="E176" s="1"/>
      <c r="F176" s="1"/>
      <c r="G176" s="1"/>
      <c r="H176" s="1"/>
      <c r="I176" s="1" t="s">
        <v>202</v>
      </c>
      <c r="J176" s="1"/>
      <c r="K176" s="1"/>
      <c r="L176" s="1"/>
      <c r="M176" s="1"/>
      <c r="N176" s="1"/>
      <c r="O176" s="1"/>
      <c r="P176" s="1"/>
    </row>
    <row r="177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85"/>
      <c r="K185" s="85"/>
      <c r="N185" s="85"/>
      <c r="O185" s="85"/>
      <c r="P185" s="85"/>
    </row>
    <row r="18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86"/>
      <c r="K186" s="86"/>
      <c r="L186" s="86"/>
      <c r="M186" s="86"/>
      <c r="N186" s="86"/>
      <c r="O186" s="86"/>
      <c r="P186" s="86"/>
    </row>
    <row r="187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86"/>
      <c r="K187" s="86"/>
      <c r="L187" s="86"/>
      <c r="M187" s="1"/>
      <c r="N187" s="1"/>
      <c r="O187" s="1"/>
      <c r="P187" s="1"/>
    </row>
    <row r="188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86"/>
      <c r="K188" s="86"/>
      <c r="L188" s="86"/>
      <c r="M188" s="86"/>
      <c r="N188" s="86"/>
      <c r="O188" s="86"/>
      <c r="P188" s="86"/>
    </row>
    <row r="189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87"/>
      <c r="K189" s="87"/>
      <c r="L189" s="1"/>
      <c r="M189" s="1"/>
      <c r="N189" s="1"/>
      <c r="O189" s="1"/>
      <c r="P189" s="1"/>
    </row>
    <row r="190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86"/>
      <c r="K190" s="86"/>
      <c r="L190" s="86"/>
      <c r="M190" s="1"/>
      <c r="N190" s="1"/>
      <c r="O190" s="1"/>
      <c r="P190" s="1"/>
    </row>
    <row r="191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C106:C108"/>
    <mergeCell ref="C109:C110"/>
    <mergeCell ref="C112:C117"/>
    <mergeCell ref="C118:C121"/>
    <mergeCell ref="C124:C125"/>
    <mergeCell ref="C127:C130"/>
    <mergeCell ref="C131:C154"/>
    <mergeCell ref="C162:C164"/>
    <mergeCell ref="C44:C46"/>
    <mergeCell ref="C47:C49"/>
    <mergeCell ref="C50:C67"/>
    <mergeCell ref="C68:C70"/>
    <mergeCell ref="C71:D71"/>
    <mergeCell ref="C100:C103"/>
    <mergeCell ref="D100:D103"/>
    <mergeCell ref="H5:H7"/>
    <mergeCell ref="I5:I7"/>
    <mergeCell ref="J5:J7"/>
    <mergeCell ref="K5:K7"/>
    <mergeCell ref="N5:N7"/>
    <mergeCell ref="O5:O7"/>
    <mergeCell ref="C2:D2"/>
    <mergeCell ref="E3:P3"/>
    <mergeCell ref="C4:C7"/>
    <mergeCell ref="D4:D7"/>
    <mergeCell ref="E4:J4"/>
    <mergeCell ref="K4:P4"/>
    <mergeCell ref="E5:E7"/>
    <mergeCell ref="P5:P7"/>
    <mergeCell ref="F5:F7"/>
    <mergeCell ref="G5:G7"/>
    <mergeCell ref="C9:C10"/>
    <mergeCell ref="C11:C17"/>
    <mergeCell ref="C18:C21"/>
    <mergeCell ref="C23:C35"/>
    <mergeCell ref="C36:C42"/>
    <mergeCell ref="M101:M103"/>
    <mergeCell ref="O101:O103"/>
    <mergeCell ref="K185:M185"/>
    <mergeCell ref="L5:L7"/>
    <mergeCell ref="M5:M7"/>
    <mergeCell ref="K99:M99"/>
    <mergeCell ref="I100:O100"/>
    <mergeCell ref="I101:I103"/>
    <mergeCell ref="K101:K103"/>
    <mergeCell ref="L101:L10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 outlineLevelCol="2"/>
  <cols>
    <col customWidth="1" hidden="1" min="1" max="2" width="5.29"/>
    <col customWidth="1" min="3" max="3" width="27.29"/>
    <col customWidth="1" min="4" max="4" width="38.43"/>
    <col customWidth="1" min="5" max="5" width="14.0" outlineLevel="2"/>
    <col customWidth="1" min="6" max="6" width="11.29"/>
    <col customWidth="1" min="7" max="7" width="12.29"/>
    <col customWidth="1" min="8" max="8" width="9.86"/>
    <col customWidth="1" min="9" max="9" width="13.29"/>
    <col customWidth="1" min="10" max="10" width="13.0"/>
    <col customWidth="1" min="11" max="11" width="10.86"/>
    <col customWidth="1" min="12" max="12" width="11.86"/>
    <col customWidth="1" min="13" max="13" width="8.0"/>
    <col customWidth="1" min="14" max="14" width="13.86"/>
    <col customWidth="1" min="15" max="15" width="12.0"/>
    <col customWidth="1" min="16" max="16" width="11.57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2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>
      <c r="A3" s="1"/>
      <c r="B3" s="1"/>
      <c r="C3" s="3" t="s">
        <v>485</v>
      </c>
      <c r="D3" s="4"/>
      <c r="E3" s="16" t="s">
        <v>11</v>
      </c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>
      <c r="A4" s="1"/>
      <c r="B4" s="1"/>
      <c r="C4" s="10" t="s">
        <v>5</v>
      </c>
      <c r="D4" s="12" t="s">
        <v>6</v>
      </c>
      <c r="E4" s="16" t="s">
        <v>7</v>
      </c>
      <c r="F4" s="7"/>
      <c r="G4" s="7"/>
      <c r="H4" s="7"/>
      <c r="I4" s="7"/>
      <c r="J4" s="8"/>
      <c r="K4" s="16" t="s">
        <v>8</v>
      </c>
      <c r="L4" s="7"/>
      <c r="M4" s="7"/>
      <c r="N4" s="7"/>
      <c r="O4" s="7"/>
      <c r="P4" s="8"/>
    </row>
    <row r="5">
      <c r="A5" s="1"/>
      <c r="B5" s="1"/>
      <c r="C5" s="13"/>
      <c r="D5" s="14"/>
      <c r="E5" s="22" t="s">
        <v>9</v>
      </c>
      <c r="F5" s="22" t="s">
        <v>10</v>
      </c>
      <c r="G5" s="22" t="s">
        <v>12</v>
      </c>
      <c r="H5" s="22" t="s">
        <v>13</v>
      </c>
      <c r="I5" s="25" t="s">
        <v>14</v>
      </c>
      <c r="J5" s="25" t="s">
        <v>15</v>
      </c>
      <c r="K5" s="22" t="s">
        <v>9</v>
      </c>
      <c r="L5" s="22" t="s">
        <v>10</v>
      </c>
      <c r="M5" s="22" t="s">
        <v>12</v>
      </c>
      <c r="N5" s="22" t="s">
        <v>13</v>
      </c>
      <c r="O5" s="25" t="s">
        <v>16</v>
      </c>
      <c r="P5" s="25" t="s">
        <v>17</v>
      </c>
    </row>
    <row r="6">
      <c r="A6" s="1"/>
      <c r="B6" s="1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>
      <c r="A7" s="1"/>
      <c r="B7" s="1"/>
      <c r="C7" s="2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>
      <c r="A8" s="1"/>
      <c r="B8" s="1"/>
      <c r="C8" s="24" t="s">
        <v>20</v>
      </c>
      <c r="D8" s="26" t="s">
        <v>20</v>
      </c>
      <c r="E8" s="38"/>
      <c r="F8" s="38"/>
      <c r="G8" s="38"/>
      <c r="H8" s="38"/>
      <c r="I8" s="38">
        <f t="shared" ref="I8:I69" si="1">SUM(E8:H8)</f>
        <v>0</v>
      </c>
      <c r="J8" s="38"/>
      <c r="K8" s="38"/>
      <c r="L8" s="38"/>
      <c r="M8" s="38"/>
      <c r="N8" s="38"/>
      <c r="O8" s="38">
        <f t="shared" ref="O8:O69" si="2">SUM(K8:N8)</f>
        <v>0</v>
      </c>
      <c r="P8" s="38"/>
    </row>
    <row r="9">
      <c r="A9" s="1"/>
      <c r="B9" s="1"/>
      <c r="C9" s="34" t="s">
        <v>18</v>
      </c>
      <c r="D9" s="26" t="s">
        <v>19</v>
      </c>
      <c r="E9" s="38">
        <v>1.0</v>
      </c>
      <c r="F9" s="38"/>
      <c r="G9" s="38"/>
      <c r="H9" s="38"/>
      <c r="I9" s="38">
        <f t="shared" si="1"/>
        <v>1</v>
      </c>
      <c r="J9" s="38"/>
      <c r="K9" s="38">
        <v>1.0</v>
      </c>
      <c r="L9" s="38"/>
      <c r="M9" s="38"/>
      <c r="N9" s="38"/>
      <c r="O9" s="38">
        <f t="shared" si="2"/>
        <v>1</v>
      </c>
      <c r="P9" s="38"/>
    </row>
    <row r="10">
      <c r="A10" s="1"/>
      <c r="B10" s="1"/>
      <c r="C10" s="21"/>
      <c r="D10" s="26" t="s">
        <v>36</v>
      </c>
      <c r="E10" s="38"/>
      <c r="F10" s="38"/>
      <c r="G10" s="38"/>
      <c r="H10" s="38"/>
      <c r="I10" s="38">
        <f t="shared" si="1"/>
        <v>0</v>
      </c>
      <c r="J10" s="38"/>
      <c r="K10" s="38"/>
      <c r="L10" s="38"/>
      <c r="M10" s="38"/>
      <c r="N10" s="38"/>
      <c r="O10" s="38">
        <f t="shared" si="2"/>
        <v>0</v>
      </c>
      <c r="P10" s="38"/>
    </row>
    <row r="11">
      <c r="A11" s="1"/>
      <c r="B11" s="1"/>
      <c r="C11" s="34" t="s">
        <v>21</v>
      </c>
      <c r="D11" s="26" t="s">
        <v>22</v>
      </c>
      <c r="E11" s="38"/>
      <c r="F11" s="38"/>
      <c r="G11" s="38"/>
      <c r="H11" s="38"/>
      <c r="I11" s="38">
        <f t="shared" si="1"/>
        <v>0</v>
      </c>
      <c r="J11" s="38"/>
      <c r="K11" s="38"/>
      <c r="L11" s="38"/>
      <c r="M11" s="38"/>
      <c r="N11" s="38"/>
      <c r="O11" s="38">
        <f t="shared" si="2"/>
        <v>0</v>
      </c>
      <c r="P11" s="38"/>
    </row>
    <row r="12">
      <c r="A12" s="1"/>
      <c r="B12" s="1"/>
      <c r="C12" s="13"/>
      <c r="D12" s="26" t="s">
        <v>25</v>
      </c>
      <c r="E12" s="38"/>
      <c r="F12" s="38"/>
      <c r="G12" s="38"/>
      <c r="H12" s="38"/>
      <c r="I12" s="38">
        <f t="shared" si="1"/>
        <v>0</v>
      </c>
      <c r="J12" s="38"/>
      <c r="K12" s="38"/>
      <c r="L12" s="38"/>
      <c r="M12" s="38"/>
      <c r="N12" s="38"/>
      <c r="O12" s="38">
        <f t="shared" si="2"/>
        <v>0</v>
      </c>
      <c r="P12" s="38"/>
    </row>
    <row r="13">
      <c r="A13" s="1"/>
      <c r="B13" s="1"/>
      <c r="C13" s="13"/>
      <c r="D13" s="26" t="s">
        <v>23</v>
      </c>
      <c r="E13" s="38"/>
      <c r="F13" s="38"/>
      <c r="G13" s="38"/>
      <c r="H13" s="38"/>
      <c r="I13" s="38">
        <f t="shared" si="1"/>
        <v>0</v>
      </c>
      <c r="J13" s="38"/>
      <c r="K13" s="38"/>
      <c r="L13" s="38"/>
      <c r="M13" s="38"/>
      <c r="N13" s="38"/>
      <c r="O13" s="38">
        <f t="shared" si="2"/>
        <v>0</v>
      </c>
      <c r="P13" s="38"/>
    </row>
    <row r="14">
      <c r="A14" s="1"/>
      <c r="B14" s="1"/>
      <c r="C14" s="13"/>
      <c r="D14" s="26" t="s">
        <v>24</v>
      </c>
      <c r="E14" s="38"/>
      <c r="F14" s="38"/>
      <c r="G14" s="38">
        <v>1.0</v>
      </c>
      <c r="H14" s="38"/>
      <c r="I14" s="38">
        <f t="shared" si="1"/>
        <v>1</v>
      </c>
      <c r="J14" s="38"/>
      <c r="K14" s="38"/>
      <c r="L14" s="38"/>
      <c r="M14" s="38">
        <v>1.0</v>
      </c>
      <c r="N14" s="38"/>
      <c r="O14" s="38">
        <f t="shared" si="2"/>
        <v>1</v>
      </c>
      <c r="P14" s="38"/>
    </row>
    <row r="15">
      <c r="A15" s="1"/>
      <c r="B15" s="1"/>
      <c r="C15" s="13"/>
      <c r="D15" s="26" t="s">
        <v>26</v>
      </c>
      <c r="E15" s="38"/>
      <c r="F15" s="38"/>
      <c r="G15" s="38">
        <v>4.0</v>
      </c>
      <c r="H15" s="38"/>
      <c r="I15" s="38">
        <f t="shared" si="1"/>
        <v>4</v>
      </c>
      <c r="J15" s="38"/>
      <c r="K15" s="38"/>
      <c r="L15" s="38"/>
      <c r="M15" s="38">
        <v>4.0</v>
      </c>
      <c r="N15" s="38"/>
      <c r="O15" s="38">
        <f t="shared" si="2"/>
        <v>4</v>
      </c>
      <c r="P15" s="38"/>
    </row>
    <row r="16">
      <c r="A16" s="1"/>
      <c r="B16" s="1"/>
      <c r="C16" s="13"/>
      <c r="D16" s="26" t="s">
        <v>27</v>
      </c>
      <c r="E16" s="38"/>
      <c r="F16" s="38">
        <v>1.0</v>
      </c>
      <c r="G16" s="38"/>
      <c r="H16" s="38"/>
      <c r="I16" s="38">
        <f t="shared" si="1"/>
        <v>1</v>
      </c>
      <c r="J16" s="38"/>
      <c r="K16" s="38"/>
      <c r="L16" s="38">
        <v>1.0</v>
      </c>
      <c r="M16" s="38"/>
      <c r="N16" s="38"/>
      <c r="O16" s="38">
        <f t="shared" si="2"/>
        <v>1</v>
      </c>
      <c r="P16" s="38"/>
    </row>
    <row r="17">
      <c r="A17" s="1"/>
      <c r="B17" s="1"/>
      <c r="C17" s="21"/>
      <c r="D17" s="26" t="s">
        <v>28</v>
      </c>
      <c r="E17" s="38"/>
      <c r="F17" s="38"/>
      <c r="G17" s="38">
        <v>2.0</v>
      </c>
      <c r="H17" s="38"/>
      <c r="I17" s="38">
        <f t="shared" si="1"/>
        <v>2</v>
      </c>
      <c r="J17" s="38"/>
      <c r="K17" s="38"/>
      <c r="L17" s="38"/>
      <c r="M17" s="38">
        <v>2.0</v>
      </c>
      <c r="N17" s="38"/>
      <c r="O17" s="38">
        <f t="shared" si="2"/>
        <v>2</v>
      </c>
      <c r="P17" s="38"/>
    </row>
    <row r="18">
      <c r="A18" s="1"/>
      <c r="B18" s="1"/>
      <c r="C18" s="34" t="s">
        <v>29</v>
      </c>
      <c r="D18" s="26" t="s">
        <v>30</v>
      </c>
      <c r="E18" s="38"/>
      <c r="F18" s="38"/>
      <c r="G18" s="38"/>
      <c r="H18" s="38"/>
      <c r="I18" s="38">
        <f t="shared" si="1"/>
        <v>0</v>
      </c>
      <c r="J18" s="38"/>
      <c r="K18" s="38"/>
      <c r="L18" s="38"/>
      <c r="M18" s="38"/>
      <c r="N18" s="38"/>
      <c r="O18" s="38">
        <f t="shared" si="2"/>
        <v>0</v>
      </c>
      <c r="P18" s="38"/>
    </row>
    <row r="19">
      <c r="A19" s="1"/>
      <c r="B19" s="1"/>
      <c r="C19" s="13"/>
      <c r="D19" s="26" t="s">
        <v>31</v>
      </c>
      <c r="E19" s="38">
        <v>1.0</v>
      </c>
      <c r="F19" s="38">
        <f>2+2</f>
        <v>4</v>
      </c>
      <c r="G19" s="38"/>
      <c r="H19" s="38"/>
      <c r="I19" s="38">
        <f t="shared" si="1"/>
        <v>5</v>
      </c>
      <c r="J19" s="38"/>
      <c r="K19" s="38">
        <v>1.0</v>
      </c>
      <c r="L19" s="38">
        <v>2.0</v>
      </c>
      <c r="M19" s="38"/>
      <c r="N19" s="38"/>
      <c r="O19" s="38">
        <f t="shared" si="2"/>
        <v>3</v>
      </c>
      <c r="P19" s="38"/>
    </row>
    <row r="20">
      <c r="A20" s="1"/>
      <c r="B20" s="1"/>
      <c r="C20" s="13"/>
      <c r="D20" s="26" t="s">
        <v>32</v>
      </c>
      <c r="E20" s="38">
        <v>1.0</v>
      </c>
      <c r="F20" s="38"/>
      <c r="G20" s="38">
        <v>2.0</v>
      </c>
      <c r="H20" s="38"/>
      <c r="I20" s="38">
        <f t="shared" si="1"/>
        <v>3</v>
      </c>
      <c r="J20" s="38"/>
      <c r="K20" s="38">
        <v>1.0</v>
      </c>
      <c r="L20" s="38"/>
      <c r="M20" s="38">
        <v>2.0</v>
      </c>
      <c r="N20" s="38"/>
      <c r="O20" s="38">
        <f t="shared" si="2"/>
        <v>3</v>
      </c>
      <c r="P20" s="38"/>
    </row>
    <row r="21" ht="15.75" customHeight="1">
      <c r="A21" s="1"/>
      <c r="B21" s="1"/>
      <c r="C21" s="21"/>
      <c r="D21" s="26" t="s">
        <v>33</v>
      </c>
      <c r="E21" s="38"/>
      <c r="F21" s="38"/>
      <c r="G21" s="38"/>
      <c r="H21" s="38"/>
      <c r="I21" s="38">
        <f t="shared" si="1"/>
        <v>0</v>
      </c>
      <c r="J21" s="38"/>
      <c r="K21" s="38"/>
      <c r="L21" s="38"/>
      <c r="M21" s="38"/>
      <c r="N21" s="38"/>
      <c r="O21" s="38">
        <f t="shared" si="2"/>
        <v>0</v>
      </c>
      <c r="P21" s="38"/>
    </row>
    <row r="22" ht="15.75" customHeight="1">
      <c r="A22" s="1"/>
      <c r="B22" s="1"/>
      <c r="C22" s="24" t="s">
        <v>34</v>
      </c>
      <c r="D22" s="26" t="s">
        <v>35</v>
      </c>
      <c r="E22" s="38"/>
      <c r="F22" s="38"/>
      <c r="G22" s="38"/>
      <c r="H22" s="38"/>
      <c r="I22" s="38">
        <f t="shared" si="1"/>
        <v>0</v>
      </c>
      <c r="J22" s="38"/>
      <c r="K22" s="38"/>
      <c r="L22" s="38"/>
      <c r="M22" s="38"/>
      <c r="N22" s="38"/>
      <c r="O22" s="38">
        <f t="shared" si="2"/>
        <v>0</v>
      </c>
      <c r="P22" s="38"/>
    </row>
    <row r="23" ht="15.75" customHeight="1">
      <c r="A23" s="1"/>
      <c r="B23" s="1"/>
      <c r="C23" s="41" t="s">
        <v>63</v>
      </c>
      <c r="D23" s="26" t="s">
        <v>38</v>
      </c>
      <c r="E23" s="38"/>
      <c r="F23" s="38"/>
      <c r="G23" s="38"/>
      <c r="H23" s="38"/>
      <c r="I23" s="38">
        <f t="shared" si="1"/>
        <v>0</v>
      </c>
      <c r="J23" s="38"/>
      <c r="K23" s="38"/>
      <c r="L23" s="38"/>
      <c r="M23" s="38"/>
      <c r="N23" s="38"/>
      <c r="O23" s="38">
        <f t="shared" si="2"/>
        <v>0</v>
      </c>
      <c r="P23" s="38"/>
    </row>
    <row r="24" ht="15.75" customHeight="1">
      <c r="A24" s="1"/>
      <c r="B24" s="1"/>
      <c r="C24" s="13"/>
      <c r="D24" s="26" t="s">
        <v>39</v>
      </c>
      <c r="E24" s="38"/>
      <c r="F24" s="38"/>
      <c r="G24" s="38"/>
      <c r="H24" s="38"/>
      <c r="I24" s="38">
        <f t="shared" si="1"/>
        <v>0</v>
      </c>
      <c r="J24" s="38"/>
      <c r="K24" s="38"/>
      <c r="L24" s="38"/>
      <c r="M24" s="38"/>
      <c r="N24" s="38"/>
      <c r="O24" s="38">
        <f t="shared" si="2"/>
        <v>0</v>
      </c>
      <c r="P24" s="38"/>
    </row>
    <row r="25" ht="15.75" customHeight="1">
      <c r="A25" s="1"/>
      <c r="B25" s="1"/>
      <c r="C25" s="13"/>
      <c r="D25" s="26" t="s">
        <v>41</v>
      </c>
      <c r="E25" s="38">
        <v>1.0</v>
      </c>
      <c r="F25" s="38"/>
      <c r="G25" s="38"/>
      <c r="H25" s="38"/>
      <c r="I25" s="38">
        <f t="shared" si="1"/>
        <v>1</v>
      </c>
      <c r="J25" s="38"/>
      <c r="K25" s="38">
        <v>1.0</v>
      </c>
      <c r="L25" s="38"/>
      <c r="M25" s="38"/>
      <c r="N25" s="38"/>
      <c r="O25" s="38">
        <f t="shared" si="2"/>
        <v>1</v>
      </c>
      <c r="P25" s="38"/>
    </row>
    <row r="26" ht="15.75" customHeight="1">
      <c r="A26" s="1"/>
      <c r="B26" s="1"/>
      <c r="C26" s="13"/>
      <c r="D26" s="26" t="s">
        <v>43</v>
      </c>
      <c r="E26" s="38"/>
      <c r="F26" s="38"/>
      <c r="G26" s="38">
        <v>1.0</v>
      </c>
      <c r="H26" s="38"/>
      <c r="I26" s="38">
        <f t="shared" si="1"/>
        <v>1</v>
      </c>
      <c r="J26" s="38"/>
      <c r="K26" s="38"/>
      <c r="L26" s="38"/>
      <c r="M26" s="38">
        <v>1.0</v>
      </c>
      <c r="N26" s="38"/>
      <c r="O26" s="38">
        <f t="shared" si="2"/>
        <v>1</v>
      </c>
      <c r="P26" s="38"/>
    </row>
    <row r="27" ht="15.75" customHeight="1">
      <c r="A27" s="1"/>
      <c r="B27" s="1"/>
      <c r="C27" s="13"/>
      <c r="D27" s="26" t="s">
        <v>40</v>
      </c>
      <c r="E27" s="38"/>
      <c r="F27" s="38"/>
      <c r="G27" s="38"/>
      <c r="H27" s="38"/>
      <c r="I27" s="38">
        <f t="shared" si="1"/>
        <v>0</v>
      </c>
      <c r="J27" s="38"/>
      <c r="K27" s="38"/>
      <c r="L27" s="38"/>
      <c r="M27" s="38"/>
      <c r="N27" s="38"/>
      <c r="O27" s="38">
        <f t="shared" si="2"/>
        <v>0</v>
      </c>
      <c r="P27" s="38"/>
    </row>
    <row r="28" ht="15.75" customHeight="1">
      <c r="A28" s="1"/>
      <c r="B28" s="1"/>
      <c r="C28" s="13"/>
      <c r="D28" s="26" t="s">
        <v>42</v>
      </c>
      <c r="E28" s="38"/>
      <c r="F28" s="38"/>
      <c r="G28" s="38"/>
      <c r="H28" s="38"/>
      <c r="I28" s="38">
        <f t="shared" si="1"/>
        <v>0</v>
      </c>
      <c r="J28" s="38"/>
      <c r="K28" s="38"/>
      <c r="L28" s="38"/>
      <c r="M28" s="38"/>
      <c r="N28" s="38"/>
      <c r="O28" s="38">
        <f t="shared" si="2"/>
        <v>0</v>
      </c>
      <c r="P28" s="38"/>
    </row>
    <row r="29" ht="15.75" customHeight="1">
      <c r="A29" s="1"/>
      <c r="B29" s="1"/>
      <c r="C29" s="13"/>
      <c r="D29" s="26" t="s">
        <v>78</v>
      </c>
      <c r="E29" s="38"/>
      <c r="F29" s="38"/>
      <c r="G29" s="38"/>
      <c r="H29" s="38"/>
      <c r="I29" s="38">
        <f t="shared" si="1"/>
        <v>0</v>
      </c>
      <c r="J29" s="38"/>
      <c r="K29" s="38"/>
      <c r="L29" s="38"/>
      <c r="M29" s="38"/>
      <c r="N29" s="38"/>
      <c r="O29" s="38">
        <f t="shared" si="2"/>
        <v>0</v>
      </c>
      <c r="P29" s="38"/>
    </row>
    <row r="30" ht="15.75" customHeight="1">
      <c r="A30" s="43"/>
      <c r="B30" s="43"/>
      <c r="C30" s="13"/>
      <c r="D30" s="26" t="s">
        <v>44</v>
      </c>
      <c r="E30" s="38"/>
      <c r="F30" s="38">
        <v>1.0</v>
      </c>
      <c r="G30" s="38">
        <v>2.0</v>
      </c>
      <c r="H30" s="38"/>
      <c r="I30" s="38">
        <f t="shared" si="1"/>
        <v>3</v>
      </c>
      <c r="J30" s="38"/>
      <c r="K30" s="38"/>
      <c r="L30" s="38">
        <v>1.0</v>
      </c>
      <c r="M30" s="38">
        <v>2.0</v>
      </c>
      <c r="N30" s="38"/>
      <c r="O30" s="38">
        <f t="shared" si="2"/>
        <v>3</v>
      </c>
      <c r="P30" s="38"/>
    </row>
    <row r="31" ht="15.75" customHeight="1">
      <c r="A31" s="1"/>
      <c r="B31" s="1"/>
      <c r="C31" s="13"/>
      <c r="D31" s="26" t="s">
        <v>45</v>
      </c>
      <c r="E31" s="38"/>
      <c r="F31" s="38"/>
      <c r="G31" s="38"/>
      <c r="H31" s="38"/>
      <c r="I31" s="38">
        <f t="shared" si="1"/>
        <v>0</v>
      </c>
      <c r="J31" s="38"/>
      <c r="K31" s="38"/>
      <c r="L31" s="38"/>
      <c r="M31" s="38"/>
      <c r="N31" s="38"/>
      <c r="O31" s="38">
        <f t="shared" si="2"/>
        <v>0</v>
      </c>
      <c r="P31" s="38"/>
    </row>
    <row r="32" ht="15.75" customHeight="1">
      <c r="A32" s="1"/>
      <c r="B32" s="1"/>
      <c r="C32" s="13"/>
      <c r="D32" s="26" t="s">
        <v>46</v>
      </c>
      <c r="E32" s="38"/>
      <c r="F32" s="38"/>
      <c r="G32" s="38">
        <v>1.0</v>
      </c>
      <c r="H32" s="38"/>
      <c r="I32" s="38">
        <f t="shared" si="1"/>
        <v>1</v>
      </c>
      <c r="J32" s="38"/>
      <c r="K32" s="38"/>
      <c r="L32" s="38"/>
      <c r="M32" s="38">
        <v>1.0</v>
      </c>
      <c r="N32" s="38"/>
      <c r="O32" s="38">
        <f t="shared" si="2"/>
        <v>1</v>
      </c>
      <c r="P32" s="38"/>
    </row>
    <row r="33" ht="15.75" customHeight="1">
      <c r="A33" s="1"/>
      <c r="B33" s="1"/>
      <c r="C33" s="13"/>
      <c r="D33" s="26" t="s">
        <v>47</v>
      </c>
      <c r="E33" s="38"/>
      <c r="F33" s="38"/>
      <c r="G33" s="38">
        <v>2.0</v>
      </c>
      <c r="H33" s="38"/>
      <c r="I33" s="38">
        <f t="shared" si="1"/>
        <v>2</v>
      </c>
      <c r="J33" s="38"/>
      <c r="K33" s="38"/>
      <c r="L33" s="38"/>
      <c r="M33" s="38">
        <v>2.0</v>
      </c>
      <c r="N33" s="38"/>
      <c r="O33" s="38">
        <f t="shared" si="2"/>
        <v>2</v>
      </c>
      <c r="P33" s="38"/>
    </row>
    <row r="34" ht="15.75" customHeight="1">
      <c r="A34" s="1"/>
      <c r="B34" s="1"/>
      <c r="C34" s="13"/>
      <c r="D34" s="26" t="s">
        <v>48</v>
      </c>
      <c r="E34" s="38"/>
      <c r="F34" s="38"/>
      <c r="G34" s="38"/>
      <c r="H34" s="38"/>
      <c r="I34" s="38">
        <f t="shared" si="1"/>
        <v>0</v>
      </c>
      <c r="J34" s="38"/>
      <c r="K34" s="38"/>
      <c r="L34" s="38"/>
      <c r="M34" s="38"/>
      <c r="N34" s="38"/>
      <c r="O34" s="38">
        <f t="shared" si="2"/>
        <v>0</v>
      </c>
      <c r="P34" s="38"/>
    </row>
    <row r="35" ht="15.75" customHeight="1">
      <c r="A35" s="1"/>
      <c r="B35" s="1"/>
      <c r="C35" s="41" t="s">
        <v>49</v>
      </c>
      <c r="D35" s="26" t="s">
        <v>50</v>
      </c>
      <c r="E35" s="38"/>
      <c r="F35" s="38"/>
      <c r="G35" s="38"/>
      <c r="H35" s="38"/>
      <c r="I35" s="38">
        <f t="shared" si="1"/>
        <v>0</v>
      </c>
      <c r="J35" s="38"/>
      <c r="K35" s="38"/>
      <c r="L35" s="38"/>
      <c r="M35" s="38"/>
      <c r="N35" s="38"/>
      <c r="O35" s="38">
        <f t="shared" si="2"/>
        <v>0</v>
      </c>
      <c r="P35" s="38"/>
    </row>
    <row r="36" ht="15.75" customHeight="1">
      <c r="A36" s="1"/>
      <c r="B36" s="1"/>
      <c r="C36" s="13"/>
      <c r="D36" s="26" t="s">
        <v>95</v>
      </c>
      <c r="E36" s="38"/>
      <c r="F36" s="38"/>
      <c r="G36" s="38"/>
      <c r="H36" s="38"/>
      <c r="I36" s="38">
        <f t="shared" si="1"/>
        <v>0</v>
      </c>
      <c r="J36" s="38"/>
      <c r="K36" s="38"/>
      <c r="L36" s="38"/>
      <c r="M36" s="38"/>
      <c r="N36" s="38"/>
      <c r="O36" s="38">
        <f t="shared" si="2"/>
        <v>0</v>
      </c>
      <c r="P36" s="38"/>
    </row>
    <row r="37" ht="15.75" customHeight="1">
      <c r="A37" s="1"/>
      <c r="B37" s="1"/>
      <c r="C37" s="13"/>
      <c r="D37" s="26" t="s">
        <v>51</v>
      </c>
      <c r="E37" s="38"/>
      <c r="F37" s="38">
        <v>1.0</v>
      </c>
      <c r="G37" s="38">
        <v>1.0</v>
      </c>
      <c r="H37" s="38"/>
      <c r="I37" s="38">
        <f t="shared" si="1"/>
        <v>2</v>
      </c>
      <c r="J37" s="38"/>
      <c r="K37" s="38"/>
      <c r="L37" s="38">
        <v>1.0</v>
      </c>
      <c r="M37" s="38">
        <v>1.0</v>
      </c>
      <c r="N37" s="38"/>
      <c r="O37" s="38">
        <f t="shared" si="2"/>
        <v>2</v>
      </c>
      <c r="P37" s="38"/>
    </row>
    <row r="38" ht="15.75" customHeight="1">
      <c r="A38" s="1"/>
      <c r="B38" s="1"/>
      <c r="C38" s="13"/>
      <c r="D38" s="26" t="s">
        <v>52</v>
      </c>
      <c r="E38" s="38"/>
      <c r="F38" s="38"/>
      <c r="G38" s="38"/>
      <c r="H38" s="38"/>
      <c r="I38" s="38">
        <f t="shared" si="1"/>
        <v>0</v>
      </c>
      <c r="J38" s="38"/>
      <c r="K38" s="38"/>
      <c r="L38" s="38"/>
      <c r="M38" s="38"/>
      <c r="N38" s="38"/>
      <c r="O38" s="38">
        <f t="shared" si="2"/>
        <v>0</v>
      </c>
      <c r="P38" s="38"/>
    </row>
    <row r="39" ht="15.75" customHeight="1">
      <c r="A39" s="1"/>
      <c r="B39" s="1"/>
      <c r="C39" s="13"/>
      <c r="D39" s="26" t="s">
        <v>104</v>
      </c>
      <c r="E39" s="38"/>
      <c r="F39" s="38"/>
      <c r="G39" s="38"/>
      <c r="H39" s="38"/>
      <c r="I39" s="38">
        <f t="shared" si="1"/>
        <v>0</v>
      </c>
      <c r="J39" s="38"/>
      <c r="K39" s="38"/>
      <c r="L39" s="38"/>
      <c r="M39" s="38"/>
      <c r="N39" s="38"/>
      <c r="O39" s="38">
        <f t="shared" si="2"/>
        <v>0</v>
      </c>
      <c r="P39" s="38"/>
    </row>
    <row r="40" ht="15.75" customHeight="1">
      <c r="A40" s="1"/>
      <c r="B40" s="1"/>
      <c r="C40" s="13"/>
      <c r="D40" s="26" t="s">
        <v>55</v>
      </c>
      <c r="E40" s="38"/>
      <c r="F40" s="38"/>
      <c r="G40" s="38"/>
      <c r="H40" s="38"/>
      <c r="I40" s="38">
        <f t="shared" si="1"/>
        <v>0</v>
      </c>
      <c r="J40" s="38"/>
      <c r="K40" s="38"/>
      <c r="L40" s="38"/>
      <c r="M40" s="38"/>
      <c r="N40" s="38"/>
      <c r="O40" s="38">
        <f t="shared" si="2"/>
        <v>0</v>
      </c>
      <c r="P40" s="38"/>
    </row>
    <row r="41" ht="15.75" customHeight="1">
      <c r="A41" s="1"/>
      <c r="B41" s="1"/>
      <c r="C41" s="21"/>
      <c r="D41" s="26" t="s">
        <v>106</v>
      </c>
      <c r="E41" s="38"/>
      <c r="F41" s="38"/>
      <c r="G41" s="38"/>
      <c r="H41" s="38"/>
      <c r="I41" s="38">
        <f t="shared" si="1"/>
        <v>0</v>
      </c>
      <c r="J41" s="38"/>
      <c r="K41" s="38"/>
      <c r="L41" s="38"/>
      <c r="M41" s="38"/>
      <c r="N41" s="38"/>
      <c r="O41" s="38">
        <f t="shared" si="2"/>
        <v>0</v>
      </c>
      <c r="P41" s="38"/>
    </row>
    <row r="42" ht="15.75" customHeight="1">
      <c r="A42" s="1"/>
      <c r="B42" s="1"/>
      <c r="C42" s="49" t="s">
        <v>53</v>
      </c>
      <c r="D42" s="26" t="s">
        <v>53</v>
      </c>
      <c r="E42" s="38"/>
      <c r="F42" s="38"/>
      <c r="G42" s="38"/>
      <c r="H42" s="38"/>
      <c r="I42" s="38">
        <f t="shared" si="1"/>
        <v>0</v>
      </c>
      <c r="J42" s="38"/>
      <c r="K42" s="38"/>
      <c r="L42" s="38"/>
      <c r="M42" s="38"/>
      <c r="N42" s="38"/>
      <c r="O42" s="38">
        <f t="shared" si="2"/>
        <v>0</v>
      </c>
      <c r="P42" s="38"/>
    </row>
    <row r="43" ht="15.75" customHeight="1">
      <c r="A43" s="1"/>
      <c r="B43" s="1"/>
      <c r="C43" s="34" t="s">
        <v>54</v>
      </c>
      <c r="D43" s="26" t="s">
        <v>56</v>
      </c>
      <c r="E43" s="38"/>
      <c r="F43" s="38"/>
      <c r="G43" s="38"/>
      <c r="H43" s="38"/>
      <c r="I43" s="38">
        <f t="shared" si="1"/>
        <v>0</v>
      </c>
      <c r="J43" s="38"/>
      <c r="K43" s="38"/>
      <c r="L43" s="38"/>
      <c r="M43" s="38"/>
      <c r="N43" s="38"/>
      <c r="O43" s="38">
        <f t="shared" si="2"/>
        <v>0</v>
      </c>
      <c r="P43" s="38"/>
    </row>
    <row r="44" ht="15.75" customHeight="1">
      <c r="A44" s="1"/>
      <c r="B44" s="1"/>
      <c r="C44" s="13"/>
      <c r="D44" s="26" t="s">
        <v>111</v>
      </c>
      <c r="E44" s="38">
        <v>1.0</v>
      </c>
      <c r="F44" s="38"/>
      <c r="G44" s="38"/>
      <c r="H44" s="38"/>
      <c r="I44" s="38">
        <f t="shared" si="1"/>
        <v>1</v>
      </c>
      <c r="J44" s="38"/>
      <c r="K44" s="38">
        <v>1.0</v>
      </c>
      <c r="L44" s="38"/>
      <c r="M44" s="38"/>
      <c r="N44" s="38"/>
      <c r="O44" s="38">
        <f t="shared" si="2"/>
        <v>1</v>
      </c>
      <c r="P44" s="38"/>
    </row>
    <row r="45" ht="15.75" customHeight="1">
      <c r="A45" s="1"/>
      <c r="B45" s="1"/>
      <c r="C45" s="21"/>
      <c r="D45" s="26" t="s">
        <v>54</v>
      </c>
      <c r="E45" s="38"/>
      <c r="F45" s="38"/>
      <c r="G45" s="38">
        <v>3.0</v>
      </c>
      <c r="H45" s="38"/>
      <c r="I45" s="38">
        <f t="shared" si="1"/>
        <v>3</v>
      </c>
      <c r="J45" s="38"/>
      <c r="K45" s="38"/>
      <c r="L45" s="38"/>
      <c r="M45" s="38">
        <v>3.0</v>
      </c>
      <c r="N45" s="38"/>
      <c r="O45" s="38">
        <f t="shared" si="2"/>
        <v>3</v>
      </c>
      <c r="P45" s="38"/>
    </row>
    <row r="46" ht="15.75" customHeight="1">
      <c r="A46" s="1"/>
      <c r="B46" s="1"/>
      <c r="C46" s="34" t="s">
        <v>57</v>
      </c>
      <c r="D46" s="26" t="s">
        <v>59</v>
      </c>
      <c r="E46" s="38"/>
      <c r="F46" s="38"/>
      <c r="G46" s="38"/>
      <c r="H46" s="38"/>
      <c r="I46" s="38">
        <f t="shared" si="1"/>
        <v>0</v>
      </c>
      <c r="J46" s="38"/>
      <c r="K46" s="38"/>
      <c r="L46" s="38"/>
      <c r="M46" s="38"/>
      <c r="N46" s="38"/>
      <c r="O46" s="38">
        <f t="shared" si="2"/>
        <v>0</v>
      </c>
      <c r="P46" s="38"/>
    </row>
    <row r="47" ht="15.75" customHeight="1">
      <c r="A47" s="1"/>
      <c r="B47" s="1"/>
      <c r="C47" s="13"/>
      <c r="D47" s="26" t="s">
        <v>114</v>
      </c>
      <c r="E47" s="38"/>
      <c r="F47" s="38"/>
      <c r="G47" s="38"/>
      <c r="H47" s="38"/>
      <c r="I47" s="38">
        <f t="shared" si="1"/>
        <v>0</v>
      </c>
      <c r="J47" s="38"/>
      <c r="K47" s="38"/>
      <c r="L47" s="38"/>
      <c r="M47" s="38"/>
      <c r="N47" s="38"/>
      <c r="O47" s="38">
        <f t="shared" si="2"/>
        <v>0</v>
      </c>
      <c r="P47" s="38"/>
    </row>
    <row r="48" ht="15.75" customHeight="1">
      <c r="A48" s="1"/>
      <c r="B48" s="1"/>
      <c r="C48" s="21"/>
      <c r="D48" s="26" t="s">
        <v>60</v>
      </c>
      <c r="E48" s="38">
        <v>1.0</v>
      </c>
      <c r="F48" s="38">
        <v>1.0</v>
      </c>
      <c r="G48" s="38"/>
      <c r="H48" s="38"/>
      <c r="I48" s="38">
        <f t="shared" si="1"/>
        <v>2</v>
      </c>
      <c r="J48" s="38"/>
      <c r="K48" s="38">
        <v>1.0</v>
      </c>
      <c r="L48" s="38">
        <v>1.0</v>
      </c>
      <c r="M48" s="38"/>
      <c r="N48" s="38"/>
      <c r="O48" s="38">
        <f t="shared" si="2"/>
        <v>2</v>
      </c>
      <c r="P48" s="38"/>
    </row>
    <row r="49" ht="15.75" customHeight="1">
      <c r="A49" s="1"/>
      <c r="B49" s="1"/>
      <c r="C49" s="34" t="s">
        <v>62</v>
      </c>
      <c r="D49" s="26" t="s">
        <v>64</v>
      </c>
      <c r="E49" s="38">
        <v>1.0</v>
      </c>
      <c r="F49" s="38"/>
      <c r="G49" s="38"/>
      <c r="H49" s="38"/>
      <c r="I49" s="38">
        <f t="shared" si="1"/>
        <v>1</v>
      </c>
      <c r="J49" s="38"/>
      <c r="K49" s="38">
        <v>1.0</v>
      </c>
      <c r="L49" s="38"/>
      <c r="M49" s="38"/>
      <c r="N49" s="38"/>
      <c r="O49" s="38">
        <f t="shared" si="2"/>
        <v>1</v>
      </c>
      <c r="P49" s="38"/>
    </row>
    <row r="50" ht="15.75" customHeight="1">
      <c r="A50" s="1"/>
      <c r="B50" s="1"/>
      <c r="C50" s="13"/>
      <c r="D50" s="26" t="s">
        <v>65</v>
      </c>
      <c r="E50" s="38"/>
      <c r="F50" s="38">
        <v>1.0</v>
      </c>
      <c r="G50" s="38"/>
      <c r="H50" s="38"/>
      <c r="I50" s="38">
        <f t="shared" si="1"/>
        <v>1</v>
      </c>
      <c r="J50" s="38"/>
      <c r="K50" s="38"/>
      <c r="L50" s="38">
        <v>1.0</v>
      </c>
      <c r="M50" s="38"/>
      <c r="N50" s="38"/>
      <c r="O50" s="38">
        <f t="shared" si="2"/>
        <v>1</v>
      </c>
      <c r="P50" s="38"/>
    </row>
    <row r="51" ht="15.75" customHeight="1">
      <c r="A51" s="1"/>
      <c r="B51" s="1"/>
      <c r="C51" s="13"/>
      <c r="D51" s="26" t="s">
        <v>66</v>
      </c>
      <c r="E51" s="38"/>
      <c r="F51" s="38"/>
      <c r="G51" s="38">
        <v>1.0</v>
      </c>
      <c r="H51" s="38"/>
      <c r="I51" s="38">
        <f t="shared" si="1"/>
        <v>1</v>
      </c>
      <c r="J51" s="38"/>
      <c r="K51" s="38"/>
      <c r="L51" s="38"/>
      <c r="M51" s="38">
        <v>1.0</v>
      </c>
      <c r="N51" s="38"/>
      <c r="O51" s="38">
        <f t="shared" si="2"/>
        <v>1</v>
      </c>
      <c r="P51" s="38"/>
    </row>
    <row r="52" ht="15.75" customHeight="1">
      <c r="A52" s="1"/>
      <c r="B52" s="1"/>
      <c r="C52" s="13"/>
      <c r="D52" s="26" t="s">
        <v>118</v>
      </c>
      <c r="E52" s="38"/>
      <c r="F52" s="38"/>
      <c r="G52" s="38">
        <v>1.0</v>
      </c>
      <c r="H52" s="38"/>
      <c r="I52" s="38">
        <f t="shared" si="1"/>
        <v>1</v>
      </c>
      <c r="J52" s="38"/>
      <c r="K52" s="38"/>
      <c r="L52" s="38"/>
      <c r="M52" s="38">
        <v>1.0</v>
      </c>
      <c r="N52" s="38"/>
      <c r="O52" s="38">
        <f t="shared" si="2"/>
        <v>1</v>
      </c>
      <c r="P52" s="38"/>
    </row>
    <row r="53" ht="15.75" customHeight="1">
      <c r="A53" s="1"/>
      <c r="B53" s="1"/>
      <c r="C53" s="13"/>
      <c r="D53" s="26" t="s">
        <v>119</v>
      </c>
      <c r="E53" s="38"/>
      <c r="F53" s="38">
        <v>2.0</v>
      </c>
      <c r="G53" s="38">
        <v>10.0</v>
      </c>
      <c r="H53" s="38"/>
      <c r="I53" s="38">
        <f t="shared" si="1"/>
        <v>12</v>
      </c>
      <c r="J53" s="38"/>
      <c r="K53" s="38"/>
      <c r="L53" s="38">
        <v>2.0</v>
      </c>
      <c r="M53" s="38">
        <v>10.0</v>
      </c>
      <c r="N53" s="38"/>
      <c r="O53" s="38">
        <f t="shared" si="2"/>
        <v>12</v>
      </c>
      <c r="P53" s="38"/>
    </row>
    <row r="54" ht="15.75" customHeight="1">
      <c r="A54" s="1"/>
      <c r="B54" s="1"/>
      <c r="C54" s="13"/>
      <c r="D54" s="26" t="s">
        <v>122</v>
      </c>
      <c r="E54" s="38"/>
      <c r="F54" s="38">
        <v>2.0</v>
      </c>
      <c r="G54" s="38">
        <v>6.0</v>
      </c>
      <c r="H54" s="38"/>
      <c r="I54" s="38">
        <f t="shared" si="1"/>
        <v>8</v>
      </c>
      <c r="J54" s="38"/>
      <c r="K54" s="38"/>
      <c r="L54" s="38">
        <v>2.0</v>
      </c>
      <c r="M54" s="38">
        <v>6.0</v>
      </c>
      <c r="N54" s="38"/>
      <c r="O54" s="38">
        <f t="shared" si="2"/>
        <v>8</v>
      </c>
      <c r="P54" s="38"/>
    </row>
    <row r="55" ht="15.75" customHeight="1">
      <c r="A55" s="1"/>
      <c r="B55" s="1"/>
      <c r="C55" s="13"/>
      <c r="D55" s="26" t="s">
        <v>124</v>
      </c>
      <c r="E55" s="38">
        <v>1.0</v>
      </c>
      <c r="F55" s="38">
        <f>1+1</f>
        <v>2</v>
      </c>
      <c r="G55" s="38">
        <v>4.0</v>
      </c>
      <c r="H55" s="38"/>
      <c r="I55" s="38">
        <f t="shared" si="1"/>
        <v>7</v>
      </c>
      <c r="J55" s="38"/>
      <c r="K55" s="38">
        <v>1.0</v>
      </c>
      <c r="L55" s="38">
        <f>1+1</f>
        <v>2</v>
      </c>
      <c r="M55" s="38">
        <v>4.0</v>
      </c>
      <c r="N55" s="38"/>
      <c r="O55" s="38">
        <f t="shared" si="2"/>
        <v>7</v>
      </c>
      <c r="P55" s="38"/>
    </row>
    <row r="56" ht="15.75" customHeight="1">
      <c r="A56" s="1"/>
      <c r="B56" s="1"/>
      <c r="C56" s="13"/>
      <c r="D56" s="26" t="s">
        <v>127</v>
      </c>
      <c r="E56" s="38">
        <v>1.0</v>
      </c>
      <c r="F56" s="38">
        <v>1.0</v>
      </c>
      <c r="G56" s="38">
        <v>6.0</v>
      </c>
      <c r="H56" s="38"/>
      <c r="I56" s="38">
        <f t="shared" si="1"/>
        <v>8</v>
      </c>
      <c r="J56" s="38"/>
      <c r="K56" s="38">
        <v>1.0</v>
      </c>
      <c r="L56" s="38">
        <v>1.0</v>
      </c>
      <c r="M56" s="38">
        <v>6.0</v>
      </c>
      <c r="N56" s="38"/>
      <c r="O56" s="38">
        <f t="shared" si="2"/>
        <v>8</v>
      </c>
      <c r="P56" s="38"/>
    </row>
    <row r="57" ht="15.75" customHeight="1">
      <c r="A57" s="1"/>
      <c r="B57" s="1"/>
      <c r="C57" s="13"/>
      <c r="D57" s="26" t="s">
        <v>129</v>
      </c>
      <c r="E57" s="38"/>
      <c r="F57" s="38">
        <v>1.0</v>
      </c>
      <c r="G57" s="38">
        <f>1+6</f>
        <v>7</v>
      </c>
      <c r="H57" s="38"/>
      <c r="I57" s="38">
        <f t="shared" si="1"/>
        <v>8</v>
      </c>
      <c r="J57" s="38"/>
      <c r="K57" s="38"/>
      <c r="L57" s="38">
        <v>1.0</v>
      </c>
      <c r="M57" s="38">
        <f>1+6</f>
        <v>7</v>
      </c>
      <c r="N57" s="38"/>
      <c r="O57" s="38">
        <f t="shared" si="2"/>
        <v>8</v>
      </c>
      <c r="P57" s="38"/>
    </row>
    <row r="58" ht="15.75" customHeight="1">
      <c r="A58" s="1"/>
      <c r="B58" s="1"/>
      <c r="C58" s="13"/>
      <c r="D58" s="26" t="s">
        <v>89</v>
      </c>
      <c r="E58" s="38"/>
      <c r="F58" s="38"/>
      <c r="G58" s="38">
        <v>2.0</v>
      </c>
      <c r="H58" s="38"/>
      <c r="I58" s="38">
        <f t="shared" si="1"/>
        <v>2</v>
      </c>
      <c r="J58" s="38"/>
      <c r="K58" s="38"/>
      <c r="L58" s="38"/>
      <c r="M58" s="38">
        <v>2.0</v>
      </c>
      <c r="N58" s="38"/>
      <c r="O58" s="38">
        <f t="shared" si="2"/>
        <v>2</v>
      </c>
      <c r="P58" s="38"/>
    </row>
    <row r="59" ht="15.75" customHeight="1">
      <c r="A59" s="1"/>
      <c r="B59" s="1"/>
      <c r="C59" s="13"/>
      <c r="D59" s="26" t="s">
        <v>130</v>
      </c>
      <c r="E59" s="38">
        <v>1.0</v>
      </c>
      <c r="F59" s="38"/>
      <c r="G59" s="38">
        <f>1+2</f>
        <v>3</v>
      </c>
      <c r="H59" s="38"/>
      <c r="I59" s="38">
        <f t="shared" si="1"/>
        <v>4</v>
      </c>
      <c r="J59" s="38"/>
      <c r="K59" s="38">
        <v>1.0</v>
      </c>
      <c r="L59" s="38"/>
      <c r="M59" s="38">
        <f>1+2</f>
        <v>3</v>
      </c>
      <c r="N59" s="38"/>
      <c r="O59" s="38">
        <f t="shared" si="2"/>
        <v>4</v>
      </c>
      <c r="P59" s="38"/>
    </row>
    <row r="60" ht="15.75" customHeight="1">
      <c r="A60" s="1"/>
      <c r="B60" s="1"/>
      <c r="C60" s="13"/>
      <c r="D60" s="26" t="s">
        <v>131</v>
      </c>
      <c r="E60" s="38">
        <v>1.0</v>
      </c>
      <c r="F60" s="38">
        <v>1.0</v>
      </c>
      <c r="G60" s="38">
        <f>3+5</f>
        <v>8</v>
      </c>
      <c r="H60" s="38"/>
      <c r="I60" s="38">
        <f t="shared" si="1"/>
        <v>10</v>
      </c>
      <c r="J60" s="38"/>
      <c r="K60" s="38">
        <v>1.0</v>
      </c>
      <c r="L60" s="38">
        <v>1.0</v>
      </c>
      <c r="M60" s="38">
        <f>3+5</f>
        <v>8</v>
      </c>
      <c r="N60" s="38"/>
      <c r="O60" s="38">
        <f t="shared" si="2"/>
        <v>10</v>
      </c>
      <c r="P60" s="38"/>
    </row>
    <row r="61" ht="15.75" customHeight="1">
      <c r="A61" s="1"/>
      <c r="B61" s="1"/>
      <c r="C61" s="13"/>
      <c r="D61" s="26" t="s">
        <v>132</v>
      </c>
      <c r="E61" s="38"/>
      <c r="F61" s="38"/>
      <c r="G61" s="38">
        <f>10+5</f>
        <v>15</v>
      </c>
      <c r="H61" s="38">
        <v>36.0</v>
      </c>
      <c r="I61" s="38">
        <f t="shared" si="1"/>
        <v>51</v>
      </c>
      <c r="J61" s="38"/>
      <c r="K61" s="38"/>
      <c r="L61" s="38"/>
      <c r="M61" s="38">
        <f>10+5</f>
        <v>15</v>
      </c>
      <c r="N61" s="38">
        <v>36.0</v>
      </c>
      <c r="O61" s="38">
        <f t="shared" si="2"/>
        <v>51</v>
      </c>
      <c r="P61" s="38"/>
    </row>
    <row r="62" ht="15.75" customHeight="1">
      <c r="A62" s="1"/>
      <c r="B62" s="1"/>
      <c r="C62" s="13"/>
      <c r="D62" s="26" t="s">
        <v>133</v>
      </c>
      <c r="E62" s="38"/>
      <c r="F62" s="38"/>
      <c r="G62" s="38">
        <v>20.0</v>
      </c>
      <c r="H62" s="38"/>
      <c r="I62" s="38">
        <f t="shared" si="1"/>
        <v>20</v>
      </c>
      <c r="J62" s="38"/>
      <c r="K62" s="38"/>
      <c r="L62" s="38"/>
      <c r="M62" s="38">
        <v>20.0</v>
      </c>
      <c r="N62" s="38"/>
      <c r="O62" s="38">
        <f t="shared" si="2"/>
        <v>20</v>
      </c>
      <c r="P62" s="38"/>
    </row>
    <row r="63" ht="15.75" customHeight="1">
      <c r="A63" s="1"/>
      <c r="B63" s="1"/>
      <c r="C63" s="13"/>
      <c r="D63" s="26" t="s">
        <v>135</v>
      </c>
      <c r="E63" s="38"/>
      <c r="F63" s="38"/>
      <c r="G63" s="38">
        <f>2+2</f>
        <v>4</v>
      </c>
      <c r="H63" s="38"/>
      <c r="I63" s="38">
        <f t="shared" si="1"/>
        <v>4</v>
      </c>
      <c r="J63" s="38"/>
      <c r="K63" s="38"/>
      <c r="L63" s="38"/>
      <c r="M63" s="38">
        <f>2+2</f>
        <v>4</v>
      </c>
      <c r="N63" s="38"/>
      <c r="O63" s="38">
        <f t="shared" si="2"/>
        <v>4</v>
      </c>
      <c r="P63" s="38"/>
    </row>
    <row r="64" ht="15.75" customHeight="1">
      <c r="A64" s="1"/>
      <c r="B64" s="1"/>
      <c r="C64" s="13"/>
      <c r="D64" s="26" t="s">
        <v>136</v>
      </c>
      <c r="E64" s="38">
        <f>1</f>
        <v>1</v>
      </c>
      <c r="F64" s="38">
        <v>5.0</v>
      </c>
      <c r="G64" s="38">
        <v>5.0</v>
      </c>
      <c r="H64" s="38"/>
      <c r="I64" s="38">
        <f t="shared" si="1"/>
        <v>11</v>
      </c>
      <c r="J64" s="38"/>
      <c r="K64" s="38">
        <f>1</f>
        <v>1</v>
      </c>
      <c r="L64" s="38">
        <v>5.0</v>
      </c>
      <c r="M64" s="38">
        <v>5.0</v>
      </c>
      <c r="N64" s="38"/>
      <c r="O64" s="38">
        <f t="shared" si="2"/>
        <v>11</v>
      </c>
      <c r="P64" s="38"/>
    </row>
    <row r="65" ht="15.75" customHeight="1">
      <c r="A65" s="1"/>
      <c r="B65" s="1"/>
      <c r="C65" s="21"/>
      <c r="D65" s="26" t="s">
        <v>137</v>
      </c>
      <c r="E65" s="38"/>
      <c r="F65" s="38"/>
      <c r="G65" s="38">
        <v>2.0</v>
      </c>
      <c r="H65" s="38"/>
      <c r="I65" s="38">
        <f t="shared" si="1"/>
        <v>2</v>
      </c>
      <c r="J65" s="38"/>
      <c r="K65" s="38"/>
      <c r="L65" s="38"/>
      <c r="M65" s="38">
        <v>2.0</v>
      </c>
      <c r="N65" s="38"/>
      <c r="O65" s="38">
        <f t="shared" si="2"/>
        <v>2</v>
      </c>
      <c r="P65" s="38"/>
    </row>
    <row r="66" ht="15.75" customHeight="1">
      <c r="A66" s="1"/>
      <c r="B66" s="1"/>
      <c r="C66" s="34" t="s">
        <v>139</v>
      </c>
      <c r="D66" s="26" t="s">
        <v>140</v>
      </c>
      <c r="E66" s="38"/>
      <c r="F66" s="38"/>
      <c r="G66" s="38"/>
      <c r="H66" s="38"/>
      <c r="I66" s="38">
        <f t="shared" si="1"/>
        <v>0</v>
      </c>
      <c r="J66" s="38"/>
      <c r="K66" s="38"/>
      <c r="L66" s="38"/>
      <c r="M66" s="38"/>
      <c r="N66" s="38"/>
      <c r="O66" s="38">
        <f t="shared" si="2"/>
        <v>0</v>
      </c>
      <c r="P66" s="38"/>
    </row>
    <row r="67" ht="15.75" customHeight="1">
      <c r="A67" s="1"/>
      <c r="B67" s="1"/>
      <c r="C67" s="13"/>
      <c r="D67" s="26" t="s">
        <v>107</v>
      </c>
      <c r="E67" s="38">
        <v>1.0</v>
      </c>
      <c r="F67" s="38"/>
      <c r="G67" s="38"/>
      <c r="H67" s="38"/>
      <c r="I67" s="38">
        <f t="shared" si="1"/>
        <v>1</v>
      </c>
      <c r="J67" s="38"/>
      <c r="K67" s="38">
        <v>1.0</v>
      </c>
      <c r="L67" s="38"/>
      <c r="M67" s="38"/>
      <c r="N67" s="38"/>
      <c r="O67" s="38">
        <f t="shared" si="2"/>
        <v>1</v>
      </c>
      <c r="P67" s="38"/>
    </row>
    <row r="68" ht="15.75" customHeight="1">
      <c r="A68" s="52"/>
      <c r="B68" s="52"/>
      <c r="C68" s="21"/>
      <c r="D68" s="55" t="s">
        <v>112</v>
      </c>
      <c r="E68" s="38">
        <v>1.0</v>
      </c>
      <c r="F68" s="38"/>
      <c r="G68" s="38"/>
      <c r="H68" s="38"/>
      <c r="I68" s="38">
        <f t="shared" si="1"/>
        <v>1</v>
      </c>
      <c r="J68" s="38"/>
      <c r="K68" s="38">
        <v>1.0</v>
      </c>
      <c r="L68" s="38"/>
      <c r="M68" s="38"/>
      <c r="N68" s="38"/>
      <c r="O68" s="38">
        <f t="shared" si="2"/>
        <v>1</v>
      </c>
      <c r="P68" s="38"/>
    </row>
    <row r="69" ht="15.75" customHeight="1">
      <c r="A69" s="1"/>
      <c r="B69" s="1"/>
      <c r="C69" s="56" t="s">
        <v>113</v>
      </c>
      <c r="D69" s="57"/>
      <c r="E69" s="38">
        <f t="shared" ref="E69:H69" si="3">SUM(E8:E68)</f>
        <v>14</v>
      </c>
      <c r="F69" s="38">
        <f t="shared" si="3"/>
        <v>23</v>
      </c>
      <c r="G69" s="38">
        <f t="shared" si="3"/>
        <v>113</v>
      </c>
      <c r="H69" s="38">
        <f t="shared" si="3"/>
        <v>36</v>
      </c>
      <c r="I69" s="38">
        <f t="shared" si="1"/>
        <v>186</v>
      </c>
      <c r="J69" s="38"/>
      <c r="K69" s="38">
        <f t="shared" ref="K69:N69" si="4">SUM(K8:K68)</f>
        <v>14</v>
      </c>
      <c r="L69" s="38">
        <f t="shared" si="4"/>
        <v>21</v>
      </c>
      <c r="M69" s="38">
        <f t="shared" si="4"/>
        <v>113</v>
      </c>
      <c r="N69" s="38">
        <f t="shared" si="4"/>
        <v>36</v>
      </c>
      <c r="O69" s="38">
        <f t="shared" si="2"/>
        <v>184</v>
      </c>
      <c r="P69" s="38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 t="s">
        <v>144</v>
      </c>
      <c r="J70" s="1">
        <f>I69-O69</f>
        <v>2</v>
      </c>
      <c r="K70" s="1"/>
      <c r="L70" s="1"/>
      <c r="M70" s="1"/>
      <c r="N70" s="1"/>
      <c r="O70" s="67"/>
      <c r="P70" s="67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 t="s">
        <v>148</v>
      </c>
      <c r="K71" s="1"/>
      <c r="L71" s="1"/>
      <c r="M71" s="1"/>
      <c r="N71" s="1"/>
      <c r="O71" s="1"/>
      <c r="P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5.75" hidden="1" customHeight="1">
      <c r="A97" s="1"/>
      <c r="B97" s="1"/>
      <c r="C97" s="4" t="s">
        <v>142</v>
      </c>
      <c r="D97" s="1"/>
      <c r="E97" s="43"/>
      <c r="F97" s="43"/>
      <c r="G97" s="43"/>
      <c r="H97" s="43"/>
      <c r="I97" s="43"/>
      <c r="J97" s="43"/>
      <c r="K97" s="43"/>
      <c r="O97" s="43"/>
      <c r="P97" s="43"/>
    </row>
    <row r="98" ht="15.75" hidden="1" customHeight="1">
      <c r="A98" s="1"/>
      <c r="B98" s="1"/>
      <c r="C98" s="10" t="s">
        <v>5</v>
      </c>
      <c r="D98" s="12" t="s">
        <v>6</v>
      </c>
      <c r="E98" s="16" t="s">
        <v>152</v>
      </c>
      <c r="F98" s="7"/>
      <c r="G98" s="7"/>
      <c r="H98" s="7"/>
      <c r="I98" s="7"/>
      <c r="J98" s="7"/>
      <c r="K98" s="7"/>
      <c r="L98" s="7"/>
      <c r="M98" s="7"/>
      <c r="N98" s="7"/>
      <c r="O98" s="8"/>
      <c r="P98" s="76"/>
    </row>
    <row r="99" ht="15.75" hidden="1" customHeight="1">
      <c r="A99" s="1"/>
      <c r="B99" s="1"/>
      <c r="C99" s="13"/>
      <c r="D99" s="14"/>
      <c r="E99" s="78" t="s">
        <v>7</v>
      </c>
      <c r="F99" s="38"/>
      <c r="G99" s="38"/>
      <c r="H99" s="38"/>
      <c r="I99" s="38"/>
      <c r="J99" s="38"/>
      <c r="K99" s="78" t="s">
        <v>143</v>
      </c>
      <c r="L99" s="78" t="s">
        <v>145</v>
      </c>
      <c r="M99" s="25" t="s">
        <v>157</v>
      </c>
      <c r="N99" s="25" t="s">
        <v>159</v>
      </c>
      <c r="O99" s="78" t="s">
        <v>147</v>
      </c>
      <c r="P99" s="38"/>
    </row>
    <row r="100" ht="15.75" hidden="1" customHeight="1">
      <c r="A100" s="1"/>
      <c r="B100" s="1"/>
      <c r="C100" s="13"/>
      <c r="D100" s="14"/>
      <c r="E100" s="14"/>
      <c r="F100" s="38"/>
      <c r="G100" s="38"/>
      <c r="H100" s="38"/>
      <c r="I100" s="38"/>
      <c r="J100" s="38"/>
      <c r="K100" s="14"/>
      <c r="L100" s="14"/>
      <c r="M100" s="14"/>
      <c r="N100" s="14"/>
      <c r="O100" s="14"/>
      <c r="P100" s="38"/>
    </row>
    <row r="101" ht="15.75" hidden="1" customHeight="1">
      <c r="A101" s="1"/>
      <c r="B101" s="1"/>
      <c r="C101" s="21"/>
      <c r="D101" s="23"/>
      <c r="E101" s="23"/>
      <c r="F101" s="38"/>
      <c r="G101" s="38"/>
      <c r="H101" s="38"/>
      <c r="I101" s="38"/>
      <c r="J101" s="38"/>
      <c r="K101" s="23"/>
      <c r="L101" s="23"/>
      <c r="M101" s="23"/>
      <c r="N101" s="23"/>
      <c r="O101" s="23"/>
      <c r="P101" s="38"/>
    </row>
    <row r="102" ht="15.75" hidden="1" customHeight="1">
      <c r="A102" s="1"/>
      <c r="B102" s="1"/>
      <c r="C102" s="24" t="s">
        <v>20</v>
      </c>
      <c r="D102" s="26" t="s">
        <v>20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>
        <f t="shared" ref="O102:O108" si="5">SUM(K102:N102)</f>
        <v>0</v>
      </c>
      <c r="P102" s="38"/>
    </row>
    <row r="103" ht="15.75" hidden="1" customHeight="1">
      <c r="A103" s="1"/>
      <c r="B103" s="1"/>
      <c r="C103" s="24" t="s">
        <v>150</v>
      </c>
      <c r="D103" s="26" t="s">
        <v>19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>
        <f t="shared" si="5"/>
        <v>0</v>
      </c>
      <c r="P103" s="38"/>
    </row>
    <row r="104" ht="15.75" hidden="1" customHeight="1">
      <c r="A104" s="1"/>
      <c r="B104" s="1"/>
      <c r="C104" s="34" t="s">
        <v>21</v>
      </c>
      <c r="D104" s="26" t="s">
        <v>25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>
        <f t="shared" si="5"/>
        <v>0</v>
      </c>
      <c r="P104" s="38"/>
    </row>
    <row r="105" ht="15.75" hidden="1" customHeight="1">
      <c r="A105" s="1"/>
      <c r="B105" s="1"/>
      <c r="C105" s="13"/>
      <c r="D105" s="26" t="s">
        <v>151</v>
      </c>
      <c r="E105" s="38">
        <v>2.0</v>
      </c>
      <c r="F105" s="38"/>
      <c r="G105" s="38"/>
      <c r="H105" s="38"/>
      <c r="I105" s="38"/>
      <c r="J105" s="38"/>
      <c r="K105" s="38"/>
      <c r="L105" s="38"/>
      <c r="M105" s="38">
        <v>2.0</v>
      </c>
      <c r="N105" s="38">
        <v>2.0</v>
      </c>
      <c r="O105" s="38">
        <f t="shared" si="5"/>
        <v>4</v>
      </c>
      <c r="P105" s="38"/>
    </row>
    <row r="106" ht="15.75" hidden="1" customHeight="1">
      <c r="A106" s="1"/>
      <c r="B106" s="1"/>
      <c r="C106" s="21"/>
      <c r="D106" s="26" t="s">
        <v>28</v>
      </c>
      <c r="E106" s="38">
        <v>4.0</v>
      </c>
      <c r="F106" s="38"/>
      <c r="G106" s="38"/>
      <c r="H106" s="38"/>
      <c r="I106" s="38"/>
      <c r="J106" s="38"/>
      <c r="K106" s="38"/>
      <c r="L106" s="38"/>
      <c r="M106" s="38">
        <v>4.0</v>
      </c>
      <c r="N106" s="38"/>
      <c r="O106" s="38">
        <f t="shared" si="5"/>
        <v>4</v>
      </c>
      <c r="P106" s="38"/>
    </row>
    <row r="107" ht="15.75" hidden="1" customHeight="1">
      <c r="A107" s="1"/>
      <c r="B107" s="1"/>
      <c r="C107" s="34" t="s">
        <v>29</v>
      </c>
      <c r="D107" s="26" t="s">
        <v>31</v>
      </c>
      <c r="E107" s="38">
        <v>3.0</v>
      </c>
      <c r="F107" s="38"/>
      <c r="G107" s="38"/>
      <c r="H107" s="38"/>
      <c r="I107" s="38"/>
      <c r="J107" s="38"/>
      <c r="K107" s="38"/>
      <c r="L107" s="38">
        <v>3.0</v>
      </c>
      <c r="M107" s="38"/>
      <c r="N107" s="38"/>
      <c r="O107" s="38">
        <f t="shared" si="5"/>
        <v>3</v>
      </c>
      <c r="P107" s="38"/>
    </row>
    <row r="108" ht="15.75" hidden="1" customHeight="1">
      <c r="A108" s="1"/>
      <c r="B108" s="1"/>
      <c r="C108" s="21"/>
      <c r="D108" s="26" t="s">
        <v>32</v>
      </c>
      <c r="E108" s="38">
        <v>1.0</v>
      </c>
      <c r="F108" s="38"/>
      <c r="G108" s="38"/>
      <c r="H108" s="38"/>
      <c r="I108" s="38"/>
      <c r="J108" s="38"/>
      <c r="K108" s="38"/>
      <c r="L108" s="38"/>
      <c r="M108" s="38">
        <v>1.0</v>
      </c>
      <c r="N108" s="38"/>
      <c r="O108" s="38">
        <f t="shared" si="5"/>
        <v>1</v>
      </c>
      <c r="P108" s="38"/>
    </row>
    <row r="109" ht="15.75" hidden="1" customHeight="1">
      <c r="A109" s="1"/>
      <c r="B109" s="1"/>
      <c r="C109" s="24" t="s">
        <v>34</v>
      </c>
      <c r="D109" s="26" t="s">
        <v>34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</row>
    <row r="110" ht="15.75" hidden="1" customHeight="1">
      <c r="A110" s="1"/>
      <c r="B110" s="1"/>
      <c r="C110" s="41" t="s">
        <v>63</v>
      </c>
      <c r="D110" s="26" t="s">
        <v>41</v>
      </c>
      <c r="E110" s="80"/>
      <c r="F110" s="38"/>
      <c r="G110" s="38"/>
      <c r="H110" s="38"/>
      <c r="I110" s="38"/>
      <c r="J110" s="38"/>
      <c r="K110" s="38"/>
      <c r="L110" s="38"/>
      <c r="M110" s="38"/>
      <c r="N110" s="38"/>
      <c r="O110" s="38">
        <f t="shared" ref="O110:O164" si="6">SUM(K110:N110)</f>
        <v>0</v>
      </c>
      <c r="P110" s="38"/>
    </row>
    <row r="111" ht="15.75" hidden="1" customHeight="1">
      <c r="A111" s="1"/>
      <c r="B111" s="1"/>
      <c r="C111" s="13"/>
      <c r="D111" s="26" t="s">
        <v>38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>
        <f t="shared" si="6"/>
        <v>0</v>
      </c>
      <c r="P111" s="38"/>
    </row>
    <row r="112" ht="15.75" hidden="1" customHeight="1">
      <c r="A112" s="1"/>
      <c r="B112" s="1"/>
      <c r="C112" s="13"/>
      <c r="D112" s="26" t="s">
        <v>43</v>
      </c>
      <c r="E112" s="38">
        <v>1.0</v>
      </c>
      <c r="F112" s="38"/>
      <c r="G112" s="38"/>
      <c r="H112" s="38"/>
      <c r="I112" s="38"/>
      <c r="J112" s="38"/>
      <c r="K112" s="38"/>
      <c r="L112" s="38"/>
      <c r="M112" s="38">
        <v>1.0</v>
      </c>
      <c r="N112" s="38"/>
      <c r="O112" s="38">
        <f t="shared" si="6"/>
        <v>1</v>
      </c>
      <c r="P112" s="38"/>
    </row>
    <row r="113" ht="15.75" hidden="1" customHeight="1">
      <c r="A113" s="1"/>
      <c r="B113" s="1"/>
      <c r="C113" s="13"/>
      <c r="D113" s="26" t="s">
        <v>42</v>
      </c>
      <c r="E113" s="80"/>
      <c r="F113" s="38"/>
      <c r="G113" s="38"/>
      <c r="H113" s="38"/>
      <c r="I113" s="38"/>
      <c r="J113" s="38"/>
      <c r="K113" s="38"/>
      <c r="L113" s="38"/>
      <c r="M113" s="38"/>
      <c r="N113" s="38"/>
      <c r="O113" s="38">
        <f t="shared" si="6"/>
        <v>0</v>
      </c>
      <c r="P113" s="38"/>
    </row>
    <row r="114" ht="15.75" hidden="1" customHeight="1">
      <c r="A114" s="1" t="s">
        <v>153</v>
      </c>
      <c r="B114" s="1"/>
      <c r="C114" s="13"/>
      <c r="D114" s="26" t="s">
        <v>154</v>
      </c>
      <c r="E114" s="38"/>
      <c r="F114" s="38"/>
      <c r="G114" s="38"/>
      <c r="H114" s="38"/>
      <c r="I114" s="38"/>
      <c r="J114" s="38"/>
      <c r="K114" s="38"/>
      <c r="L114" s="76"/>
      <c r="M114" s="76"/>
      <c r="N114" s="76">
        <v>3.0</v>
      </c>
      <c r="O114" s="38">
        <f t="shared" si="6"/>
        <v>3</v>
      </c>
      <c r="P114" s="38"/>
    </row>
    <row r="115" ht="15.75" hidden="1" customHeight="1">
      <c r="A115" s="43"/>
      <c r="B115" s="43"/>
      <c r="C115" s="21"/>
      <c r="D115" s="26" t="s">
        <v>44</v>
      </c>
      <c r="E115" s="38">
        <v>1.0</v>
      </c>
      <c r="F115" s="38"/>
      <c r="G115" s="38"/>
      <c r="H115" s="38"/>
      <c r="I115" s="38"/>
      <c r="J115" s="38"/>
      <c r="K115" s="38"/>
      <c r="L115" s="38">
        <v>1.0</v>
      </c>
      <c r="M115" s="38"/>
      <c r="N115" s="38">
        <v>1.0</v>
      </c>
      <c r="O115" s="38">
        <f t="shared" si="6"/>
        <v>2</v>
      </c>
      <c r="P115" s="38"/>
    </row>
    <row r="116" ht="15.75" hidden="1" customHeight="1">
      <c r="A116" s="1"/>
      <c r="B116" s="1"/>
      <c r="C116" s="41" t="s">
        <v>49</v>
      </c>
      <c r="D116" s="26" t="s">
        <v>155</v>
      </c>
      <c r="E116" s="80"/>
      <c r="F116" s="38"/>
      <c r="G116" s="38"/>
      <c r="H116" s="38"/>
      <c r="I116" s="38"/>
      <c r="J116" s="38"/>
      <c r="K116" s="38"/>
      <c r="L116" s="38"/>
      <c r="M116" s="38"/>
      <c r="N116" s="38"/>
      <c r="O116" s="38">
        <f t="shared" si="6"/>
        <v>0</v>
      </c>
      <c r="P116" s="38"/>
    </row>
    <row r="117" ht="15.75" hidden="1" customHeight="1">
      <c r="A117" s="1"/>
      <c r="B117" s="1"/>
      <c r="C117" s="13"/>
      <c r="D117" s="26" t="s">
        <v>51</v>
      </c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>
        <f t="shared" si="6"/>
        <v>0</v>
      </c>
      <c r="P117" s="38"/>
    </row>
    <row r="118" ht="15.75" hidden="1" customHeight="1">
      <c r="A118" s="1"/>
      <c r="B118" s="1"/>
      <c r="C118" s="13"/>
      <c r="D118" s="26" t="s">
        <v>156</v>
      </c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>
        <f t="shared" si="6"/>
        <v>0</v>
      </c>
      <c r="P118" s="38"/>
    </row>
    <row r="119" ht="15.75" hidden="1" customHeight="1">
      <c r="A119" s="1"/>
      <c r="B119" s="1"/>
      <c r="C119" s="21"/>
      <c r="D119" s="26" t="s">
        <v>55</v>
      </c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>
        <f t="shared" si="6"/>
        <v>0</v>
      </c>
      <c r="P119" s="38"/>
    </row>
    <row r="120" ht="15.75" hidden="1" customHeight="1">
      <c r="A120" s="1"/>
      <c r="B120" s="1"/>
      <c r="C120" s="49" t="s">
        <v>53</v>
      </c>
      <c r="D120" s="26" t="s">
        <v>53</v>
      </c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>
        <f t="shared" si="6"/>
        <v>0</v>
      </c>
      <c r="P120" s="38"/>
    </row>
    <row r="121" ht="15.75" hidden="1" customHeight="1">
      <c r="A121" s="1"/>
      <c r="B121" s="1"/>
      <c r="C121" s="24" t="s">
        <v>54</v>
      </c>
      <c r="D121" s="26" t="s">
        <v>54</v>
      </c>
      <c r="E121" s="80">
        <v>1.0</v>
      </c>
      <c r="F121" s="38"/>
      <c r="G121" s="38"/>
      <c r="H121" s="38"/>
      <c r="I121" s="38"/>
      <c r="J121" s="38"/>
      <c r="K121" s="38"/>
      <c r="L121" s="38"/>
      <c r="M121" s="38">
        <v>1.0</v>
      </c>
      <c r="N121" s="38">
        <v>1.0</v>
      </c>
      <c r="O121" s="38">
        <f t="shared" si="6"/>
        <v>2</v>
      </c>
      <c r="P121" s="38"/>
    </row>
    <row r="122" ht="15.75" hidden="1" customHeight="1">
      <c r="A122" s="1"/>
      <c r="B122" s="1"/>
      <c r="C122" s="34" t="s">
        <v>57</v>
      </c>
      <c r="D122" s="26" t="s">
        <v>114</v>
      </c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>
        <f t="shared" si="6"/>
        <v>0</v>
      </c>
      <c r="P122" s="38"/>
    </row>
    <row r="123" ht="15.75" hidden="1" customHeight="1">
      <c r="A123" s="1"/>
      <c r="B123" s="1"/>
      <c r="C123" s="21"/>
      <c r="D123" s="26" t="s">
        <v>60</v>
      </c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>
        <f t="shared" si="6"/>
        <v>0</v>
      </c>
      <c r="P123" s="38"/>
    </row>
    <row r="124" ht="15.75" hidden="1" customHeight="1">
      <c r="A124" s="1"/>
      <c r="B124" s="1"/>
      <c r="C124" s="24" t="s">
        <v>162</v>
      </c>
      <c r="D124" s="26" t="s">
        <v>163</v>
      </c>
      <c r="E124" s="80"/>
      <c r="F124" s="38"/>
      <c r="G124" s="38"/>
      <c r="H124" s="38"/>
      <c r="I124" s="38"/>
      <c r="J124" s="38"/>
      <c r="K124" s="38"/>
      <c r="L124" s="38"/>
      <c r="M124" s="38"/>
      <c r="N124" s="38"/>
      <c r="O124" s="38">
        <f t="shared" si="6"/>
        <v>0</v>
      </c>
      <c r="P124" s="38"/>
    </row>
    <row r="125" ht="15.75" hidden="1" customHeight="1">
      <c r="A125" s="1"/>
      <c r="B125" s="1"/>
      <c r="C125" s="34" t="s">
        <v>62</v>
      </c>
      <c r="D125" s="26" t="s">
        <v>165</v>
      </c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>
        <f t="shared" si="6"/>
        <v>0</v>
      </c>
      <c r="P125" s="38"/>
    </row>
    <row r="126" ht="15.75" hidden="1" customHeight="1">
      <c r="A126" s="1"/>
      <c r="B126" s="1"/>
      <c r="C126" s="13"/>
      <c r="D126" s="26" t="s">
        <v>167</v>
      </c>
      <c r="E126" s="38">
        <v>1.0</v>
      </c>
      <c r="F126" s="38"/>
      <c r="G126" s="38"/>
      <c r="H126" s="38"/>
      <c r="I126" s="38"/>
      <c r="J126" s="38"/>
      <c r="K126" s="38">
        <v>1.0</v>
      </c>
      <c r="L126" s="38"/>
      <c r="M126" s="38"/>
      <c r="N126" s="38"/>
      <c r="O126" s="38">
        <f t="shared" si="6"/>
        <v>1</v>
      </c>
      <c r="P126" s="38"/>
    </row>
    <row r="127" ht="15.75" hidden="1" customHeight="1">
      <c r="A127" s="1"/>
      <c r="B127" s="1"/>
      <c r="C127" s="13"/>
      <c r="D127" s="26" t="s">
        <v>168</v>
      </c>
      <c r="E127" s="80"/>
      <c r="F127" s="38"/>
      <c r="G127" s="38"/>
      <c r="H127" s="38"/>
      <c r="I127" s="38"/>
      <c r="J127" s="38"/>
      <c r="K127" s="38"/>
      <c r="L127" s="38"/>
      <c r="M127" s="38"/>
      <c r="N127" s="38"/>
      <c r="O127" s="38">
        <f t="shared" si="6"/>
        <v>0</v>
      </c>
      <c r="P127" s="38"/>
    </row>
    <row r="128" ht="15.75" hidden="1" customHeight="1">
      <c r="A128" s="1"/>
      <c r="B128" s="1"/>
      <c r="C128" s="21"/>
      <c r="D128" s="26" t="s">
        <v>66</v>
      </c>
      <c r="E128" s="38">
        <v>1.0</v>
      </c>
      <c r="F128" s="38"/>
      <c r="G128" s="38"/>
      <c r="H128" s="38"/>
      <c r="I128" s="38"/>
      <c r="J128" s="38"/>
      <c r="K128" s="38"/>
      <c r="L128" s="38"/>
      <c r="M128" s="38">
        <v>1.0</v>
      </c>
      <c r="N128" s="38"/>
      <c r="O128" s="38">
        <f t="shared" si="6"/>
        <v>1</v>
      </c>
      <c r="P128" s="38"/>
    </row>
    <row r="129" ht="15.75" hidden="1" customHeight="1">
      <c r="A129" s="1"/>
      <c r="B129" s="1"/>
      <c r="C129" s="34" t="s">
        <v>62</v>
      </c>
      <c r="D129" s="26" t="s">
        <v>169</v>
      </c>
      <c r="E129" s="38"/>
      <c r="F129" s="76"/>
      <c r="G129" s="76"/>
      <c r="H129" s="76"/>
      <c r="I129" s="76"/>
      <c r="J129" s="76"/>
      <c r="K129" s="76"/>
      <c r="L129" s="76"/>
      <c r="M129" s="76"/>
      <c r="N129" s="76"/>
      <c r="O129" s="38">
        <f t="shared" si="6"/>
        <v>0</v>
      </c>
      <c r="P129" s="38"/>
    </row>
    <row r="130" ht="15.75" hidden="1" customHeight="1">
      <c r="A130" s="1"/>
      <c r="B130" s="1"/>
      <c r="C130" s="13"/>
      <c r="D130" s="26" t="s">
        <v>171</v>
      </c>
      <c r="E130" s="38"/>
      <c r="F130" s="76"/>
      <c r="G130" s="76"/>
      <c r="H130" s="76"/>
      <c r="I130" s="76"/>
      <c r="J130" s="76"/>
      <c r="K130" s="76"/>
      <c r="L130" s="76"/>
      <c r="M130" s="76"/>
      <c r="N130" s="76"/>
      <c r="O130" s="38">
        <f t="shared" si="6"/>
        <v>0</v>
      </c>
      <c r="P130" s="38"/>
    </row>
    <row r="131" ht="15.75" hidden="1" customHeight="1">
      <c r="A131" s="1"/>
      <c r="B131" s="1"/>
      <c r="C131" s="13"/>
      <c r="D131" s="26" t="s">
        <v>160</v>
      </c>
      <c r="E131" s="38"/>
      <c r="F131" s="76"/>
      <c r="G131" s="76"/>
      <c r="H131" s="76"/>
      <c r="I131" s="76"/>
      <c r="J131" s="76"/>
      <c r="K131" s="76"/>
      <c r="L131" s="76"/>
      <c r="M131" s="76"/>
      <c r="N131" s="76"/>
      <c r="O131" s="38">
        <f t="shared" si="6"/>
        <v>0</v>
      </c>
      <c r="P131" s="38"/>
    </row>
    <row r="132" ht="15.75" hidden="1" customHeight="1">
      <c r="A132" s="1"/>
      <c r="B132" s="1"/>
      <c r="C132" s="13"/>
      <c r="D132" s="26" t="s">
        <v>69</v>
      </c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>
        <f t="shared" si="6"/>
        <v>0</v>
      </c>
      <c r="P132" s="38"/>
    </row>
    <row r="133" ht="15.75" hidden="1" customHeight="1">
      <c r="A133" s="1"/>
      <c r="B133" s="1"/>
      <c r="C133" s="13"/>
      <c r="D133" s="26" t="s">
        <v>73</v>
      </c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>
        <f t="shared" si="6"/>
        <v>0</v>
      </c>
      <c r="P133" s="38"/>
    </row>
    <row r="134" ht="15.75" hidden="1" customHeight="1">
      <c r="A134" s="1"/>
      <c r="B134" s="1"/>
      <c r="C134" s="13"/>
      <c r="D134" s="26" t="s">
        <v>77</v>
      </c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>
        <f t="shared" si="6"/>
        <v>0</v>
      </c>
      <c r="P134" s="38"/>
    </row>
    <row r="135" ht="15.75" hidden="1" customHeight="1">
      <c r="A135" s="1"/>
      <c r="B135" s="1"/>
      <c r="C135" s="13"/>
      <c r="D135" s="26" t="s">
        <v>174</v>
      </c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>
        <f t="shared" si="6"/>
        <v>0</v>
      </c>
      <c r="P135" s="38"/>
    </row>
    <row r="136" ht="15.75" hidden="1" customHeight="1">
      <c r="A136" s="1"/>
      <c r="B136" s="1"/>
      <c r="C136" s="13"/>
      <c r="D136" s="26" t="s">
        <v>175</v>
      </c>
      <c r="E136" s="38"/>
      <c r="F136" s="76"/>
      <c r="G136" s="76"/>
      <c r="H136" s="76"/>
      <c r="I136" s="76"/>
      <c r="J136" s="76"/>
      <c r="K136" s="76"/>
      <c r="L136" s="76"/>
      <c r="M136" s="76"/>
      <c r="N136" s="38"/>
      <c r="O136" s="38">
        <f t="shared" si="6"/>
        <v>0</v>
      </c>
      <c r="P136" s="38"/>
    </row>
    <row r="137" ht="15.75" hidden="1" customHeight="1">
      <c r="A137" s="1"/>
      <c r="B137" s="1"/>
      <c r="C137" s="13"/>
      <c r="D137" s="26" t="s">
        <v>177</v>
      </c>
      <c r="E137" s="38"/>
      <c r="F137" s="76"/>
      <c r="G137" s="76"/>
      <c r="H137" s="76"/>
      <c r="I137" s="76"/>
      <c r="J137" s="76"/>
      <c r="K137" s="76"/>
      <c r="L137" s="76"/>
      <c r="M137" s="76"/>
      <c r="N137" s="76"/>
      <c r="O137" s="38">
        <f t="shared" si="6"/>
        <v>0</v>
      </c>
      <c r="P137" s="38"/>
    </row>
    <row r="138" ht="15.75" hidden="1" customHeight="1">
      <c r="A138" s="1"/>
      <c r="B138" s="1"/>
      <c r="C138" s="13"/>
      <c r="D138" s="79" t="s">
        <v>178</v>
      </c>
      <c r="E138" s="38"/>
      <c r="F138" s="76"/>
      <c r="G138" s="76"/>
      <c r="H138" s="76"/>
      <c r="I138" s="76"/>
      <c r="J138" s="76"/>
      <c r="K138" s="76"/>
      <c r="L138" s="76"/>
      <c r="M138" s="76"/>
      <c r="N138" s="76"/>
      <c r="O138" s="38">
        <f t="shared" si="6"/>
        <v>0</v>
      </c>
      <c r="P138" s="38"/>
    </row>
    <row r="139" ht="15.75" hidden="1" customHeight="1">
      <c r="A139" s="1"/>
      <c r="B139" s="1"/>
      <c r="C139" s="13"/>
      <c r="D139" s="26" t="s">
        <v>172</v>
      </c>
      <c r="E139" s="38"/>
      <c r="F139" s="76"/>
      <c r="G139" s="76"/>
      <c r="H139" s="76"/>
      <c r="I139" s="76"/>
      <c r="J139" s="76"/>
      <c r="K139" s="76"/>
      <c r="L139" s="76"/>
      <c r="M139" s="76"/>
      <c r="N139" s="76"/>
      <c r="O139" s="38">
        <f t="shared" si="6"/>
        <v>0</v>
      </c>
      <c r="P139" s="38"/>
    </row>
    <row r="140" ht="15.75" hidden="1" customHeight="1">
      <c r="A140" s="1"/>
      <c r="B140" s="1"/>
      <c r="C140" s="13"/>
      <c r="D140" s="26" t="s">
        <v>179</v>
      </c>
      <c r="E140" s="38"/>
      <c r="F140" s="76"/>
      <c r="G140" s="76"/>
      <c r="H140" s="76"/>
      <c r="I140" s="76"/>
      <c r="J140" s="76"/>
      <c r="K140" s="76"/>
      <c r="L140" s="76"/>
      <c r="M140" s="76"/>
      <c r="N140" s="76"/>
      <c r="O140" s="38">
        <f t="shared" si="6"/>
        <v>0</v>
      </c>
      <c r="P140" s="38"/>
    </row>
    <row r="141" ht="15.75" hidden="1" customHeight="1">
      <c r="A141" s="1"/>
      <c r="B141" s="1"/>
      <c r="C141" s="13"/>
      <c r="D141" s="26" t="s">
        <v>180</v>
      </c>
      <c r="E141" s="38"/>
      <c r="F141" s="76"/>
      <c r="G141" s="76"/>
      <c r="H141" s="76"/>
      <c r="I141" s="76"/>
      <c r="J141" s="76"/>
      <c r="K141" s="76"/>
      <c r="L141" s="76"/>
      <c r="M141" s="76"/>
      <c r="N141" s="76"/>
      <c r="O141" s="38">
        <f t="shared" si="6"/>
        <v>0</v>
      </c>
      <c r="P141" s="38"/>
    </row>
    <row r="142" ht="15.75" hidden="1" customHeight="1">
      <c r="A142" s="1"/>
      <c r="B142" s="1"/>
      <c r="C142" s="13"/>
      <c r="D142" s="26" t="s">
        <v>182</v>
      </c>
      <c r="E142" s="38"/>
      <c r="F142" s="76"/>
      <c r="G142" s="76"/>
      <c r="H142" s="76"/>
      <c r="I142" s="76"/>
      <c r="J142" s="76"/>
      <c r="K142" s="76"/>
      <c r="L142" s="76"/>
      <c r="M142" s="76"/>
      <c r="N142" s="76"/>
      <c r="O142" s="38">
        <f t="shared" si="6"/>
        <v>0</v>
      </c>
      <c r="P142" s="38"/>
    </row>
    <row r="143" ht="15.75" hidden="1" customHeight="1">
      <c r="A143" s="1"/>
      <c r="B143" s="1"/>
      <c r="C143" s="13"/>
      <c r="D143" s="26" t="s">
        <v>119</v>
      </c>
      <c r="E143" s="38">
        <v>7.0</v>
      </c>
      <c r="F143" s="76"/>
      <c r="G143" s="76"/>
      <c r="H143" s="76"/>
      <c r="I143" s="76"/>
      <c r="J143" s="76"/>
      <c r="K143" s="76"/>
      <c r="L143" s="76">
        <v>3.0</v>
      </c>
      <c r="M143" s="76">
        <v>4.0</v>
      </c>
      <c r="N143" s="76">
        <v>5.0</v>
      </c>
      <c r="O143" s="38">
        <f t="shared" si="6"/>
        <v>12</v>
      </c>
      <c r="P143" s="38"/>
    </row>
    <row r="144" ht="15.75" hidden="1" customHeight="1">
      <c r="A144" s="1"/>
      <c r="B144" s="1"/>
      <c r="C144" s="13"/>
      <c r="D144" s="26" t="s">
        <v>122</v>
      </c>
      <c r="E144" s="38">
        <v>7.0</v>
      </c>
      <c r="F144" s="76"/>
      <c r="G144" s="76"/>
      <c r="H144" s="76"/>
      <c r="I144" s="76"/>
      <c r="J144" s="76"/>
      <c r="K144" s="76"/>
      <c r="L144" s="76">
        <v>3.0</v>
      </c>
      <c r="M144" s="76">
        <v>4.0</v>
      </c>
      <c r="N144" s="76">
        <v>5.0</v>
      </c>
      <c r="O144" s="38">
        <f t="shared" si="6"/>
        <v>12</v>
      </c>
      <c r="P144" s="38"/>
    </row>
    <row r="145" ht="15.75" hidden="1" customHeight="1">
      <c r="A145" s="1"/>
      <c r="B145" s="1"/>
      <c r="C145" s="13"/>
      <c r="D145" s="26" t="s">
        <v>89</v>
      </c>
      <c r="E145" s="38"/>
      <c r="F145" s="76"/>
      <c r="G145" s="76"/>
      <c r="H145" s="76"/>
      <c r="I145" s="76"/>
      <c r="J145" s="76"/>
      <c r="K145" s="76"/>
      <c r="L145" s="76"/>
      <c r="M145" s="76"/>
      <c r="N145" s="76"/>
      <c r="O145" s="38">
        <f t="shared" si="6"/>
        <v>0</v>
      </c>
      <c r="P145" s="38"/>
    </row>
    <row r="146" ht="15.75" hidden="1" customHeight="1">
      <c r="A146" s="1"/>
      <c r="B146" s="1"/>
      <c r="C146" s="13"/>
      <c r="D146" s="26" t="s">
        <v>130</v>
      </c>
      <c r="E146" s="38">
        <v>1.0</v>
      </c>
      <c r="F146" s="76"/>
      <c r="G146" s="76"/>
      <c r="H146" s="76"/>
      <c r="I146" s="76"/>
      <c r="J146" s="76"/>
      <c r="K146" s="76"/>
      <c r="L146" s="76">
        <v>1.0</v>
      </c>
      <c r="M146" s="76"/>
      <c r="N146" s="76"/>
      <c r="O146" s="38">
        <f t="shared" si="6"/>
        <v>1</v>
      </c>
      <c r="P146" s="38"/>
    </row>
    <row r="147" ht="15.75" hidden="1" customHeight="1">
      <c r="A147" s="1"/>
      <c r="B147" s="1"/>
      <c r="C147" s="13"/>
      <c r="D147" s="26" t="s">
        <v>185</v>
      </c>
      <c r="E147" s="38">
        <v>3.0</v>
      </c>
      <c r="F147" s="76"/>
      <c r="G147" s="76"/>
      <c r="H147" s="76"/>
      <c r="I147" s="76"/>
      <c r="J147" s="76"/>
      <c r="K147" s="76"/>
      <c r="L147" s="76"/>
      <c r="M147" s="76">
        <v>3.0</v>
      </c>
      <c r="N147" s="76">
        <v>3.0</v>
      </c>
      <c r="O147" s="38">
        <f t="shared" si="6"/>
        <v>6</v>
      </c>
      <c r="P147" s="38"/>
    </row>
    <row r="148" ht="15.75" hidden="1" customHeight="1">
      <c r="A148" s="1"/>
      <c r="B148" s="1"/>
      <c r="C148" s="13"/>
      <c r="D148" s="26" t="s">
        <v>91</v>
      </c>
      <c r="E148" s="38"/>
      <c r="F148" s="76"/>
      <c r="G148" s="76"/>
      <c r="H148" s="76"/>
      <c r="I148" s="76"/>
      <c r="J148" s="76"/>
      <c r="K148" s="76"/>
      <c r="L148" s="76"/>
      <c r="M148" s="76"/>
      <c r="N148" s="76"/>
      <c r="O148" s="38">
        <f t="shared" si="6"/>
        <v>0</v>
      </c>
      <c r="P148" s="38"/>
    </row>
    <row r="149" ht="15.75" hidden="1" customHeight="1">
      <c r="A149" s="1"/>
      <c r="B149" s="1"/>
      <c r="C149" s="13"/>
      <c r="D149" s="26" t="s">
        <v>92</v>
      </c>
      <c r="E149" s="38"/>
      <c r="F149" s="76"/>
      <c r="G149" s="76"/>
      <c r="H149" s="76"/>
      <c r="I149" s="76"/>
      <c r="J149" s="76"/>
      <c r="K149" s="76"/>
      <c r="L149" s="76"/>
      <c r="M149" s="76"/>
      <c r="N149" s="76"/>
      <c r="O149" s="38">
        <f t="shared" si="6"/>
        <v>0</v>
      </c>
      <c r="P149" s="38"/>
    </row>
    <row r="150" ht="15.75" hidden="1" customHeight="1">
      <c r="A150" s="1"/>
      <c r="B150" s="1"/>
      <c r="C150" s="13"/>
      <c r="D150" s="26" t="s">
        <v>100</v>
      </c>
      <c r="E150" s="38"/>
      <c r="F150" s="76"/>
      <c r="G150" s="76"/>
      <c r="H150" s="76"/>
      <c r="I150" s="76"/>
      <c r="J150" s="76"/>
      <c r="K150" s="76"/>
      <c r="L150" s="76"/>
      <c r="M150" s="76"/>
      <c r="N150" s="76"/>
      <c r="O150" s="38">
        <f t="shared" si="6"/>
        <v>0</v>
      </c>
      <c r="P150" s="38"/>
    </row>
    <row r="151" ht="15.75" hidden="1" customHeight="1">
      <c r="A151" s="1"/>
      <c r="B151" s="1"/>
      <c r="C151" s="13"/>
      <c r="D151" s="26" t="s">
        <v>94</v>
      </c>
      <c r="E151" s="38"/>
      <c r="F151" s="76"/>
      <c r="G151" s="76"/>
      <c r="H151" s="76"/>
      <c r="I151" s="76"/>
      <c r="J151" s="76"/>
      <c r="K151" s="76"/>
      <c r="L151" s="76"/>
      <c r="M151" s="76"/>
      <c r="N151" s="76">
        <v>9.0</v>
      </c>
      <c r="O151" s="38">
        <f t="shared" si="6"/>
        <v>9</v>
      </c>
      <c r="P151" s="38"/>
    </row>
    <row r="152" ht="15.75" hidden="1" customHeight="1">
      <c r="A152" s="1"/>
      <c r="B152" s="1"/>
      <c r="C152" s="21"/>
      <c r="D152" s="26" t="s">
        <v>96</v>
      </c>
      <c r="E152" s="38"/>
      <c r="F152" s="76"/>
      <c r="G152" s="76"/>
      <c r="H152" s="76"/>
      <c r="I152" s="76"/>
      <c r="J152" s="76"/>
      <c r="K152" s="76"/>
      <c r="L152" s="76"/>
      <c r="M152" s="76"/>
      <c r="N152" s="76">
        <v>36.0</v>
      </c>
      <c r="O152" s="38">
        <f t="shared" si="6"/>
        <v>36</v>
      </c>
      <c r="P152" s="38"/>
    </row>
    <row r="153" ht="15.75" hidden="1" customHeight="1">
      <c r="A153" s="1"/>
      <c r="B153" s="1"/>
      <c r="C153" s="34"/>
      <c r="D153" s="26" t="s">
        <v>135</v>
      </c>
      <c r="E153" s="38">
        <v>2.0</v>
      </c>
      <c r="F153" s="76"/>
      <c r="G153" s="76"/>
      <c r="H153" s="76"/>
      <c r="I153" s="76"/>
      <c r="J153" s="76"/>
      <c r="K153" s="76"/>
      <c r="L153" s="76"/>
      <c r="M153" s="76">
        <v>2.0</v>
      </c>
      <c r="N153" s="76">
        <v>4.0</v>
      </c>
      <c r="O153" s="38">
        <f t="shared" si="6"/>
        <v>6</v>
      </c>
      <c r="P153" s="38"/>
    </row>
    <row r="154" ht="15.75" hidden="1" customHeight="1">
      <c r="A154" s="1"/>
      <c r="B154" s="1"/>
      <c r="C154" s="34"/>
      <c r="D154" s="26" t="s">
        <v>186</v>
      </c>
      <c r="E154" s="38"/>
      <c r="F154" s="76"/>
      <c r="G154" s="76"/>
      <c r="H154" s="76"/>
      <c r="I154" s="76"/>
      <c r="J154" s="76"/>
      <c r="K154" s="76"/>
      <c r="L154" s="76"/>
      <c r="M154" s="76"/>
      <c r="N154" s="76"/>
      <c r="O154" s="38">
        <f t="shared" si="6"/>
        <v>0</v>
      </c>
      <c r="P154" s="38"/>
    </row>
    <row r="155" ht="15.75" hidden="1" customHeight="1">
      <c r="A155" s="1"/>
      <c r="B155" s="1"/>
      <c r="C155" s="34"/>
      <c r="D155" s="26" t="s">
        <v>105</v>
      </c>
      <c r="E155" s="38"/>
      <c r="F155" s="76"/>
      <c r="G155" s="76"/>
      <c r="H155" s="76"/>
      <c r="I155" s="76"/>
      <c r="J155" s="76"/>
      <c r="K155" s="76"/>
      <c r="L155" s="76"/>
      <c r="M155" s="76"/>
      <c r="N155" s="76"/>
      <c r="O155" s="38">
        <f t="shared" si="6"/>
        <v>0</v>
      </c>
      <c r="P155" s="38"/>
    </row>
    <row r="156" ht="15.75" hidden="1" customHeight="1">
      <c r="A156" s="1"/>
      <c r="B156" s="1"/>
      <c r="C156" s="34"/>
      <c r="D156" s="26" t="s">
        <v>181</v>
      </c>
      <c r="E156" s="38"/>
      <c r="F156" s="76"/>
      <c r="G156" s="76"/>
      <c r="H156" s="76"/>
      <c r="I156" s="76"/>
      <c r="J156" s="76"/>
      <c r="K156" s="76"/>
      <c r="L156" s="76"/>
      <c r="M156" s="76"/>
      <c r="N156" s="76"/>
      <c r="O156" s="38">
        <f t="shared" si="6"/>
        <v>0</v>
      </c>
      <c r="P156" s="38"/>
    </row>
    <row r="157" ht="15.75" hidden="1" customHeight="1">
      <c r="A157" s="1"/>
      <c r="B157" s="1"/>
      <c r="C157" s="34"/>
      <c r="D157" s="26" t="s">
        <v>183</v>
      </c>
      <c r="E157" s="38"/>
      <c r="F157" s="76"/>
      <c r="G157" s="76"/>
      <c r="H157" s="76"/>
      <c r="I157" s="76"/>
      <c r="J157" s="76"/>
      <c r="K157" s="76"/>
      <c r="L157" s="76"/>
      <c r="M157" s="76"/>
      <c r="N157" s="76"/>
      <c r="O157" s="38">
        <f t="shared" si="6"/>
        <v>0</v>
      </c>
      <c r="P157" s="38"/>
    </row>
    <row r="158" ht="15.75" hidden="1" customHeight="1">
      <c r="A158" s="1"/>
      <c r="B158" s="1"/>
      <c r="C158" s="34"/>
      <c r="D158" s="26" t="s">
        <v>136</v>
      </c>
      <c r="E158" s="38">
        <v>4.0</v>
      </c>
      <c r="F158" s="76"/>
      <c r="G158" s="76"/>
      <c r="H158" s="76"/>
      <c r="I158" s="76"/>
      <c r="J158" s="76"/>
      <c r="K158" s="76"/>
      <c r="L158" s="76">
        <v>4.0</v>
      </c>
      <c r="M158" s="76"/>
      <c r="N158" s="76">
        <v>3.0</v>
      </c>
      <c r="O158" s="38">
        <f t="shared" si="6"/>
        <v>7</v>
      </c>
      <c r="P158" s="38"/>
    </row>
    <row r="159" ht="15.75" hidden="1" customHeight="1">
      <c r="A159" s="1"/>
      <c r="B159" s="1"/>
      <c r="C159" s="34"/>
      <c r="D159" s="26" t="s">
        <v>190</v>
      </c>
      <c r="E159" s="38"/>
      <c r="F159" s="76"/>
      <c r="G159" s="76"/>
      <c r="H159" s="76"/>
      <c r="I159" s="76"/>
      <c r="J159" s="76"/>
      <c r="K159" s="76"/>
      <c r="L159" s="76"/>
      <c r="M159" s="76"/>
      <c r="N159" s="76"/>
      <c r="O159" s="38">
        <f t="shared" si="6"/>
        <v>0</v>
      </c>
      <c r="P159" s="38"/>
    </row>
    <row r="160" ht="15.75" hidden="1" customHeight="1">
      <c r="A160" s="1"/>
      <c r="B160" s="1"/>
      <c r="C160" s="34" t="s">
        <v>139</v>
      </c>
      <c r="D160" s="26" t="s">
        <v>191</v>
      </c>
      <c r="E160" s="38"/>
      <c r="F160" s="38"/>
      <c r="G160" s="38"/>
      <c r="H160" s="38"/>
      <c r="I160" s="38"/>
      <c r="J160" s="38"/>
      <c r="K160" s="38"/>
      <c r="L160" s="76"/>
      <c r="M160" s="76"/>
      <c r="N160" s="76"/>
      <c r="O160" s="38">
        <f t="shared" si="6"/>
        <v>0</v>
      </c>
      <c r="P160" s="38"/>
    </row>
    <row r="161" ht="15.75" hidden="1" customHeight="1">
      <c r="A161" s="1"/>
      <c r="B161" s="1"/>
      <c r="C161" s="13"/>
      <c r="D161" s="26" t="s">
        <v>192</v>
      </c>
      <c r="E161" s="38">
        <v>1.0</v>
      </c>
      <c r="F161" s="38"/>
      <c r="G161" s="38"/>
      <c r="H161" s="38"/>
      <c r="I161" s="38"/>
      <c r="J161" s="38"/>
      <c r="K161" s="38">
        <v>1.0</v>
      </c>
      <c r="L161" s="76"/>
      <c r="M161" s="76"/>
      <c r="N161" s="76"/>
      <c r="O161" s="38">
        <f t="shared" si="6"/>
        <v>1</v>
      </c>
      <c r="P161" s="38"/>
    </row>
    <row r="162" ht="15.75" hidden="1" customHeight="1">
      <c r="A162" s="1"/>
      <c r="B162" s="1"/>
      <c r="C162" s="21"/>
      <c r="D162" s="26" t="s">
        <v>139</v>
      </c>
      <c r="E162" s="80"/>
      <c r="F162" s="76"/>
      <c r="G162" s="76"/>
      <c r="H162" s="76"/>
      <c r="I162" s="76"/>
      <c r="J162" s="76"/>
      <c r="K162" s="76"/>
      <c r="L162" s="76"/>
      <c r="M162" s="76"/>
      <c r="N162" s="76"/>
      <c r="O162" s="38">
        <f t="shared" si="6"/>
        <v>0</v>
      </c>
      <c r="P162" s="38"/>
    </row>
    <row r="163" ht="15.75" hidden="1" customHeight="1">
      <c r="A163" s="1"/>
      <c r="B163" s="1"/>
      <c r="C163" s="24" t="s">
        <v>193</v>
      </c>
      <c r="D163" s="26" t="s">
        <v>193</v>
      </c>
      <c r="E163" s="38"/>
      <c r="F163" s="76"/>
      <c r="G163" s="76"/>
      <c r="H163" s="76"/>
      <c r="I163" s="76"/>
      <c r="J163" s="76"/>
      <c r="K163" s="76"/>
      <c r="L163" s="76"/>
      <c r="M163" s="76"/>
      <c r="N163" s="76">
        <v>1.0</v>
      </c>
      <c r="O163" s="38">
        <f t="shared" si="6"/>
        <v>1</v>
      </c>
      <c r="P163" s="38"/>
    </row>
    <row r="164" ht="15.75" hidden="1" customHeight="1">
      <c r="A164" s="1"/>
      <c r="B164" s="1"/>
      <c r="C164" s="81" t="s">
        <v>110</v>
      </c>
      <c r="D164" s="82"/>
      <c r="E164" s="38">
        <f>SUM(E102:E163)</f>
        <v>40</v>
      </c>
      <c r="F164" s="38"/>
      <c r="G164" s="38"/>
      <c r="H164" s="38"/>
      <c r="I164" s="38"/>
      <c r="J164" s="38"/>
      <c r="K164" s="38">
        <f t="shared" ref="K164:N164" si="7">SUM(K102:K163)</f>
        <v>2</v>
      </c>
      <c r="L164" s="38">
        <f t="shared" si="7"/>
        <v>15</v>
      </c>
      <c r="M164" s="38">
        <f t="shared" si="7"/>
        <v>23</v>
      </c>
      <c r="N164" s="38">
        <f t="shared" si="7"/>
        <v>73</v>
      </c>
      <c r="O164" s="38">
        <f t="shared" si="6"/>
        <v>113</v>
      </c>
      <c r="P164" s="38"/>
    </row>
    <row r="165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>
        <f>E164-O164</f>
        <v>-73</v>
      </c>
      <c r="O165" s="67">
        <f>O164/E164</f>
        <v>2.825</v>
      </c>
      <c r="P165" s="67"/>
    </row>
    <row r="16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5.75" hidden="1" customHeight="1">
      <c r="A183" s="1"/>
      <c r="B183" s="1"/>
      <c r="C183" s="1"/>
      <c r="D183" s="1"/>
      <c r="E183" s="1"/>
      <c r="F183" s="85"/>
      <c r="G183" s="85"/>
      <c r="H183" s="85"/>
      <c r="I183" s="85"/>
      <c r="J183" s="85"/>
      <c r="K183" s="85"/>
      <c r="O183" s="85"/>
      <c r="P183" s="85"/>
    </row>
    <row r="184" ht="15.75" hidden="1" customHeight="1">
      <c r="A184" s="1"/>
      <c r="B184" s="1"/>
      <c r="C184" s="1"/>
      <c r="D184" s="1"/>
      <c r="E184" s="1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</row>
    <row r="185" ht="15.75" hidden="1" customHeight="1">
      <c r="A185" s="1"/>
      <c r="B185" s="1"/>
      <c r="C185" s="1"/>
      <c r="D185" s="1"/>
      <c r="E185" s="1"/>
      <c r="F185" s="86"/>
      <c r="G185" s="86"/>
      <c r="H185" s="86"/>
      <c r="I185" s="86"/>
      <c r="J185" s="86"/>
      <c r="K185" s="86"/>
      <c r="L185" s="86"/>
      <c r="M185" s="86"/>
      <c r="N185" s="1"/>
      <c r="O185" s="1"/>
      <c r="P185" s="1"/>
    </row>
    <row r="186" ht="15.75" hidden="1" customHeight="1">
      <c r="A186" s="1"/>
      <c r="B186" s="1"/>
      <c r="C186" s="1"/>
      <c r="D186" s="1"/>
      <c r="E186" s="1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</row>
    <row r="187" ht="15.75" hidden="1" customHeight="1">
      <c r="A187" s="1"/>
      <c r="B187" s="1"/>
      <c r="C187" s="1"/>
      <c r="D187" s="1"/>
      <c r="E187" s="1"/>
      <c r="F187" s="87"/>
      <c r="G187" s="87"/>
      <c r="H187" s="87"/>
      <c r="I187" s="87"/>
      <c r="J187" s="87"/>
      <c r="K187" s="87"/>
      <c r="L187" s="1"/>
      <c r="M187" s="1"/>
      <c r="N187" s="1"/>
      <c r="O187" s="1"/>
      <c r="P187" s="1"/>
    </row>
    <row r="188" ht="15.75" hidden="1" customHeight="1">
      <c r="A188" s="1"/>
      <c r="B188" s="1"/>
      <c r="C188" s="1"/>
      <c r="D188" s="1"/>
      <c r="E188" s="1"/>
      <c r="F188" s="86"/>
      <c r="G188" s="86"/>
      <c r="H188" s="86"/>
      <c r="I188" s="86"/>
      <c r="J188" s="86"/>
      <c r="K188" s="86"/>
      <c r="L188" s="86"/>
      <c r="M188" s="86"/>
      <c r="N188" s="1"/>
      <c r="O188" s="1"/>
      <c r="P188" s="1"/>
    </row>
    <row r="189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M99:M101"/>
    <mergeCell ref="N99:N101"/>
    <mergeCell ref="K183:N183"/>
    <mergeCell ref="C43:C45"/>
    <mergeCell ref="C46:C48"/>
    <mergeCell ref="C49:C65"/>
    <mergeCell ref="C66:C68"/>
    <mergeCell ref="C69:D69"/>
    <mergeCell ref="C98:C101"/>
    <mergeCell ref="E98:O98"/>
    <mergeCell ref="O99:O101"/>
    <mergeCell ref="C125:C128"/>
    <mergeCell ref="C129:C152"/>
    <mergeCell ref="C160:C162"/>
    <mergeCell ref="D98:D101"/>
    <mergeCell ref="E99:E101"/>
    <mergeCell ref="C104:C106"/>
    <mergeCell ref="C107:C108"/>
    <mergeCell ref="C110:C115"/>
    <mergeCell ref="C116:C119"/>
    <mergeCell ref="C122:C123"/>
    <mergeCell ref="H5:H7"/>
    <mergeCell ref="I5:I7"/>
    <mergeCell ref="J5:J7"/>
    <mergeCell ref="K5:K7"/>
    <mergeCell ref="L5:L7"/>
    <mergeCell ref="M5:M7"/>
    <mergeCell ref="K97:N97"/>
    <mergeCell ref="N5:N7"/>
    <mergeCell ref="O5:O7"/>
    <mergeCell ref="C2:D2"/>
    <mergeCell ref="E3:P3"/>
    <mergeCell ref="C4:C7"/>
    <mergeCell ref="D4:D7"/>
    <mergeCell ref="E4:J4"/>
    <mergeCell ref="K4:P4"/>
    <mergeCell ref="E5:E7"/>
    <mergeCell ref="P5:P7"/>
    <mergeCell ref="F5:F7"/>
    <mergeCell ref="G5:G7"/>
    <mergeCell ref="C9:C10"/>
    <mergeCell ref="C11:C17"/>
    <mergeCell ref="C18:C21"/>
    <mergeCell ref="C23:C34"/>
    <mergeCell ref="C35:C41"/>
    <mergeCell ref="K99:K101"/>
    <mergeCell ref="L99:L10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 outlineLevelCol="2"/>
  <cols>
    <col customWidth="1" hidden="1" min="1" max="2" width="5.29"/>
    <col customWidth="1" min="3" max="3" width="27.29"/>
    <col customWidth="1" min="4" max="4" width="38.43"/>
    <col customWidth="1" min="5" max="5" width="12.86"/>
    <col customWidth="1" min="6" max="6" width="12.43"/>
    <col customWidth="1" min="7" max="7" width="11.29"/>
    <col customWidth="1" min="8" max="8" width="13.43"/>
    <col customWidth="1" min="9" max="9" width="14.0"/>
    <col customWidth="1" min="10" max="10" width="14.14"/>
    <col customWidth="1" min="11" max="11" width="10.71"/>
    <col customWidth="1" min="12" max="12" width="9.43"/>
    <col customWidth="1" min="13" max="13" width="8.14"/>
    <col customWidth="1" min="14" max="14" width="10.43"/>
    <col customWidth="1" min="15" max="15" width="13.29"/>
    <col customWidth="1" min="16" max="17" width="11.14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3" t="s">
        <v>485</v>
      </c>
      <c r="D3" s="4"/>
      <c r="E3" s="126" t="s">
        <v>509</v>
      </c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202" t="s">
        <v>1092</v>
      </c>
    </row>
    <row r="4">
      <c r="A4" s="1"/>
      <c r="B4" s="1"/>
      <c r="C4" s="10" t="s">
        <v>5</v>
      </c>
      <c r="D4" s="12" t="s">
        <v>6</v>
      </c>
      <c r="E4" s="126" t="s">
        <v>7</v>
      </c>
      <c r="F4" s="7"/>
      <c r="G4" s="7"/>
      <c r="H4" s="7"/>
      <c r="I4" s="7"/>
      <c r="J4" s="8"/>
      <c r="K4" s="126" t="s">
        <v>8</v>
      </c>
      <c r="L4" s="7"/>
      <c r="M4" s="7"/>
      <c r="N4" s="7"/>
      <c r="O4" s="7"/>
      <c r="P4" s="8"/>
      <c r="Q4" s="203"/>
    </row>
    <row r="5">
      <c r="A5" s="1"/>
      <c r="B5" s="1"/>
      <c r="C5" s="13"/>
      <c r="D5" s="14"/>
      <c r="E5" s="138" t="s">
        <v>9</v>
      </c>
      <c r="F5" s="138" t="s">
        <v>10</v>
      </c>
      <c r="G5" s="138" t="s">
        <v>12</v>
      </c>
      <c r="H5" s="138" t="s">
        <v>13</v>
      </c>
      <c r="I5" s="141" t="s">
        <v>14</v>
      </c>
      <c r="J5" s="141" t="s">
        <v>15</v>
      </c>
      <c r="K5" s="138" t="s">
        <v>9</v>
      </c>
      <c r="L5" s="138" t="s">
        <v>10</v>
      </c>
      <c r="M5" s="138" t="s">
        <v>12</v>
      </c>
      <c r="N5" s="138" t="s">
        <v>13</v>
      </c>
      <c r="O5" s="141" t="s">
        <v>16</v>
      </c>
      <c r="P5" s="141" t="s">
        <v>17</v>
      </c>
      <c r="Q5" s="204"/>
    </row>
    <row r="6">
      <c r="A6" s="1"/>
      <c r="B6" s="1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204"/>
    </row>
    <row r="7">
      <c r="A7" s="1"/>
      <c r="B7" s="1"/>
      <c r="C7" s="2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04"/>
    </row>
    <row r="8">
      <c r="A8" s="1"/>
      <c r="B8" s="1"/>
      <c r="C8" s="24" t="s">
        <v>31</v>
      </c>
      <c r="D8" s="26" t="s">
        <v>31</v>
      </c>
      <c r="E8" s="205">
        <v>3.0</v>
      </c>
      <c r="F8" s="205"/>
      <c r="G8" s="205"/>
      <c r="H8" s="205"/>
      <c r="I8" s="178">
        <f t="shared" ref="I8:I14" si="1">SUM(E8:H8)</f>
        <v>3</v>
      </c>
      <c r="J8" s="178"/>
      <c r="K8" s="205">
        <v>2.0</v>
      </c>
      <c r="L8" s="205">
        <v>1.0</v>
      </c>
      <c r="M8" s="205"/>
      <c r="N8" s="205"/>
      <c r="O8" s="178">
        <f t="shared" ref="O8:O14" si="2">SUM(K8:N8)</f>
        <v>3</v>
      </c>
      <c r="P8" s="178"/>
      <c r="Q8" s="206">
        <f t="shared" ref="Q8:Q14" si="3">I8-O8</f>
        <v>0</v>
      </c>
    </row>
    <row r="9">
      <c r="A9" s="1"/>
      <c r="B9" s="1"/>
      <c r="C9" s="49"/>
      <c r="D9" s="26" t="s">
        <v>1094</v>
      </c>
      <c r="E9" s="205"/>
      <c r="F9" s="205"/>
      <c r="G9" s="205">
        <v>1.0</v>
      </c>
      <c r="H9" s="205"/>
      <c r="I9" s="178">
        <f t="shared" si="1"/>
        <v>1</v>
      </c>
      <c r="J9" s="178"/>
      <c r="K9" s="205"/>
      <c r="L9" s="205"/>
      <c r="M9" s="205"/>
      <c r="N9" s="205">
        <v>1.0</v>
      </c>
      <c r="O9" s="178">
        <f t="shared" si="2"/>
        <v>1</v>
      </c>
      <c r="P9" s="178"/>
      <c r="Q9" s="206">
        <f t="shared" si="3"/>
        <v>0</v>
      </c>
    </row>
    <row r="10">
      <c r="A10" s="1"/>
      <c r="B10" s="1"/>
      <c r="C10" s="41" t="s">
        <v>49</v>
      </c>
      <c r="D10" s="26" t="s">
        <v>50</v>
      </c>
      <c r="E10" s="205">
        <v>1.0</v>
      </c>
      <c r="F10" s="205"/>
      <c r="G10" s="205"/>
      <c r="H10" s="205"/>
      <c r="I10" s="178">
        <f t="shared" si="1"/>
        <v>1</v>
      </c>
      <c r="J10" s="178"/>
      <c r="K10" s="205">
        <v>1.0</v>
      </c>
      <c r="L10" s="205"/>
      <c r="M10" s="205"/>
      <c r="N10" s="205"/>
      <c r="O10" s="178">
        <f t="shared" si="2"/>
        <v>1</v>
      </c>
      <c r="P10" s="178"/>
      <c r="Q10" s="206">
        <f t="shared" si="3"/>
        <v>0</v>
      </c>
    </row>
    <row r="11">
      <c r="A11" s="1"/>
      <c r="B11" s="1"/>
      <c r="C11" s="21"/>
      <c r="D11" s="26" t="s">
        <v>51</v>
      </c>
      <c r="E11" s="205">
        <v>1.0</v>
      </c>
      <c r="F11" s="205"/>
      <c r="G11" s="205"/>
      <c r="H11" s="205"/>
      <c r="I11" s="178">
        <f t="shared" si="1"/>
        <v>1</v>
      </c>
      <c r="J11" s="178"/>
      <c r="K11" s="205">
        <v>1.0</v>
      </c>
      <c r="L11" s="205"/>
      <c r="M11" s="205"/>
      <c r="N11" s="205"/>
      <c r="O11" s="178">
        <f t="shared" si="2"/>
        <v>1</v>
      </c>
      <c r="P11" s="178"/>
      <c r="Q11" s="206">
        <f t="shared" si="3"/>
        <v>0</v>
      </c>
    </row>
    <row r="12">
      <c r="A12" s="1"/>
      <c r="B12" s="1"/>
      <c r="C12" s="41" t="s">
        <v>1096</v>
      </c>
      <c r="D12" s="207" t="s">
        <v>1097</v>
      </c>
      <c r="E12" s="205"/>
      <c r="F12" s="205"/>
      <c r="G12" s="205">
        <v>1.0</v>
      </c>
      <c r="H12" s="205"/>
      <c r="I12" s="178">
        <f t="shared" si="1"/>
        <v>1</v>
      </c>
      <c r="J12" s="178"/>
      <c r="K12" s="205"/>
      <c r="L12" s="205"/>
      <c r="M12" s="205"/>
      <c r="N12" s="205">
        <v>1.0</v>
      </c>
      <c r="O12" s="178">
        <f t="shared" si="2"/>
        <v>1</v>
      </c>
      <c r="P12" s="178"/>
      <c r="Q12" s="206">
        <f t="shared" si="3"/>
        <v>0</v>
      </c>
    </row>
    <row r="13">
      <c r="A13" s="1"/>
      <c r="B13" s="1"/>
      <c r="C13" s="41"/>
      <c r="D13" s="207" t="s">
        <v>1098</v>
      </c>
      <c r="E13" s="205"/>
      <c r="F13" s="205"/>
      <c r="G13" s="205">
        <v>1.0</v>
      </c>
      <c r="H13" s="205"/>
      <c r="I13" s="178">
        <f t="shared" si="1"/>
        <v>1</v>
      </c>
      <c r="J13" s="178"/>
      <c r="K13" s="205"/>
      <c r="L13" s="205"/>
      <c r="M13" s="205"/>
      <c r="N13" s="205">
        <v>1.0</v>
      </c>
      <c r="O13" s="178">
        <f t="shared" si="2"/>
        <v>1</v>
      </c>
      <c r="P13" s="178"/>
      <c r="Q13" s="206">
        <f t="shared" si="3"/>
        <v>0</v>
      </c>
    </row>
    <row r="14">
      <c r="A14" s="1"/>
      <c r="B14" s="1"/>
      <c r="C14" s="41"/>
      <c r="D14" s="207" t="s">
        <v>28</v>
      </c>
      <c r="E14" s="205"/>
      <c r="F14" s="205"/>
      <c r="G14" s="205">
        <v>2.0</v>
      </c>
      <c r="H14" s="205"/>
      <c r="I14" s="178">
        <f t="shared" si="1"/>
        <v>2</v>
      </c>
      <c r="J14" s="178"/>
      <c r="K14" s="205"/>
      <c r="L14" s="205"/>
      <c r="M14" s="205"/>
      <c r="N14" s="205">
        <v>2.0</v>
      </c>
      <c r="O14" s="178">
        <f t="shared" si="2"/>
        <v>2</v>
      </c>
      <c r="P14" s="178"/>
      <c r="Q14" s="206">
        <f t="shared" si="3"/>
        <v>0</v>
      </c>
    </row>
    <row r="15">
      <c r="A15" s="1"/>
      <c r="B15" s="1"/>
      <c r="C15" s="56" t="s">
        <v>113</v>
      </c>
      <c r="D15" s="57"/>
      <c r="E15" s="178">
        <f t="shared" ref="E15:I15" si="4">SUM(E8:E14)</f>
        <v>5</v>
      </c>
      <c r="F15" s="178">
        <f t="shared" si="4"/>
        <v>0</v>
      </c>
      <c r="G15" s="178">
        <f t="shared" si="4"/>
        <v>5</v>
      </c>
      <c r="H15" s="178">
        <f t="shared" si="4"/>
        <v>0</v>
      </c>
      <c r="I15" s="178">
        <f t="shared" si="4"/>
        <v>10</v>
      </c>
      <c r="J15" s="178"/>
      <c r="K15" s="178">
        <f t="shared" ref="K15:O15" si="5">SUM(K8:K14)</f>
        <v>4</v>
      </c>
      <c r="L15" s="178">
        <f t="shared" si="5"/>
        <v>1</v>
      </c>
      <c r="M15" s="178">
        <f t="shared" si="5"/>
        <v>0</v>
      </c>
      <c r="N15" s="178">
        <f t="shared" si="5"/>
        <v>5</v>
      </c>
      <c r="O15" s="178">
        <f t="shared" si="5"/>
        <v>10</v>
      </c>
      <c r="P15" s="178"/>
      <c r="Q15" s="178">
        <f>SUM(Q8:Q14)</f>
        <v>0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67"/>
      <c r="P16" s="67"/>
      <c r="Q16" s="67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ht="15.75" customHeight="1">
      <c r="A22" s="1"/>
      <c r="B22" s="1"/>
      <c r="C22" s="1"/>
      <c r="D22" s="1"/>
      <c r="E22" s="59"/>
      <c r="F22" s="59"/>
      <c r="G22" s="59"/>
      <c r="H22" s="59"/>
      <c r="I22" s="59"/>
      <c r="J22" s="1"/>
      <c r="K22" s="1"/>
      <c r="L22" s="1"/>
      <c r="M22" s="1"/>
      <c r="N22" s="1"/>
      <c r="O22" s="1"/>
      <c r="P22" s="1"/>
      <c r="Q22" s="1"/>
    </row>
    <row r="23" ht="15.75" customHeight="1">
      <c r="A23" s="1"/>
      <c r="B23" s="1"/>
      <c r="C23" s="1"/>
      <c r="D23" s="1"/>
      <c r="E23" s="59"/>
      <c r="F23" s="59"/>
      <c r="G23" s="59"/>
      <c r="H23" s="59"/>
      <c r="I23" s="59"/>
      <c r="J23" s="1"/>
      <c r="K23" s="1"/>
      <c r="L23" s="1"/>
      <c r="M23" s="1"/>
      <c r="N23" s="1"/>
      <c r="O23" s="1"/>
      <c r="P23" s="1"/>
      <c r="Q23" s="1"/>
    </row>
    <row r="24" ht="15.75" customHeight="1">
      <c r="A24" s="1"/>
      <c r="B24" s="1"/>
      <c r="C24" s="1"/>
      <c r="D24" s="1"/>
      <c r="E24" s="59"/>
      <c r="F24" s="59"/>
      <c r="G24" s="59"/>
      <c r="H24" s="59"/>
      <c r="I24" s="59"/>
      <c r="J24" s="1"/>
      <c r="K24" s="1"/>
      <c r="L24" s="1"/>
      <c r="M24" s="1"/>
      <c r="N24" s="1"/>
      <c r="O24" s="1"/>
      <c r="P24" s="1"/>
      <c r="Q24" s="1"/>
    </row>
    <row r="25" ht="15.75" customHeight="1">
      <c r="A25" s="1"/>
      <c r="B25" s="1"/>
      <c r="C25" s="1"/>
      <c r="D25" s="1"/>
      <c r="E25" s="59"/>
      <c r="F25" s="59"/>
      <c r="G25" s="59"/>
      <c r="H25" s="59"/>
      <c r="I25" s="59"/>
      <c r="J25" s="1"/>
      <c r="K25" s="1"/>
      <c r="L25" s="1"/>
      <c r="M25" s="1"/>
      <c r="N25" s="1"/>
      <c r="O25" s="1"/>
      <c r="P25" s="1"/>
      <c r="Q25" s="1"/>
    </row>
    <row r="26" ht="15.75" customHeight="1">
      <c r="A26" s="1"/>
      <c r="B26" s="1"/>
      <c r="C26" s="1"/>
      <c r="D26" s="1"/>
      <c r="E26" s="59"/>
      <c r="F26" s="59"/>
      <c r="G26" s="59"/>
      <c r="H26" s="59"/>
      <c r="I26" s="59"/>
      <c r="J26" s="1"/>
      <c r="K26" s="1"/>
      <c r="L26" s="1"/>
      <c r="M26" s="1"/>
      <c r="N26" s="1"/>
      <c r="O26" s="1"/>
      <c r="P26" s="1"/>
      <c r="Q26" s="1"/>
    </row>
    <row r="27" ht="15.75" customHeight="1">
      <c r="A27" s="1"/>
      <c r="B27" s="1"/>
      <c r="C27" s="1"/>
      <c r="D27" s="1"/>
      <c r="E27" s="59"/>
      <c r="F27" s="59"/>
      <c r="G27" s="59"/>
      <c r="H27" s="59"/>
      <c r="I27" s="59"/>
      <c r="J27" s="1"/>
      <c r="K27" s="1"/>
      <c r="L27" s="1"/>
      <c r="M27" s="1"/>
      <c r="N27" s="1"/>
      <c r="O27" s="1"/>
      <c r="P27" s="1"/>
      <c r="Q27" s="1"/>
    </row>
    <row r="28" ht="15.75" customHeight="1">
      <c r="A28" s="1"/>
      <c r="B28" s="1"/>
      <c r="C28" s="1"/>
      <c r="D28" s="1"/>
      <c r="E28" s="59"/>
      <c r="F28" s="59"/>
      <c r="G28" s="59"/>
      <c r="H28" s="59"/>
      <c r="I28" s="59"/>
      <c r="J28" s="1"/>
      <c r="K28" s="1"/>
      <c r="L28" s="1"/>
      <c r="M28" s="1"/>
      <c r="N28" s="1"/>
      <c r="O28" s="1"/>
      <c r="P28" s="1"/>
      <c r="Q28" s="1"/>
    </row>
    <row r="29" ht="15.75" customHeight="1">
      <c r="A29" s="1"/>
      <c r="B29" s="1"/>
      <c r="C29" s="1"/>
      <c r="D29" s="1"/>
      <c r="E29" s="59"/>
      <c r="F29" s="59"/>
      <c r="G29" s="59"/>
      <c r="H29" s="59"/>
      <c r="I29" s="59"/>
      <c r="J29" s="1"/>
      <c r="K29" s="1"/>
      <c r="L29" s="1"/>
      <c r="M29" s="1"/>
      <c r="N29" s="1"/>
      <c r="O29" s="1"/>
      <c r="P29" s="1"/>
      <c r="Q29" s="1"/>
    </row>
    <row r="30" ht="15.75" customHeight="1">
      <c r="A30" s="1"/>
      <c r="B30" s="1"/>
      <c r="C30" s="1"/>
      <c r="D30" s="1"/>
      <c r="E30" s="59"/>
      <c r="F30" s="59"/>
      <c r="G30" s="59"/>
      <c r="H30" s="59"/>
      <c r="I30" s="59"/>
      <c r="J30" s="1"/>
      <c r="K30" s="1"/>
      <c r="L30" s="1"/>
      <c r="M30" s="1"/>
      <c r="N30" s="1"/>
      <c r="O30" s="1"/>
      <c r="P30" s="1"/>
      <c r="Q30" s="1"/>
    </row>
    <row r="31" ht="15.75" customHeight="1">
      <c r="A31" s="1"/>
      <c r="B31" s="1"/>
      <c r="C31" s="1"/>
      <c r="D31" s="1"/>
      <c r="E31" s="59"/>
      <c r="F31" s="59"/>
      <c r="G31" s="59"/>
      <c r="H31" s="59"/>
      <c r="I31" s="59"/>
      <c r="J31" s="1"/>
      <c r="K31" s="1"/>
      <c r="L31" s="1"/>
      <c r="M31" s="1"/>
      <c r="N31" s="1"/>
      <c r="O31" s="1"/>
      <c r="P31" s="1"/>
      <c r="Q31" s="1"/>
    </row>
    <row r="32" ht="15.75" customHeight="1">
      <c r="A32" s="1"/>
      <c r="B32" s="1"/>
      <c r="C32" s="1"/>
      <c r="D32" s="1"/>
      <c r="E32" s="59"/>
      <c r="F32" s="59"/>
      <c r="G32" s="59"/>
      <c r="H32" s="59"/>
      <c r="I32" s="59"/>
      <c r="J32" s="1"/>
      <c r="K32" s="1"/>
      <c r="L32" s="1"/>
      <c r="M32" s="1"/>
      <c r="N32" s="1"/>
      <c r="O32" s="1"/>
      <c r="P32" s="1"/>
      <c r="Q32" s="1"/>
    </row>
    <row r="33" ht="15.75" customHeight="1">
      <c r="A33" s="1"/>
      <c r="B33" s="1"/>
      <c r="C33" s="1"/>
      <c r="D33" s="1"/>
      <c r="E33" s="59"/>
      <c r="F33" s="59"/>
      <c r="G33" s="59"/>
      <c r="H33" s="59"/>
      <c r="I33" s="59"/>
      <c r="J33" s="1"/>
      <c r="K33" s="1"/>
      <c r="L33" s="1"/>
      <c r="M33" s="1"/>
      <c r="N33" s="1"/>
      <c r="O33" s="1"/>
      <c r="P33" s="1"/>
      <c r="Q33" s="1"/>
    </row>
    <row r="34" ht="15.75" customHeight="1">
      <c r="A34" s="1"/>
      <c r="B34" s="1"/>
      <c r="C34" s="1"/>
      <c r="D34" s="1"/>
      <c r="E34" s="59"/>
      <c r="F34" s="59"/>
      <c r="G34" s="59"/>
      <c r="H34" s="59"/>
      <c r="I34" s="59"/>
      <c r="J34" s="1"/>
      <c r="K34" s="1"/>
      <c r="L34" s="1"/>
      <c r="M34" s="1"/>
      <c r="N34" s="1"/>
      <c r="O34" s="1"/>
      <c r="P34" s="1"/>
      <c r="Q34" s="1"/>
    </row>
    <row r="35" ht="15.75" customHeight="1">
      <c r="A35" s="1"/>
      <c r="B35" s="1"/>
      <c r="C35" s="1"/>
      <c r="D35" s="1"/>
      <c r="E35" s="59"/>
      <c r="F35" s="59"/>
      <c r="G35" s="59"/>
      <c r="H35" s="59"/>
      <c r="I35" s="59"/>
      <c r="J35" s="1"/>
      <c r="K35" s="1"/>
      <c r="L35" s="1"/>
      <c r="M35" s="1"/>
      <c r="N35" s="1"/>
      <c r="O35" s="1"/>
      <c r="P35" s="1"/>
      <c r="Q35" s="1"/>
    </row>
    <row r="36" ht="15.75" customHeight="1">
      <c r="A36" s="1"/>
      <c r="B36" s="1"/>
      <c r="C36" s="1"/>
      <c r="D36" s="1"/>
      <c r="E36" s="59"/>
      <c r="F36" s="59"/>
      <c r="G36" s="59"/>
      <c r="H36" s="59"/>
      <c r="I36" s="59"/>
      <c r="J36" s="1"/>
      <c r="K36" s="1"/>
      <c r="L36" s="1"/>
      <c r="M36" s="1"/>
      <c r="N36" s="1"/>
      <c r="O36" s="1"/>
      <c r="P36" s="1"/>
      <c r="Q36" s="1"/>
    </row>
    <row r="37" ht="15.75" customHeight="1">
      <c r="A37" s="1"/>
      <c r="B37" s="1"/>
      <c r="C37" s="1"/>
      <c r="D37" s="1"/>
      <c r="E37" s="59"/>
      <c r="F37" s="59"/>
      <c r="G37" s="59"/>
      <c r="H37" s="59"/>
      <c r="I37" s="59"/>
      <c r="J37" s="1"/>
      <c r="K37" s="1"/>
      <c r="L37" s="1"/>
      <c r="M37" s="1"/>
      <c r="N37" s="1"/>
      <c r="O37" s="1"/>
      <c r="P37" s="1"/>
      <c r="Q37" s="1"/>
    </row>
    <row r="38" ht="15.75" customHeight="1">
      <c r="A38" s="1"/>
      <c r="B38" s="1"/>
      <c r="C38" s="1"/>
      <c r="D38" s="1"/>
      <c r="E38" s="59"/>
      <c r="F38" s="59"/>
      <c r="G38" s="59"/>
      <c r="H38" s="59"/>
      <c r="I38" s="59"/>
      <c r="J38" s="1"/>
      <c r="K38" s="1"/>
      <c r="L38" s="1"/>
      <c r="M38" s="1"/>
      <c r="N38" s="1"/>
      <c r="O38" s="1"/>
      <c r="P38" s="1"/>
      <c r="Q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5.75" hidden="1" customHeight="1">
      <c r="A43" s="1"/>
      <c r="B43" s="1"/>
      <c r="C43" s="4" t="s">
        <v>142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5.75" hidden="1" customHeight="1">
      <c r="A44" s="1"/>
      <c r="B44" s="1"/>
      <c r="C44" s="10" t="s">
        <v>5</v>
      </c>
      <c r="D44" s="12" t="s">
        <v>6</v>
      </c>
      <c r="E44" s="201"/>
      <c r="F44" s="201"/>
      <c r="G44" s="201"/>
      <c r="H44" s="201"/>
      <c r="I44" s="126" t="s">
        <v>509</v>
      </c>
      <c r="J44" s="7"/>
      <c r="K44" s="7"/>
      <c r="L44" s="7"/>
      <c r="M44" s="7"/>
      <c r="N44" s="7"/>
      <c r="O44" s="8"/>
      <c r="P44" s="201"/>
      <c r="Q44" s="208"/>
    </row>
    <row r="45" ht="15.75" hidden="1" customHeight="1">
      <c r="A45" s="1"/>
      <c r="B45" s="1"/>
      <c r="C45" s="13"/>
      <c r="D45" s="14"/>
      <c r="E45" s="178"/>
      <c r="F45" s="178"/>
      <c r="G45" s="178"/>
      <c r="H45" s="178"/>
      <c r="I45" s="209" t="s">
        <v>7</v>
      </c>
      <c r="J45" s="178"/>
      <c r="K45" s="209" t="s">
        <v>143</v>
      </c>
      <c r="L45" s="209" t="s">
        <v>145</v>
      </c>
      <c r="M45" s="209" t="s">
        <v>146</v>
      </c>
      <c r="N45" s="178"/>
      <c r="O45" s="209" t="s">
        <v>147</v>
      </c>
      <c r="P45" s="178"/>
      <c r="Q45" s="206"/>
    </row>
    <row r="46" ht="15.75" hidden="1" customHeight="1">
      <c r="A46" s="1"/>
      <c r="B46" s="1"/>
      <c r="C46" s="13"/>
      <c r="D46" s="14"/>
      <c r="E46" s="178"/>
      <c r="F46" s="178"/>
      <c r="G46" s="178"/>
      <c r="H46" s="178"/>
      <c r="I46" s="14"/>
      <c r="J46" s="178"/>
      <c r="K46" s="14"/>
      <c r="L46" s="14"/>
      <c r="M46" s="14"/>
      <c r="N46" s="178"/>
      <c r="O46" s="14"/>
      <c r="P46" s="178"/>
      <c r="Q46" s="206"/>
    </row>
    <row r="47" ht="15.75" hidden="1" customHeight="1">
      <c r="A47" s="1"/>
      <c r="B47" s="1"/>
      <c r="C47" s="21"/>
      <c r="D47" s="23"/>
      <c r="E47" s="178"/>
      <c r="F47" s="178"/>
      <c r="G47" s="178"/>
      <c r="H47" s="178"/>
      <c r="I47" s="23"/>
      <c r="J47" s="178"/>
      <c r="K47" s="23"/>
      <c r="L47" s="23"/>
      <c r="M47" s="23"/>
      <c r="N47" s="178"/>
      <c r="O47" s="23"/>
      <c r="P47" s="178"/>
      <c r="Q47" s="206"/>
    </row>
    <row r="48" ht="15.75" hidden="1" customHeight="1">
      <c r="A48" s="1"/>
      <c r="B48" s="1"/>
      <c r="C48" s="24" t="s">
        <v>20</v>
      </c>
      <c r="D48" s="26" t="s">
        <v>20</v>
      </c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>
        <f t="shared" ref="O48:O54" si="6">SUM(K48:M48)</f>
        <v>0</v>
      </c>
      <c r="P48" s="178"/>
      <c r="Q48" s="206"/>
    </row>
    <row r="49" ht="15.75" hidden="1" customHeight="1">
      <c r="A49" s="1"/>
      <c r="B49" s="1"/>
      <c r="C49" s="24" t="s">
        <v>150</v>
      </c>
      <c r="D49" s="26" t="s">
        <v>19</v>
      </c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>
        <f t="shared" si="6"/>
        <v>0</v>
      </c>
      <c r="P49" s="178"/>
      <c r="Q49" s="206"/>
    </row>
    <row r="50" ht="15.75" hidden="1" customHeight="1">
      <c r="A50" s="1"/>
      <c r="B50" s="1"/>
      <c r="C50" s="34" t="s">
        <v>21</v>
      </c>
      <c r="D50" s="26" t="s">
        <v>25</v>
      </c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>
        <f t="shared" si="6"/>
        <v>0</v>
      </c>
      <c r="P50" s="178"/>
      <c r="Q50" s="206"/>
    </row>
    <row r="51" ht="15.75" hidden="1" customHeight="1">
      <c r="A51" s="1"/>
      <c r="B51" s="1"/>
      <c r="C51" s="13"/>
      <c r="D51" s="26" t="s">
        <v>151</v>
      </c>
      <c r="E51" s="178"/>
      <c r="F51" s="178"/>
      <c r="G51" s="178"/>
      <c r="H51" s="178"/>
      <c r="I51" s="178">
        <v>1.0</v>
      </c>
      <c r="J51" s="178"/>
      <c r="K51" s="178"/>
      <c r="L51" s="178"/>
      <c r="M51" s="178">
        <v>1.0</v>
      </c>
      <c r="N51" s="178"/>
      <c r="O51" s="178">
        <f t="shared" si="6"/>
        <v>1</v>
      </c>
      <c r="P51" s="178"/>
      <c r="Q51" s="206"/>
    </row>
    <row r="52" ht="15.75" hidden="1" customHeight="1">
      <c r="A52" s="1"/>
      <c r="B52" s="1"/>
      <c r="C52" s="21"/>
      <c r="D52" s="26" t="s">
        <v>28</v>
      </c>
      <c r="E52" s="178"/>
      <c r="F52" s="178"/>
      <c r="G52" s="178"/>
      <c r="H52" s="178"/>
      <c r="I52" s="178">
        <v>2.0</v>
      </c>
      <c r="J52" s="178"/>
      <c r="K52" s="178"/>
      <c r="L52" s="178"/>
      <c r="M52" s="178">
        <v>2.0</v>
      </c>
      <c r="N52" s="178"/>
      <c r="O52" s="178">
        <f t="shared" si="6"/>
        <v>2</v>
      </c>
      <c r="P52" s="178"/>
      <c r="Q52" s="206"/>
    </row>
    <row r="53" ht="15.75" hidden="1" customHeight="1">
      <c r="A53" s="1"/>
      <c r="B53" s="1"/>
      <c r="C53" s="34" t="s">
        <v>29</v>
      </c>
      <c r="D53" s="26" t="s">
        <v>31</v>
      </c>
      <c r="E53" s="178"/>
      <c r="F53" s="178"/>
      <c r="G53" s="178"/>
      <c r="H53" s="178"/>
      <c r="I53" s="178">
        <v>5.0</v>
      </c>
      <c r="J53" s="178"/>
      <c r="K53" s="178">
        <v>2.0</v>
      </c>
      <c r="L53" s="178">
        <v>2.0</v>
      </c>
      <c r="M53" s="178"/>
      <c r="N53" s="178"/>
      <c r="O53" s="178">
        <f t="shared" si="6"/>
        <v>4</v>
      </c>
      <c r="P53" s="178"/>
      <c r="Q53" s="206"/>
    </row>
    <row r="54" ht="15.75" hidden="1" customHeight="1">
      <c r="A54" s="1"/>
      <c r="B54" s="1"/>
      <c r="C54" s="21"/>
      <c r="D54" s="26" t="s">
        <v>32</v>
      </c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>
        <f t="shared" si="6"/>
        <v>0</v>
      </c>
      <c r="P54" s="178"/>
      <c r="Q54" s="206"/>
    </row>
    <row r="55" ht="15.75" hidden="1" customHeight="1">
      <c r="A55" s="1"/>
      <c r="B55" s="1"/>
      <c r="C55" s="24" t="s">
        <v>34</v>
      </c>
      <c r="D55" s="26" t="s">
        <v>34</v>
      </c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206"/>
    </row>
    <row r="56" ht="15.75" hidden="1" customHeight="1">
      <c r="A56" s="1"/>
      <c r="B56" s="1"/>
      <c r="C56" s="41" t="s">
        <v>63</v>
      </c>
      <c r="D56" s="26" t="s">
        <v>41</v>
      </c>
      <c r="E56" s="178"/>
      <c r="F56" s="178"/>
      <c r="G56" s="178"/>
      <c r="H56" s="178"/>
      <c r="I56" s="178">
        <v>1.0</v>
      </c>
      <c r="J56" s="178"/>
      <c r="K56" s="178">
        <v>1.0</v>
      </c>
      <c r="L56" s="178"/>
      <c r="M56" s="178"/>
      <c r="N56" s="178"/>
      <c r="O56" s="178">
        <f t="shared" ref="O56:O91" si="7">SUM(K56:M56)</f>
        <v>1</v>
      </c>
      <c r="P56" s="178"/>
      <c r="Q56" s="206"/>
    </row>
    <row r="57" ht="15.75" hidden="1" customHeight="1">
      <c r="A57" s="1"/>
      <c r="B57" s="1"/>
      <c r="C57" s="13"/>
      <c r="D57" s="26" t="s">
        <v>38</v>
      </c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>
        <f t="shared" si="7"/>
        <v>0</v>
      </c>
      <c r="P57" s="178"/>
      <c r="Q57" s="206"/>
    </row>
    <row r="58" ht="15.75" hidden="1" customHeight="1">
      <c r="A58" s="1"/>
      <c r="B58" s="1"/>
      <c r="C58" s="13"/>
      <c r="D58" s="26" t="s">
        <v>43</v>
      </c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>
        <f t="shared" si="7"/>
        <v>0</v>
      </c>
      <c r="P58" s="178"/>
      <c r="Q58" s="206"/>
    </row>
    <row r="59" ht="15.75" hidden="1" customHeight="1">
      <c r="A59" s="1"/>
      <c r="B59" s="1"/>
      <c r="C59" s="13"/>
      <c r="D59" s="26" t="s">
        <v>42</v>
      </c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>
        <f t="shared" si="7"/>
        <v>0</v>
      </c>
      <c r="P59" s="178"/>
      <c r="Q59" s="206"/>
    </row>
    <row r="60" ht="15.75" hidden="1" customHeight="1">
      <c r="A60" s="1" t="s">
        <v>153</v>
      </c>
      <c r="B60" s="1"/>
      <c r="C60" s="13"/>
      <c r="D60" s="26" t="s">
        <v>154</v>
      </c>
      <c r="E60" s="178"/>
      <c r="F60" s="178"/>
      <c r="G60" s="178"/>
      <c r="H60" s="178"/>
      <c r="I60" s="178">
        <v>1.0</v>
      </c>
      <c r="J60" s="178"/>
      <c r="K60" s="178"/>
      <c r="L60" s="201"/>
      <c r="M60" s="201">
        <v>1.0</v>
      </c>
      <c r="N60" s="201"/>
      <c r="O60" s="178">
        <f t="shared" si="7"/>
        <v>1</v>
      </c>
      <c r="P60" s="178"/>
      <c r="Q60" s="206"/>
    </row>
    <row r="61" ht="15.75" hidden="1" customHeight="1">
      <c r="A61" s="43"/>
      <c r="B61" s="43"/>
      <c r="C61" s="21"/>
      <c r="D61" s="26" t="s">
        <v>44</v>
      </c>
      <c r="E61" s="178"/>
      <c r="F61" s="178"/>
      <c r="G61" s="178"/>
      <c r="H61" s="178"/>
      <c r="I61" s="178">
        <v>1.0</v>
      </c>
      <c r="J61" s="178"/>
      <c r="K61" s="178"/>
      <c r="L61" s="178">
        <v>1.0</v>
      </c>
      <c r="M61" s="178"/>
      <c r="N61" s="178"/>
      <c r="O61" s="178">
        <f t="shared" si="7"/>
        <v>1</v>
      </c>
      <c r="P61" s="178"/>
      <c r="Q61" s="206"/>
    </row>
    <row r="62" ht="15.75" hidden="1" customHeight="1">
      <c r="A62" s="1"/>
      <c r="B62" s="1"/>
      <c r="C62" s="41" t="s">
        <v>49</v>
      </c>
      <c r="D62" s="26" t="s">
        <v>155</v>
      </c>
      <c r="E62" s="178"/>
      <c r="F62" s="178"/>
      <c r="G62" s="178"/>
      <c r="H62" s="178"/>
      <c r="I62" s="178">
        <v>1.0</v>
      </c>
      <c r="J62" s="178"/>
      <c r="K62" s="178">
        <v>1.0</v>
      </c>
      <c r="L62" s="178"/>
      <c r="M62" s="178"/>
      <c r="N62" s="178"/>
      <c r="O62" s="178">
        <f t="shared" si="7"/>
        <v>1</v>
      </c>
      <c r="P62" s="178"/>
      <c r="Q62" s="206"/>
    </row>
    <row r="63" ht="15.75" hidden="1" customHeight="1">
      <c r="A63" s="1"/>
      <c r="B63" s="1"/>
      <c r="C63" s="13"/>
      <c r="D63" s="26" t="s">
        <v>51</v>
      </c>
      <c r="E63" s="178"/>
      <c r="F63" s="178"/>
      <c r="G63" s="178"/>
      <c r="H63" s="178"/>
      <c r="I63" s="178">
        <v>1.0</v>
      </c>
      <c r="J63" s="178"/>
      <c r="K63" s="178">
        <v>1.0</v>
      </c>
      <c r="L63" s="178"/>
      <c r="M63" s="178"/>
      <c r="N63" s="178"/>
      <c r="O63" s="178">
        <f t="shared" si="7"/>
        <v>1</v>
      </c>
      <c r="P63" s="178"/>
      <c r="Q63" s="206"/>
    </row>
    <row r="64" ht="15.75" hidden="1" customHeight="1">
      <c r="A64" s="1"/>
      <c r="B64" s="1"/>
      <c r="C64" s="13"/>
      <c r="D64" s="26" t="s">
        <v>156</v>
      </c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>
        <f t="shared" si="7"/>
        <v>0</v>
      </c>
      <c r="P64" s="178"/>
      <c r="Q64" s="206"/>
    </row>
    <row r="65" ht="15.75" hidden="1" customHeight="1">
      <c r="A65" s="1"/>
      <c r="B65" s="1"/>
      <c r="C65" s="21"/>
      <c r="D65" s="26" t="s">
        <v>55</v>
      </c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>
        <f t="shared" si="7"/>
        <v>0</v>
      </c>
      <c r="P65" s="178"/>
      <c r="Q65" s="206"/>
    </row>
    <row r="66" ht="15.75" hidden="1" customHeight="1">
      <c r="A66" s="1"/>
      <c r="B66" s="1"/>
      <c r="C66" s="49" t="s">
        <v>53</v>
      </c>
      <c r="D66" s="26" t="s">
        <v>53</v>
      </c>
      <c r="E66" s="178"/>
      <c r="F66" s="178"/>
      <c r="G66" s="178"/>
      <c r="H66" s="178"/>
      <c r="I66" s="178">
        <v>1.0</v>
      </c>
      <c r="J66" s="178"/>
      <c r="K66" s="178">
        <v>1.0</v>
      </c>
      <c r="L66" s="178"/>
      <c r="M66" s="178"/>
      <c r="N66" s="178"/>
      <c r="O66" s="178">
        <f t="shared" si="7"/>
        <v>1</v>
      </c>
      <c r="P66" s="178"/>
      <c r="Q66" s="206"/>
    </row>
    <row r="67" ht="15.75" hidden="1" customHeight="1">
      <c r="A67" s="1"/>
      <c r="B67" s="1"/>
      <c r="C67" s="24" t="s">
        <v>54</v>
      </c>
      <c r="D67" s="26" t="s">
        <v>54</v>
      </c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>
        <f t="shared" si="7"/>
        <v>0</v>
      </c>
      <c r="P67" s="178"/>
      <c r="Q67" s="206"/>
    </row>
    <row r="68" ht="15.75" hidden="1" customHeight="1">
      <c r="A68" s="1"/>
      <c r="B68" s="1"/>
      <c r="C68" s="34" t="s">
        <v>57</v>
      </c>
      <c r="D68" s="26" t="s">
        <v>114</v>
      </c>
      <c r="E68" s="178"/>
      <c r="F68" s="178"/>
      <c r="G68" s="178"/>
      <c r="H68" s="178"/>
      <c r="I68" s="178">
        <v>1.0</v>
      </c>
      <c r="J68" s="178"/>
      <c r="K68" s="178">
        <v>1.0</v>
      </c>
      <c r="L68" s="178"/>
      <c r="M68" s="178"/>
      <c r="N68" s="178"/>
      <c r="O68" s="178">
        <f t="shared" si="7"/>
        <v>1</v>
      </c>
      <c r="P68" s="178"/>
      <c r="Q68" s="206"/>
    </row>
    <row r="69" ht="15.75" hidden="1" customHeight="1">
      <c r="A69" s="1"/>
      <c r="B69" s="1"/>
      <c r="C69" s="21"/>
      <c r="D69" s="26" t="s">
        <v>60</v>
      </c>
      <c r="E69" s="178"/>
      <c r="F69" s="178"/>
      <c r="G69" s="178"/>
      <c r="H69" s="178"/>
      <c r="I69" s="178">
        <v>1.0</v>
      </c>
      <c r="J69" s="178"/>
      <c r="K69" s="178"/>
      <c r="L69" s="178"/>
      <c r="M69" s="178"/>
      <c r="N69" s="178"/>
      <c r="O69" s="178">
        <f t="shared" si="7"/>
        <v>0</v>
      </c>
      <c r="P69" s="178"/>
      <c r="Q69" s="206"/>
    </row>
    <row r="70" ht="15.75" hidden="1" customHeight="1">
      <c r="A70" s="1"/>
      <c r="B70" s="1"/>
      <c r="C70" s="24" t="s">
        <v>162</v>
      </c>
      <c r="D70" s="26" t="s">
        <v>163</v>
      </c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>
        <f t="shared" si="7"/>
        <v>0</v>
      </c>
      <c r="P70" s="178"/>
      <c r="Q70" s="206"/>
    </row>
    <row r="71" ht="15.75" hidden="1" customHeight="1">
      <c r="A71" s="1"/>
      <c r="B71" s="1"/>
      <c r="C71" s="34" t="s">
        <v>62</v>
      </c>
      <c r="D71" s="26" t="s">
        <v>165</v>
      </c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>
        <f t="shared" si="7"/>
        <v>0</v>
      </c>
      <c r="P71" s="178"/>
      <c r="Q71" s="206"/>
    </row>
    <row r="72" ht="15.75" hidden="1" customHeight="1">
      <c r="A72" s="1"/>
      <c r="B72" s="1"/>
      <c r="C72" s="13"/>
      <c r="D72" s="26" t="s">
        <v>167</v>
      </c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>
        <f t="shared" si="7"/>
        <v>0</v>
      </c>
      <c r="P72" s="178"/>
      <c r="Q72" s="206"/>
    </row>
    <row r="73" ht="15.75" hidden="1" customHeight="1">
      <c r="A73" s="1"/>
      <c r="B73" s="1"/>
      <c r="C73" s="13"/>
      <c r="D73" s="26" t="s">
        <v>168</v>
      </c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>
        <f t="shared" si="7"/>
        <v>0</v>
      </c>
      <c r="P73" s="178"/>
      <c r="Q73" s="206"/>
    </row>
    <row r="74" ht="15.75" hidden="1" customHeight="1">
      <c r="A74" s="1"/>
      <c r="B74" s="1"/>
      <c r="C74" s="21"/>
      <c r="D74" s="26" t="s">
        <v>66</v>
      </c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>
        <f t="shared" si="7"/>
        <v>0</v>
      </c>
      <c r="P74" s="178"/>
      <c r="Q74" s="206"/>
    </row>
    <row r="75" ht="15.75" hidden="1" customHeight="1">
      <c r="A75" s="1"/>
      <c r="B75" s="1"/>
      <c r="C75" s="34" t="s">
        <v>62</v>
      </c>
      <c r="D75" s="26" t="s">
        <v>169</v>
      </c>
      <c r="E75" s="178"/>
      <c r="F75" s="178"/>
      <c r="G75" s="178"/>
      <c r="H75" s="178"/>
      <c r="I75" s="178">
        <v>1.0</v>
      </c>
      <c r="J75" s="201"/>
      <c r="K75" s="201">
        <v>1.0</v>
      </c>
      <c r="L75" s="201"/>
      <c r="M75" s="201"/>
      <c r="N75" s="201"/>
      <c r="O75" s="178">
        <f t="shared" si="7"/>
        <v>1</v>
      </c>
      <c r="P75" s="178"/>
      <c r="Q75" s="206"/>
    </row>
    <row r="76" ht="15.75" hidden="1" customHeight="1">
      <c r="A76" s="1"/>
      <c r="B76" s="1"/>
      <c r="C76" s="13"/>
      <c r="D76" s="26" t="s">
        <v>171</v>
      </c>
      <c r="E76" s="178"/>
      <c r="F76" s="178"/>
      <c r="G76" s="178"/>
      <c r="H76" s="178"/>
      <c r="I76" s="178"/>
      <c r="J76" s="201"/>
      <c r="K76" s="201"/>
      <c r="L76" s="201"/>
      <c r="M76" s="201"/>
      <c r="N76" s="201"/>
      <c r="O76" s="178">
        <f t="shared" si="7"/>
        <v>0</v>
      </c>
      <c r="P76" s="178"/>
      <c r="Q76" s="206"/>
    </row>
    <row r="77" ht="15.75" hidden="1" customHeight="1">
      <c r="A77" s="1"/>
      <c r="B77" s="1"/>
      <c r="C77" s="13"/>
      <c r="D77" s="26" t="s">
        <v>160</v>
      </c>
      <c r="E77" s="178"/>
      <c r="F77" s="178"/>
      <c r="G77" s="178"/>
      <c r="H77" s="178"/>
      <c r="I77" s="178"/>
      <c r="J77" s="201"/>
      <c r="K77" s="201"/>
      <c r="L77" s="201"/>
      <c r="M77" s="201"/>
      <c r="N77" s="201"/>
      <c r="O77" s="178">
        <f t="shared" si="7"/>
        <v>0</v>
      </c>
      <c r="P77" s="178"/>
      <c r="Q77" s="206"/>
    </row>
    <row r="78" ht="15.75" hidden="1" customHeight="1">
      <c r="A78" s="1"/>
      <c r="B78" s="1"/>
      <c r="C78" s="13"/>
      <c r="D78" s="26" t="s">
        <v>69</v>
      </c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>
        <f t="shared" si="7"/>
        <v>0</v>
      </c>
      <c r="P78" s="178"/>
      <c r="Q78" s="206"/>
    </row>
    <row r="79" ht="15.75" hidden="1" customHeight="1">
      <c r="A79" s="1"/>
      <c r="B79" s="1"/>
      <c r="C79" s="13"/>
      <c r="D79" s="26" t="s">
        <v>73</v>
      </c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>
        <f t="shared" si="7"/>
        <v>0</v>
      </c>
      <c r="P79" s="178"/>
      <c r="Q79" s="206"/>
    </row>
    <row r="80" ht="15.75" hidden="1" customHeight="1">
      <c r="A80" s="1"/>
      <c r="B80" s="1"/>
      <c r="C80" s="13"/>
      <c r="D80" s="26" t="s">
        <v>77</v>
      </c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>
        <f t="shared" si="7"/>
        <v>0</v>
      </c>
      <c r="P80" s="178"/>
      <c r="Q80" s="206"/>
    </row>
    <row r="81" ht="15.75" hidden="1" customHeight="1">
      <c r="A81" s="1"/>
      <c r="B81" s="1"/>
      <c r="C81" s="13"/>
      <c r="D81" s="26" t="s">
        <v>174</v>
      </c>
      <c r="E81" s="178"/>
      <c r="F81" s="178"/>
      <c r="G81" s="178"/>
      <c r="H81" s="178"/>
      <c r="I81" s="178">
        <v>12.0</v>
      </c>
      <c r="J81" s="178"/>
      <c r="K81" s="178">
        <v>2.0</v>
      </c>
      <c r="L81" s="178">
        <v>3.0</v>
      </c>
      <c r="M81" s="178">
        <v>5.0</v>
      </c>
      <c r="N81" s="178"/>
      <c r="O81" s="178">
        <f t="shared" si="7"/>
        <v>10</v>
      </c>
      <c r="P81" s="178"/>
      <c r="Q81" s="206"/>
    </row>
    <row r="82" ht="15.75" hidden="1" customHeight="1">
      <c r="A82" s="1"/>
      <c r="B82" s="1"/>
      <c r="C82" s="13"/>
      <c r="D82" s="26" t="s">
        <v>175</v>
      </c>
      <c r="E82" s="178"/>
      <c r="F82" s="178"/>
      <c r="G82" s="178"/>
      <c r="H82" s="178"/>
      <c r="I82" s="178"/>
      <c r="J82" s="201"/>
      <c r="K82" s="201"/>
      <c r="L82" s="201"/>
      <c r="M82" s="178"/>
      <c r="N82" s="178"/>
      <c r="O82" s="178">
        <f t="shared" si="7"/>
        <v>0</v>
      </c>
      <c r="P82" s="178"/>
      <c r="Q82" s="206"/>
    </row>
    <row r="83" ht="15.75" hidden="1" customHeight="1">
      <c r="A83" s="1"/>
      <c r="B83" s="1"/>
      <c r="C83" s="13"/>
      <c r="D83" s="26" t="s">
        <v>177</v>
      </c>
      <c r="E83" s="178"/>
      <c r="F83" s="178"/>
      <c r="G83" s="178"/>
      <c r="H83" s="178"/>
      <c r="I83" s="178"/>
      <c r="J83" s="201"/>
      <c r="K83" s="201"/>
      <c r="L83" s="201"/>
      <c r="M83" s="201"/>
      <c r="N83" s="201"/>
      <c r="O83" s="178">
        <f t="shared" si="7"/>
        <v>0</v>
      </c>
      <c r="P83" s="178"/>
      <c r="Q83" s="206"/>
    </row>
    <row r="84" ht="15.75" hidden="1" customHeight="1">
      <c r="A84" s="1"/>
      <c r="B84" s="1"/>
      <c r="C84" s="13"/>
      <c r="D84" s="79" t="s">
        <v>178</v>
      </c>
      <c r="E84" s="178"/>
      <c r="F84" s="178"/>
      <c r="G84" s="178"/>
      <c r="H84" s="178"/>
      <c r="I84" s="178"/>
      <c r="J84" s="201"/>
      <c r="K84" s="201"/>
      <c r="L84" s="201"/>
      <c r="M84" s="201"/>
      <c r="N84" s="201"/>
      <c r="O84" s="178">
        <f t="shared" si="7"/>
        <v>0</v>
      </c>
      <c r="P84" s="178"/>
      <c r="Q84" s="206"/>
    </row>
    <row r="85" ht="15.75" hidden="1" customHeight="1">
      <c r="A85" s="1"/>
      <c r="B85" s="1"/>
      <c r="C85" s="13"/>
      <c r="D85" s="26" t="s">
        <v>172</v>
      </c>
      <c r="E85" s="178"/>
      <c r="F85" s="178"/>
      <c r="G85" s="178"/>
      <c r="H85" s="178"/>
      <c r="I85" s="178"/>
      <c r="J85" s="201"/>
      <c r="K85" s="201"/>
      <c r="L85" s="201"/>
      <c r="M85" s="201"/>
      <c r="N85" s="201"/>
      <c r="O85" s="178">
        <f t="shared" si="7"/>
        <v>0</v>
      </c>
      <c r="P85" s="178"/>
      <c r="Q85" s="206"/>
    </row>
    <row r="86" ht="15.75" hidden="1" customHeight="1">
      <c r="A86" s="1"/>
      <c r="B86" s="1"/>
      <c r="C86" s="13"/>
      <c r="D86" s="26" t="s">
        <v>179</v>
      </c>
      <c r="E86" s="178"/>
      <c r="F86" s="178"/>
      <c r="G86" s="178"/>
      <c r="H86" s="178"/>
      <c r="I86" s="178"/>
      <c r="J86" s="201"/>
      <c r="K86" s="201"/>
      <c r="L86" s="201"/>
      <c r="M86" s="201"/>
      <c r="N86" s="201"/>
      <c r="O86" s="178">
        <f t="shared" si="7"/>
        <v>0</v>
      </c>
      <c r="P86" s="178"/>
      <c r="Q86" s="206"/>
    </row>
    <row r="87" ht="15.75" hidden="1" customHeight="1">
      <c r="A87" s="1"/>
      <c r="B87" s="1"/>
      <c r="C87" s="13"/>
      <c r="D87" s="26" t="s">
        <v>180</v>
      </c>
      <c r="E87" s="178"/>
      <c r="F87" s="178"/>
      <c r="G87" s="178"/>
      <c r="H87" s="178"/>
      <c r="I87" s="178"/>
      <c r="J87" s="201"/>
      <c r="K87" s="201"/>
      <c r="L87" s="201"/>
      <c r="M87" s="201"/>
      <c r="N87" s="201"/>
      <c r="O87" s="178">
        <f t="shared" si="7"/>
        <v>0</v>
      </c>
      <c r="P87" s="178"/>
      <c r="Q87" s="206"/>
    </row>
    <row r="88" ht="15.75" hidden="1" customHeight="1">
      <c r="A88" s="1"/>
      <c r="B88" s="1"/>
      <c r="C88" s="13"/>
      <c r="D88" s="26" t="s">
        <v>182</v>
      </c>
      <c r="E88" s="178"/>
      <c r="F88" s="178"/>
      <c r="G88" s="178"/>
      <c r="H88" s="178"/>
      <c r="I88" s="178"/>
      <c r="J88" s="201"/>
      <c r="K88" s="201"/>
      <c r="L88" s="201"/>
      <c r="M88" s="201"/>
      <c r="N88" s="201"/>
      <c r="O88" s="178">
        <f t="shared" si="7"/>
        <v>0</v>
      </c>
      <c r="P88" s="178"/>
      <c r="Q88" s="206"/>
    </row>
    <row r="89" ht="15.75" hidden="1" customHeight="1">
      <c r="A89" s="1"/>
      <c r="B89" s="1"/>
      <c r="C89" s="13"/>
      <c r="D89" s="26" t="s">
        <v>119</v>
      </c>
      <c r="E89" s="178"/>
      <c r="F89" s="178"/>
      <c r="G89" s="178"/>
      <c r="H89" s="178"/>
      <c r="I89" s="178"/>
      <c r="J89" s="201"/>
      <c r="K89" s="201"/>
      <c r="L89" s="201"/>
      <c r="M89" s="201"/>
      <c r="N89" s="201"/>
      <c r="O89" s="178">
        <f t="shared" si="7"/>
        <v>0</v>
      </c>
      <c r="P89" s="178"/>
      <c r="Q89" s="206"/>
    </row>
    <row r="90" ht="15.75" hidden="1" customHeight="1">
      <c r="A90" s="1"/>
      <c r="B90" s="1"/>
      <c r="C90" s="13"/>
      <c r="D90" s="26" t="s">
        <v>122</v>
      </c>
      <c r="E90" s="178"/>
      <c r="F90" s="178"/>
      <c r="G90" s="178"/>
      <c r="H90" s="178"/>
      <c r="I90" s="178"/>
      <c r="J90" s="201"/>
      <c r="K90" s="201"/>
      <c r="L90" s="201"/>
      <c r="M90" s="201"/>
      <c r="N90" s="201"/>
      <c r="O90" s="178">
        <f t="shared" si="7"/>
        <v>0</v>
      </c>
      <c r="P90" s="178"/>
      <c r="Q90" s="206"/>
    </row>
    <row r="91" ht="15.75" hidden="1" customHeight="1">
      <c r="A91" s="1"/>
      <c r="B91" s="1"/>
      <c r="C91" s="13"/>
      <c r="D91" s="26" t="s">
        <v>89</v>
      </c>
      <c r="E91" s="178"/>
      <c r="F91" s="178"/>
      <c r="G91" s="178"/>
      <c r="H91" s="178"/>
      <c r="I91" s="178"/>
      <c r="J91" s="201"/>
      <c r="K91" s="201"/>
      <c r="L91" s="201"/>
      <c r="M91" s="201"/>
      <c r="N91" s="201"/>
      <c r="O91" s="178">
        <f t="shared" si="7"/>
        <v>0</v>
      </c>
      <c r="P91" s="178"/>
      <c r="Q91" s="206"/>
    </row>
    <row r="92" ht="15.75" hidden="1" customHeight="1">
      <c r="A92" s="1"/>
      <c r="B92" s="1"/>
      <c r="C92" s="13"/>
      <c r="D92" s="26" t="s">
        <v>130</v>
      </c>
      <c r="E92" s="178"/>
      <c r="F92" s="178"/>
      <c r="G92" s="178"/>
      <c r="H92" s="178"/>
      <c r="I92" s="178"/>
      <c r="J92" s="201"/>
      <c r="K92" s="201"/>
      <c r="L92" s="201"/>
      <c r="M92" s="201"/>
      <c r="N92" s="201"/>
      <c r="O92" s="178"/>
      <c r="P92" s="178"/>
      <c r="Q92" s="206"/>
    </row>
    <row r="93" ht="15.75" hidden="1" customHeight="1">
      <c r="A93" s="1"/>
      <c r="B93" s="1"/>
      <c r="C93" s="13"/>
      <c r="D93" s="26" t="s">
        <v>185</v>
      </c>
      <c r="E93" s="178"/>
      <c r="F93" s="178"/>
      <c r="G93" s="178"/>
      <c r="H93" s="178"/>
      <c r="I93" s="178"/>
      <c r="J93" s="201"/>
      <c r="K93" s="201"/>
      <c r="L93" s="201"/>
      <c r="M93" s="201"/>
      <c r="N93" s="201"/>
      <c r="O93" s="178">
        <f t="shared" ref="O93:O102" si="8">SUM(K93:M93)</f>
        <v>0</v>
      </c>
      <c r="P93" s="178"/>
      <c r="Q93" s="206"/>
    </row>
    <row r="94" ht="15.75" hidden="1" customHeight="1">
      <c r="A94" s="1"/>
      <c r="B94" s="1"/>
      <c r="C94" s="13"/>
      <c r="D94" s="26" t="s">
        <v>91</v>
      </c>
      <c r="E94" s="178"/>
      <c r="F94" s="178"/>
      <c r="G94" s="178"/>
      <c r="H94" s="178"/>
      <c r="I94" s="178"/>
      <c r="J94" s="201"/>
      <c r="K94" s="201"/>
      <c r="L94" s="201"/>
      <c r="M94" s="201"/>
      <c r="N94" s="201"/>
      <c r="O94" s="178">
        <f t="shared" si="8"/>
        <v>0</v>
      </c>
      <c r="P94" s="178"/>
      <c r="Q94" s="206"/>
    </row>
    <row r="95" ht="15.75" hidden="1" customHeight="1">
      <c r="A95" s="1"/>
      <c r="B95" s="1"/>
      <c r="C95" s="13"/>
      <c r="D95" s="26" t="s">
        <v>92</v>
      </c>
      <c r="E95" s="178"/>
      <c r="F95" s="178"/>
      <c r="G95" s="178"/>
      <c r="H95" s="178"/>
      <c r="I95" s="178"/>
      <c r="J95" s="201"/>
      <c r="K95" s="201"/>
      <c r="L95" s="201"/>
      <c r="M95" s="201"/>
      <c r="N95" s="201"/>
      <c r="O95" s="178">
        <f t="shared" si="8"/>
        <v>0</v>
      </c>
      <c r="P95" s="178"/>
      <c r="Q95" s="206"/>
    </row>
    <row r="96" ht="15.75" hidden="1" customHeight="1">
      <c r="A96" s="1"/>
      <c r="B96" s="1"/>
      <c r="C96" s="13"/>
      <c r="D96" s="26" t="s">
        <v>100</v>
      </c>
      <c r="E96" s="178"/>
      <c r="F96" s="178"/>
      <c r="G96" s="178"/>
      <c r="H96" s="178"/>
      <c r="I96" s="178"/>
      <c r="J96" s="201"/>
      <c r="K96" s="201"/>
      <c r="L96" s="201"/>
      <c r="M96" s="201"/>
      <c r="N96" s="201"/>
      <c r="O96" s="178">
        <f t="shared" si="8"/>
        <v>0</v>
      </c>
      <c r="P96" s="178"/>
      <c r="Q96" s="206"/>
    </row>
    <row r="97" ht="15.75" hidden="1" customHeight="1">
      <c r="A97" s="1"/>
      <c r="B97" s="1"/>
      <c r="C97" s="13"/>
      <c r="D97" s="26" t="s">
        <v>94</v>
      </c>
      <c r="E97" s="178"/>
      <c r="F97" s="178"/>
      <c r="G97" s="178"/>
      <c r="H97" s="178"/>
      <c r="I97" s="178"/>
      <c r="J97" s="201"/>
      <c r="K97" s="201"/>
      <c r="L97" s="201"/>
      <c r="M97" s="201"/>
      <c r="N97" s="201"/>
      <c r="O97" s="178">
        <f t="shared" si="8"/>
        <v>0</v>
      </c>
      <c r="P97" s="178"/>
      <c r="Q97" s="206"/>
    </row>
    <row r="98" ht="15.75" hidden="1" customHeight="1">
      <c r="A98" s="1"/>
      <c r="B98" s="1"/>
      <c r="C98" s="21"/>
      <c r="D98" s="26" t="s">
        <v>96</v>
      </c>
      <c r="E98" s="178"/>
      <c r="F98" s="178"/>
      <c r="G98" s="178"/>
      <c r="H98" s="178"/>
      <c r="I98" s="178"/>
      <c r="J98" s="201"/>
      <c r="K98" s="201"/>
      <c r="L98" s="201"/>
      <c r="M98" s="201"/>
      <c r="N98" s="201"/>
      <c r="O98" s="178">
        <f t="shared" si="8"/>
        <v>0</v>
      </c>
      <c r="P98" s="178"/>
      <c r="Q98" s="206"/>
    </row>
    <row r="99" ht="15.75" hidden="1" customHeight="1">
      <c r="A99" s="1"/>
      <c r="B99" s="1"/>
      <c r="C99" s="34"/>
      <c r="D99" s="26" t="s">
        <v>135</v>
      </c>
      <c r="E99" s="178"/>
      <c r="F99" s="178"/>
      <c r="G99" s="178"/>
      <c r="H99" s="178"/>
      <c r="I99" s="178"/>
      <c r="J99" s="201"/>
      <c r="K99" s="201"/>
      <c r="L99" s="201"/>
      <c r="M99" s="201"/>
      <c r="N99" s="201"/>
      <c r="O99" s="178">
        <f t="shared" si="8"/>
        <v>0</v>
      </c>
      <c r="P99" s="178"/>
      <c r="Q99" s="206"/>
    </row>
    <row r="100" ht="15.75" hidden="1" customHeight="1">
      <c r="A100" s="1"/>
      <c r="B100" s="1"/>
      <c r="C100" s="34"/>
      <c r="D100" s="26" t="s">
        <v>186</v>
      </c>
      <c r="E100" s="178"/>
      <c r="F100" s="178"/>
      <c r="G100" s="178"/>
      <c r="H100" s="178"/>
      <c r="I100" s="178"/>
      <c r="J100" s="201"/>
      <c r="K100" s="201"/>
      <c r="L100" s="201"/>
      <c r="M100" s="201"/>
      <c r="N100" s="201"/>
      <c r="O100" s="178">
        <f t="shared" si="8"/>
        <v>0</v>
      </c>
      <c r="P100" s="178"/>
      <c r="Q100" s="206"/>
    </row>
    <row r="101" ht="15.75" hidden="1" customHeight="1">
      <c r="A101" s="1"/>
      <c r="B101" s="1"/>
      <c r="C101" s="34"/>
      <c r="D101" s="26" t="s">
        <v>105</v>
      </c>
      <c r="E101" s="178"/>
      <c r="F101" s="178"/>
      <c r="G101" s="178"/>
      <c r="H101" s="178"/>
      <c r="I101" s="178"/>
      <c r="J101" s="201"/>
      <c r="K101" s="201"/>
      <c r="L101" s="201"/>
      <c r="M101" s="201"/>
      <c r="N101" s="201"/>
      <c r="O101" s="178">
        <f t="shared" si="8"/>
        <v>0</v>
      </c>
      <c r="P101" s="178"/>
      <c r="Q101" s="206"/>
    </row>
    <row r="102" ht="15.75" hidden="1" customHeight="1">
      <c r="A102" s="1"/>
      <c r="B102" s="1"/>
      <c r="C102" s="34"/>
      <c r="D102" s="26" t="s">
        <v>181</v>
      </c>
      <c r="E102" s="178"/>
      <c r="F102" s="178"/>
      <c r="G102" s="178"/>
      <c r="H102" s="178"/>
      <c r="I102" s="178"/>
      <c r="J102" s="201"/>
      <c r="K102" s="201"/>
      <c r="L102" s="201"/>
      <c r="M102" s="201"/>
      <c r="N102" s="201"/>
      <c r="O102" s="178">
        <f t="shared" si="8"/>
        <v>0</v>
      </c>
      <c r="P102" s="178"/>
      <c r="Q102" s="206"/>
    </row>
    <row r="103" ht="15.75" hidden="1" customHeight="1">
      <c r="A103" s="1"/>
      <c r="B103" s="1"/>
      <c r="C103" s="34"/>
      <c r="D103" s="26" t="s">
        <v>183</v>
      </c>
      <c r="E103" s="178"/>
      <c r="F103" s="178"/>
      <c r="G103" s="178"/>
      <c r="H103" s="178"/>
      <c r="I103" s="178"/>
      <c r="J103" s="201"/>
      <c r="K103" s="201"/>
      <c r="L103" s="201"/>
      <c r="M103" s="201"/>
      <c r="N103" s="201"/>
      <c r="O103" s="178"/>
      <c r="P103" s="178"/>
      <c r="Q103" s="206"/>
    </row>
    <row r="104" ht="15.75" hidden="1" customHeight="1">
      <c r="A104" s="1"/>
      <c r="B104" s="1"/>
      <c r="C104" s="34"/>
      <c r="D104" s="26" t="s">
        <v>136</v>
      </c>
      <c r="E104" s="178"/>
      <c r="F104" s="178"/>
      <c r="G104" s="178"/>
      <c r="H104" s="178"/>
      <c r="I104" s="178"/>
      <c r="J104" s="201"/>
      <c r="K104" s="201"/>
      <c r="L104" s="201"/>
      <c r="M104" s="201"/>
      <c r="N104" s="201"/>
      <c r="O104" s="178">
        <f>SUM(K104:M104)</f>
        <v>0</v>
      </c>
      <c r="P104" s="178"/>
      <c r="Q104" s="206"/>
    </row>
    <row r="105" ht="15.75" hidden="1" customHeight="1">
      <c r="A105" s="1"/>
      <c r="B105" s="1"/>
      <c r="C105" s="34"/>
      <c r="D105" s="26" t="s">
        <v>190</v>
      </c>
      <c r="E105" s="178"/>
      <c r="F105" s="178"/>
      <c r="G105" s="178"/>
      <c r="H105" s="178"/>
      <c r="I105" s="178"/>
      <c r="J105" s="201"/>
      <c r="K105" s="201"/>
      <c r="L105" s="201"/>
      <c r="M105" s="201"/>
      <c r="N105" s="201"/>
      <c r="O105" s="178"/>
      <c r="P105" s="178"/>
      <c r="Q105" s="206"/>
    </row>
    <row r="106" ht="15.75" hidden="1" customHeight="1">
      <c r="A106" s="1"/>
      <c r="B106" s="1"/>
      <c r="C106" s="34" t="s">
        <v>139</v>
      </c>
      <c r="D106" s="26" t="s">
        <v>191</v>
      </c>
      <c r="E106" s="178"/>
      <c r="F106" s="178"/>
      <c r="G106" s="178"/>
      <c r="H106" s="178"/>
      <c r="I106" s="178"/>
      <c r="J106" s="178"/>
      <c r="K106" s="178"/>
      <c r="L106" s="201"/>
      <c r="M106" s="201"/>
      <c r="N106" s="201"/>
      <c r="O106" s="178">
        <f t="shared" ref="O106:O110" si="9">SUM(K106:M106)</f>
        <v>0</v>
      </c>
      <c r="P106" s="178"/>
      <c r="Q106" s="206"/>
    </row>
    <row r="107" ht="15.75" hidden="1" customHeight="1">
      <c r="A107" s="1"/>
      <c r="B107" s="1"/>
      <c r="C107" s="13"/>
      <c r="D107" s="26" t="s">
        <v>192</v>
      </c>
      <c r="E107" s="178"/>
      <c r="F107" s="178"/>
      <c r="G107" s="178"/>
      <c r="H107" s="178"/>
      <c r="I107" s="178"/>
      <c r="J107" s="178"/>
      <c r="K107" s="178"/>
      <c r="L107" s="201"/>
      <c r="M107" s="201"/>
      <c r="N107" s="201"/>
      <c r="O107" s="178">
        <f t="shared" si="9"/>
        <v>0</v>
      </c>
      <c r="P107" s="178"/>
      <c r="Q107" s="206"/>
    </row>
    <row r="108" ht="15.75" hidden="1" customHeight="1">
      <c r="A108" s="1"/>
      <c r="B108" s="1"/>
      <c r="C108" s="21"/>
      <c r="D108" s="26" t="s">
        <v>139</v>
      </c>
      <c r="E108" s="178"/>
      <c r="F108" s="178"/>
      <c r="G108" s="178"/>
      <c r="H108" s="178"/>
      <c r="I108" s="178">
        <v>2.0</v>
      </c>
      <c r="J108" s="201"/>
      <c r="K108" s="201">
        <v>1.0</v>
      </c>
      <c r="L108" s="201">
        <v>1.0</v>
      </c>
      <c r="M108" s="201"/>
      <c r="N108" s="201"/>
      <c r="O108" s="178">
        <f t="shared" si="9"/>
        <v>2</v>
      </c>
      <c r="P108" s="178"/>
      <c r="Q108" s="206"/>
    </row>
    <row r="109" ht="15.75" hidden="1" customHeight="1">
      <c r="A109" s="1"/>
      <c r="B109" s="1"/>
      <c r="C109" s="24" t="s">
        <v>193</v>
      </c>
      <c r="D109" s="26" t="s">
        <v>193</v>
      </c>
      <c r="E109" s="178"/>
      <c r="F109" s="178"/>
      <c r="G109" s="178"/>
      <c r="H109" s="178"/>
      <c r="I109" s="178"/>
      <c r="J109" s="201"/>
      <c r="K109" s="201"/>
      <c r="L109" s="201"/>
      <c r="M109" s="201"/>
      <c r="N109" s="201"/>
      <c r="O109" s="178">
        <f t="shared" si="9"/>
        <v>0</v>
      </c>
      <c r="P109" s="178"/>
      <c r="Q109" s="206"/>
    </row>
    <row r="110" ht="15.75" hidden="1" customHeight="1">
      <c r="A110" s="1"/>
      <c r="B110" s="1"/>
      <c r="C110" s="81" t="s">
        <v>110</v>
      </c>
      <c r="D110" s="82"/>
      <c r="E110" s="178"/>
      <c r="F110" s="178"/>
      <c r="G110" s="178"/>
      <c r="H110" s="178"/>
      <c r="I110" s="178">
        <f>SUM(I48:I109)</f>
        <v>31</v>
      </c>
      <c r="J110" s="178"/>
      <c r="K110" s="178">
        <f t="shared" ref="K110:M110" si="10">SUM(K49:K109)</f>
        <v>11</v>
      </c>
      <c r="L110" s="178">
        <f t="shared" si="10"/>
        <v>7</v>
      </c>
      <c r="M110" s="178">
        <f t="shared" si="10"/>
        <v>9</v>
      </c>
      <c r="N110" s="178"/>
      <c r="O110" s="178">
        <f t="shared" si="9"/>
        <v>27</v>
      </c>
      <c r="P110" s="178"/>
      <c r="Q110" s="206"/>
    </row>
    <row r="111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>
        <f>I110-O110</f>
        <v>4</v>
      </c>
      <c r="N111" s="1"/>
      <c r="O111" s="67">
        <f>O110/I110</f>
        <v>0.8709677419</v>
      </c>
      <c r="P111" s="67"/>
      <c r="Q111" s="67"/>
    </row>
    <row r="112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ht="15.75" hidden="1" customHeight="1">
      <c r="A117" s="1"/>
      <c r="B117" s="1"/>
      <c r="C117" s="1"/>
      <c r="D117" s="1"/>
      <c r="E117" s="59"/>
      <c r="F117" s="59"/>
      <c r="G117" s="59"/>
      <c r="H117" s="59"/>
      <c r="I117" s="59" t="s">
        <v>195</v>
      </c>
      <c r="J117" s="1"/>
      <c r="K117" s="1"/>
      <c r="L117" s="1"/>
      <c r="M117" s="1"/>
      <c r="N117" s="1"/>
      <c r="O117" s="1"/>
      <c r="P117" s="1"/>
      <c r="Q117" s="1"/>
    </row>
    <row r="118" ht="15.75" hidden="1" customHeight="1">
      <c r="A118" s="1"/>
      <c r="B118" s="1"/>
      <c r="C118" s="1"/>
      <c r="D118" s="1"/>
      <c r="E118" s="1"/>
      <c r="F118" s="1"/>
      <c r="G118" s="1"/>
      <c r="H118" s="1"/>
      <c r="I118" s="1" t="s">
        <v>1117</v>
      </c>
      <c r="J118" s="1"/>
      <c r="K118" s="1"/>
      <c r="L118" s="1"/>
      <c r="M118" s="1"/>
      <c r="N118" s="1"/>
      <c r="O118" s="1"/>
      <c r="P118" s="1"/>
      <c r="Q118" s="1"/>
    </row>
    <row r="119" ht="15.75" hidden="1" customHeight="1">
      <c r="A119" s="1"/>
      <c r="B119" s="1"/>
      <c r="C119" s="1"/>
      <c r="D119" s="1"/>
      <c r="E119" s="1"/>
      <c r="F119" s="1"/>
      <c r="G119" s="1"/>
      <c r="H119" s="1"/>
      <c r="I119" s="1" t="s">
        <v>1119</v>
      </c>
      <c r="J119" s="1"/>
      <c r="K119" s="1"/>
      <c r="L119" s="1"/>
      <c r="M119" s="1"/>
      <c r="N119" s="1"/>
      <c r="O119" s="1"/>
      <c r="P119" s="1"/>
      <c r="Q119" s="1"/>
    </row>
    <row r="120" ht="15.75" hidden="1" customHeight="1">
      <c r="A120" s="1"/>
      <c r="B120" s="1"/>
      <c r="C120" s="1"/>
      <c r="D120" s="1"/>
      <c r="E120" s="1"/>
      <c r="F120" s="1"/>
      <c r="G120" s="1"/>
      <c r="H120" s="1"/>
      <c r="I120" s="1" t="s">
        <v>1121</v>
      </c>
      <c r="J120" s="1"/>
      <c r="K120" s="1"/>
      <c r="L120" s="1"/>
      <c r="M120" s="1"/>
      <c r="N120" s="1"/>
      <c r="O120" s="1"/>
      <c r="P120" s="1"/>
      <c r="Q120" s="1"/>
    </row>
    <row r="121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G5:G7"/>
    <mergeCell ref="H5:H7"/>
    <mergeCell ref="I5:I7"/>
    <mergeCell ref="J5:J7"/>
    <mergeCell ref="K5:K7"/>
    <mergeCell ref="L5:L7"/>
    <mergeCell ref="M5:M7"/>
    <mergeCell ref="N5:N7"/>
    <mergeCell ref="I44:O44"/>
    <mergeCell ref="I45:I47"/>
    <mergeCell ref="K45:K47"/>
    <mergeCell ref="L45:L47"/>
    <mergeCell ref="M45:M47"/>
    <mergeCell ref="O45:O47"/>
    <mergeCell ref="O5:O7"/>
    <mergeCell ref="P5:P7"/>
    <mergeCell ref="C2:D2"/>
    <mergeCell ref="E3:P3"/>
    <mergeCell ref="Q3:Q4"/>
    <mergeCell ref="C4:C7"/>
    <mergeCell ref="D4:D7"/>
    <mergeCell ref="E4:J4"/>
    <mergeCell ref="K4:P4"/>
    <mergeCell ref="C53:C54"/>
    <mergeCell ref="C56:C61"/>
    <mergeCell ref="C62:C65"/>
    <mergeCell ref="C68:C69"/>
    <mergeCell ref="C71:C74"/>
    <mergeCell ref="C75:C98"/>
    <mergeCell ref="C106:C108"/>
    <mergeCell ref="E5:E7"/>
    <mergeCell ref="F5:F7"/>
    <mergeCell ref="C10:C11"/>
    <mergeCell ref="C15:D15"/>
    <mergeCell ref="C44:C47"/>
    <mergeCell ref="D44:D47"/>
    <mergeCell ref="C50:C52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 outlineLevelCol="2"/>
  <cols>
    <col customWidth="1" hidden="1" min="1" max="2" width="5.29"/>
    <col customWidth="1" min="3" max="3" width="27.29"/>
    <col customWidth="1" min="4" max="4" width="38.43"/>
    <col customWidth="1" min="5" max="5" width="10.86"/>
    <col customWidth="1" min="6" max="6" width="13.29"/>
    <col customWidth="1" min="7" max="7" width="10.43"/>
    <col customWidth="1" min="8" max="8" width="9.86"/>
    <col customWidth="1" min="9" max="9" width="13.86"/>
    <col customWidth="1" min="10" max="10" width="15.0"/>
    <col customWidth="1" min="11" max="11" width="10.0"/>
    <col customWidth="1" min="12" max="12" width="8.86"/>
    <col customWidth="1" min="13" max="13" width="10.57"/>
    <col customWidth="1" min="14" max="14" width="12.0"/>
    <col customWidth="1" min="15" max="15" width="15.43"/>
    <col customWidth="1" min="16" max="16" width="12.0"/>
    <col customWidth="1" min="17" max="18" width="64.43"/>
    <col customWidth="1" min="19" max="19" width="34.43"/>
    <col customWidth="1" min="20" max="20" width="21.14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3" t="s">
        <v>485</v>
      </c>
      <c r="D3" s="4"/>
      <c r="E3" s="6" t="s">
        <v>3</v>
      </c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9"/>
      <c r="R3" s="9"/>
      <c r="S3" s="9"/>
      <c r="T3" s="9"/>
    </row>
    <row r="4">
      <c r="A4" s="1"/>
      <c r="B4" s="1"/>
      <c r="C4" s="10" t="s">
        <v>5</v>
      </c>
      <c r="D4" s="12" t="s">
        <v>6</v>
      </c>
      <c r="E4" s="6" t="s">
        <v>7</v>
      </c>
      <c r="F4" s="7"/>
      <c r="G4" s="7"/>
      <c r="H4" s="7"/>
      <c r="I4" s="7"/>
      <c r="J4" s="8"/>
      <c r="K4" s="6" t="s">
        <v>8</v>
      </c>
      <c r="L4" s="7"/>
      <c r="M4" s="7"/>
      <c r="N4" s="7"/>
      <c r="O4" s="7"/>
      <c r="P4" s="8"/>
      <c r="Q4" s="9"/>
      <c r="R4" s="9"/>
      <c r="S4" s="9"/>
      <c r="T4" s="9"/>
    </row>
    <row r="5">
      <c r="A5" s="1"/>
      <c r="B5" s="1"/>
      <c r="C5" s="13"/>
      <c r="D5" s="14"/>
      <c r="E5" s="15" t="s">
        <v>9</v>
      </c>
      <c r="F5" s="15" t="s">
        <v>10</v>
      </c>
      <c r="G5" s="15" t="s">
        <v>12</v>
      </c>
      <c r="H5" s="15" t="s">
        <v>13</v>
      </c>
      <c r="I5" s="17" t="s">
        <v>14</v>
      </c>
      <c r="J5" s="17" t="s">
        <v>15</v>
      </c>
      <c r="K5" s="15" t="s">
        <v>9</v>
      </c>
      <c r="L5" s="15" t="s">
        <v>10</v>
      </c>
      <c r="M5" s="15" t="s">
        <v>12</v>
      </c>
      <c r="N5" s="15" t="s">
        <v>13</v>
      </c>
      <c r="O5" s="17" t="s">
        <v>16</v>
      </c>
      <c r="P5" s="17" t="s">
        <v>17</v>
      </c>
      <c r="Q5" s="19"/>
      <c r="R5" s="19"/>
      <c r="S5" s="19"/>
      <c r="T5" s="19"/>
    </row>
    <row r="6">
      <c r="A6" s="1"/>
      <c r="B6" s="1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9"/>
      <c r="R6" s="19"/>
      <c r="S6" s="19"/>
      <c r="T6" s="19"/>
    </row>
    <row r="7">
      <c r="A7" s="1"/>
      <c r="B7" s="1"/>
      <c r="C7" s="2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19"/>
      <c r="R7" s="19"/>
      <c r="S7" s="19"/>
      <c r="T7" s="19"/>
    </row>
    <row r="8">
      <c r="A8" s="1"/>
      <c r="B8" s="1"/>
      <c r="C8" s="24" t="s">
        <v>18</v>
      </c>
      <c r="D8" s="26" t="s">
        <v>19</v>
      </c>
      <c r="E8" s="27">
        <v>1.0</v>
      </c>
      <c r="F8" s="27"/>
      <c r="G8" s="27"/>
      <c r="H8" s="27"/>
      <c r="I8" s="27">
        <f t="shared" ref="I8:I42" si="1">SUM(E8:H8)</f>
        <v>1</v>
      </c>
      <c r="J8" s="27"/>
      <c r="K8" s="27">
        <v>1.0</v>
      </c>
      <c r="L8" s="27"/>
      <c r="M8" s="27"/>
      <c r="N8" s="27"/>
      <c r="O8" s="27">
        <f t="shared" ref="O8:O42" si="2">SUM(K8:N8)</f>
        <v>1</v>
      </c>
      <c r="P8" s="27"/>
      <c r="Q8" s="33"/>
      <c r="R8" s="33"/>
      <c r="S8" s="33"/>
      <c r="T8" s="33"/>
    </row>
    <row r="9">
      <c r="A9" s="1"/>
      <c r="B9" s="1"/>
      <c r="C9" s="34" t="s">
        <v>21</v>
      </c>
      <c r="D9" s="26" t="s">
        <v>22</v>
      </c>
      <c r="E9" s="27">
        <v>1.0</v>
      </c>
      <c r="F9" s="27"/>
      <c r="G9" s="27"/>
      <c r="H9" s="27"/>
      <c r="I9" s="27">
        <f t="shared" si="1"/>
        <v>1</v>
      </c>
      <c r="J9" s="27"/>
      <c r="K9" s="27">
        <v>1.0</v>
      </c>
      <c r="L9" s="27"/>
      <c r="M9" s="27"/>
      <c r="N9" s="27"/>
      <c r="O9" s="27">
        <f t="shared" si="2"/>
        <v>1</v>
      </c>
      <c r="P9" s="27"/>
      <c r="Q9" s="33"/>
      <c r="R9" s="33"/>
      <c r="S9" s="33"/>
      <c r="T9" s="33"/>
    </row>
    <row r="10">
      <c r="A10" s="1"/>
      <c r="B10" s="1"/>
      <c r="C10" s="13"/>
      <c r="D10" s="26" t="s">
        <v>23</v>
      </c>
      <c r="E10" s="27">
        <v>1.0</v>
      </c>
      <c r="F10" s="27"/>
      <c r="G10" s="27"/>
      <c r="H10" s="27"/>
      <c r="I10" s="27">
        <f t="shared" si="1"/>
        <v>1</v>
      </c>
      <c r="J10" s="27"/>
      <c r="K10" s="27">
        <v>1.0</v>
      </c>
      <c r="L10" s="27"/>
      <c r="M10" s="27"/>
      <c r="N10" s="27"/>
      <c r="O10" s="27">
        <f t="shared" si="2"/>
        <v>1</v>
      </c>
      <c r="P10" s="27"/>
      <c r="Q10" s="33"/>
      <c r="R10" s="33"/>
      <c r="S10" s="33"/>
      <c r="T10" s="33"/>
    </row>
    <row r="11">
      <c r="A11" s="1"/>
      <c r="B11" s="1"/>
      <c r="C11" s="13"/>
      <c r="D11" s="26" t="s">
        <v>24</v>
      </c>
      <c r="E11" s="27"/>
      <c r="F11" s="27"/>
      <c r="G11" s="27">
        <v>1.0</v>
      </c>
      <c r="H11" s="27"/>
      <c r="I11" s="27">
        <f t="shared" si="1"/>
        <v>1</v>
      </c>
      <c r="J11" s="27"/>
      <c r="K11" s="27"/>
      <c r="L11" s="27"/>
      <c r="M11" s="27">
        <v>1.0</v>
      </c>
      <c r="N11" s="27"/>
      <c r="O11" s="27">
        <f t="shared" si="2"/>
        <v>1</v>
      </c>
      <c r="P11" s="27"/>
      <c r="Q11" s="33"/>
      <c r="R11" s="33"/>
      <c r="S11" s="33"/>
      <c r="T11" s="33"/>
    </row>
    <row r="12">
      <c r="A12" s="1"/>
      <c r="B12" s="1"/>
      <c r="C12" s="13"/>
      <c r="D12" s="26" t="s">
        <v>26</v>
      </c>
      <c r="E12" s="27"/>
      <c r="F12" s="27"/>
      <c r="G12" s="27">
        <v>2.0</v>
      </c>
      <c r="H12" s="27"/>
      <c r="I12" s="27">
        <f t="shared" si="1"/>
        <v>2</v>
      </c>
      <c r="J12" s="27"/>
      <c r="K12" s="27"/>
      <c r="L12" s="27"/>
      <c r="M12" s="27">
        <v>2.0</v>
      </c>
      <c r="N12" s="27"/>
      <c r="O12" s="27">
        <f t="shared" si="2"/>
        <v>2</v>
      </c>
      <c r="P12" s="27"/>
      <c r="Q12" s="33"/>
      <c r="R12" s="33"/>
      <c r="S12" s="33"/>
      <c r="T12" s="33"/>
    </row>
    <row r="13">
      <c r="A13" s="1"/>
      <c r="B13" s="1"/>
      <c r="C13" s="13"/>
      <c r="D13" s="26" t="s">
        <v>27</v>
      </c>
      <c r="E13" s="27"/>
      <c r="F13" s="27"/>
      <c r="G13" s="27">
        <v>1.0</v>
      </c>
      <c r="H13" s="27"/>
      <c r="I13" s="27">
        <f t="shared" si="1"/>
        <v>1</v>
      </c>
      <c r="J13" s="27"/>
      <c r="K13" s="27"/>
      <c r="L13" s="27"/>
      <c r="M13" s="27">
        <v>1.0</v>
      </c>
      <c r="N13" s="27"/>
      <c r="O13" s="27">
        <f t="shared" si="2"/>
        <v>1</v>
      </c>
      <c r="P13" s="27"/>
      <c r="Q13" s="33"/>
      <c r="R13" s="33"/>
      <c r="S13" s="33"/>
      <c r="T13" s="33"/>
    </row>
    <row r="14">
      <c r="A14" s="1"/>
      <c r="B14" s="1"/>
      <c r="C14" s="21"/>
      <c r="D14" s="26" t="s">
        <v>28</v>
      </c>
      <c r="E14" s="27"/>
      <c r="F14" s="27"/>
      <c r="G14" s="27">
        <v>7.0</v>
      </c>
      <c r="H14" s="27"/>
      <c r="I14" s="27">
        <f t="shared" si="1"/>
        <v>7</v>
      </c>
      <c r="J14" s="27"/>
      <c r="K14" s="27"/>
      <c r="L14" s="27"/>
      <c r="M14" s="27">
        <v>7.0</v>
      </c>
      <c r="N14" s="27"/>
      <c r="O14" s="27">
        <f t="shared" si="2"/>
        <v>7</v>
      </c>
      <c r="P14" s="27"/>
      <c r="Q14" s="33"/>
      <c r="R14" s="33"/>
      <c r="S14" s="33"/>
      <c r="T14" s="33"/>
    </row>
    <row r="15">
      <c r="A15" s="1"/>
      <c r="B15" s="1"/>
      <c r="C15" s="34" t="s">
        <v>29</v>
      </c>
      <c r="D15" s="26" t="s">
        <v>30</v>
      </c>
      <c r="E15" s="27">
        <v>1.0</v>
      </c>
      <c r="F15" s="27"/>
      <c r="G15" s="27"/>
      <c r="H15" s="27"/>
      <c r="I15" s="27">
        <f t="shared" si="1"/>
        <v>1</v>
      </c>
      <c r="J15" s="27"/>
      <c r="K15" s="27">
        <v>1.0</v>
      </c>
      <c r="L15" s="27"/>
      <c r="M15" s="27"/>
      <c r="N15" s="27"/>
      <c r="O15" s="27">
        <f t="shared" si="2"/>
        <v>1</v>
      </c>
      <c r="P15" s="27"/>
      <c r="Q15" s="33"/>
      <c r="R15" s="33"/>
      <c r="S15" s="33"/>
      <c r="T15" s="33"/>
    </row>
    <row r="16">
      <c r="A16" s="1"/>
      <c r="B16" s="1"/>
      <c r="C16" s="13"/>
      <c r="D16" s="26" t="s">
        <v>31</v>
      </c>
      <c r="E16" s="27">
        <v>4.0</v>
      </c>
      <c r="F16" s="27"/>
      <c r="G16" s="27"/>
      <c r="H16" s="27"/>
      <c r="I16" s="27">
        <f t="shared" si="1"/>
        <v>4</v>
      </c>
      <c r="J16" s="27"/>
      <c r="K16" s="27">
        <v>4.0</v>
      </c>
      <c r="L16" s="27"/>
      <c r="M16" s="27"/>
      <c r="N16" s="27"/>
      <c r="O16" s="27">
        <f t="shared" si="2"/>
        <v>4</v>
      </c>
      <c r="P16" s="27"/>
      <c r="Q16" s="33"/>
      <c r="R16" s="33"/>
      <c r="S16" s="33"/>
      <c r="T16" s="33"/>
    </row>
    <row r="17">
      <c r="A17" s="1"/>
      <c r="B17" s="1"/>
      <c r="C17" s="13"/>
      <c r="D17" s="26" t="s">
        <v>32</v>
      </c>
      <c r="E17" s="27"/>
      <c r="F17" s="27"/>
      <c r="G17" s="27">
        <v>1.0</v>
      </c>
      <c r="H17" s="27"/>
      <c r="I17" s="27">
        <f t="shared" si="1"/>
        <v>1</v>
      </c>
      <c r="J17" s="27"/>
      <c r="K17" s="27"/>
      <c r="L17" s="27"/>
      <c r="M17" s="27">
        <v>1.0</v>
      </c>
      <c r="N17" s="27"/>
      <c r="O17" s="27">
        <f t="shared" si="2"/>
        <v>1</v>
      </c>
      <c r="P17" s="27"/>
      <c r="Q17" s="33"/>
      <c r="R17" s="33"/>
      <c r="S17" s="33"/>
      <c r="T17" s="33"/>
    </row>
    <row r="18">
      <c r="A18" s="1"/>
      <c r="B18" s="1"/>
      <c r="C18" s="21"/>
      <c r="D18" s="26" t="s">
        <v>33</v>
      </c>
      <c r="E18" s="27"/>
      <c r="F18" s="27"/>
      <c r="G18" s="27">
        <v>1.0</v>
      </c>
      <c r="H18" s="27"/>
      <c r="I18" s="27">
        <f t="shared" si="1"/>
        <v>1</v>
      </c>
      <c r="J18" s="27"/>
      <c r="K18" s="27"/>
      <c r="L18" s="27"/>
      <c r="M18" s="27">
        <v>1.0</v>
      </c>
      <c r="N18" s="27"/>
      <c r="O18" s="27">
        <f t="shared" si="2"/>
        <v>1</v>
      </c>
      <c r="P18" s="27"/>
      <c r="Q18" s="33"/>
      <c r="R18" s="33"/>
      <c r="S18" s="33"/>
      <c r="T18" s="33"/>
    </row>
    <row r="19">
      <c r="A19" s="1"/>
      <c r="B19" s="1"/>
      <c r="C19" s="24" t="s">
        <v>34</v>
      </c>
      <c r="D19" s="26" t="s">
        <v>35</v>
      </c>
      <c r="E19" s="27"/>
      <c r="F19" s="27">
        <v>1.0</v>
      </c>
      <c r="G19" s="27"/>
      <c r="H19" s="27"/>
      <c r="I19" s="27">
        <f t="shared" si="1"/>
        <v>1</v>
      </c>
      <c r="J19" s="27"/>
      <c r="K19" s="27"/>
      <c r="L19" s="27">
        <v>1.0</v>
      </c>
      <c r="M19" s="27"/>
      <c r="N19" s="27"/>
      <c r="O19" s="27">
        <f t="shared" si="2"/>
        <v>1</v>
      </c>
      <c r="P19" s="27"/>
      <c r="Q19" s="33"/>
      <c r="R19" s="33"/>
      <c r="S19" s="33"/>
      <c r="T19" s="33"/>
    </row>
    <row r="20">
      <c r="A20" s="1"/>
      <c r="B20" s="1"/>
      <c r="C20" s="41" t="s">
        <v>37</v>
      </c>
      <c r="D20" s="26" t="s">
        <v>39</v>
      </c>
      <c r="E20" s="27">
        <v>1.0</v>
      </c>
      <c r="F20" s="27"/>
      <c r="G20" s="27"/>
      <c r="H20" s="27"/>
      <c r="I20" s="27">
        <f t="shared" si="1"/>
        <v>1</v>
      </c>
      <c r="J20" s="27"/>
      <c r="K20" s="27">
        <v>1.0</v>
      </c>
      <c r="L20" s="27"/>
      <c r="M20" s="27"/>
      <c r="N20" s="27"/>
      <c r="O20" s="27">
        <f t="shared" si="2"/>
        <v>1</v>
      </c>
      <c r="P20" s="27"/>
      <c r="Q20" s="33"/>
      <c r="R20" s="33"/>
      <c r="S20" s="33"/>
      <c r="T20" s="33"/>
    </row>
    <row r="21" ht="15.75" customHeight="1">
      <c r="A21" s="1"/>
      <c r="B21" s="1"/>
      <c r="C21" s="13"/>
      <c r="D21" s="26" t="s">
        <v>40</v>
      </c>
      <c r="E21" s="27">
        <v>1.0</v>
      </c>
      <c r="F21" s="27"/>
      <c r="G21" s="27"/>
      <c r="H21" s="27"/>
      <c r="I21" s="27">
        <f t="shared" si="1"/>
        <v>1</v>
      </c>
      <c r="J21" s="27"/>
      <c r="K21" s="27">
        <v>1.0</v>
      </c>
      <c r="L21" s="27"/>
      <c r="M21" s="27"/>
      <c r="N21" s="27"/>
      <c r="O21" s="27">
        <f t="shared" si="2"/>
        <v>1</v>
      </c>
      <c r="P21" s="27"/>
      <c r="Q21" s="33"/>
      <c r="R21" s="33"/>
      <c r="S21" s="33"/>
      <c r="T21" s="33"/>
    </row>
    <row r="22" ht="15.75" customHeight="1">
      <c r="A22" s="1"/>
      <c r="B22" s="1"/>
      <c r="C22" s="13"/>
      <c r="D22" s="26" t="s">
        <v>42</v>
      </c>
      <c r="E22" s="27">
        <v>1.0</v>
      </c>
      <c r="F22" s="27"/>
      <c r="G22" s="27"/>
      <c r="H22" s="27"/>
      <c r="I22" s="27">
        <f t="shared" si="1"/>
        <v>1</v>
      </c>
      <c r="J22" s="27"/>
      <c r="K22" s="27">
        <v>1.0</v>
      </c>
      <c r="L22" s="27"/>
      <c r="M22" s="27"/>
      <c r="N22" s="27"/>
      <c r="O22" s="27">
        <f t="shared" si="2"/>
        <v>1</v>
      </c>
      <c r="P22" s="27"/>
      <c r="Q22" s="33"/>
      <c r="R22" s="33"/>
      <c r="S22" s="33"/>
      <c r="T22" s="33"/>
    </row>
    <row r="23" ht="15.75" customHeight="1">
      <c r="A23" s="43"/>
      <c r="B23" s="43"/>
      <c r="C23" s="13"/>
      <c r="D23" s="26" t="s">
        <v>44</v>
      </c>
      <c r="E23" s="27"/>
      <c r="F23" s="27"/>
      <c r="G23" s="27">
        <v>1.0</v>
      </c>
      <c r="H23" s="27"/>
      <c r="I23" s="27">
        <f t="shared" si="1"/>
        <v>1</v>
      </c>
      <c r="J23" s="27"/>
      <c r="K23" s="27"/>
      <c r="L23" s="27"/>
      <c r="M23" s="27">
        <v>1.0</v>
      </c>
      <c r="N23" s="27"/>
      <c r="O23" s="27">
        <f t="shared" si="2"/>
        <v>1</v>
      </c>
      <c r="P23" s="27"/>
      <c r="Q23" s="33"/>
      <c r="R23" s="33"/>
      <c r="S23" s="33"/>
      <c r="T23" s="33"/>
    </row>
    <row r="24" ht="15.75" customHeight="1">
      <c r="A24" s="1"/>
      <c r="B24" s="1"/>
      <c r="C24" s="13"/>
      <c r="D24" s="26" t="s">
        <v>45</v>
      </c>
      <c r="E24" s="27">
        <v>1.0</v>
      </c>
      <c r="F24" s="44"/>
      <c r="G24" s="44"/>
      <c r="H24" s="27"/>
      <c r="I24" s="27">
        <f t="shared" si="1"/>
        <v>1</v>
      </c>
      <c r="J24" s="27"/>
      <c r="K24" s="27">
        <v>1.0</v>
      </c>
      <c r="L24" s="44"/>
      <c r="M24" s="44"/>
      <c r="N24" s="44"/>
      <c r="O24" s="27">
        <f t="shared" si="2"/>
        <v>1</v>
      </c>
      <c r="P24" s="27"/>
      <c r="Q24" s="33"/>
      <c r="R24" s="33"/>
      <c r="S24" s="33"/>
      <c r="T24" s="33"/>
    </row>
    <row r="25" ht="15.75" customHeight="1">
      <c r="A25" s="1"/>
      <c r="B25" s="1"/>
      <c r="C25" s="13"/>
      <c r="D25" s="26" t="s">
        <v>46</v>
      </c>
      <c r="E25" s="27"/>
      <c r="F25" s="44"/>
      <c r="G25" s="44">
        <v>3.0</v>
      </c>
      <c r="H25" s="27"/>
      <c r="I25" s="27">
        <f t="shared" si="1"/>
        <v>3</v>
      </c>
      <c r="J25" s="27"/>
      <c r="K25" s="27"/>
      <c r="L25" s="44"/>
      <c r="M25" s="44">
        <v>3.0</v>
      </c>
      <c r="N25" s="44"/>
      <c r="O25" s="27">
        <f t="shared" si="2"/>
        <v>3</v>
      </c>
      <c r="P25" s="27"/>
      <c r="Q25" s="33"/>
      <c r="R25" s="33"/>
      <c r="S25" s="33"/>
      <c r="T25" s="33"/>
    </row>
    <row r="26" ht="15.75" customHeight="1">
      <c r="A26" s="1"/>
      <c r="B26" s="1"/>
      <c r="C26" s="13"/>
      <c r="D26" s="26" t="s">
        <v>47</v>
      </c>
      <c r="E26" s="27"/>
      <c r="F26" s="44"/>
      <c r="G26" s="44">
        <v>5.0</v>
      </c>
      <c r="H26" s="27"/>
      <c r="I26" s="27">
        <f t="shared" si="1"/>
        <v>5</v>
      </c>
      <c r="J26" s="27"/>
      <c r="K26" s="27"/>
      <c r="L26" s="44"/>
      <c r="M26" s="44">
        <v>5.0</v>
      </c>
      <c r="N26" s="44"/>
      <c r="O26" s="27">
        <f t="shared" si="2"/>
        <v>5</v>
      </c>
      <c r="P26" s="27"/>
      <c r="Q26" s="33"/>
      <c r="R26" s="33"/>
      <c r="S26" s="33"/>
      <c r="T26" s="33"/>
    </row>
    <row r="27" ht="15.75" customHeight="1">
      <c r="A27" s="1"/>
      <c r="B27" s="1"/>
      <c r="C27" s="41" t="s">
        <v>49</v>
      </c>
      <c r="D27" s="26" t="s">
        <v>50</v>
      </c>
      <c r="E27" s="27">
        <v>1.0</v>
      </c>
      <c r="F27" s="27"/>
      <c r="G27" s="27"/>
      <c r="H27" s="27"/>
      <c r="I27" s="27">
        <f t="shared" si="1"/>
        <v>1</v>
      </c>
      <c r="J27" s="27"/>
      <c r="K27" s="27">
        <v>1.0</v>
      </c>
      <c r="L27" s="27"/>
      <c r="M27" s="27"/>
      <c r="N27" s="27"/>
      <c r="O27" s="27">
        <f t="shared" si="2"/>
        <v>1</v>
      </c>
      <c r="P27" s="27"/>
      <c r="Q27" s="33"/>
      <c r="R27" s="33"/>
      <c r="S27" s="33"/>
      <c r="T27" s="33"/>
    </row>
    <row r="28" ht="15.75" customHeight="1">
      <c r="A28" s="1"/>
      <c r="B28" s="1"/>
      <c r="C28" s="13"/>
      <c r="D28" s="26" t="s">
        <v>51</v>
      </c>
      <c r="E28" s="27">
        <v>1.0</v>
      </c>
      <c r="F28" s="27"/>
      <c r="G28" s="27"/>
      <c r="H28" s="27"/>
      <c r="I28" s="27">
        <f t="shared" si="1"/>
        <v>1</v>
      </c>
      <c r="J28" s="27"/>
      <c r="K28" s="27">
        <v>1.0</v>
      </c>
      <c r="L28" s="27"/>
      <c r="M28" s="27"/>
      <c r="N28" s="27"/>
      <c r="O28" s="27">
        <f t="shared" si="2"/>
        <v>1</v>
      </c>
      <c r="P28" s="27"/>
      <c r="Q28" s="33"/>
      <c r="R28" s="33"/>
      <c r="S28" s="33"/>
      <c r="T28" s="33"/>
    </row>
    <row r="29" ht="15.75" customHeight="1">
      <c r="A29" s="1"/>
      <c r="B29" s="1"/>
      <c r="C29" s="13"/>
      <c r="D29" s="26" t="s">
        <v>52</v>
      </c>
      <c r="E29" s="27">
        <v>1.0</v>
      </c>
      <c r="F29" s="27"/>
      <c r="G29" s="27"/>
      <c r="H29" s="27"/>
      <c r="I29" s="27">
        <f t="shared" si="1"/>
        <v>1</v>
      </c>
      <c r="J29" s="27"/>
      <c r="K29" s="27">
        <v>1.0</v>
      </c>
      <c r="L29" s="27"/>
      <c r="M29" s="27"/>
      <c r="N29" s="27"/>
      <c r="O29" s="27">
        <f t="shared" si="2"/>
        <v>1</v>
      </c>
      <c r="P29" s="27"/>
      <c r="Q29" s="33"/>
      <c r="R29" s="33"/>
      <c r="S29" s="33"/>
      <c r="T29" s="33"/>
    </row>
    <row r="30" ht="15.75" customHeight="1">
      <c r="A30" s="1"/>
      <c r="B30" s="1"/>
      <c r="C30" s="21"/>
      <c r="D30" s="26" t="s">
        <v>55</v>
      </c>
      <c r="E30" s="27">
        <v>0.0</v>
      </c>
      <c r="F30" s="27"/>
      <c r="G30" s="27"/>
      <c r="H30" s="47"/>
      <c r="I30" s="27">
        <f t="shared" si="1"/>
        <v>0</v>
      </c>
      <c r="J30" s="27"/>
      <c r="K30" s="27">
        <v>0.0</v>
      </c>
      <c r="L30" s="27"/>
      <c r="M30" s="27"/>
      <c r="N30" s="27"/>
      <c r="O30" s="27">
        <f t="shared" si="2"/>
        <v>0</v>
      </c>
      <c r="P30" s="27"/>
      <c r="Q30" s="48" t="s">
        <v>58</v>
      </c>
      <c r="R30" s="48"/>
      <c r="S30" s="48"/>
      <c r="T30" s="33"/>
    </row>
    <row r="31" ht="15.75" customHeight="1">
      <c r="A31" s="1"/>
      <c r="B31" s="1"/>
      <c r="C31" s="49" t="s">
        <v>53</v>
      </c>
      <c r="D31" s="26" t="s">
        <v>53</v>
      </c>
      <c r="E31" s="27">
        <v>0.0</v>
      </c>
      <c r="F31" s="27"/>
      <c r="G31" s="27"/>
      <c r="H31" s="47"/>
      <c r="I31" s="27">
        <f t="shared" si="1"/>
        <v>0</v>
      </c>
      <c r="J31" s="27"/>
      <c r="K31" s="27">
        <v>0.0</v>
      </c>
      <c r="L31" s="27"/>
      <c r="M31" s="27"/>
      <c r="N31" s="27"/>
      <c r="O31" s="27">
        <f t="shared" si="2"/>
        <v>0</v>
      </c>
      <c r="P31" s="27"/>
      <c r="Q31" s="48" t="s">
        <v>61</v>
      </c>
      <c r="R31" s="48"/>
      <c r="S31" s="48"/>
      <c r="T31" s="33"/>
    </row>
    <row r="32" ht="15.75" customHeight="1">
      <c r="A32" s="1"/>
      <c r="B32" s="1"/>
      <c r="C32" s="24" t="s">
        <v>54</v>
      </c>
      <c r="D32" s="26" t="s">
        <v>54</v>
      </c>
      <c r="E32" s="27">
        <v>1.0</v>
      </c>
      <c r="F32" s="27"/>
      <c r="G32" s="27"/>
      <c r="H32" s="27"/>
      <c r="I32" s="27">
        <f t="shared" si="1"/>
        <v>1</v>
      </c>
      <c r="J32" s="27"/>
      <c r="K32" s="27">
        <v>1.0</v>
      </c>
      <c r="L32" s="27"/>
      <c r="M32" s="27"/>
      <c r="N32" s="27"/>
      <c r="O32" s="27">
        <f t="shared" si="2"/>
        <v>1</v>
      </c>
      <c r="P32" s="27"/>
      <c r="Q32" s="33"/>
      <c r="R32" s="33"/>
      <c r="S32" s="33"/>
      <c r="T32" s="33"/>
    </row>
    <row r="33" ht="15.75" customHeight="1">
      <c r="A33" s="1"/>
      <c r="B33" s="1"/>
      <c r="C33" s="34" t="s">
        <v>62</v>
      </c>
      <c r="D33" s="26" t="s">
        <v>64</v>
      </c>
      <c r="E33" s="27">
        <v>1.0</v>
      </c>
      <c r="F33" s="27"/>
      <c r="G33" s="27"/>
      <c r="H33" s="27"/>
      <c r="I33" s="27">
        <f t="shared" si="1"/>
        <v>1</v>
      </c>
      <c r="J33" s="27"/>
      <c r="K33" s="27"/>
      <c r="L33" s="27">
        <v>1.0</v>
      </c>
      <c r="M33" s="27"/>
      <c r="N33" s="27"/>
      <c r="O33" s="27">
        <f t="shared" si="2"/>
        <v>1</v>
      </c>
      <c r="P33" s="27"/>
      <c r="Q33" s="33"/>
      <c r="R33" s="33"/>
      <c r="S33" s="33"/>
      <c r="T33" s="33"/>
    </row>
    <row r="34" ht="15.75" customHeight="1">
      <c r="A34" s="1"/>
      <c r="B34" s="1"/>
      <c r="C34" s="13"/>
      <c r="D34" s="26" t="s">
        <v>65</v>
      </c>
      <c r="E34" s="27">
        <v>4.0</v>
      </c>
      <c r="F34" s="27"/>
      <c r="G34" s="27"/>
      <c r="H34" s="27"/>
      <c r="I34" s="27">
        <f t="shared" si="1"/>
        <v>4</v>
      </c>
      <c r="J34" s="27"/>
      <c r="K34" s="27">
        <v>4.0</v>
      </c>
      <c r="L34" s="27"/>
      <c r="M34" s="27"/>
      <c r="N34" s="27"/>
      <c r="O34" s="27">
        <f t="shared" si="2"/>
        <v>4</v>
      </c>
      <c r="P34" s="27"/>
      <c r="Q34" s="33"/>
      <c r="R34" s="33"/>
      <c r="S34" s="33"/>
      <c r="T34" s="33"/>
    </row>
    <row r="35" ht="15.75" customHeight="1">
      <c r="A35" s="1"/>
      <c r="B35" s="1"/>
      <c r="C35" s="13"/>
      <c r="D35" s="26" t="s">
        <v>69</v>
      </c>
      <c r="E35" s="27"/>
      <c r="F35" s="27"/>
      <c r="G35" s="27"/>
      <c r="H35" s="27">
        <v>3.0</v>
      </c>
      <c r="I35" s="27">
        <f t="shared" si="1"/>
        <v>3</v>
      </c>
      <c r="J35" s="27"/>
      <c r="K35" s="27"/>
      <c r="L35" s="27"/>
      <c r="M35" s="27"/>
      <c r="N35" s="27">
        <v>3.0</v>
      </c>
      <c r="O35" s="27">
        <f t="shared" si="2"/>
        <v>3</v>
      </c>
      <c r="P35" s="27"/>
      <c r="Q35" s="48" t="s">
        <v>71</v>
      </c>
      <c r="R35" s="33"/>
      <c r="S35" s="33"/>
      <c r="T35" s="33"/>
    </row>
    <row r="36" ht="15.75" customHeight="1">
      <c r="A36" s="1"/>
      <c r="B36" s="1"/>
      <c r="C36" s="13"/>
      <c r="D36" s="26" t="s">
        <v>73</v>
      </c>
      <c r="E36" s="27"/>
      <c r="F36" s="27"/>
      <c r="G36" s="27"/>
      <c r="H36" s="27">
        <v>3.0</v>
      </c>
      <c r="I36" s="27">
        <f t="shared" si="1"/>
        <v>3</v>
      </c>
      <c r="J36" s="27"/>
      <c r="K36" s="27"/>
      <c r="L36" s="27"/>
      <c r="M36" s="27"/>
      <c r="N36" s="27">
        <v>3.0</v>
      </c>
      <c r="O36" s="27">
        <f t="shared" si="2"/>
        <v>3</v>
      </c>
      <c r="P36" s="27"/>
      <c r="Q36" s="48" t="s">
        <v>71</v>
      </c>
      <c r="R36" s="33"/>
      <c r="S36" s="33"/>
      <c r="T36" s="33"/>
    </row>
    <row r="37" ht="15.75" customHeight="1">
      <c r="A37" s="1"/>
      <c r="B37" s="1"/>
      <c r="C37" s="13"/>
      <c r="D37" s="26" t="s">
        <v>77</v>
      </c>
      <c r="E37" s="27"/>
      <c r="F37" s="27"/>
      <c r="G37" s="27"/>
      <c r="H37" s="27">
        <v>3.0</v>
      </c>
      <c r="I37" s="27">
        <f t="shared" si="1"/>
        <v>3</v>
      </c>
      <c r="J37" s="27"/>
      <c r="K37" s="27"/>
      <c r="L37" s="27"/>
      <c r="M37" s="27"/>
      <c r="N37" s="27">
        <v>3.0</v>
      </c>
      <c r="O37" s="27">
        <f t="shared" si="2"/>
        <v>3</v>
      </c>
      <c r="P37" s="27"/>
      <c r="Q37" s="48" t="s">
        <v>71</v>
      </c>
      <c r="R37" s="33"/>
      <c r="S37" s="33"/>
      <c r="T37" s="33"/>
    </row>
    <row r="38" ht="15.75" customHeight="1">
      <c r="A38" s="1"/>
      <c r="B38" s="1"/>
      <c r="C38" s="13"/>
      <c r="D38" s="26" t="s">
        <v>80</v>
      </c>
      <c r="E38" s="44"/>
      <c r="F38" s="44"/>
      <c r="G38" s="44">
        <v>6.0</v>
      </c>
      <c r="H38" s="27"/>
      <c r="I38" s="27">
        <f t="shared" si="1"/>
        <v>6</v>
      </c>
      <c r="J38" s="44"/>
      <c r="K38" s="44"/>
      <c r="L38" s="44"/>
      <c r="M38" s="44">
        <v>6.0</v>
      </c>
      <c r="N38" s="44"/>
      <c r="O38" s="27">
        <f t="shared" si="2"/>
        <v>6</v>
      </c>
      <c r="P38" s="27"/>
      <c r="Q38" s="48" t="s">
        <v>71</v>
      </c>
      <c r="R38" s="33"/>
      <c r="S38" s="33"/>
      <c r="T38" s="33"/>
    </row>
    <row r="39" ht="15.75" customHeight="1">
      <c r="A39" s="1"/>
      <c r="B39" s="1"/>
      <c r="C39" s="13"/>
      <c r="D39" s="26" t="s">
        <v>85</v>
      </c>
      <c r="E39" s="44"/>
      <c r="F39" s="44"/>
      <c r="G39" s="44">
        <v>14.0</v>
      </c>
      <c r="H39" s="27"/>
      <c r="I39" s="27">
        <f t="shared" si="1"/>
        <v>14</v>
      </c>
      <c r="J39" s="44"/>
      <c r="K39" s="44"/>
      <c r="L39" s="44"/>
      <c r="M39" s="44">
        <v>14.0</v>
      </c>
      <c r="N39" s="44"/>
      <c r="O39" s="27">
        <f t="shared" si="2"/>
        <v>14</v>
      </c>
      <c r="P39" s="27"/>
      <c r="Q39" s="48" t="s">
        <v>71</v>
      </c>
      <c r="R39" s="33"/>
      <c r="S39" s="33"/>
      <c r="T39" s="33"/>
    </row>
    <row r="40" ht="15.75" customHeight="1">
      <c r="A40" s="1"/>
      <c r="B40" s="1"/>
      <c r="C40" s="13"/>
      <c r="D40" s="26" t="s">
        <v>89</v>
      </c>
      <c r="E40" s="44"/>
      <c r="F40" s="44"/>
      <c r="G40" s="44">
        <v>6.0</v>
      </c>
      <c r="H40" s="27"/>
      <c r="I40" s="27">
        <f t="shared" si="1"/>
        <v>6</v>
      </c>
      <c r="J40" s="44"/>
      <c r="K40" s="44"/>
      <c r="L40" s="44"/>
      <c r="M40" s="44">
        <v>6.0</v>
      </c>
      <c r="N40" s="44"/>
      <c r="O40" s="27">
        <f t="shared" si="2"/>
        <v>6</v>
      </c>
      <c r="P40" s="27"/>
      <c r="Q40" s="48" t="s">
        <v>71</v>
      </c>
      <c r="R40" s="33"/>
      <c r="S40" s="33"/>
      <c r="T40" s="33"/>
    </row>
    <row r="41" ht="15.75" customHeight="1">
      <c r="A41" s="1"/>
      <c r="B41" s="1"/>
      <c r="C41" s="13"/>
      <c r="D41" s="26" t="s">
        <v>91</v>
      </c>
      <c r="E41" s="44">
        <v>2.0</v>
      </c>
      <c r="F41" s="44">
        <v>1.0</v>
      </c>
      <c r="G41" s="44">
        <v>3.0</v>
      </c>
      <c r="H41" s="27"/>
      <c r="I41" s="27">
        <f t="shared" si="1"/>
        <v>6</v>
      </c>
      <c r="J41" s="44"/>
      <c r="K41" s="44">
        <v>2.0</v>
      </c>
      <c r="L41" s="44">
        <v>1.0</v>
      </c>
      <c r="M41" s="44">
        <v>3.0</v>
      </c>
      <c r="N41" s="44"/>
      <c r="O41" s="27">
        <f t="shared" si="2"/>
        <v>6</v>
      </c>
      <c r="P41" s="27"/>
      <c r="Q41" s="48" t="s">
        <v>71</v>
      </c>
      <c r="R41" s="33"/>
      <c r="S41" s="33"/>
      <c r="T41" s="33"/>
    </row>
    <row r="42" ht="15.75" customHeight="1">
      <c r="A42" s="1"/>
      <c r="B42" s="1"/>
      <c r="C42" s="13"/>
      <c r="D42" s="26" t="s">
        <v>92</v>
      </c>
      <c r="E42" s="50"/>
      <c r="F42" s="50"/>
      <c r="G42" s="51">
        <v>12.0</v>
      </c>
      <c r="H42" s="51"/>
      <c r="I42" s="51">
        <f t="shared" si="1"/>
        <v>12</v>
      </c>
      <c r="J42" s="50"/>
      <c r="K42" s="50"/>
      <c r="L42" s="50"/>
      <c r="M42" s="51">
        <v>12.0</v>
      </c>
      <c r="N42" s="50"/>
      <c r="O42" s="51">
        <f t="shared" si="2"/>
        <v>12</v>
      </c>
      <c r="P42" s="51"/>
      <c r="Q42" s="48" t="s">
        <v>71</v>
      </c>
      <c r="R42" s="33"/>
      <c r="S42" s="33"/>
      <c r="T42" s="33"/>
    </row>
    <row r="43" ht="15.75" customHeight="1">
      <c r="A43" s="1"/>
      <c r="B43" s="1"/>
      <c r="C43" s="13"/>
      <c r="D43" s="26" t="s">
        <v>100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48" t="s">
        <v>71</v>
      </c>
      <c r="R43" s="33"/>
      <c r="S43" s="33"/>
      <c r="T43" s="33"/>
    </row>
    <row r="44" ht="15.75" customHeight="1">
      <c r="A44" s="1"/>
      <c r="B44" s="1"/>
      <c r="C44" s="13"/>
      <c r="D44" s="26" t="s">
        <v>94</v>
      </c>
      <c r="E44" s="44"/>
      <c r="F44" s="44"/>
      <c r="G44" s="44">
        <v>3.0</v>
      </c>
      <c r="H44" s="27"/>
      <c r="I44" s="27">
        <f t="shared" ref="I44:I49" si="3">SUM(E44:H44)</f>
        <v>3</v>
      </c>
      <c r="J44" s="44"/>
      <c r="K44" s="44"/>
      <c r="L44" s="44"/>
      <c r="M44" s="44">
        <v>3.0</v>
      </c>
      <c r="N44" s="44"/>
      <c r="O44" s="27">
        <f t="shared" ref="O44:O49" si="4">SUM(K44:N44)</f>
        <v>3</v>
      </c>
      <c r="P44" s="27"/>
      <c r="Q44" s="48" t="s">
        <v>71</v>
      </c>
      <c r="R44" s="33"/>
      <c r="S44" s="33"/>
      <c r="T44" s="33"/>
    </row>
    <row r="45" ht="15.75" customHeight="1">
      <c r="A45" s="1"/>
      <c r="B45" s="1"/>
      <c r="C45" s="13"/>
      <c r="D45" s="26" t="s">
        <v>102</v>
      </c>
      <c r="E45" s="44"/>
      <c r="F45" s="44"/>
      <c r="G45" s="44">
        <v>15.0</v>
      </c>
      <c r="H45" s="27"/>
      <c r="I45" s="27">
        <f t="shared" si="3"/>
        <v>15</v>
      </c>
      <c r="J45" s="44"/>
      <c r="K45" s="44"/>
      <c r="L45" s="44"/>
      <c r="M45" s="44">
        <v>15.0</v>
      </c>
      <c r="N45" s="44"/>
      <c r="O45" s="27">
        <f t="shared" si="4"/>
        <v>15</v>
      </c>
      <c r="P45" s="27"/>
      <c r="Q45" s="48" t="s">
        <v>71</v>
      </c>
      <c r="R45" s="33"/>
      <c r="S45" s="33"/>
      <c r="T45" s="33"/>
    </row>
    <row r="46" ht="15.75" customHeight="1">
      <c r="A46" s="1"/>
      <c r="B46" s="1"/>
      <c r="C46" s="21"/>
      <c r="D46" s="26" t="s">
        <v>105</v>
      </c>
      <c r="E46" s="44"/>
      <c r="F46" s="44"/>
      <c r="G46" s="44">
        <v>6.0</v>
      </c>
      <c r="H46" s="27"/>
      <c r="I46" s="27">
        <f t="shared" si="3"/>
        <v>6</v>
      </c>
      <c r="J46" s="44"/>
      <c r="K46" s="44"/>
      <c r="L46" s="44"/>
      <c r="M46" s="44">
        <v>6.0</v>
      </c>
      <c r="N46" s="44"/>
      <c r="O46" s="27">
        <f t="shared" si="4"/>
        <v>6</v>
      </c>
      <c r="P46" s="27"/>
      <c r="Q46" s="48" t="s">
        <v>71</v>
      </c>
      <c r="R46" s="33"/>
      <c r="S46" s="33"/>
      <c r="T46" s="33"/>
    </row>
    <row r="47" ht="15.75" customHeight="1">
      <c r="A47" s="1"/>
      <c r="B47" s="1"/>
      <c r="C47" s="34"/>
      <c r="D47" s="26" t="s">
        <v>107</v>
      </c>
      <c r="E47" s="27">
        <v>1.0</v>
      </c>
      <c r="F47" s="44"/>
      <c r="G47" s="44"/>
      <c r="H47" s="27"/>
      <c r="I47" s="27">
        <f t="shared" si="3"/>
        <v>1</v>
      </c>
      <c r="J47" s="27"/>
      <c r="K47" s="27">
        <v>1.0</v>
      </c>
      <c r="L47" s="44"/>
      <c r="M47" s="44"/>
      <c r="N47" s="44"/>
      <c r="O47" s="27">
        <f t="shared" si="4"/>
        <v>1</v>
      </c>
      <c r="P47" s="27"/>
      <c r="Q47" s="33"/>
      <c r="R47" s="33"/>
      <c r="S47" s="33"/>
      <c r="T47" s="33"/>
    </row>
    <row r="48" ht="15.75" customHeight="1">
      <c r="A48" s="1"/>
      <c r="B48" s="1"/>
      <c r="C48" s="13"/>
      <c r="D48" s="26" t="s">
        <v>108</v>
      </c>
      <c r="E48" s="44">
        <v>1.0</v>
      </c>
      <c r="F48" s="44">
        <v>1.0</v>
      </c>
      <c r="G48" s="44">
        <v>1.0</v>
      </c>
      <c r="H48" s="27"/>
      <c r="I48" s="27">
        <f t="shared" si="3"/>
        <v>3</v>
      </c>
      <c r="J48" s="44"/>
      <c r="K48" s="44">
        <v>1.0</v>
      </c>
      <c r="L48" s="44">
        <v>1.0</v>
      </c>
      <c r="M48" s="44">
        <v>1.0</v>
      </c>
      <c r="N48" s="44"/>
      <c r="O48" s="27">
        <f t="shared" si="4"/>
        <v>3</v>
      </c>
      <c r="P48" s="27"/>
      <c r="Q48" s="33"/>
      <c r="R48" s="33"/>
      <c r="S48" s="33"/>
      <c r="T48" s="33"/>
    </row>
    <row r="49" ht="15.75" customHeight="1">
      <c r="A49" s="52"/>
      <c r="B49" s="52"/>
      <c r="C49" s="21"/>
      <c r="D49" s="55" t="s">
        <v>112</v>
      </c>
      <c r="E49" s="27"/>
      <c r="F49" s="27"/>
      <c r="G49" s="27">
        <v>1.0</v>
      </c>
      <c r="H49" s="27"/>
      <c r="I49" s="27">
        <f t="shared" si="3"/>
        <v>1</v>
      </c>
      <c r="J49" s="44"/>
      <c r="K49" s="44"/>
      <c r="L49" s="44"/>
      <c r="M49" s="44">
        <v>1.0</v>
      </c>
      <c r="N49" s="44"/>
      <c r="O49" s="27">
        <f t="shared" si="4"/>
        <v>1</v>
      </c>
      <c r="P49" s="27"/>
      <c r="Q49" s="33"/>
      <c r="R49" s="33"/>
      <c r="S49" s="33"/>
      <c r="T49" s="33"/>
    </row>
    <row r="50" ht="15.75" customHeight="1">
      <c r="A50" s="1"/>
      <c r="B50" s="1"/>
      <c r="C50" s="56" t="s">
        <v>113</v>
      </c>
      <c r="D50" s="57"/>
      <c r="E50" s="27">
        <f t="shared" ref="E50:I50" si="5">SUM(E8:E49)</f>
        <v>25</v>
      </c>
      <c r="F50" s="27">
        <f t="shared" si="5"/>
        <v>3</v>
      </c>
      <c r="G50" s="27">
        <f t="shared" si="5"/>
        <v>89</v>
      </c>
      <c r="H50" s="27">
        <f t="shared" si="5"/>
        <v>9</v>
      </c>
      <c r="I50" s="27">
        <f t="shared" si="5"/>
        <v>126</v>
      </c>
      <c r="J50" s="27"/>
      <c r="K50" s="27">
        <f t="shared" ref="K50:O50" si="6">SUM(K8:K49)</f>
        <v>24</v>
      </c>
      <c r="L50" s="27">
        <f t="shared" si="6"/>
        <v>4</v>
      </c>
      <c r="M50" s="27">
        <f t="shared" si="6"/>
        <v>89</v>
      </c>
      <c r="N50" s="27">
        <f t="shared" si="6"/>
        <v>9</v>
      </c>
      <c r="O50" s="27">
        <f t="shared" si="6"/>
        <v>126</v>
      </c>
      <c r="P50" s="27"/>
      <c r="Q50" s="33"/>
      <c r="R50" s="33"/>
      <c r="S50" s="33"/>
      <c r="T50" s="33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5.75" hidden="1" customHeight="1">
      <c r="A78" s="1"/>
      <c r="B78" s="1"/>
      <c r="C78" s="4" t="s">
        <v>142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5.75" hidden="1" customHeight="1">
      <c r="A79" s="1"/>
      <c r="B79" s="1"/>
      <c r="C79" s="10" t="s">
        <v>5</v>
      </c>
      <c r="D79" s="12" t="s">
        <v>6</v>
      </c>
      <c r="E79" s="68"/>
      <c r="F79" s="68"/>
      <c r="G79" s="68"/>
      <c r="H79" s="68"/>
      <c r="I79" s="69" t="s">
        <v>149</v>
      </c>
      <c r="J79" s="7"/>
      <c r="K79" s="7"/>
      <c r="L79" s="7"/>
      <c r="M79" s="7"/>
      <c r="N79" s="7"/>
      <c r="O79" s="8"/>
      <c r="P79" s="70"/>
      <c r="Q79" s="71"/>
      <c r="R79" s="71"/>
      <c r="S79" s="71"/>
      <c r="T79" s="71"/>
    </row>
    <row r="80" ht="15.75" hidden="1" customHeight="1">
      <c r="A80" s="1"/>
      <c r="B80" s="1"/>
      <c r="C80" s="13"/>
      <c r="D80" s="14"/>
      <c r="E80" s="72"/>
      <c r="F80" s="72"/>
      <c r="G80" s="72"/>
      <c r="H80" s="72"/>
      <c r="I80" s="73" t="s">
        <v>7</v>
      </c>
      <c r="J80" s="72"/>
      <c r="K80" s="73" t="s">
        <v>143</v>
      </c>
      <c r="L80" s="73" t="s">
        <v>145</v>
      </c>
      <c r="M80" s="73" t="s">
        <v>146</v>
      </c>
      <c r="N80" s="72"/>
      <c r="O80" s="73" t="s">
        <v>147</v>
      </c>
      <c r="P80" s="74"/>
      <c r="Q80" s="74"/>
      <c r="R80" s="74"/>
      <c r="S80" s="74"/>
      <c r="T80" s="74"/>
    </row>
    <row r="81" ht="15.75" hidden="1" customHeight="1">
      <c r="A81" s="1"/>
      <c r="B81" s="1"/>
      <c r="C81" s="13"/>
      <c r="D81" s="14"/>
      <c r="E81" s="72"/>
      <c r="F81" s="72"/>
      <c r="G81" s="72"/>
      <c r="H81" s="72"/>
      <c r="I81" s="14"/>
      <c r="J81" s="72"/>
      <c r="K81" s="14"/>
      <c r="L81" s="14"/>
      <c r="M81" s="14"/>
      <c r="N81" s="72"/>
      <c r="O81" s="14"/>
      <c r="P81" s="74"/>
      <c r="Q81" s="74"/>
      <c r="R81" s="74"/>
      <c r="S81" s="74"/>
      <c r="T81" s="74"/>
    </row>
    <row r="82" ht="15.75" hidden="1" customHeight="1">
      <c r="A82" s="1"/>
      <c r="B82" s="1"/>
      <c r="C82" s="21"/>
      <c r="D82" s="23"/>
      <c r="E82" s="72"/>
      <c r="F82" s="72"/>
      <c r="G82" s="72"/>
      <c r="H82" s="72"/>
      <c r="I82" s="23"/>
      <c r="J82" s="72"/>
      <c r="K82" s="23"/>
      <c r="L82" s="23"/>
      <c r="M82" s="23"/>
      <c r="N82" s="72"/>
      <c r="O82" s="23"/>
      <c r="P82" s="74"/>
      <c r="Q82" s="74"/>
      <c r="R82" s="74"/>
      <c r="S82" s="74"/>
      <c r="T82" s="74"/>
    </row>
    <row r="83" ht="15.75" hidden="1" customHeight="1">
      <c r="A83" s="1"/>
      <c r="B83" s="1"/>
      <c r="C83" s="24" t="s">
        <v>20</v>
      </c>
      <c r="D83" s="26" t="s">
        <v>20</v>
      </c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>
        <f t="shared" ref="O83:O126" si="7">SUM(K83:M83)</f>
        <v>0</v>
      </c>
      <c r="P83" s="74"/>
      <c r="Q83" s="74"/>
      <c r="R83" s="74"/>
      <c r="S83" s="74"/>
      <c r="T83" s="74"/>
    </row>
    <row r="84" ht="15.75" hidden="1" customHeight="1">
      <c r="A84" s="1"/>
      <c r="B84" s="1"/>
      <c r="C84" s="24" t="s">
        <v>150</v>
      </c>
      <c r="D84" s="26" t="s">
        <v>19</v>
      </c>
      <c r="E84" s="72"/>
      <c r="F84" s="72"/>
      <c r="G84" s="72"/>
      <c r="H84" s="72"/>
      <c r="I84" s="72">
        <v>1.0</v>
      </c>
      <c r="J84" s="72"/>
      <c r="K84" s="72">
        <v>1.0</v>
      </c>
      <c r="L84" s="72"/>
      <c r="M84" s="72"/>
      <c r="N84" s="72"/>
      <c r="O84" s="72">
        <f t="shared" si="7"/>
        <v>1</v>
      </c>
      <c r="P84" s="74"/>
      <c r="Q84" s="74"/>
      <c r="R84" s="74"/>
      <c r="S84" s="74"/>
      <c r="T84" s="74"/>
    </row>
    <row r="85" ht="15.75" hidden="1" customHeight="1">
      <c r="A85" s="1"/>
      <c r="B85" s="1"/>
      <c r="C85" s="34" t="s">
        <v>21</v>
      </c>
      <c r="D85" s="26" t="s">
        <v>25</v>
      </c>
      <c r="E85" s="72"/>
      <c r="F85" s="72"/>
      <c r="G85" s="72"/>
      <c r="H85" s="72"/>
      <c r="I85" s="72">
        <v>1.0</v>
      </c>
      <c r="J85" s="72"/>
      <c r="K85" s="72">
        <v>1.0</v>
      </c>
      <c r="L85" s="72"/>
      <c r="M85" s="72"/>
      <c r="N85" s="72"/>
      <c r="O85" s="72">
        <f t="shared" si="7"/>
        <v>1</v>
      </c>
      <c r="P85" s="74"/>
      <c r="Q85" s="74"/>
      <c r="R85" s="74"/>
      <c r="S85" s="74"/>
      <c r="T85" s="74"/>
    </row>
    <row r="86" ht="15.75" hidden="1" customHeight="1">
      <c r="A86" s="1"/>
      <c r="B86" s="1"/>
      <c r="C86" s="13"/>
      <c r="D86" s="26" t="s">
        <v>151</v>
      </c>
      <c r="E86" s="72"/>
      <c r="F86" s="72"/>
      <c r="G86" s="72"/>
      <c r="H86" s="72"/>
      <c r="I86" s="72">
        <v>2.0</v>
      </c>
      <c r="J86" s="72"/>
      <c r="K86" s="72"/>
      <c r="L86" s="72"/>
      <c r="M86" s="72">
        <v>2.0</v>
      </c>
      <c r="N86" s="72"/>
      <c r="O86" s="72">
        <f t="shared" si="7"/>
        <v>2</v>
      </c>
      <c r="P86" s="74"/>
      <c r="Q86" s="74"/>
      <c r="R86" s="74"/>
      <c r="S86" s="74"/>
      <c r="T86" s="74"/>
    </row>
    <row r="87" ht="15.75" hidden="1" customHeight="1">
      <c r="A87" s="1"/>
      <c r="B87" s="1"/>
      <c r="C87" s="21"/>
      <c r="D87" s="26" t="s">
        <v>28</v>
      </c>
      <c r="E87" s="72"/>
      <c r="F87" s="72"/>
      <c r="G87" s="72"/>
      <c r="H87" s="72"/>
      <c r="I87" s="72">
        <v>7.0</v>
      </c>
      <c r="J87" s="72"/>
      <c r="K87" s="72"/>
      <c r="L87" s="72"/>
      <c r="M87" s="72">
        <v>7.0</v>
      </c>
      <c r="N87" s="72"/>
      <c r="O87" s="72">
        <f t="shared" si="7"/>
        <v>7</v>
      </c>
      <c r="P87" s="74"/>
      <c r="Q87" s="74"/>
      <c r="R87" s="74"/>
      <c r="S87" s="74"/>
      <c r="T87" s="74"/>
    </row>
    <row r="88" ht="15.75" hidden="1" customHeight="1">
      <c r="A88" s="1"/>
      <c r="B88" s="1"/>
      <c r="C88" s="34" t="s">
        <v>29</v>
      </c>
      <c r="D88" s="26" t="s">
        <v>31</v>
      </c>
      <c r="E88" s="72"/>
      <c r="F88" s="72"/>
      <c r="G88" s="72"/>
      <c r="H88" s="72"/>
      <c r="I88" s="72">
        <v>5.0</v>
      </c>
      <c r="J88" s="72"/>
      <c r="K88" s="72">
        <v>4.0</v>
      </c>
      <c r="L88" s="72">
        <v>1.0</v>
      </c>
      <c r="M88" s="72"/>
      <c r="N88" s="72"/>
      <c r="O88" s="72">
        <f t="shared" si="7"/>
        <v>5</v>
      </c>
      <c r="P88" s="74"/>
      <c r="Q88" s="74"/>
      <c r="R88" s="74"/>
      <c r="S88" s="74"/>
      <c r="T88" s="74"/>
    </row>
    <row r="89" ht="15.75" hidden="1" customHeight="1">
      <c r="A89" s="1"/>
      <c r="B89" s="1"/>
      <c r="C89" s="21"/>
      <c r="D89" s="26" t="s">
        <v>32</v>
      </c>
      <c r="E89" s="72"/>
      <c r="F89" s="72"/>
      <c r="G89" s="72"/>
      <c r="H89" s="72"/>
      <c r="I89" s="72">
        <v>1.0</v>
      </c>
      <c r="J89" s="72"/>
      <c r="K89" s="72"/>
      <c r="L89" s="72"/>
      <c r="M89" s="72">
        <v>1.0</v>
      </c>
      <c r="N89" s="72"/>
      <c r="O89" s="72">
        <f t="shared" si="7"/>
        <v>1</v>
      </c>
      <c r="P89" s="74"/>
      <c r="Q89" s="74"/>
      <c r="R89" s="74"/>
      <c r="S89" s="74"/>
      <c r="T89" s="74"/>
    </row>
    <row r="90" ht="15.75" hidden="1" customHeight="1">
      <c r="A90" s="1"/>
      <c r="B90" s="1"/>
      <c r="C90" s="24" t="s">
        <v>34</v>
      </c>
      <c r="D90" s="26" t="s">
        <v>34</v>
      </c>
      <c r="E90" s="72"/>
      <c r="F90" s="72"/>
      <c r="G90" s="72"/>
      <c r="H90" s="72"/>
      <c r="I90" s="72">
        <v>1.0</v>
      </c>
      <c r="J90" s="72"/>
      <c r="K90" s="72"/>
      <c r="L90" s="72">
        <v>1.0</v>
      </c>
      <c r="M90" s="72"/>
      <c r="N90" s="72"/>
      <c r="O90" s="72">
        <f t="shared" si="7"/>
        <v>1</v>
      </c>
      <c r="P90" s="74"/>
      <c r="Q90" s="74"/>
      <c r="R90" s="74"/>
      <c r="S90" s="74"/>
      <c r="T90" s="74"/>
    </row>
    <row r="91" ht="15.75" hidden="1" customHeight="1">
      <c r="A91" s="1"/>
      <c r="B91" s="1"/>
      <c r="C91" s="41" t="s">
        <v>63</v>
      </c>
      <c r="D91" s="26" t="s">
        <v>41</v>
      </c>
      <c r="E91" s="72"/>
      <c r="F91" s="72"/>
      <c r="G91" s="72"/>
      <c r="H91" s="72"/>
      <c r="I91" s="72">
        <v>1.0</v>
      </c>
      <c r="J91" s="72"/>
      <c r="K91" s="72">
        <v>1.0</v>
      </c>
      <c r="L91" s="72"/>
      <c r="M91" s="72"/>
      <c r="N91" s="72"/>
      <c r="O91" s="72">
        <f t="shared" si="7"/>
        <v>1</v>
      </c>
      <c r="P91" s="74"/>
      <c r="Q91" s="74"/>
      <c r="R91" s="74"/>
      <c r="S91" s="74"/>
      <c r="T91" s="74"/>
    </row>
    <row r="92" ht="15.75" hidden="1" customHeight="1">
      <c r="A92" s="1"/>
      <c r="B92" s="1"/>
      <c r="C92" s="13"/>
      <c r="D92" s="26" t="s">
        <v>38</v>
      </c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>
        <f t="shared" si="7"/>
        <v>0</v>
      </c>
      <c r="P92" s="74"/>
      <c r="Q92" s="74"/>
      <c r="R92" s="74"/>
      <c r="S92" s="74"/>
      <c r="T92" s="74"/>
    </row>
    <row r="93" ht="15.75" hidden="1" customHeight="1">
      <c r="A93" s="1"/>
      <c r="B93" s="1"/>
      <c r="C93" s="13"/>
      <c r="D93" s="26" t="s">
        <v>43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>
        <f t="shared" si="7"/>
        <v>0</v>
      </c>
      <c r="P93" s="74"/>
      <c r="Q93" s="74"/>
      <c r="R93" s="74"/>
      <c r="S93" s="74"/>
      <c r="T93" s="74"/>
    </row>
    <row r="94" ht="15.75" hidden="1" customHeight="1">
      <c r="A94" s="1"/>
      <c r="B94" s="1"/>
      <c r="C94" s="13"/>
      <c r="D94" s="26" t="s">
        <v>42</v>
      </c>
      <c r="E94" s="72"/>
      <c r="F94" s="72"/>
      <c r="G94" s="72"/>
      <c r="H94" s="72"/>
      <c r="I94" s="72">
        <v>1.0</v>
      </c>
      <c r="J94" s="72"/>
      <c r="K94" s="72">
        <v>1.0</v>
      </c>
      <c r="L94" s="72"/>
      <c r="M94" s="72"/>
      <c r="N94" s="72"/>
      <c r="O94" s="72">
        <f t="shared" si="7"/>
        <v>1</v>
      </c>
      <c r="P94" s="74"/>
      <c r="Q94" s="74"/>
      <c r="R94" s="74"/>
      <c r="S94" s="74"/>
      <c r="T94" s="74"/>
    </row>
    <row r="95" ht="15.75" hidden="1" customHeight="1">
      <c r="A95" s="1" t="s">
        <v>153</v>
      </c>
      <c r="B95" s="1"/>
      <c r="C95" s="13"/>
      <c r="D95" s="26" t="s">
        <v>154</v>
      </c>
      <c r="E95" s="72"/>
      <c r="F95" s="72"/>
      <c r="G95" s="72"/>
      <c r="H95" s="72"/>
      <c r="I95" s="72">
        <v>9.0</v>
      </c>
      <c r="J95" s="72"/>
      <c r="K95" s="72"/>
      <c r="L95" s="68">
        <v>1.0</v>
      </c>
      <c r="M95" s="68">
        <v>8.0</v>
      </c>
      <c r="N95" s="68"/>
      <c r="O95" s="72">
        <f t="shared" si="7"/>
        <v>9</v>
      </c>
      <c r="P95" s="74"/>
      <c r="Q95" s="74"/>
      <c r="R95" s="74"/>
      <c r="S95" s="74"/>
      <c r="T95" s="74"/>
    </row>
    <row r="96" ht="15.75" hidden="1" customHeight="1">
      <c r="A96" s="43"/>
      <c r="B96" s="43"/>
      <c r="C96" s="21"/>
      <c r="D96" s="26" t="s">
        <v>44</v>
      </c>
      <c r="E96" s="72"/>
      <c r="F96" s="72"/>
      <c r="G96" s="72"/>
      <c r="H96" s="72"/>
      <c r="I96" s="72">
        <v>1.0</v>
      </c>
      <c r="J96" s="72"/>
      <c r="K96" s="72">
        <v>1.0</v>
      </c>
      <c r="L96" s="72"/>
      <c r="M96" s="72"/>
      <c r="N96" s="72"/>
      <c r="O96" s="72">
        <f t="shared" si="7"/>
        <v>1</v>
      </c>
      <c r="P96" s="74"/>
      <c r="Q96" s="74"/>
      <c r="R96" s="74"/>
      <c r="S96" s="74"/>
      <c r="T96" s="74"/>
    </row>
    <row r="97" ht="15.75" hidden="1" customHeight="1">
      <c r="A97" s="1"/>
      <c r="B97" s="1"/>
      <c r="C97" s="41" t="s">
        <v>49</v>
      </c>
      <c r="D97" s="26" t="s">
        <v>155</v>
      </c>
      <c r="E97" s="72"/>
      <c r="F97" s="72"/>
      <c r="G97" s="72"/>
      <c r="H97" s="72"/>
      <c r="I97" s="72">
        <v>1.0</v>
      </c>
      <c r="J97" s="72"/>
      <c r="K97" s="72">
        <v>1.0</v>
      </c>
      <c r="L97" s="72"/>
      <c r="M97" s="72"/>
      <c r="N97" s="72"/>
      <c r="O97" s="72">
        <f t="shared" si="7"/>
        <v>1</v>
      </c>
      <c r="P97" s="74"/>
      <c r="Q97" s="74"/>
      <c r="R97" s="74"/>
      <c r="S97" s="74"/>
      <c r="T97" s="74"/>
    </row>
    <row r="98" ht="15.75" hidden="1" customHeight="1">
      <c r="A98" s="1"/>
      <c r="B98" s="1"/>
      <c r="C98" s="13"/>
      <c r="D98" s="26" t="s">
        <v>51</v>
      </c>
      <c r="E98" s="72"/>
      <c r="F98" s="72"/>
      <c r="G98" s="72"/>
      <c r="H98" s="72"/>
      <c r="I98" s="72">
        <v>1.0</v>
      </c>
      <c r="J98" s="72"/>
      <c r="K98" s="72">
        <v>1.0</v>
      </c>
      <c r="L98" s="72"/>
      <c r="M98" s="72"/>
      <c r="N98" s="72"/>
      <c r="O98" s="72">
        <f t="shared" si="7"/>
        <v>1</v>
      </c>
      <c r="P98" s="74"/>
      <c r="Q98" s="74"/>
      <c r="R98" s="74"/>
      <c r="S98" s="74"/>
      <c r="T98" s="74"/>
    </row>
    <row r="99" ht="15.75" hidden="1" customHeight="1">
      <c r="A99" s="1"/>
      <c r="B99" s="1"/>
      <c r="C99" s="13"/>
      <c r="D99" s="26" t="s">
        <v>156</v>
      </c>
      <c r="E99" s="72"/>
      <c r="F99" s="72"/>
      <c r="G99" s="72"/>
      <c r="H99" s="72"/>
      <c r="I99" s="72">
        <v>1.0</v>
      </c>
      <c r="J99" s="72"/>
      <c r="K99" s="72">
        <v>1.0</v>
      </c>
      <c r="L99" s="72"/>
      <c r="M99" s="72"/>
      <c r="N99" s="72"/>
      <c r="O99" s="72">
        <f t="shared" si="7"/>
        <v>1</v>
      </c>
      <c r="P99" s="74"/>
      <c r="Q99" s="74"/>
      <c r="R99" s="74"/>
      <c r="S99" s="74"/>
      <c r="T99" s="74"/>
    </row>
    <row r="100" ht="15.75" hidden="1" customHeight="1">
      <c r="A100" s="1"/>
      <c r="B100" s="1"/>
      <c r="C100" s="21"/>
      <c r="D100" s="26" t="s">
        <v>55</v>
      </c>
      <c r="E100" s="72"/>
      <c r="F100" s="72"/>
      <c r="G100" s="72"/>
      <c r="H100" s="72"/>
      <c r="I100" s="72">
        <v>1.0</v>
      </c>
      <c r="J100" s="72"/>
      <c r="K100" s="72">
        <v>1.0</v>
      </c>
      <c r="L100" s="72"/>
      <c r="M100" s="72"/>
      <c r="N100" s="72"/>
      <c r="O100" s="72">
        <f t="shared" si="7"/>
        <v>1</v>
      </c>
      <c r="P100" s="74"/>
      <c r="Q100" s="74"/>
      <c r="R100" s="74"/>
      <c r="S100" s="74"/>
      <c r="T100" s="74"/>
    </row>
    <row r="101" ht="15.75" hidden="1" customHeight="1">
      <c r="A101" s="1"/>
      <c r="B101" s="1"/>
      <c r="C101" s="49" t="s">
        <v>53</v>
      </c>
      <c r="D101" s="26" t="s">
        <v>53</v>
      </c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>
        <f t="shared" si="7"/>
        <v>0</v>
      </c>
      <c r="P101" s="74"/>
      <c r="Q101" s="74"/>
      <c r="R101" s="74"/>
      <c r="S101" s="74"/>
      <c r="T101" s="74"/>
    </row>
    <row r="102" ht="15.75" hidden="1" customHeight="1">
      <c r="A102" s="1"/>
      <c r="B102" s="1"/>
      <c r="C102" s="24" t="s">
        <v>54</v>
      </c>
      <c r="D102" s="26" t="s">
        <v>54</v>
      </c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>
        <f t="shared" si="7"/>
        <v>0</v>
      </c>
      <c r="P102" s="74"/>
      <c r="Q102" s="74"/>
      <c r="R102" s="74"/>
      <c r="S102" s="74"/>
      <c r="T102" s="74"/>
    </row>
    <row r="103" ht="15.75" hidden="1" customHeight="1">
      <c r="A103" s="1"/>
      <c r="B103" s="1"/>
      <c r="C103" s="34" t="s">
        <v>57</v>
      </c>
      <c r="D103" s="26" t="s">
        <v>114</v>
      </c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>
        <f t="shared" si="7"/>
        <v>0</v>
      </c>
      <c r="P103" s="74"/>
      <c r="Q103" s="74"/>
      <c r="R103" s="74"/>
      <c r="S103" s="74"/>
      <c r="T103" s="74"/>
    </row>
    <row r="104" ht="15.75" hidden="1" customHeight="1">
      <c r="A104" s="1"/>
      <c r="B104" s="1"/>
      <c r="C104" s="21"/>
      <c r="D104" s="26" t="s">
        <v>60</v>
      </c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>
        <f t="shared" si="7"/>
        <v>0</v>
      </c>
      <c r="P104" s="74"/>
      <c r="Q104" s="74"/>
      <c r="R104" s="74"/>
      <c r="S104" s="74"/>
      <c r="T104" s="74"/>
    </row>
    <row r="105" ht="15.75" hidden="1" customHeight="1">
      <c r="A105" s="1"/>
      <c r="B105" s="1"/>
      <c r="C105" s="24" t="s">
        <v>162</v>
      </c>
      <c r="D105" s="26" t="s">
        <v>163</v>
      </c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>
        <f t="shared" si="7"/>
        <v>0</v>
      </c>
      <c r="P105" s="74"/>
      <c r="Q105" s="74"/>
      <c r="R105" s="74"/>
      <c r="S105" s="74"/>
      <c r="T105" s="74"/>
    </row>
    <row r="106" ht="15.75" hidden="1" customHeight="1">
      <c r="A106" s="1"/>
      <c r="B106" s="1"/>
      <c r="C106" s="34" t="s">
        <v>62</v>
      </c>
      <c r="D106" s="26" t="s">
        <v>165</v>
      </c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>
        <f t="shared" si="7"/>
        <v>0</v>
      </c>
      <c r="P106" s="74"/>
      <c r="Q106" s="74"/>
      <c r="R106" s="74"/>
      <c r="S106" s="74"/>
      <c r="T106" s="74"/>
    </row>
    <row r="107" ht="15.75" hidden="1" customHeight="1">
      <c r="A107" s="1"/>
      <c r="B107" s="1"/>
      <c r="C107" s="13"/>
      <c r="D107" s="26" t="s">
        <v>167</v>
      </c>
      <c r="E107" s="72"/>
      <c r="F107" s="72"/>
      <c r="G107" s="72"/>
      <c r="H107" s="72"/>
      <c r="I107" s="72">
        <v>1.0</v>
      </c>
      <c r="J107" s="72"/>
      <c r="K107" s="72"/>
      <c r="L107" s="72">
        <v>1.0</v>
      </c>
      <c r="M107" s="72"/>
      <c r="N107" s="72"/>
      <c r="O107" s="72">
        <f t="shared" si="7"/>
        <v>1</v>
      </c>
      <c r="P107" s="74"/>
      <c r="Q107" s="74"/>
      <c r="R107" s="74"/>
      <c r="S107" s="74"/>
      <c r="T107" s="74"/>
    </row>
    <row r="108" ht="15.75" hidden="1" customHeight="1">
      <c r="A108" s="1"/>
      <c r="B108" s="1"/>
      <c r="C108" s="13"/>
      <c r="D108" s="26" t="s">
        <v>168</v>
      </c>
      <c r="E108" s="72"/>
      <c r="F108" s="72"/>
      <c r="G108" s="72"/>
      <c r="H108" s="72"/>
      <c r="I108" s="72">
        <v>3.0</v>
      </c>
      <c r="J108" s="72"/>
      <c r="K108" s="72">
        <v>3.0</v>
      </c>
      <c r="L108" s="72"/>
      <c r="M108" s="72"/>
      <c r="N108" s="72"/>
      <c r="O108" s="72">
        <f t="shared" si="7"/>
        <v>3</v>
      </c>
      <c r="P108" s="74"/>
      <c r="Q108" s="74"/>
      <c r="R108" s="74"/>
      <c r="S108" s="74"/>
      <c r="T108" s="74"/>
    </row>
    <row r="109" ht="15.75" hidden="1" customHeight="1">
      <c r="A109" s="1"/>
      <c r="B109" s="1"/>
      <c r="C109" s="21"/>
      <c r="D109" s="26" t="s">
        <v>66</v>
      </c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>
        <f t="shared" si="7"/>
        <v>0</v>
      </c>
      <c r="P109" s="74"/>
      <c r="Q109" s="74"/>
      <c r="R109" s="74"/>
      <c r="S109" s="74"/>
      <c r="T109" s="74"/>
    </row>
    <row r="110" ht="15.75" hidden="1" customHeight="1">
      <c r="A110" s="1"/>
      <c r="B110" s="1"/>
      <c r="C110" s="34" t="s">
        <v>62</v>
      </c>
      <c r="D110" s="26" t="s">
        <v>169</v>
      </c>
      <c r="E110" s="72"/>
      <c r="F110" s="72"/>
      <c r="G110" s="72"/>
      <c r="H110" s="72"/>
      <c r="I110" s="72"/>
      <c r="J110" s="68"/>
      <c r="K110" s="68"/>
      <c r="L110" s="68"/>
      <c r="M110" s="68"/>
      <c r="N110" s="68"/>
      <c r="O110" s="72">
        <f t="shared" si="7"/>
        <v>0</v>
      </c>
      <c r="P110" s="74"/>
      <c r="Q110" s="74"/>
      <c r="R110" s="74"/>
      <c r="S110" s="74"/>
      <c r="T110" s="74"/>
    </row>
    <row r="111" ht="15.75" hidden="1" customHeight="1">
      <c r="A111" s="1"/>
      <c r="B111" s="1"/>
      <c r="C111" s="13"/>
      <c r="D111" s="26" t="s">
        <v>171</v>
      </c>
      <c r="E111" s="72"/>
      <c r="F111" s="72"/>
      <c r="G111" s="72"/>
      <c r="H111" s="72"/>
      <c r="I111" s="72"/>
      <c r="J111" s="68"/>
      <c r="K111" s="68"/>
      <c r="L111" s="68"/>
      <c r="M111" s="68"/>
      <c r="N111" s="68"/>
      <c r="O111" s="72">
        <f t="shared" si="7"/>
        <v>0</v>
      </c>
      <c r="P111" s="74"/>
      <c r="Q111" s="74"/>
      <c r="R111" s="74"/>
      <c r="S111" s="74"/>
      <c r="T111" s="74"/>
    </row>
    <row r="112" ht="15.75" hidden="1" customHeight="1">
      <c r="A112" s="1"/>
      <c r="B112" s="1"/>
      <c r="C112" s="13"/>
      <c r="D112" s="26" t="s">
        <v>160</v>
      </c>
      <c r="E112" s="72"/>
      <c r="F112" s="72"/>
      <c r="G112" s="72"/>
      <c r="H112" s="72"/>
      <c r="I112" s="72"/>
      <c r="J112" s="68"/>
      <c r="K112" s="68"/>
      <c r="L112" s="68"/>
      <c r="M112" s="68"/>
      <c r="N112" s="68"/>
      <c r="O112" s="72">
        <f t="shared" si="7"/>
        <v>0</v>
      </c>
      <c r="P112" s="74"/>
      <c r="Q112" s="74"/>
      <c r="R112" s="74"/>
      <c r="S112" s="74"/>
      <c r="T112" s="74"/>
    </row>
    <row r="113" ht="15.75" hidden="1" customHeight="1">
      <c r="A113" s="1"/>
      <c r="B113" s="1"/>
      <c r="C113" s="13"/>
      <c r="D113" s="26" t="s">
        <v>69</v>
      </c>
      <c r="E113" s="72"/>
      <c r="F113" s="72"/>
      <c r="G113" s="72"/>
      <c r="H113" s="72"/>
      <c r="I113" s="72">
        <v>9.0</v>
      </c>
      <c r="J113" s="72"/>
      <c r="K113" s="72"/>
      <c r="L113" s="72"/>
      <c r="M113" s="72">
        <v>9.0</v>
      </c>
      <c r="N113" s="72"/>
      <c r="O113" s="72">
        <f t="shared" si="7"/>
        <v>9</v>
      </c>
      <c r="P113" s="74"/>
      <c r="Q113" s="74"/>
      <c r="R113" s="74"/>
      <c r="S113" s="74"/>
      <c r="T113" s="74"/>
    </row>
    <row r="114" ht="15.75" hidden="1" customHeight="1">
      <c r="A114" s="1"/>
      <c r="B114" s="1"/>
      <c r="C114" s="13"/>
      <c r="D114" s="26" t="s">
        <v>73</v>
      </c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>
        <f t="shared" si="7"/>
        <v>0</v>
      </c>
      <c r="P114" s="74"/>
      <c r="Q114" s="74"/>
      <c r="R114" s="74"/>
      <c r="S114" s="74"/>
      <c r="T114" s="74"/>
    </row>
    <row r="115" ht="15.75" hidden="1" customHeight="1">
      <c r="A115" s="1"/>
      <c r="B115" s="1"/>
      <c r="C115" s="13"/>
      <c r="D115" s="26" t="s">
        <v>77</v>
      </c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>
        <f t="shared" si="7"/>
        <v>0</v>
      </c>
      <c r="P115" s="74"/>
      <c r="Q115" s="74"/>
      <c r="R115" s="74"/>
      <c r="S115" s="74"/>
      <c r="T115" s="74"/>
    </row>
    <row r="116" ht="15.75" hidden="1" customHeight="1">
      <c r="A116" s="1"/>
      <c r="B116" s="1"/>
      <c r="C116" s="13"/>
      <c r="D116" s="26" t="s">
        <v>174</v>
      </c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>
        <f t="shared" si="7"/>
        <v>0</v>
      </c>
      <c r="P116" s="74"/>
      <c r="Q116" s="74"/>
      <c r="R116" s="74"/>
      <c r="S116" s="74"/>
      <c r="T116" s="74"/>
    </row>
    <row r="117" ht="15.75" hidden="1" customHeight="1">
      <c r="A117" s="1"/>
      <c r="B117" s="1"/>
      <c r="C117" s="13"/>
      <c r="D117" s="26" t="s">
        <v>175</v>
      </c>
      <c r="E117" s="72"/>
      <c r="F117" s="72"/>
      <c r="G117" s="72"/>
      <c r="H117" s="72"/>
      <c r="I117" s="72"/>
      <c r="J117" s="68"/>
      <c r="K117" s="68"/>
      <c r="L117" s="68"/>
      <c r="M117" s="72"/>
      <c r="N117" s="72"/>
      <c r="O117" s="72">
        <f t="shared" si="7"/>
        <v>0</v>
      </c>
      <c r="P117" s="74"/>
      <c r="Q117" s="74"/>
      <c r="R117" s="74"/>
      <c r="S117" s="74"/>
      <c r="T117" s="74"/>
    </row>
    <row r="118" ht="15.75" hidden="1" customHeight="1">
      <c r="A118" s="1"/>
      <c r="B118" s="1"/>
      <c r="C118" s="13"/>
      <c r="D118" s="26" t="s">
        <v>177</v>
      </c>
      <c r="E118" s="72"/>
      <c r="F118" s="72"/>
      <c r="G118" s="72"/>
      <c r="H118" s="72"/>
      <c r="I118" s="72"/>
      <c r="J118" s="68"/>
      <c r="K118" s="68"/>
      <c r="L118" s="68"/>
      <c r="M118" s="68"/>
      <c r="N118" s="68"/>
      <c r="O118" s="72">
        <f t="shared" si="7"/>
        <v>0</v>
      </c>
      <c r="P118" s="74"/>
      <c r="Q118" s="74"/>
      <c r="R118" s="74"/>
      <c r="S118" s="74"/>
      <c r="T118" s="74"/>
    </row>
    <row r="119" ht="15.75" hidden="1" customHeight="1">
      <c r="A119" s="1"/>
      <c r="B119" s="1"/>
      <c r="C119" s="13"/>
      <c r="D119" s="79" t="s">
        <v>178</v>
      </c>
      <c r="E119" s="72"/>
      <c r="F119" s="72"/>
      <c r="G119" s="72"/>
      <c r="H119" s="72"/>
      <c r="I119" s="72"/>
      <c r="J119" s="68"/>
      <c r="K119" s="68"/>
      <c r="L119" s="68"/>
      <c r="M119" s="68"/>
      <c r="N119" s="68"/>
      <c r="O119" s="72">
        <f t="shared" si="7"/>
        <v>0</v>
      </c>
      <c r="P119" s="74"/>
      <c r="Q119" s="74"/>
      <c r="R119" s="74"/>
      <c r="S119" s="74"/>
      <c r="T119" s="74"/>
    </row>
    <row r="120" ht="15.75" hidden="1" customHeight="1">
      <c r="A120" s="1"/>
      <c r="B120" s="1"/>
      <c r="C120" s="13"/>
      <c r="D120" s="26" t="s">
        <v>172</v>
      </c>
      <c r="E120" s="72"/>
      <c r="F120" s="72"/>
      <c r="G120" s="72"/>
      <c r="H120" s="72"/>
      <c r="I120" s="72"/>
      <c r="J120" s="68"/>
      <c r="K120" s="68"/>
      <c r="L120" s="68"/>
      <c r="M120" s="68"/>
      <c r="N120" s="68"/>
      <c r="O120" s="72">
        <f t="shared" si="7"/>
        <v>0</v>
      </c>
      <c r="P120" s="74"/>
      <c r="Q120" s="74"/>
      <c r="R120" s="74"/>
      <c r="S120" s="74"/>
      <c r="T120" s="74"/>
    </row>
    <row r="121" ht="15.75" hidden="1" customHeight="1">
      <c r="A121" s="1"/>
      <c r="B121" s="1"/>
      <c r="C121" s="13"/>
      <c r="D121" s="26" t="s">
        <v>179</v>
      </c>
      <c r="E121" s="72"/>
      <c r="F121" s="72"/>
      <c r="G121" s="72"/>
      <c r="H121" s="72"/>
      <c r="I121" s="72"/>
      <c r="J121" s="68"/>
      <c r="K121" s="68"/>
      <c r="L121" s="68"/>
      <c r="M121" s="68"/>
      <c r="N121" s="68"/>
      <c r="O121" s="72">
        <f t="shared" si="7"/>
        <v>0</v>
      </c>
      <c r="P121" s="74"/>
      <c r="Q121" s="74"/>
      <c r="R121" s="74"/>
      <c r="S121" s="74"/>
      <c r="T121" s="74"/>
    </row>
    <row r="122" ht="15.75" hidden="1" customHeight="1">
      <c r="A122" s="1"/>
      <c r="B122" s="1"/>
      <c r="C122" s="13"/>
      <c r="D122" s="26" t="s">
        <v>180</v>
      </c>
      <c r="E122" s="72"/>
      <c r="F122" s="72"/>
      <c r="G122" s="72"/>
      <c r="H122" s="72"/>
      <c r="I122" s="72"/>
      <c r="J122" s="68"/>
      <c r="K122" s="68"/>
      <c r="L122" s="68"/>
      <c r="M122" s="68"/>
      <c r="N122" s="68"/>
      <c r="O122" s="72">
        <f t="shared" si="7"/>
        <v>0</v>
      </c>
      <c r="P122" s="74"/>
      <c r="Q122" s="74"/>
      <c r="R122" s="74"/>
      <c r="S122" s="74"/>
      <c r="T122" s="74"/>
    </row>
    <row r="123" ht="15.75" hidden="1" customHeight="1">
      <c r="A123" s="1"/>
      <c r="B123" s="1"/>
      <c r="C123" s="13"/>
      <c r="D123" s="26" t="s">
        <v>182</v>
      </c>
      <c r="E123" s="72"/>
      <c r="F123" s="72"/>
      <c r="G123" s="72"/>
      <c r="H123" s="72"/>
      <c r="I123" s="72"/>
      <c r="J123" s="68"/>
      <c r="K123" s="68"/>
      <c r="L123" s="68"/>
      <c r="M123" s="68"/>
      <c r="N123" s="68"/>
      <c r="O123" s="72">
        <f t="shared" si="7"/>
        <v>0</v>
      </c>
      <c r="P123" s="74"/>
      <c r="Q123" s="74"/>
      <c r="R123" s="74"/>
      <c r="S123" s="74"/>
      <c r="T123" s="74"/>
    </row>
    <row r="124" ht="15.75" hidden="1" customHeight="1">
      <c r="A124" s="1"/>
      <c r="B124" s="1"/>
      <c r="C124" s="13"/>
      <c r="D124" s="26" t="s">
        <v>119</v>
      </c>
      <c r="E124" s="72"/>
      <c r="F124" s="72"/>
      <c r="G124" s="72"/>
      <c r="H124" s="72"/>
      <c r="I124" s="72"/>
      <c r="J124" s="68"/>
      <c r="K124" s="68"/>
      <c r="L124" s="68"/>
      <c r="M124" s="68"/>
      <c r="N124" s="68"/>
      <c r="O124" s="72">
        <f t="shared" si="7"/>
        <v>0</v>
      </c>
      <c r="P124" s="74"/>
      <c r="Q124" s="74"/>
      <c r="R124" s="74"/>
      <c r="S124" s="74"/>
      <c r="T124" s="74"/>
    </row>
    <row r="125" ht="15.75" hidden="1" customHeight="1">
      <c r="A125" s="1"/>
      <c r="B125" s="1"/>
      <c r="C125" s="13"/>
      <c r="D125" s="26" t="s">
        <v>122</v>
      </c>
      <c r="E125" s="72"/>
      <c r="F125" s="72"/>
      <c r="G125" s="72"/>
      <c r="H125" s="72"/>
      <c r="I125" s="72"/>
      <c r="J125" s="68"/>
      <c r="K125" s="68"/>
      <c r="L125" s="68"/>
      <c r="M125" s="68"/>
      <c r="N125" s="68"/>
      <c r="O125" s="72">
        <f t="shared" si="7"/>
        <v>0</v>
      </c>
      <c r="P125" s="74"/>
      <c r="Q125" s="74"/>
      <c r="R125" s="74"/>
      <c r="S125" s="74"/>
      <c r="T125" s="74"/>
    </row>
    <row r="126" ht="15.75" hidden="1" customHeight="1">
      <c r="A126" s="1"/>
      <c r="B126" s="1"/>
      <c r="C126" s="13"/>
      <c r="D126" s="26" t="s">
        <v>89</v>
      </c>
      <c r="E126" s="72"/>
      <c r="F126" s="72"/>
      <c r="G126" s="72"/>
      <c r="H126" s="72"/>
      <c r="I126" s="72">
        <v>6.0</v>
      </c>
      <c r="J126" s="68"/>
      <c r="K126" s="68">
        <v>1.0</v>
      </c>
      <c r="L126" s="68"/>
      <c r="M126" s="68">
        <v>5.0</v>
      </c>
      <c r="N126" s="68"/>
      <c r="O126" s="72">
        <f t="shared" si="7"/>
        <v>6</v>
      </c>
      <c r="P126" s="74"/>
      <c r="Q126" s="74"/>
      <c r="R126" s="74"/>
      <c r="S126" s="74"/>
      <c r="T126" s="74"/>
    </row>
    <row r="127" ht="15.75" hidden="1" customHeight="1">
      <c r="A127" s="1"/>
      <c r="B127" s="1"/>
      <c r="C127" s="13"/>
      <c r="D127" s="26" t="s">
        <v>130</v>
      </c>
      <c r="E127" s="72"/>
      <c r="F127" s="72"/>
      <c r="G127" s="72"/>
      <c r="H127" s="72"/>
      <c r="I127" s="72"/>
      <c r="J127" s="68"/>
      <c r="K127" s="68"/>
      <c r="L127" s="68"/>
      <c r="M127" s="68"/>
      <c r="N127" s="68"/>
      <c r="O127" s="72"/>
      <c r="P127" s="74"/>
      <c r="Q127" s="74"/>
      <c r="R127" s="74"/>
      <c r="S127" s="74"/>
      <c r="T127" s="74"/>
    </row>
    <row r="128" ht="15.75" hidden="1" customHeight="1">
      <c r="A128" s="1"/>
      <c r="B128" s="1"/>
      <c r="C128" s="13"/>
      <c r="D128" s="26" t="s">
        <v>185</v>
      </c>
      <c r="E128" s="72"/>
      <c r="F128" s="72"/>
      <c r="G128" s="72"/>
      <c r="H128" s="72"/>
      <c r="I128" s="72">
        <v>6.0</v>
      </c>
      <c r="J128" s="68"/>
      <c r="K128" s="68">
        <v>3.0</v>
      </c>
      <c r="L128" s="68"/>
      <c r="M128" s="68">
        <v>3.0</v>
      </c>
      <c r="N128" s="68"/>
      <c r="O128" s="72">
        <f t="shared" ref="O128:O137" si="8">SUM(K128:M128)</f>
        <v>6</v>
      </c>
      <c r="P128" s="74"/>
      <c r="Q128" s="74"/>
      <c r="R128" s="74"/>
      <c r="S128" s="74"/>
      <c r="T128" s="74"/>
    </row>
    <row r="129" ht="15.75" hidden="1" customHeight="1">
      <c r="A129" s="1"/>
      <c r="B129" s="1"/>
      <c r="C129" s="13"/>
      <c r="D129" s="26" t="s">
        <v>91</v>
      </c>
      <c r="E129" s="72"/>
      <c r="F129" s="72"/>
      <c r="G129" s="72"/>
      <c r="H129" s="72"/>
      <c r="I129" s="72"/>
      <c r="J129" s="68"/>
      <c r="K129" s="68"/>
      <c r="L129" s="68"/>
      <c r="M129" s="68"/>
      <c r="N129" s="68"/>
      <c r="O129" s="72">
        <f t="shared" si="8"/>
        <v>0</v>
      </c>
      <c r="P129" s="74"/>
      <c r="Q129" s="74"/>
      <c r="R129" s="74"/>
      <c r="S129" s="74"/>
      <c r="T129" s="74"/>
    </row>
    <row r="130" ht="15.75" hidden="1" customHeight="1">
      <c r="A130" s="1"/>
      <c r="B130" s="1"/>
      <c r="C130" s="13"/>
      <c r="D130" s="26" t="s">
        <v>92</v>
      </c>
      <c r="E130" s="72"/>
      <c r="F130" s="72"/>
      <c r="G130" s="72"/>
      <c r="H130" s="72"/>
      <c r="I130" s="72">
        <v>12.0</v>
      </c>
      <c r="J130" s="68"/>
      <c r="K130" s="68"/>
      <c r="L130" s="68"/>
      <c r="M130" s="68">
        <v>12.0</v>
      </c>
      <c r="N130" s="68"/>
      <c r="O130" s="72">
        <f t="shared" si="8"/>
        <v>12</v>
      </c>
      <c r="P130" s="74"/>
      <c r="Q130" s="74"/>
      <c r="R130" s="74"/>
      <c r="S130" s="74"/>
      <c r="T130" s="74"/>
    </row>
    <row r="131" ht="15.75" hidden="1" customHeight="1">
      <c r="A131" s="1"/>
      <c r="B131" s="1"/>
      <c r="C131" s="13"/>
      <c r="D131" s="26" t="s">
        <v>100</v>
      </c>
      <c r="E131" s="72"/>
      <c r="F131" s="72"/>
      <c r="G131" s="72"/>
      <c r="H131" s="72"/>
      <c r="I131" s="72">
        <v>12.0</v>
      </c>
      <c r="J131" s="68"/>
      <c r="K131" s="68"/>
      <c r="L131" s="68"/>
      <c r="M131" s="68">
        <v>12.0</v>
      </c>
      <c r="N131" s="68"/>
      <c r="O131" s="72">
        <f t="shared" si="8"/>
        <v>12</v>
      </c>
      <c r="P131" s="74"/>
      <c r="Q131" s="74"/>
      <c r="R131" s="74"/>
      <c r="S131" s="74"/>
      <c r="T131" s="74"/>
    </row>
    <row r="132" ht="15.75" hidden="1" customHeight="1">
      <c r="A132" s="1"/>
      <c r="B132" s="1"/>
      <c r="C132" s="13"/>
      <c r="D132" s="26" t="s">
        <v>94</v>
      </c>
      <c r="E132" s="72"/>
      <c r="F132" s="72"/>
      <c r="G132" s="72"/>
      <c r="H132" s="72"/>
      <c r="I132" s="72">
        <v>3.0</v>
      </c>
      <c r="J132" s="68"/>
      <c r="K132" s="68"/>
      <c r="L132" s="68"/>
      <c r="M132" s="68">
        <v>3.0</v>
      </c>
      <c r="N132" s="68"/>
      <c r="O132" s="72">
        <f t="shared" si="8"/>
        <v>3</v>
      </c>
      <c r="P132" s="74"/>
      <c r="Q132" s="74"/>
      <c r="R132" s="74"/>
      <c r="S132" s="74"/>
      <c r="T132" s="74"/>
    </row>
    <row r="133" ht="15.75" hidden="1" customHeight="1">
      <c r="A133" s="1"/>
      <c r="B133" s="1"/>
      <c r="C133" s="21"/>
      <c r="D133" s="26" t="s">
        <v>96</v>
      </c>
      <c r="E133" s="72"/>
      <c r="F133" s="72"/>
      <c r="G133" s="72"/>
      <c r="H133" s="72"/>
      <c r="I133" s="72"/>
      <c r="J133" s="68"/>
      <c r="K133" s="68"/>
      <c r="L133" s="68"/>
      <c r="M133" s="68"/>
      <c r="N133" s="68"/>
      <c r="O133" s="72">
        <f t="shared" si="8"/>
        <v>0</v>
      </c>
      <c r="P133" s="74"/>
      <c r="Q133" s="74"/>
      <c r="R133" s="74"/>
      <c r="S133" s="74"/>
      <c r="T133" s="74"/>
    </row>
    <row r="134" ht="15.75" hidden="1" customHeight="1">
      <c r="A134" s="1"/>
      <c r="B134" s="1"/>
      <c r="C134" s="34"/>
      <c r="D134" s="26" t="s">
        <v>135</v>
      </c>
      <c r="E134" s="72"/>
      <c r="F134" s="72"/>
      <c r="G134" s="72"/>
      <c r="H134" s="72"/>
      <c r="I134" s="72"/>
      <c r="J134" s="68"/>
      <c r="K134" s="68"/>
      <c r="L134" s="68"/>
      <c r="M134" s="68"/>
      <c r="N134" s="68"/>
      <c r="O134" s="72">
        <f t="shared" si="8"/>
        <v>0</v>
      </c>
      <c r="P134" s="74"/>
      <c r="Q134" s="74"/>
      <c r="R134" s="74"/>
      <c r="S134" s="74"/>
      <c r="T134" s="74"/>
    </row>
    <row r="135" ht="15.75" hidden="1" customHeight="1">
      <c r="A135" s="1"/>
      <c r="B135" s="1"/>
      <c r="C135" s="34"/>
      <c r="D135" s="26" t="s">
        <v>186</v>
      </c>
      <c r="E135" s="72"/>
      <c r="F135" s="72"/>
      <c r="G135" s="72"/>
      <c r="H135" s="72"/>
      <c r="I135" s="72">
        <v>15.0</v>
      </c>
      <c r="J135" s="68"/>
      <c r="K135" s="68"/>
      <c r="L135" s="68"/>
      <c r="M135" s="68">
        <v>15.0</v>
      </c>
      <c r="N135" s="68"/>
      <c r="O135" s="72">
        <f t="shared" si="8"/>
        <v>15</v>
      </c>
      <c r="P135" s="74"/>
      <c r="Q135" s="74"/>
      <c r="R135" s="74"/>
      <c r="S135" s="74"/>
      <c r="T135" s="74"/>
    </row>
    <row r="136" ht="15.75" hidden="1" customHeight="1">
      <c r="A136" s="1"/>
      <c r="B136" s="1"/>
      <c r="C136" s="34"/>
      <c r="D136" s="26" t="s">
        <v>105</v>
      </c>
      <c r="E136" s="72"/>
      <c r="F136" s="72"/>
      <c r="G136" s="72"/>
      <c r="H136" s="72"/>
      <c r="I136" s="72">
        <v>3.0</v>
      </c>
      <c r="J136" s="68"/>
      <c r="K136" s="68"/>
      <c r="L136" s="68"/>
      <c r="M136" s="68">
        <v>3.0</v>
      </c>
      <c r="N136" s="68"/>
      <c r="O136" s="72">
        <f t="shared" si="8"/>
        <v>3</v>
      </c>
      <c r="P136" s="74"/>
      <c r="Q136" s="74"/>
      <c r="R136" s="74"/>
      <c r="S136" s="74"/>
      <c r="T136" s="74"/>
    </row>
    <row r="137" ht="15.75" hidden="1" customHeight="1">
      <c r="A137" s="1"/>
      <c r="B137" s="1"/>
      <c r="C137" s="34"/>
      <c r="D137" s="26" t="s">
        <v>181</v>
      </c>
      <c r="E137" s="72"/>
      <c r="F137" s="72"/>
      <c r="G137" s="72"/>
      <c r="H137" s="72"/>
      <c r="I137" s="72">
        <v>6.0</v>
      </c>
      <c r="J137" s="68"/>
      <c r="K137" s="68">
        <v>1.0</v>
      </c>
      <c r="L137" s="68"/>
      <c r="M137" s="68">
        <v>5.0</v>
      </c>
      <c r="N137" s="68"/>
      <c r="O137" s="72">
        <f t="shared" si="8"/>
        <v>6</v>
      </c>
      <c r="P137" s="74"/>
      <c r="Q137" s="74"/>
      <c r="R137" s="74"/>
      <c r="S137" s="74"/>
      <c r="T137" s="74"/>
    </row>
    <row r="138" ht="15.75" hidden="1" customHeight="1">
      <c r="A138" s="1"/>
      <c r="B138" s="1"/>
      <c r="C138" s="34"/>
      <c r="D138" s="26" t="s">
        <v>183</v>
      </c>
      <c r="E138" s="72"/>
      <c r="F138" s="72"/>
      <c r="G138" s="72"/>
      <c r="H138" s="72"/>
      <c r="I138" s="72"/>
      <c r="J138" s="68"/>
      <c r="K138" s="68"/>
      <c r="L138" s="68"/>
      <c r="M138" s="68"/>
      <c r="N138" s="68"/>
      <c r="O138" s="72"/>
      <c r="P138" s="74"/>
      <c r="Q138" s="74"/>
      <c r="R138" s="74"/>
      <c r="S138" s="74"/>
      <c r="T138" s="74"/>
    </row>
    <row r="139" ht="15.75" hidden="1" customHeight="1">
      <c r="A139" s="1"/>
      <c r="B139" s="1"/>
      <c r="C139" s="34"/>
      <c r="D139" s="26" t="s">
        <v>136</v>
      </c>
      <c r="E139" s="72"/>
      <c r="F139" s="72"/>
      <c r="G139" s="72"/>
      <c r="H139" s="72"/>
      <c r="I139" s="72"/>
      <c r="J139" s="68"/>
      <c r="K139" s="68"/>
      <c r="L139" s="68"/>
      <c r="M139" s="68"/>
      <c r="N139" s="68"/>
      <c r="O139" s="72">
        <f>SUM(K139:M139)</f>
        <v>0</v>
      </c>
      <c r="P139" s="74"/>
      <c r="Q139" s="74"/>
      <c r="R139" s="74"/>
      <c r="S139" s="74"/>
      <c r="T139" s="74"/>
    </row>
    <row r="140" ht="15.75" hidden="1" customHeight="1">
      <c r="A140" s="1"/>
      <c r="B140" s="1"/>
      <c r="C140" s="34"/>
      <c r="D140" s="26" t="s">
        <v>190</v>
      </c>
      <c r="E140" s="72"/>
      <c r="F140" s="72"/>
      <c r="G140" s="72"/>
      <c r="H140" s="72"/>
      <c r="I140" s="72"/>
      <c r="J140" s="68"/>
      <c r="K140" s="68"/>
      <c r="L140" s="68"/>
      <c r="M140" s="68"/>
      <c r="N140" s="68"/>
      <c r="O140" s="72"/>
      <c r="P140" s="74"/>
      <c r="Q140" s="74"/>
      <c r="R140" s="74"/>
      <c r="S140" s="74"/>
      <c r="T140" s="74"/>
    </row>
    <row r="141" ht="15.75" hidden="1" customHeight="1">
      <c r="A141" s="1"/>
      <c r="B141" s="1"/>
      <c r="C141" s="34" t="s">
        <v>139</v>
      </c>
      <c r="D141" s="26" t="s">
        <v>191</v>
      </c>
      <c r="E141" s="72"/>
      <c r="F141" s="72"/>
      <c r="G141" s="72"/>
      <c r="H141" s="72"/>
      <c r="I141" s="72"/>
      <c r="J141" s="72"/>
      <c r="K141" s="72"/>
      <c r="L141" s="68"/>
      <c r="M141" s="68"/>
      <c r="N141" s="68"/>
      <c r="O141" s="72">
        <f t="shared" ref="O141:O145" si="9">SUM(K141:M141)</f>
        <v>0</v>
      </c>
      <c r="P141" s="74"/>
      <c r="Q141" s="74"/>
      <c r="R141" s="74"/>
      <c r="S141" s="74"/>
      <c r="T141" s="74"/>
    </row>
    <row r="142" ht="15.75" hidden="1" customHeight="1">
      <c r="A142" s="1"/>
      <c r="B142" s="1"/>
      <c r="C142" s="13"/>
      <c r="D142" s="26" t="s">
        <v>192</v>
      </c>
      <c r="E142" s="72"/>
      <c r="F142" s="72"/>
      <c r="G142" s="72"/>
      <c r="H142" s="72"/>
      <c r="I142" s="72"/>
      <c r="J142" s="72"/>
      <c r="K142" s="72"/>
      <c r="L142" s="68"/>
      <c r="M142" s="68"/>
      <c r="N142" s="68"/>
      <c r="O142" s="72">
        <f t="shared" si="9"/>
        <v>0</v>
      </c>
      <c r="P142" s="74"/>
      <c r="Q142" s="74"/>
      <c r="R142" s="74"/>
      <c r="S142" s="74"/>
      <c r="T142" s="74"/>
    </row>
    <row r="143" ht="15.75" hidden="1" customHeight="1">
      <c r="A143" s="1"/>
      <c r="B143" s="1"/>
      <c r="C143" s="21"/>
      <c r="D143" s="26" t="s">
        <v>139</v>
      </c>
      <c r="E143" s="72"/>
      <c r="F143" s="72"/>
      <c r="G143" s="72"/>
      <c r="H143" s="72"/>
      <c r="I143" s="72">
        <v>5.0</v>
      </c>
      <c r="J143" s="68"/>
      <c r="K143" s="68">
        <v>3.0</v>
      </c>
      <c r="L143" s="68"/>
      <c r="M143" s="68">
        <v>2.0</v>
      </c>
      <c r="N143" s="68"/>
      <c r="O143" s="72">
        <f t="shared" si="9"/>
        <v>5</v>
      </c>
      <c r="P143" s="74"/>
      <c r="Q143" s="74"/>
      <c r="R143" s="74"/>
      <c r="S143" s="74"/>
      <c r="T143" s="74"/>
    </row>
    <row r="144" ht="15.75" hidden="1" customHeight="1">
      <c r="A144" s="1"/>
      <c r="B144" s="1"/>
      <c r="C144" s="24" t="s">
        <v>193</v>
      </c>
      <c r="D144" s="26" t="s">
        <v>193</v>
      </c>
      <c r="E144" s="72"/>
      <c r="F144" s="72"/>
      <c r="G144" s="72"/>
      <c r="H144" s="72"/>
      <c r="I144" s="72"/>
      <c r="J144" s="68"/>
      <c r="K144" s="68"/>
      <c r="L144" s="68"/>
      <c r="M144" s="68"/>
      <c r="N144" s="68"/>
      <c r="O144" s="72">
        <f t="shared" si="9"/>
        <v>0</v>
      </c>
      <c r="P144" s="74"/>
      <c r="Q144" s="74"/>
      <c r="R144" s="74"/>
      <c r="S144" s="74"/>
      <c r="T144" s="74"/>
    </row>
    <row r="145" ht="15.75" hidden="1" customHeight="1">
      <c r="A145" s="1"/>
      <c r="B145" s="1"/>
      <c r="C145" s="81" t="s">
        <v>110</v>
      </c>
      <c r="D145" s="82"/>
      <c r="E145" s="72"/>
      <c r="F145" s="72"/>
      <c r="G145" s="72"/>
      <c r="H145" s="72"/>
      <c r="I145" s="72">
        <f>SUM(I83:I144)</f>
        <v>115</v>
      </c>
      <c r="J145" s="72"/>
      <c r="K145" s="72">
        <f t="shared" ref="K145:M145" si="10">SUM(K84:K144)</f>
        <v>24</v>
      </c>
      <c r="L145" s="72">
        <f t="shared" si="10"/>
        <v>4</v>
      </c>
      <c r="M145" s="72">
        <f t="shared" si="10"/>
        <v>87</v>
      </c>
      <c r="N145" s="72"/>
      <c r="O145" s="72">
        <f t="shared" si="9"/>
        <v>115</v>
      </c>
      <c r="P145" s="74"/>
      <c r="Q145" s="74"/>
      <c r="R145" s="74"/>
      <c r="S145" s="74"/>
      <c r="T145" s="74"/>
    </row>
    <row r="14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F5:F7"/>
    <mergeCell ref="G5:G7"/>
    <mergeCell ref="C9:C14"/>
    <mergeCell ref="C15:C18"/>
    <mergeCell ref="C20:C26"/>
    <mergeCell ref="C27:C30"/>
    <mergeCell ref="G42:G43"/>
    <mergeCell ref="C91:C96"/>
    <mergeCell ref="C97:C100"/>
    <mergeCell ref="C103:C104"/>
    <mergeCell ref="C106:C109"/>
    <mergeCell ref="C110:C133"/>
    <mergeCell ref="C141:C143"/>
    <mergeCell ref="C33:C46"/>
    <mergeCell ref="C47:C49"/>
    <mergeCell ref="C50:D50"/>
    <mergeCell ref="C79:C82"/>
    <mergeCell ref="D79:D82"/>
    <mergeCell ref="C85:C87"/>
    <mergeCell ref="C88:C89"/>
    <mergeCell ref="H5:H7"/>
    <mergeCell ref="I5:I7"/>
    <mergeCell ref="J5:J7"/>
    <mergeCell ref="K5:K7"/>
    <mergeCell ref="L5:L7"/>
    <mergeCell ref="M5:M7"/>
    <mergeCell ref="N5:N7"/>
    <mergeCell ref="O5:O7"/>
    <mergeCell ref="C2:D2"/>
    <mergeCell ref="E3:P3"/>
    <mergeCell ref="C4:C7"/>
    <mergeCell ref="D4:D7"/>
    <mergeCell ref="E4:J4"/>
    <mergeCell ref="K4:P4"/>
    <mergeCell ref="E5:E7"/>
    <mergeCell ref="P5:P7"/>
    <mergeCell ref="E42:E43"/>
    <mergeCell ref="F42:F43"/>
    <mergeCell ref="H42:H43"/>
    <mergeCell ref="I42:I43"/>
    <mergeCell ref="J42:J43"/>
    <mergeCell ref="K42:K43"/>
    <mergeCell ref="L42:L43"/>
    <mergeCell ref="L80:L82"/>
    <mergeCell ref="M80:M82"/>
    <mergeCell ref="M42:M43"/>
    <mergeCell ref="N42:N43"/>
    <mergeCell ref="O42:O43"/>
    <mergeCell ref="P42:P43"/>
    <mergeCell ref="I79:O79"/>
    <mergeCell ref="I80:I82"/>
    <mergeCell ref="K80:K82"/>
    <mergeCell ref="O80:O82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Col="2"/>
  <cols>
    <col customWidth="1" hidden="1" min="1" max="1" width="14.43"/>
    <col customWidth="1" min="2" max="2" width="14.43"/>
    <col customWidth="1" hidden="1" min="3" max="3" width="14.43"/>
    <col customWidth="1" min="4" max="4" width="36.43"/>
    <col customWidth="1" hidden="1" min="5" max="5" width="14.43"/>
    <col customWidth="1" min="6" max="6" width="26.71"/>
    <col customWidth="1" hidden="1" min="7" max="9" width="14.43"/>
    <col customWidth="1" min="10" max="10" width="18.43"/>
    <col customWidth="1" hidden="1" min="11" max="19" width="14.43"/>
  </cols>
  <sheetData>
    <row r="1">
      <c r="A1" s="210" t="s">
        <v>214</v>
      </c>
      <c r="B1" s="211" t="s">
        <v>215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210"/>
      <c r="U1" s="210"/>
      <c r="V1" s="210"/>
      <c r="W1" s="210"/>
      <c r="X1" s="210"/>
      <c r="Y1" s="210"/>
      <c r="Z1" s="210"/>
    </row>
    <row r="2">
      <c r="A2" s="210"/>
      <c r="B2" s="212"/>
      <c r="C2" s="212"/>
      <c r="D2" s="212"/>
      <c r="E2" s="212"/>
      <c r="F2" s="212"/>
      <c r="G2" s="212"/>
      <c r="H2" s="212"/>
      <c r="I2" s="212"/>
      <c r="J2" s="213" t="s">
        <v>216</v>
      </c>
      <c r="K2" s="214" t="s">
        <v>217</v>
      </c>
      <c r="L2" s="214" t="s">
        <v>218</v>
      </c>
      <c r="M2" s="214" t="s">
        <v>219</v>
      </c>
      <c r="N2" s="214" t="s">
        <v>220</v>
      </c>
      <c r="O2" s="215"/>
      <c r="P2" s="215"/>
      <c r="Q2" s="215"/>
      <c r="R2" s="215"/>
      <c r="S2" s="215"/>
      <c r="T2" s="210"/>
      <c r="U2" s="210"/>
      <c r="V2" s="210"/>
      <c r="W2" s="210"/>
      <c r="X2" s="210"/>
      <c r="Y2" s="210"/>
      <c r="Z2" s="210"/>
    </row>
    <row r="3">
      <c r="A3" s="210"/>
      <c r="B3" s="212" t="s">
        <v>230</v>
      </c>
      <c r="C3" s="212"/>
      <c r="D3" s="212" t="s">
        <v>222</v>
      </c>
      <c r="E3" s="212" t="s">
        <v>223</v>
      </c>
      <c r="F3" s="212" t="s">
        <v>224</v>
      </c>
      <c r="G3" s="212" t="s">
        <v>225</v>
      </c>
      <c r="H3" s="212" t="s">
        <v>226</v>
      </c>
      <c r="I3" s="212" t="s">
        <v>227</v>
      </c>
      <c r="J3" s="23"/>
      <c r="K3" s="23"/>
      <c r="L3" s="23"/>
      <c r="M3" s="23"/>
      <c r="N3" s="23"/>
      <c r="O3" s="212" t="s">
        <v>228</v>
      </c>
      <c r="P3" s="215"/>
      <c r="Q3" s="215"/>
      <c r="R3" s="215"/>
      <c r="S3" s="212" t="s">
        <v>229</v>
      </c>
      <c r="T3" s="210"/>
      <c r="U3" s="210"/>
      <c r="V3" s="210"/>
      <c r="W3" s="210"/>
      <c r="X3" s="210"/>
      <c r="Y3" s="210"/>
      <c r="Z3" s="210"/>
    </row>
    <row r="4">
      <c r="A4" s="210"/>
      <c r="B4" s="216"/>
      <c r="C4" s="216" t="s">
        <v>231</v>
      </c>
      <c r="D4" s="216"/>
      <c r="E4" s="216"/>
      <c r="F4" s="216"/>
      <c r="G4" s="216"/>
      <c r="H4" s="216"/>
      <c r="I4" s="216"/>
      <c r="J4" s="217"/>
      <c r="K4" s="218"/>
      <c r="L4" s="218"/>
      <c r="M4" s="218"/>
      <c r="N4" s="218"/>
      <c r="O4" s="218"/>
      <c r="P4" s="216" t="s">
        <v>232</v>
      </c>
      <c r="Q4" s="216" t="s">
        <v>233</v>
      </c>
      <c r="R4" s="216" t="s">
        <v>234</v>
      </c>
      <c r="S4" s="218"/>
      <c r="T4" s="210"/>
      <c r="U4" s="210"/>
      <c r="V4" s="210"/>
      <c r="W4" s="210"/>
      <c r="X4" s="210"/>
      <c r="Y4" s="210"/>
      <c r="Z4" s="210"/>
    </row>
    <row r="5">
      <c r="A5" s="210"/>
      <c r="B5" s="219">
        <v>1.0</v>
      </c>
      <c r="C5" s="217" t="s">
        <v>235</v>
      </c>
      <c r="D5" s="217" t="s">
        <v>236</v>
      </c>
      <c r="E5" s="217" t="s">
        <v>237</v>
      </c>
      <c r="F5" s="217" t="s">
        <v>238</v>
      </c>
      <c r="G5" s="217" t="s">
        <v>239</v>
      </c>
      <c r="H5" s="217" t="s">
        <v>240</v>
      </c>
      <c r="I5" s="217" t="s">
        <v>241</v>
      </c>
      <c r="J5" s="217" t="s">
        <v>242</v>
      </c>
      <c r="K5" s="217" t="s">
        <v>243</v>
      </c>
      <c r="L5" s="217" t="s">
        <v>244</v>
      </c>
      <c r="M5" s="217"/>
      <c r="N5" s="217" t="s">
        <v>244</v>
      </c>
      <c r="O5" s="220">
        <v>2012.0</v>
      </c>
      <c r="P5" s="217" t="s">
        <v>245</v>
      </c>
      <c r="Q5" s="217" t="s">
        <v>246</v>
      </c>
      <c r="R5" s="217" t="s">
        <v>247</v>
      </c>
      <c r="S5" s="217" t="s">
        <v>248</v>
      </c>
      <c r="T5" s="210"/>
      <c r="U5" s="210"/>
      <c r="V5" s="210"/>
      <c r="W5" s="210"/>
      <c r="X5" s="210"/>
      <c r="Y5" s="210"/>
      <c r="Z5" s="210"/>
    </row>
    <row r="6">
      <c r="A6" s="210"/>
      <c r="B6" s="219">
        <v>2.0</v>
      </c>
      <c r="C6" s="220">
        <v>1701339.0</v>
      </c>
      <c r="D6" s="217" t="s">
        <v>258</v>
      </c>
      <c r="E6" s="217" t="s">
        <v>259</v>
      </c>
      <c r="F6" s="217" t="s">
        <v>260</v>
      </c>
      <c r="G6" s="217" t="s">
        <v>261</v>
      </c>
      <c r="H6" s="217" t="s">
        <v>262</v>
      </c>
      <c r="I6" s="217" t="s">
        <v>263</v>
      </c>
      <c r="J6" s="217" t="s">
        <v>242</v>
      </c>
      <c r="K6" s="217" t="s">
        <v>264</v>
      </c>
      <c r="L6" s="217" t="s">
        <v>255</v>
      </c>
      <c r="M6" s="217"/>
      <c r="N6" s="217" t="s">
        <v>255</v>
      </c>
      <c r="O6" s="220">
        <v>2019.0</v>
      </c>
      <c r="P6" s="217" t="s">
        <v>265</v>
      </c>
      <c r="Q6" s="217" t="s">
        <v>266</v>
      </c>
      <c r="R6" s="217" t="s">
        <v>257</v>
      </c>
      <c r="S6" s="217" t="s">
        <v>267</v>
      </c>
      <c r="T6" s="210"/>
      <c r="U6" s="210"/>
      <c r="V6" s="210"/>
      <c r="W6" s="210"/>
      <c r="X6" s="210"/>
      <c r="Y6" s="210"/>
      <c r="Z6" s="210"/>
    </row>
    <row r="7">
      <c r="A7" s="210"/>
      <c r="B7" s="219">
        <v>3.0</v>
      </c>
      <c r="C7" s="220">
        <v>1701333.0</v>
      </c>
      <c r="D7" s="217" t="s">
        <v>268</v>
      </c>
      <c r="E7" s="217" t="s">
        <v>269</v>
      </c>
      <c r="F7" s="217" t="s">
        <v>270</v>
      </c>
      <c r="G7" s="217" t="s">
        <v>239</v>
      </c>
      <c r="H7" s="217" t="s">
        <v>271</v>
      </c>
      <c r="I7" s="217" t="s">
        <v>271</v>
      </c>
      <c r="J7" s="217" t="s">
        <v>242</v>
      </c>
      <c r="K7" s="217" t="s">
        <v>272</v>
      </c>
      <c r="L7" s="217" t="s">
        <v>273</v>
      </c>
      <c r="M7" s="217"/>
      <c r="N7" s="217" t="s">
        <v>273</v>
      </c>
      <c r="O7" s="220">
        <v>2019.0</v>
      </c>
      <c r="P7" s="217" t="s">
        <v>274</v>
      </c>
      <c r="Q7" s="217" t="s">
        <v>275</v>
      </c>
      <c r="R7" s="217" t="s">
        <v>247</v>
      </c>
      <c r="S7" s="217" t="s">
        <v>276</v>
      </c>
      <c r="T7" s="210"/>
      <c r="U7" s="210"/>
      <c r="V7" s="210"/>
      <c r="W7" s="210"/>
      <c r="X7" s="210"/>
      <c r="Y7" s="210"/>
      <c r="Z7" s="210"/>
    </row>
    <row r="8">
      <c r="A8" s="210"/>
      <c r="B8" s="219">
        <v>4.0</v>
      </c>
      <c r="C8" s="220">
        <v>1914272.0</v>
      </c>
      <c r="D8" s="217" t="s">
        <v>277</v>
      </c>
      <c r="E8" s="217" t="s">
        <v>278</v>
      </c>
      <c r="F8" s="217" t="s">
        <v>279</v>
      </c>
      <c r="G8" s="217" t="s">
        <v>252</v>
      </c>
      <c r="H8" s="217" t="s">
        <v>271</v>
      </c>
      <c r="I8" s="217" t="s">
        <v>271</v>
      </c>
      <c r="J8" s="217" t="s">
        <v>242</v>
      </c>
      <c r="K8" s="217" t="s">
        <v>273</v>
      </c>
      <c r="L8" s="217" t="s">
        <v>280</v>
      </c>
      <c r="M8" s="217"/>
      <c r="N8" s="217" t="s">
        <v>280</v>
      </c>
      <c r="O8" s="220">
        <v>2020.0</v>
      </c>
      <c r="P8" s="217" t="s">
        <v>274</v>
      </c>
      <c r="Q8" s="217" t="s">
        <v>246</v>
      </c>
      <c r="R8" s="217" t="s">
        <v>247</v>
      </c>
      <c r="S8" s="217" t="s">
        <v>282</v>
      </c>
      <c r="T8" s="210"/>
      <c r="U8" s="210"/>
      <c r="V8" s="210"/>
      <c r="W8" s="210"/>
      <c r="X8" s="210"/>
      <c r="Y8" s="210"/>
      <c r="Z8" s="210"/>
    </row>
    <row r="9">
      <c r="A9" s="210"/>
      <c r="B9" s="219">
        <v>5.0</v>
      </c>
      <c r="C9" s="220">
        <v>2214702.0</v>
      </c>
      <c r="D9" s="217" t="s">
        <v>283</v>
      </c>
      <c r="E9" s="217" t="s">
        <v>284</v>
      </c>
      <c r="F9" s="217" t="s">
        <v>279</v>
      </c>
      <c r="G9" s="217" t="s">
        <v>252</v>
      </c>
      <c r="H9" s="217" t="s">
        <v>271</v>
      </c>
      <c r="I9" s="217" t="s">
        <v>271</v>
      </c>
      <c r="J9" s="217" t="s">
        <v>242</v>
      </c>
      <c r="K9" s="217" t="s">
        <v>285</v>
      </c>
      <c r="L9" s="217" t="s">
        <v>285</v>
      </c>
      <c r="M9" s="217"/>
      <c r="N9" s="217" t="s">
        <v>285</v>
      </c>
      <c r="O9" s="220">
        <v>2022.0</v>
      </c>
      <c r="P9" s="217" t="s">
        <v>265</v>
      </c>
      <c r="Q9" s="217" t="s">
        <v>246</v>
      </c>
      <c r="R9" s="217" t="s">
        <v>257</v>
      </c>
      <c r="S9" s="217" t="s">
        <v>286</v>
      </c>
      <c r="T9" s="210"/>
      <c r="U9" s="210"/>
      <c r="V9" s="210"/>
      <c r="W9" s="210"/>
      <c r="X9" s="210"/>
      <c r="Y9" s="210"/>
      <c r="Z9" s="210"/>
    </row>
    <row r="10">
      <c r="A10" s="210"/>
      <c r="B10" s="219">
        <v>6.0</v>
      </c>
      <c r="C10" s="217" t="s">
        <v>287</v>
      </c>
      <c r="D10" s="217" t="s">
        <v>288</v>
      </c>
      <c r="E10" s="220">
        <v>1106600.0</v>
      </c>
      <c r="F10" s="217" t="s">
        <v>289</v>
      </c>
      <c r="G10" s="217" t="s">
        <v>252</v>
      </c>
      <c r="H10" s="217" t="s">
        <v>290</v>
      </c>
      <c r="I10" s="217" t="s">
        <v>291</v>
      </c>
      <c r="J10" s="217" t="s">
        <v>242</v>
      </c>
      <c r="K10" s="217" t="s">
        <v>292</v>
      </c>
      <c r="L10" s="217" t="s">
        <v>244</v>
      </c>
      <c r="M10" s="217"/>
      <c r="N10" s="217" t="s">
        <v>244</v>
      </c>
      <c r="O10" s="220">
        <v>2012.0</v>
      </c>
      <c r="P10" s="217" t="s">
        <v>265</v>
      </c>
      <c r="Q10" s="217" t="s">
        <v>293</v>
      </c>
      <c r="R10" s="217" t="s">
        <v>257</v>
      </c>
      <c r="S10" s="217" t="s">
        <v>294</v>
      </c>
      <c r="T10" s="210"/>
      <c r="U10" s="210"/>
      <c r="V10" s="210"/>
      <c r="W10" s="210"/>
      <c r="X10" s="210"/>
      <c r="Y10" s="210"/>
      <c r="Z10" s="210"/>
    </row>
    <row r="11">
      <c r="A11" s="210"/>
      <c r="B11" s="219">
        <v>7.0</v>
      </c>
      <c r="C11" s="220">
        <v>2114683.0</v>
      </c>
      <c r="D11" s="217" t="s">
        <v>295</v>
      </c>
      <c r="E11" s="217" t="s">
        <v>296</v>
      </c>
      <c r="F11" s="217" t="s">
        <v>297</v>
      </c>
      <c r="G11" s="217" t="s">
        <v>239</v>
      </c>
      <c r="H11" s="217" t="s">
        <v>290</v>
      </c>
      <c r="I11" s="217" t="s">
        <v>37</v>
      </c>
      <c r="J11" s="217" t="s">
        <v>242</v>
      </c>
      <c r="K11" s="217" t="s">
        <v>298</v>
      </c>
      <c r="L11" s="217" t="s">
        <v>299</v>
      </c>
      <c r="M11" s="217"/>
      <c r="N11" s="217" t="s">
        <v>299</v>
      </c>
      <c r="O11" s="220">
        <v>2023.0</v>
      </c>
      <c r="P11" s="217" t="s">
        <v>300</v>
      </c>
      <c r="Q11" s="217" t="s">
        <v>246</v>
      </c>
      <c r="R11" s="217" t="s">
        <v>257</v>
      </c>
      <c r="S11" s="217" t="s">
        <v>301</v>
      </c>
      <c r="T11" s="210"/>
      <c r="U11" s="210"/>
      <c r="V11" s="210"/>
      <c r="W11" s="210"/>
      <c r="X11" s="210"/>
      <c r="Y11" s="210"/>
      <c r="Z11" s="210"/>
    </row>
    <row r="12">
      <c r="A12" s="210"/>
      <c r="B12" s="219">
        <v>8.0</v>
      </c>
      <c r="C12" s="217" t="s">
        <v>302</v>
      </c>
      <c r="D12" s="217" t="s">
        <v>303</v>
      </c>
      <c r="E12" s="217" t="s">
        <v>304</v>
      </c>
      <c r="F12" s="217" t="s">
        <v>305</v>
      </c>
      <c r="G12" s="217" t="s">
        <v>252</v>
      </c>
      <c r="H12" s="217" t="s">
        <v>290</v>
      </c>
      <c r="I12" s="217" t="s">
        <v>37</v>
      </c>
      <c r="J12" s="217" t="s">
        <v>242</v>
      </c>
      <c r="K12" s="217" t="s">
        <v>306</v>
      </c>
      <c r="L12" s="217" t="s">
        <v>307</v>
      </c>
      <c r="M12" s="217"/>
      <c r="N12" s="217" t="s">
        <v>307</v>
      </c>
      <c r="O12" s="220">
        <v>2010.0</v>
      </c>
      <c r="P12" s="217" t="s">
        <v>265</v>
      </c>
      <c r="Q12" s="217" t="s">
        <v>309</v>
      </c>
      <c r="R12" s="217" t="s">
        <v>257</v>
      </c>
      <c r="S12" s="217" t="s">
        <v>310</v>
      </c>
      <c r="T12" s="210"/>
      <c r="U12" s="210"/>
      <c r="V12" s="210"/>
      <c r="W12" s="210"/>
      <c r="X12" s="210"/>
      <c r="Y12" s="210"/>
      <c r="Z12" s="210"/>
    </row>
    <row r="13">
      <c r="A13" s="210"/>
      <c r="B13" s="219">
        <v>9.0</v>
      </c>
      <c r="C13" s="220">
        <v>2214701.0</v>
      </c>
      <c r="D13" s="217" t="s">
        <v>311</v>
      </c>
      <c r="E13" s="217" t="s">
        <v>312</v>
      </c>
      <c r="F13" s="217" t="s">
        <v>313</v>
      </c>
      <c r="G13" s="217" t="s">
        <v>252</v>
      </c>
      <c r="H13" s="217" t="s">
        <v>314</v>
      </c>
      <c r="I13" s="217" t="s">
        <v>315</v>
      </c>
      <c r="J13" s="217" t="s">
        <v>242</v>
      </c>
      <c r="K13" s="217" t="s">
        <v>285</v>
      </c>
      <c r="L13" s="217" t="s">
        <v>285</v>
      </c>
      <c r="M13" s="217"/>
      <c r="N13" s="217" t="s">
        <v>285</v>
      </c>
      <c r="O13" s="220">
        <v>2022.0</v>
      </c>
      <c r="P13" s="217" t="s">
        <v>245</v>
      </c>
      <c r="Q13" s="217" t="s">
        <v>246</v>
      </c>
      <c r="R13" s="217" t="s">
        <v>257</v>
      </c>
      <c r="S13" s="217" t="s">
        <v>316</v>
      </c>
      <c r="T13" s="210"/>
      <c r="U13" s="210"/>
      <c r="V13" s="210"/>
      <c r="W13" s="210"/>
      <c r="X13" s="210"/>
      <c r="Y13" s="210"/>
      <c r="Z13" s="210"/>
    </row>
    <row r="14">
      <c r="A14" s="210"/>
      <c r="B14" s="219">
        <v>10.0</v>
      </c>
      <c r="C14" s="220">
        <v>2114518.0</v>
      </c>
      <c r="D14" s="217" t="s">
        <v>317</v>
      </c>
      <c r="E14" s="217" t="s">
        <v>318</v>
      </c>
      <c r="F14" s="217" t="s">
        <v>319</v>
      </c>
      <c r="G14" s="217" t="s">
        <v>252</v>
      </c>
      <c r="H14" s="217" t="s">
        <v>314</v>
      </c>
      <c r="I14" s="217" t="s">
        <v>319</v>
      </c>
      <c r="J14" s="217" t="s">
        <v>242</v>
      </c>
      <c r="K14" s="217" t="s">
        <v>320</v>
      </c>
      <c r="L14" s="217" t="s">
        <v>321</v>
      </c>
      <c r="M14" s="217"/>
      <c r="N14" s="217" t="s">
        <v>321</v>
      </c>
      <c r="O14" s="220">
        <v>2024.0</v>
      </c>
      <c r="P14" s="217" t="s">
        <v>322</v>
      </c>
      <c r="Q14" s="217" t="s">
        <v>323</v>
      </c>
      <c r="R14" s="217" t="s">
        <v>257</v>
      </c>
      <c r="S14" s="217" t="s">
        <v>324</v>
      </c>
      <c r="T14" s="210"/>
      <c r="U14" s="210"/>
      <c r="V14" s="210"/>
      <c r="W14" s="210"/>
      <c r="X14" s="210"/>
      <c r="Y14" s="210"/>
      <c r="Z14" s="210"/>
    </row>
    <row r="15">
      <c r="A15" s="210"/>
      <c r="B15" s="219">
        <v>11.0</v>
      </c>
      <c r="C15" s="220">
        <v>1501252.0</v>
      </c>
      <c r="D15" s="217" t="s">
        <v>325</v>
      </c>
      <c r="E15" s="217" t="s">
        <v>326</v>
      </c>
      <c r="F15" s="217" t="s">
        <v>319</v>
      </c>
      <c r="G15" s="217" t="s">
        <v>252</v>
      </c>
      <c r="H15" s="217" t="s">
        <v>314</v>
      </c>
      <c r="I15" s="217" t="s">
        <v>319</v>
      </c>
      <c r="J15" s="217" t="s">
        <v>242</v>
      </c>
      <c r="K15" s="217" t="s">
        <v>327</v>
      </c>
      <c r="L15" s="217" t="s">
        <v>328</v>
      </c>
      <c r="M15" s="217"/>
      <c r="N15" s="217" t="s">
        <v>328</v>
      </c>
      <c r="O15" s="220">
        <v>2019.0</v>
      </c>
      <c r="P15" s="217" t="s">
        <v>256</v>
      </c>
      <c r="Q15" s="217" t="s">
        <v>323</v>
      </c>
      <c r="R15" s="217" t="s">
        <v>257</v>
      </c>
      <c r="S15" s="217" t="s">
        <v>330</v>
      </c>
      <c r="T15" s="210"/>
      <c r="U15" s="210"/>
      <c r="V15" s="210"/>
      <c r="W15" s="210"/>
      <c r="X15" s="210"/>
      <c r="Y15" s="210"/>
      <c r="Z15" s="210"/>
    </row>
    <row r="16">
      <c r="A16" s="210"/>
      <c r="B16" s="219">
        <v>12.0</v>
      </c>
      <c r="C16" s="217" t="s">
        <v>331</v>
      </c>
      <c r="D16" s="217" t="s">
        <v>332</v>
      </c>
      <c r="E16" s="220">
        <v>1106569.0</v>
      </c>
      <c r="F16" s="217" t="s">
        <v>319</v>
      </c>
      <c r="G16" s="217" t="s">
        <v>252</v>
      </c>
      <c r="H16" s="217" t="s">
        <v>314</v>
      </c>
      <c r="I16" s="217" t="s">
        <v>319</v>
      </c>
      <c r="J16" s="217" t="s">
        <v>242</v>
      </c>
      <c r="K16" s="217" t="s">
        <v>333</v>
      </c>
      <c r="L16" s="217" t="s">
        <v>334</v>
      </c>
      <c r="M16" s="217"/>
      <c r="N16" s="217" t="s">
        <v>334</v>
      </c>
      <c r="O16" s="220">
        <v>2015.0</v>
      </c>
      <c r="P16" s="217" t="s">
        <v>274</v>
      </c>
      <c r="Q16" s="217" t="s">
        <v>323</v>
      </c>
      <c r="R16" s="217" t="s">
        <v>257</v>
      </c>
      <c r="S16" s="217" t="s">
        <v>335</v>
      </c>
      <c r="T16" s="210"/>
      <c r="U16" s="210"/>
      <c r="V16" s="210"/>
      <c r="W16" s="210"/>
      <c r="X16" s="210"/>
      <c r="Y16" s="210"/>
      <c r="Z16" s="210"/>
    </row>
    <row r="17">
      <c r="A17" s="210"/>
      <c r="B17" s="219">
        <v>13.0</v>
      </c>
      <c r="C17" s="217" t="s">
        <v>336</v>
      </c>
      <c r="D17" s="217" t="s">
        <v>337</v>
      </c>
      <c r="E17" s="220">
        <v>1207005.0</v>
      </c>
      <c r="F17" s="217" t="s">
        <v>319</v>
      </c>
      <c r="G17" s="217" t="s">
        <v>252</v>
      </c>
      <c r="H17" s="217" t="s">
        <v>314</v>
      </c>
      <c r="I17" s="217" t="s">
        <v>319</v>
      </c>
      <c r="J17" s="217" t="s">
        <v>242</v>
      </c>
      <c r="K17" s="217" t="s">
        <v>338</v>
      </c>
      <c r="L17" s="217" t="s">
        <v>307</v>
      </c>
      <c r="M17" s="217"/>
      <c r="N17" s="217" t="s">
        <v>307</v>
      </c>
      <c r="O17" s="220">
        <v>2010.0</v>
      </c>
      <c r="P17" s="217" t="s">
        <v>265</v>
      </c>
      <c r="Q17" s="217" t="s">
        <v>309</v>
      </c>
      <c r="R17" s="217" t="s">
        <v>257</v>
      </c>
      <c r="S17" s="217" t="s">
        <v>339</v>
      </c>
      <c r="T17" s="210"/>
      <c r="U17" s="210"/>
      <c r="V17" s="210"/>
      <c r="W17" s="210"/>
      <c r="X17" s="210"/>
      <c r="Y17" s="210"/>
      <c r="Z17" s="210"/>
    </row>
    <row r="18">
      <c r="A18" s="210"/>
      <c r="B18" s="219">
        <v>14.0</v>
      </c>
      <c r="C18" s="217" t="s">
        <v>340</v>
      </c>
      <c r="D18" s="217" t="s">
        <v>341</v>
      </c>
      <c r="E18" s="217" t="s">
        <v>342</v>
      </c>
      <c r="F18" s="217" t="s">
        <v>343</v>
      </c>
      <c r="G18" s="217" t="s">
        <v>344</v>
      </c>
      <c r="H18" s="217" t="s">
        <v>314</v>
      </c>
      <c r="I18" s="217" t="s">
        <v>319</v>
      </c>
      <c r="J18" s="217" t="s">
        <v>242</v>
      </c>
      <c r="K18" s="217" t="s">
        <v>345</v>
      </c>
      <c r="L18" s="217" t="s">
        <v>346</v>
      </c>
      <c r="M18" s="217"/>
      <c r="N18" s="217" t="s">
        <v>346</v>
      </c>
      <c r="O18" s="220">
        <v>2014.0</v>
      </c>
      <c r="P18" s="217" t="s">
        <v>265</v>
      </c>
      <c r="Q18" s="217" t="s">
        <v>323</v>
      </c>
      <c r="R18" s="217" t="s">
        <v>257</v>
      </c>
      <c r="S18" s="217" t="s">
        <v>347</v>
      </c>
      <c r="T18" s="210"/>
      <c r="U18" s="210"/>
      <c r="V18" s="210"/>
      <c r="W18" s="210"/>
      <c r="X18" s="210"/>
      <c r="Y18" s="210"/>
      <c r="Z18" s="210"/>
    </row>
    <row r="19">
      <c r="A19" s="210"/>
      <c r="B19" s="219">
        <v>15.0</v>
      </c>
      <c r="C19" s="220">
        <v>1501249.0</v>
      </c>
      <c r="D19" s="217" t="s">
        <v>349</v>
      </c>
      <c r="E19" s="217" t="s">
        <v>350</v>
      </c>
      <c r="F19" s="217" t="s">
        <v>351</v>
      </c>
      <c r="G19" s="217" t="s">
        <v>344</v>
      </c>
      <c r="H19" s="217" t="s">
        <v>314</v>
      </c>
      <c r="I19" s="217" t="s">
        <v>352</v>
      </c>
      <c r="J19" s="217" t="s">
        <v>242</v>
      </c>
      <c r="K19" s="217" t="s">
        <v>353</v>
      </c>
      <c r="L19" s="217" t="s">
        <v>354</v>
      </c>
      <c r="M19" s="217"/>
      <c r="N19" s="217" t="s">
        <v>354</v>
      </c>
      <c r="O19" s="220">
        <v>2017.0</v>
      </c>
      <c r="P19" s="217" t="s">
        <v>274</v>
      </c>
      <c r="Q19" s="217" t="s">
        <v>309</v>
      </c>
      <c r="R19" s="217" t="s">
        <v>257</v>
      </c>
      <c r="S19" s="217" t="s">
        <v>355</v>
      </c>
      <c r="T19" s="210"/>
      <c r="U19" s="210"/>
      <c r="V19" s="210"/>
      <c r="W19" s="210"/>
      <c r="X19" s="210"/>
      <c r="Y19" s="210"/>
      <c r="Z19" s="210"/>
    </row>
    <row r="20" ht="15.75" customHeight="1">
      <c r="A20" s="210"/>
      <c r="B20" s="219">
        <v>16.0</v>
      </c>
      <c r="C20" s="217" t="s">
        <v>356</v>
      </c>
      <c r="D20" s="217" t="s">
        <v>357</v>
      </c>
      <c r="E20" s="220">
        <v>1106559.0</v>
      </c>
      <c r="F20" s="217" t="s">
        <v>358</v>
      </c>
      <c r="G20" s="217" t="s">
        <v>252</v>
      </c>
      <c r="H20" s="217" t="s">
        <v>314</v>
      </c>
      <c r="I20" s="217" t="s">
        <v>352</v>
      </c>
      <c r="J20" s="217" t="s">
        <v>242</v>
      </c>
      <c r="K20" s="217" t="s">
        <v>359</v>
      </c>
      <c r="L20" s="217" t="s">
        <v>360</v>
      </c>
      <c r="M20" s="217"/>
      <c r="N20" s="217" t="s">
        <v>360</v>
      </c>
      <c r="O20" s="220">
        <v>2011.0</v>
      </c>
      <c r="P20" s="217" t="s">
        <v>300</v>
      </c>
      <c r="Q20" s="217" t="s">
        <v>361</v>
      </c>
      <c r="R20" s="217" t="s">
        <v>257</v>
      </c>
      <c r="S20" s="217" t="s">
        <v>362</v>
      </c>
      <c r="T20" s="210"/>
      <c r="U20" s="210"/>
      <c r="V20" s="210"/>
      <c r="W20" s="210"/>
      <c r="X20" s="210"/>
      <c r="Y20" s="210"/>
      <c r="Z20" s="210"/>
    </row>
    <row r="21" ht="15.75" customHeight="1">
      <c r="A21" s="210"/>
      <c r="B21" s="219">
        <v>17.0</v>
      </c>
      <c r="C21" s="220">
        <v>2114519.0</v>
      </c>
      <c r="D21" s="217" t="s">
        <v>369</v>
      </c>
      <c r="E21" s="217" t="s">
        <v>370</v>
      </c>
      <c r="F21" s="217" t="s">
        <v>371</v>
      </c>
      <c r="G21" s="217" t="s">
        <v>252</v>
      </c>
      <c r="H21" s="217" t="s">
        <v>314</v>
      </c>
      <c r="I21" s="217" t="s">
        <v>315</v>
      </c>
      <c r="J21" s="217" t="s">
        <v>242</v>
      </c>
      <c r="K21" s="217" t="s">
        <v>320</v>
      </c>
      <c r="L21" s="217" t="s">
        <v>321</v>
      </c>
      <c r="M21" s="217"/>
      <c r="N21" s="217" t="s">
        <v>321</v>
      </c>
      <c r="O21" s="220">
        <v>2024.0</v>
      </c>
      <c r="P21" s="217" t="s">
        <v>256</v>
      </c>
      <c r="Q21" s="217" t="s">
        <v>246</v>
      </c>
      <c r="R21" s="217" t="s">
        <v>247</v>
      </c>
      <c r="S21" s="217" t="s">
        <v>372</v>
      </c>
      <c r="T21" s="210"/>
      <c r="U21" s="210"/>
      <c r="V21" s="210"/>
      <c r="W21" s="210"/>
      <c r="X21" s="210"/>
      <c r="Y21" s="210"/>
      <c r="Z21" s="210"/>
    </row>
    <row r="22" ht="15.75" customHeight="1">
      <c r="A22" s="210"/>
      <c r="B22" s="219">
        <v>18.0</v>
      </c>
      <c r="C22" s="217" t="s">
        <v>373</v>
      </c>
      <c r="D22" s="217" t="s">
        <v>374</v>
      </c>
      <c r="E22" s="220">
        <v>1106188.0</v>
      </c>
      <c r="F22" s="217" t="s">
        <v>375</v>
      </c>
      <c r="G22" s="217" t="s">
        <v>239</v>
      </c>
      <c r="H22" s="217" t="s">
        <v>376</v>
      </c>
      <c r="I22" s="217" t="s">
        <v>54</v>
      </c>
      <c r="J22" s="217" t="s">
        <v>242</v>
      </c>
      <c r="K22" s="217" t="s">
        <v>377</v>
      </c>
      <c r="L22" s="217" t="s">
        <v>345</v>
      </c>
      <c r="M22" s="217"/>
      <c r="N22" s="217" t="s">
        <v>345</v>
      </c>
      <c r="O22" s="220">
        <v>2008.0</v>
      </c>
      <c r="P22" s="217" t="s">
        <v>265</v>
      </c>
      <c r="Q22" s="217" t="s">
        <v>275</v>
      </c>
      <c r="R22" s="217" t="s">
        <v>257</v>
      </c>
      <c r="S22" s="217" t="s">
        <v>378</v>
      </c>
      <c r="T22" s="210"/>
      <c r="U22" s="210"/>
      <c r="V22" s="210"/>
      <c r="W22" s="210"/>
      <c r="X22" s="210"/>
      <c r="Y22" s="210"/>
      <c r="Z22" s="210"/>
    </row>
    <row r="23" ht="15.75" customHeight="1">
      <c r="A23" s="210"/>
      <c r="B23" s="219">
        <v>19.0</v>
      </c>
      <c r="C23" s="217" t="s">
        <v>379</v>
      </c>
      <c r="D23" s="217" t="s">
        <v>380</v>
      </c>
      <c r="E23" s="220">
        <v>1207007.0</v>
      </c>
      <c r="F23" s="217" t="s">
        <v>382</v>
      </c>
      <c r="G23" s="217" t="s">
        <v>252</v>
      </c>
      <c r="H23" s="217" t="s">
        <v>376</v>
      </c>
      <c r="I23" s="217" t="s">
        <v>54</v>
      </c>
      <c r="J23" s="217" t="s">
        <v>242</v>
      </c>
      <c r="K23" s="217" t="s">
        <v>383</v>
      </c>
      <c r="L23" s="217" t="s">
        <v>307</v>
      </c>
      <c r="M23" s="217"/>
      <c r="N23" s="217" t="s">
        <v>307</v>
      </c>
      <c r="O23" s="220">
        <v>2010.0</v>
      </c>
      <c r="P23" s="217" t="s">
        <v>265</v>
      </c>
      <c r="Q23" s="217" t="s">
        <v>309</v>
      </c>
      <c r="R23" s="217" t="s">
        <v>257</v>
      </c>
      <c r="S23" s="217" t="s">
        <v>384</v>
      </c>
      <c r="T23" s="210"/>
      <c r="U23" s="210"/>
      <c r="V23" s="210"/>
      <c r="W23" s="210"/>
      <c r="X23" s="210"/>
      <c r="Y23" s="210"/>
      <c r="Z23" s="210"/>
    </row>
    <row r="24" ht="15.75" customHeight="1">
      <c r="A24" s="210"/>
      <c r="B24" s="219">
        <v>20.0</v>
      </c>
      <c r="C24" s="220">
        <v>1501251.0</v>
      </c>
      <c r="D24" s="217" t="s">
        <v>385</v>
      </c>
      <c r="E24" s="217" t="s">
        <v>386</v>
      </c>
      <c r="F24" s="217" t="s">
        <v>387</v>
      </c>
      <c r="G24" s="217" t="s">
        <v>252</v>
      </c>
      <c r="H24" s="217" t="s">
        <v>388</v>
      </c>
      <c r="I24" s="217" t="s">
        <v>387</v>
      </c>
      <c r="J24" s="217" t="s">
        <v>242</v>
      </c>
      <c r="K24" s="217" t="s">
        <v>334</v>
      </c>
      <c r="L24" s="217" t="s">
        <v>255</v>
      </c>
      <c r="M24" s="217"/>
      <c r="N24" s="217" t="s">
        <v>255</v>
      </c>
      <c r="O24" s="220">
        <v>2019.0</v>
      </c>
      <c r="P24" s="217" t="s">
        <v>256</v>
      </c>
      <c r="Q24" s="217" t="s">
        <v>323</v>
      </c>
      <c r="R24" s="217" t="s">
        <v>257</v>
      </c>
      <c r="S24" s="217" t="s">
        <v>389</v>
      </c>
      <c r="T24" s="210"/>
      <c r="U24" s="210"/>
      <c r="V24" s="210"/>
      <c r="W24" s="210"/>
      <c r="X24" s="210"/>
      <c r="Y24" s="210"/>
      <c r="Z24" s="210"/>
    </row>
    <row r="25" ht="15.75" customHeight="1">
      <c r="A25" s="210"/>
      <c r="B25" s="219">
        <v>21.0</v>
      </c>
      <c r="C25" s="220">
        <v>2114654.0</v>
      </c>
      <c r="D25" s="217" t="s">
        <v>390</v>
      </c>
      <c r="E25" s="217" t="s">
        <v>391</v>
      </c>
      <c r="F25" s="217" t="s">
        <v>392</v>
      </c>
      <c r="G25" s="217" t="s">
        <v>344</v>
      </c>
      <c r="H25" s="217" t="s">
        <v>388</v>
      </c>
      <c r="I25" s="217" t="s">
        <v>387</v>
      </c>
      <c r="J25" s="217" t="s">
        <v>242</v>
      </c>
      <c r="K25" s="217" t="s">
        <v>393</v>
      </c>
      <c r="L25" s="217" t="s">
        <v>299</v>
      </c>
      <c r="M25" s="217"/>
      <c r="N25" s="217" t="s">
        <v>299</v>
      </c>
      <c r="O25" s="220">
        <v>2023.0</v>
      </c>
      <c r="P25" s="217" t="s">
        <v>265</v>
      </c>
      <c r="Q25" s="217" t="s">
        <v>275</v>
      </c>
      <c r="R25" s="217" t="s">
        <v>257</v>
      </c>
      <c r="S25" s="217" t="s">
        <v>394</v>
      </c>
      <c r="T25" s="210"/>
      <c r="U25" s="210"/>
      <c r="V25" s="210"/>
      <c r="W25" s="210"/>
      <c r="X25" s="210"/>
      <c r="Y25" s="210"/>
      <c r="Z25" s="210"/>
    </row>
    <row r="26" ht="15.75" customHeight="1">
      <c r="A26" s="210"/>
      <c r="B26" s="219">
        <v>22.0</v>
      </c>
      <c r="C26" s="217" t="s">
        <v>395</v>
      </c>
      <c r="D26" s="217" t="s">
        <v>396</v>
      </c>
      <c r="E26" s="217" t="s">
        <v>397</v>
      </c>
      <c r="F26" s="217" t="s">
        <v>398</v>
      </c>
      <c r="G26" s="217" t="s">
        <v>252</v>
      </c>
      <c r="H26" s="217" t="s">
        <v>388</v>
      </c>
      <c r="I26" s="217" t="s">
        <v>398</v>
      </c>
      <c r="J26" s="217" t="s">
        <v>242</v>
      </c>
      <c r="K26" s="217" t="s">
        <v>345</v>
      </c>
      <c r="L26" s="217" t="s">
        <v>360</v>
      </c>
      <c r="M26" s="217"/>
      <c r="N26" s="217" t="s">
        <v>360</v>
      </c>
      <c r="O26" s="220">
        <v>2011.0</v>
      </c>
      <c r="P26" s="217" t="s">
        <v>322</v>
      </c>
      <c r="Q26" s="217" t="s">
        <v>323</v>
      </c>
      <c r="R26" s="217" t="s">
        <v>257</v>
      </c>
      <c r="S26" s="217" t="s">
        <v>399</v>
      </c>
      <c r="T26" s="210"/>
      <c r="U26" s="210"/>
      <c r="V26" s="210"/>
      <c r="W26" s="210"/>
      <c r="X26" s="210"/>
      <c r="Y26" s="210"/>
      <c r="Z26" s="210"/>
    </row>
    <row r="27" ht="15.75" customHeight="1">
      <c r="A27" s="210"/>
      <c r="B27" s="219">
        <v>23.0</v>
      </c>
      <c r="C27" s="217" t="s">
        <v>400</v>
      </c>
      <c r="D27" s="217" t="s">
        <v>401</v>
      </c>
      <c r="E27" s="217" t="s">
        <v>402</v>
      </c>
      <c r="F27" s="217" t="s">
        <v>398</v>
      </c>
      <c r="G27" s="217" t="s">
        <v>252</v>
      </c>
      <c r="H27" s="217" t="s">
        <v>388</v>
      </c>
      <c r="I27" s="217" t="s">
        <v>398</v>
      </c>
      <c r="J27" s="217" t="s">
        <v>242</v>
      </c>
      <c r="K27" s="217" t="s">
        <v>345</v>
      </c>
      <c r="L27" s="217" t="s">
        <v>403</v>
      </c>
      <c r="M27" s="217"/>
      <c r="N27" s="217" t="s">
        <v>403</v>
      </c>
      <c r="O27" s="220">
        <v>2014.0</v>
      </c>
      <c r="P27" s="217" t="s">
        <v>322</v>
      </c>
      <c r="Q27" s="217" t="s">
        <v>323</v>
      </c>
      <c r="R27" s="217" t="s">
        <v>257</v>
      </c>
      <c r="S27" s="217" t="s">
        <v>404</v>
      </c>
      <c r="T27" s="210"/>
      <c r="U27" s="210"/>
      <c r="V27" s="210"/>
      <c r="W27" s="210"/>
      <c r="X27" s="210"/>
      <c r="Y27" s="210"/>
      <c r="Z27" s="210"/>
    </row>
    <row r="28" ht="15.75" customHeight="1">
      <c r="A28" s="210"/>
      <c r="B28" s="219">
        <v>24.0</v>
      </c>
      <c r="C28" s="220">
        <v>2114591.0</v>
      </c>
      <c r="D28" s="217" t="s">
        <v>408</v>
      </c>
      <c r="E28" s="217" t="s">
        <v>409</v>
      </c>
      <c r="F28" s="217" t="s">
        <v>410</v>
      </c>
      <c r="G28" s="217" t="s">
        <v>411</v>
      </c>
      <c r="H28" s="217" t="s">
        <v>411</v>
      </c>
      <c r="I28" s="217" t="s">
        <v>411</v>
      </c>
      <c r="J28" s="217" t="s">
        <v>412</v>
      </c>
      <c r="K28" s="217" t="s">
        <v>393</v>
      </c>
      <c r="L28" s="217" t="s">
        <v>321</v>
      </c>
      <c r="M28" s="217" t="s">
        <v>413</v>
      </c>
      <c r="N28" s="217"/>
      <c r="O28" s="217"/>
      <c r="P28" s="217" t="s">
        <v>265</v>
      </c>
      <c r="Q28" s="217" t="s">
        <v>414</v>
      </c>
      <c r="R28" s="217" t="s">
        <v>257</v>
      </c>
      <c r="S28" s="217" t="s">
        <v>415</v>
      </c>
      <c r="T28" s="210"/>
      <c r="U28" s="210"/>
      <c r="V28" s="210"/>
      <c r="W28" s="210"/>
      <c r="X28" s="210"/>
      <c r="Y28" s="210"/>
      <c r="Z28" s="210"/>
    </row>
    <row r="29" ht="15.75" customHeight="1">
      <c r="A29" s="210"/>
      <c r="B29" s="219">
        <v>25.0</v>
      </c>
      <c r="C29" s="220">
        <v>2314858.0</v>
      </c>
      <c r="D29" s="217" t="s">
        <v>416</v>
      </c>
      <c r="E29" s="217" t="s">
        <v>417</v>
      </c>
      <c r="F29" s="217" t="s">
        <v>251</v>
      </c>
      <c r="G29" s="217" t="s">
        <v>252</v>
      </c>
      <c r="H29" s="217" t="s">
        <v>253</v>
      </c>
      <c r="I29" s="217" t="s">
        <v>254</v>
      </c>
      <c r="J29" s="217" t="s">
        <v>418</v>
      </c>
      <c r="K29" s="217" t="s">
        <v>419</v>
      </c>
      <c r="L29" s="217" t="s">
        <v>419</v>
      </c>
      <c r="M29" s="217" t="s">
        <v>420</v>
      </c>
      <c r="N29" s="217"/>
      <c r="O29" s="217"/>
      <c r="P29" s="217" t="s">
        <v>256</v>
      </c>
      <c r="Q29" s="217" t="s">
        <v>266</v>
      </c>
      <c r="R29" s="217" t="s">
        <v>247</v>
      </c>
      <c r="S29" s="217" t="s">
        <v>421</v>
      </c>
      <c r="T29" s="210"/>
      <c r="U29" s="210"/>
      <c r="V29" s="210"/>
      <c r="W29" s="210"/>
      <c r="X29" s="210"/>
      <c r="Y29" s="210"/>
      <c r="Z29" s="210"/>
    </row>
    <row r="30" ht="15.75" customHeight="1">
      <c r="A30" s="210"/>
      <c r="B30" s="219">
        <v>26.0</v>
      </c>
      <c r="C30" s="220">
        <v>2314814.0</v>
      </c>
      <c r="D30" s="217" t="s">
        <v>422</v>
      </c>
      <c r="E30" s="217" t="s">
        <v>423</v>
      </c>
      <c r="F30" s="217" t="s">
        <v>424</v>
      </c>
      <c r="G30" s="217" t="s">
        <v>252</v>
      </c>
      <c r="H30" s="217" t="s">
        <v>271</v>
      </c>
      <c r="I30" s="217" t="s">
        <v>425</v>
      </c>
      <c r="J30" s="217" t="s">
        <v>426</v>
      </c>
      <c r="K30" s="217" t="s">
        <v>427</v>
      </c>
      <c r="L30" s="217" t="s">
        <v>321</v>
      </c>
      <c r="M30" s="217" t="s">
        <v>420</v>
      </c>
      <c r="N30" s="217"/>
      <c r="O30" s="217"/>
      <c r="P30" s="217" t="s">
        <v>256</v>
      </c>
      <c r="Q30" s="217" t="s">
        <v>246</v>
      </c>
      <c r="R30" s="217" t="s">
        <v>247</v>
      </c>
      <c r="S30" s="217" t="s">
        <v>429</v>
      </c>
      <c r="T30" s="210"/>
      <c r="U30" s="210"/>
      <c r="V30" s="210"/>
      <c r="W30" s="210"/>
      <c r="X30" s="210"/>
      <c r="Y30" s="210"/>
      <c r="Z30" s="210"/>
    </row>
    <row r="31" ht="15.75" customHeight="1">
      <c r="A31" s="210"/>
      <c r="B31" s="219">
        <v>27.0</v>
      </c>
      <c r="C31" s="220">
        <v>2314808.0</v>
      </c>
      <c r="D31" s="217" t="s">
        <v>430</v>
      </c>
      <c r="E31" s="217" t="s">
        <v>432</v>
      </c>
      <c r="F31" s="217" t="s">
        <v>433</v>
      </c>
      <c r="G31" s="217" t="s">
        <v>252</v>
      </c>
      <c r="H31" s="217" t="s">
        <v>434</v>
      </c>
      <c r="I31" s="217" t="s">
        <v>434</v>
      </c>
      <c r="J31" s="217" t="s">
        <v>426</v>
      </c>
      <c r="K31" s="217" t="s">
        <v>436</v>
      </c>
      <c r="L31" s="217" t="s">
        <v>321</v>
      </c>
      <c r="M31" s="217" t="s">
        <v>413</v>
      </c>
      <c r="N31" s="217"/>
      <c r="O31" s="217"/>
      <c r="P31" s="217" t="s">
        <v>322</v>
      </c>
      <c r="Q31" s="217" t="s">
        <v>246</v>
      </c>
      <c r="R31" s="217" t="s">
        <v>257</v>
      </c>
      <c r="S31" s="217" t="s">
        <v>437</v>
      </c>
      <c r="T31" s="210"/>
      <c r="U31" s="210"/>
      <c r="V31" s="210"/>
      <c r="W31" s="210"/>
      <c r="X31" s="210"/>
      <c r="Y31" s="210"/>
      <c r="Z31" s="210"/>
    </row>
    <row r="32" ht="15.75" customHeight="1">
      <c r="A32" s="210"/>
      <c r="B32" s="219">
        <v>28.0</v>
      </c>
      <c r="C32" s="220">
        <v>2214784.0</v>
      </c>
      <c r="D32" s="217" t="s">
        <v>439</v>
      </c>
      <c r="E32" s="217" t="s">
        <v>440</v>
      </c>
      <c r="F32" s="217" t="s">
        <v>442</v>
      </c>
      <c r="G32" s="217" t="s">
        <v>252</v>
      </c>
      <c r="H32" s="217" t="s">
        <v>290</v>
      </c>
      <c r="I32" s="217" t="s">
        <v>444</v>
      </c>
      <c r="J32" s="217" t="s">
        <v>426</v>
      </c>
      <c r="K32" s="217" t="s">
        <v>445</v>
      </c>
      <c r="L32" s="217" t="s">
        <v>321</v>
      </c>
      <c r="M32" s="217" t="s">
        <v>413</v>
      </c>
      <c r="N32" s="217"/>
      <c r="O32" s="217"/>
      <c r="P32" s="217" t="s">
        <v>256</v>
      </c>
      <c r="Q32" s="217" t="s">
        <v>246</v>
      </c>
      <c r="R32" s="217" t="s">
        <v>257</v>
      </c>
      <c r="S32" s="217" t="s">
        <v>448</v>
      </c>
      <c r="T32" s="210"/>
      <c r="U32" s="210"/>
      <c r="V32" s="210"/>
      <c r="W32" s="210"/>
      <c r="X32" s="210"/>
      <c r="Y32" s="210"/>
      <c r="Z32" s="210"/>
    </row>
    <row r="33" ht="15.75" customHeight="1">
      <c r="A33" s="210"/>
      <c r="B33" s="219">
        <v>29.0</v>
      </c>
      <c r="C33" s="220">
        <v>2214710.0</v>
      </c>
      <c r="D33" s="217" t="s">
        <v>449</v>
      </c>
      <c r="E33" s="217" t="s">
        <v>450</v>
      </c>
      <c r="F33" s="217" t="s">
        <v>313</v>
      </c>
      <c r="G33" s="217" t="s">
        <v>252</v>
      </c>
      <c r="H33" s="217" t="s">
        <v>314</v>
      </c>
      <c r="I33" s="217" t="s">
        <v>315</v>
      </c>
      <c r="J33" s="217" t="s">
        <v>451</v>
      </c>
      <c r="K33" s="217" t="s">
        <v>452</v>
      </c>
      <c r="L33" s="217" t="s">
        <v>453</v>
      </c>
      <c r="M33" s="217" t="s">
        <v>454</v>
      </c>
      <c r="N33" s="217"/>
      <c r="O33" s="217"/>
      <c r="P33" s="217" t="s">
        <v>256</v>
      </c>
      <c r="Q33" s="217" t="s">
        <v>323</v>
      </c>
      <c r="R33" s="217" t="s">
        <v>257</v>
      </c>
      <c r="S33" s="217" t="s">
        <v>455</v>
      </c>
      <c r="T33" s="210"/>
      <c r="U33" s="210"/>
      <c r="V33" s="210"/>
      <c r="W33" s="210"/>
      <c r="X33" s="210"/>
      <c r="Y33" s="210"/>
      <c r="Z33" s="210"/>
    </row>
    <row r="34" ht="15.75" customHeight="1">
      <c r="A34" s="210"/>
      <c r="B34" s="219">
        <v>30.0</v>
      </c>
      <c r="C34" s="220">
        <v>2314800.0</v>
      </c>
      <c r="D34" s="217" t="s">
        <v>456</v>
      </c>
      <c r="E34" s="217" t="s">
        <v>457</v>
      </c>
      <c r="F34" s="217" t="s">
        <v>313</v>
      </c>
      <c r="G34" s="217" t="s">
        <v>252</v>
      </c>
      <c r="H34" s="217" t="s">
        <v>314</v>
      </c>
      <c r="I34" s="217" t="s">
        <v>315</v>
      </c>
      <c r="J34" s="217" t="s">
        <v>426</v>
      </c>
      <c r="K34" s="217" t="s">
        <v>459</v>
      </c>
      <c r="L34" s="217" t="s">
        <v>321</v>
      </c>
      <c r="M34" s="217" t="s">
        <v>413</v>
      </c>
      <c r="N34" s="217"/>
      <c r="O34" s="217"/>
      <c r="P34" s="217" t="s">
        <v>256</v>
      </c>
      <c r="Q34" s="217" t="s">
        <v>246</v>
      </c>
      <c r="R34" s="217" t="s">
        <v>257</v>
      </c>
      <c r="S34" s="217" t="s">
        <v>460</v>
      </c>
      <c r="T34" s="210"/>
      <c r="U34" s="210"/>
      <c r="V34" s="210"/>
      <c r="W34" s="210"/>
      <c r="X34" s="210"/>
      <c r="Y34" s="210"/>
      <c r="Z34" s="210"/>
    </row>
    <row r="35" ht="15.75" customHeight="1">
      <c r="A35" s="210"/>
      <c r="B35" s="219">
        <v>31.0</v>
      </c>
      <c r="C35" s="220">
        <v>2114554.0</v>
      </c>
      <c r="D35" s="217" t="s">
        <v>461</v>
      </c>
      <c r="E35" s="217" t="s">
        <v>462</v>
      </c>
      <c r="F35" s="217" t="s">
        <v>313</v>
      </c>
      <c r="G35" s="217" t="s">
        <v>252</v>
      </c>
      <c r="H35" s="217" t="s">
        <v>314</v>
      </c>
      <c r="I35" s="217" t="s">
        <v>315</v>
      </c>
      <c r="J35" s="217" t="s">
        <v>463</v>
      </c>
      <c r="K35" s="217" t="s">
        <v>464</v>
      </c>
      <c r="L35" s="217" t="s">
        <v>321</v>
      </c>
      <c r="M35" s="217" t="s">
        <v>413</v>
      </c>
      <c r="N35" s="217"/>
      <c r="O35" s="217"/>
      <c r="P35" s="217" t="s">
        <v>245</v>
      </c>
      <c r="Q35" s="217" t="s">
        <v>275</v>
      </c>
      <c r="R35" s="217" t="s">
        <v>257</v>
      </c>
      <c r="S35" s="217" t="s">
        <v>465</v>
      </c>
      <c r="T35" s="210"/>
      <c r="U35" s="210"/>
      <c r="V35" s="210"/>
      <c r="W35" s="210"/>
      <c r="X35" s="210"/>
      <c r="Y35" s="210"/>
      <c r="Z35" s="210"/>
    </row>
    <row r="36" ht="15.75" customHeight="1">
      <c r="A36" s="210"/>
      <c r="B36" s="219">
        <v>32.0</v>
      </c>
      <c r="C36" s="220">
        <v>2114553.0</v>
      </c>
      <c r="D36" s="217" t="s">
        <v>467</v>
      </c>
      <c r="E36" s="217" t="s">
        <v>468</v>
      </c>
      <c r="F36" s="217" t="s">
        <v>319</v>
      </c>
      <c r="G36" s="217" t="s">
        <v>252</v>
      </c>
      <c r="H36" s="217" t="s">
        <v>314</v>
      </c>
      <c r="I36" s="217" t="s">
        <v>319</v>
      </c>
      <c r="J36" s="217" t="s">
        <v>463</v>
      </c>
      <c r="K36" s="217" t="s">
        <v>469</v>
      </c>
      <c r="L36" s="217" t="s">
        <v>321</v>
      </c>
      <c r="M36" s="217" t="s">
        <v>413</v>
      </c>
      <c r="N36" s="217"/>
      <c r="O36" s="217"/>
      <c r="P36" s="217" t="s">
        <v>256</v>
      </c>
      <c r="Q36" s="217" t="s">
        <v>293</v>
      </c>
      <c r="R36" s="217" t="s">
        <v>257</v>
      </c>
      <c r="S36" s="217" t="s">
        <v>470</v>
      </c>
      <c r="T36" s="210"/>
      <c r="U36" s="210"/>
      <c r="V36" s="210"/>
      <c r="W36" s="210"/>
      <c r="X36" s="210"/>
      <c r="Y36" s="210"/>
      <c r="Z36" s="210"/>
    </row>
    <row r="37" ht="15.75" customHeight="1">
      <c r="A37" s="210"/>
      <c r="B37" s="219">
        <v>33.0</v>
      </c>
      <c r="C37" s="220">
        <v>2114650.0</v>
      </c>
      <c r="D37" s="217" t="s">
        <v>471</v>
      </c>
      <c r="E37" s="217" t="s">
        <v>472</v>
      </c>
      <c r="F37" s="217" t="s">
        <v>319</v>
      </c>
      <c r="G37" s="217" t="s">
        <v>252</v>
      </c>
      <c r="H37" s="217" t="s">
        <v>314</v>
      </c>
      <c r="I37" s="217" t="s">
        <v>319</v>
      </c>
      <c r="J37" s="217" t="s">
        <v>412</v>
      </c>
      <c r="K37" s="217" t="s">
        <v>393</v>
      </c>
      <c r="L37" s="217" t="s">
        <v>321</v>
      </c>
      <c r="M37" s="217" t="s">
        <v>413</v>
      </c>
      <c r="N37" s="217"/>
      <c r="O37" s="217"/>
      <c r="P37" s="217" t="s">
        <v>265</v>
      </c>
      <c r="Q37" s="217" t="s">
        <v>323</v>
      </c>
      <c r="R37" s="217" t="s">
        <v>257</v>
      </c>
      <c r="S37" s="217" t="s">
        <v>473</v>
      </c>
      <c r="T37" s="210"/>
      <c r="U37" s="210"/>
      <c r="V37" s="210"/>
      <c r="W37" s="210"/>
      <c r="X37" s="210"/>
      <c r="Y37" s="210"/>
      <c r="Z37" s="210"/>
    </row>
    <row r="38" ht="15.75" customHeight="1">
      <c r="A38" s="210"/>
      <c r="B38" s="219">
        <v>34.0</v>
      </c>
      <c r="C38" s="220">
        <v>2314790.0</v>
      </c>
      <c r="D38" s="217" t="s">
        <v>474</v>
      </c>
      <c r="E38" s="217" t="s">
        <v>475</v>
      </c>
      <c r="F38" s="217" t="s">
        <v>476</v>
      </c>
      <c r="G38" s="217" t="s">
        <v>239</v>
      </c>
      <c r="H38" s="217" t="s">
        <v>314</v>
      </c>
      <c r="I38" s="217" t="s">
        <v>352</v>
      </c>
      <c r="J38" s="217" t="s">
        <v>426</v>
      </c>
      <c r="K38" s="217" t="s">
        <v>477</v>
      </c>
      <c r="L38" s="217" t="s">
        <v>321</v>
      </c>
      <c r="M38" s="217" t="s">
        <v>413</v>
      </c>
      <c r="N38" s="217"/>
      <c r="O38" s="217"/>
      <c r="P38" s="217" t="s">
        <v>274</v>
      </c>
      <c r="Q38" s="217" t="s">
        <v>275</v>
      </c>
      <c r="R38" s="217" t="s">
        <v>257</v>
      </c>
      <c r="S38" s="217" t="s">
        <v>478</v>
      </c>
      <c r="T38" s="210"/>
      <c r="U38" s="210"/>
      <c r="V38" s="210"/>
      <c r="W38" s="210"/>
      <c r="X38" s="210"/>
      <c r="Y38" s="210"/>
      <c r="Z38" s="210"/>
    </row>
    <row r="39" ht="15.75" customHeight="1">
      <c r="A39" s="210"/>
      <c r="B39" s="219">
        <v>35.0</v>
      </c>
      <c r="C39" s="220">
        <v>2214756.0</v>
      </c>
      <c r="D39" s="217" t="s">
        <v>479</v>
      </c>
      <c r="E39" s="217" t="s">
        <v>480</v>
      </c>
      <c r="F39" s="217" t="s">
        <v>343</v>
      </c>
      <c r="G39" s="217" t="s">
        <v>344</v>
      </c>
      <c r="H39" s="217" t="s">
        <v>314</v>
      </c>
      <c r="I39" s="217" t="s">
        <v>319</v>
      </c>
      <c r="J39" s="217" t="s">
        <v>451</v>
      </c>
      <c r="K39" s="217" t="s">
        <v>481</v>
      </c>
      <c r="L39" s="217" t="s">
        <v>321</v>
      </c>
      <c r="M39" s="217" t="s">
        <v>413</v>
      </c>
      <c r="N39" s="217"/>
      <c r="O39" s="217"/>
      <c r="P39" s="217" t="s">
        <v>245</v>
      </c>
      <c r="Q39" s="217" t="s">
        <v>361</v>
      </c>
      <c r="R39" s="217" t="s">
        <v>257</v>
      </c>
      <c r="S39" s="217" t="s">
        <v>482</v>
      </c>
      <c r="T39" s="210"/>
      <c r="U39" s="210"/>
      <c r="V39" s="210"/>
      <c r="W39" s="210"/>
      <c r="X39" s="210"/>
      <c r="Y39" s="210"/>
      <c r="Z39" s="210"/>
    </row>
    <row r="40" ht="15.75" customHeight="1">
      <c r="A40" s="210"/>
      <c r="B40" s="219">
        <v>36.0</v>
      </c>
      <c r="C40" s="220">
        <v>2214785.0</v>
      </c>
      <c r="D40" s="217" t="s">
        <v>483</v>
      </c>
      <c r="E40" s="217" t="s">
        <v>484</v>
      </c>
      <c r="F40" s="217" t="s">
        <v>358</v>
      </c>
      <c r="G40" s="217" t="s">
        <v>252</v>
      </c>
      <c r="H40" s="217" t="s">
        <v>314</v>
      </c>
      <c r="I40" s="217" t="s">
        <v>352</v>
      </c>
      <c r="J40" s="217" t="s">
        <v>426</v>
      </c>
      <c r="K40" s="217" t="s">
        <v>445</v>
      </c>
      <c r="L40" s="217" t="s">
        <v>321</v>
      </c>
      <c r="M40" s="217" t="s">
        <v>413</v>
      </c>
      <c r="N40" s="217"/>
      <c r="O40" s="217"/>
      <c r="P40" s="217" t="s">
        <v>256</v>
      </c>
      <c r="Q40" s="217" t="s">
        <v>309</v>
      </c>
      <c r="R40" s="217" t="s">
        <v>257</v>
      </c>
      <c r="S40" s="217" t="s">
        <v>486</v>
      </c>
      <c r="T40" s="210"/>
      <c r="U40" s="210"/>
      <c r="V40" s="210"/>
      <c r="W40" s="210"/>
      <c r="X40" s="210"/>
      <c r="Y40" s="210"/>
      <c r="Z40" s="210"/>
    </row>
    <row r="41" ht="15.75" customHeight="1">
      <c r="A41" s="210"/>
      <c r="B41" s="219">
        <v>37.0</v>
      </c>
      <c r="C41" s="220">
        <v>2114652.0</v>
      </c>
      <c r="D41" s="217" t="s">
        <v>487</v>
      </c>
      <c r="E41" s="217" t="s">
        <v>488</v>
      </c>
      <c r="F41" s="217" t="s">
        <v>358</v>
      </c>
      <c r="G41" s="217" t="s">
        <v>252</v>
      </c>
      <c r="H41" s="217" t="s">
        <v>314</v>
      </c>
      <c r="I41" s="217" t="s">
        <v>352</v>
      </c>
      <c r="J41" s="217" t="s">
        <v>412</v>
      </c>
      <c r="K41" s="217" t="s">
        <v>393</v>
      </c>
      <c r="L41" s="217" t="s">
        <v>321</v>
      </c>
      <c r="M41" s="217" t="s">
        <v>413</v>
      </c>
      <c r="N41" s="217"/>
      <c r="O41" s="217"/>
      <c r="P41" s="217" t="s">
        <v>300</v>
      </c>
      <c r="Q41" s="217" t="s">
        <v>309</v>
      </c>
      <c r="R41" s="217" t="s">
        <v>257</v>
      </c>
      <c r="S41" s="217" t="s">
        <v>489</v>
      </c>
      <c r="T41" s="210"/>
      <c r="U41" s="210"/>
      <c r="V41" s="210"/>
      <c r="W41" s="210"/>
      <c r="X41" s="210"/>
      <c r="Y41" s="210"/>
      <c r="Z41" s="210"/>
    </row>
    <row r="42" ht="15.75" customHeight="1">
      <c r="A42" s="210"/>
      <c r="B42" s="219">
        <v>38.0</v>
      </c>
      <c r="C42" s="220">
        <v>2114674.0</v>
      </c>
      <c r="D42" s="217" t="s">
        <v>490</v>
      </c>
      <c r="E42" s="217" t="s">
        <v>491</v>
      </c>
      <c r="F42" s="217" t="s">
        <v>492</v>
      </c>
      <c r="G42" s="217" t="s">
        <v>252</v>
      </c>
      <c r="H42" s="217" t="s">
        <v>376</v>
      </c>
      <c r="I42" s="217" t="s">
        <v>54</v>
      </c>
      <c r="J42" s="217" t="s">
        <v>463</v>
      </c>
      <c r="K42" s="217" t="s">
        <v>493</v>
      </c>
      <c r="L42" s="217" t="s">
        <v>321</v>
      </c>
      <c r="M42" s="217" t="s">
        <v>413</v>
      </c>
      <c r="N42" s="217"/>
      <c r="O42" s="217"/>
      <c r="P42" s="217" t="s">
        <v>322</v>
      </c>
      <c r="Q42" s="217" t="s">
        <v>246</v>
      </c>
      <c r="R42" s="217" t="s">
        <v>257</v>
      </c>
      <c r="S42" s="217" t="s">
        <v>494</v>
      </c>
      <c r="T42" s="210"/>
      <c r="U42" s="210"/>
      <c r="V42" s="210"/>
      <c r="W42" s="210"/>
      <c r="X42" s="210"/>
      <c r="Y42" s="210"/>
      <c r="Z42" s="210"/>
    </row>
    <row r="43" ht="15.75" customHeight="1">
      <c r="A43" s="210"/>
      <c r="B43" s="219">
        <v>39.0</v>
      </c>
      <c r="C43" s="220">
        <v>2214738.0</v>
      </c>
      <c r="D43" s="217" t="s">
        <v>495</v>
      </c>
      <c r="E43" s="217" t="s">
        <v>496</v>
      </c>
      <c r="F43" s="217" t="s">
        <v>492</v>
      </c>
      <c r="G43" s="217" t="s">
        <v>252</v>
      </c>
      <c r="H43" s="217" t="s">
        <v>376</v>
      </c>
      <c r="I43" s="217" t="s">
        <v>54</v>
      </c>
      <c r="J43" s="217" t="s">
        <v>497</v>
      </c>
      <c r="K43" s="217" t="s">
        <v>445</v>
      </c>
      <c r="L43" s="217" t="s">
        <v>321</v>
      </c>
      <c r="M43" s="217" t="s">
        <v>413</v>
      </c>
      <c r="N43" s="217"/>
      <c r="O43" s="217"/>
      <c r="P43" s="217" t="s">
        <v>256</v>
      </c>
      <c r="Q43" s="217" t="s">
        <v>246</v>
      </c>
      <c r="R43" s="217" t="s">
        <v>257</v>
      </c>
      <c r="S43" s="217" t="s">
        <v>498</v>
      </c>
      <c r="T43" s="210"/>
      <c r="U43" s="210"/>
      <c r="V43" s="210"/>
      <c r="W43" s="210"/>
      <c r="X43" s="210"/>
      <c r="Y43" s="210"/>
      <c r="Z43" s="210"/>
    </row>
    <row r="44" ht="15.75" customHeight="1">
      <c r="A44" s="210"/>
      <c r="B44" s="219">
        <v>40.0</v>
      </c>
      <c r="C44" s="220">
        <v>1914399.0</v>
      </c>
      <c r="D44" s="217" t="s">
        <v>499</v>
      </c>
      <c r="E44" s="217" t="s">
        <v>500</v>
      </c>
      <c r="F44" s="217" t="s">
        <v>382</v>
      </c>
      <c r="G44" s="217" t="s">
        <v>252</v>
      </c>
      <c r="H44" s="217" t="s">
        <v>376</v>
      </c>
      <c r="I44" s="217" t="s">
        <v>54</v>
      </c>
      <c r="J44" s="217" t="s">
        <v>497</v>
      </c>
      <c r="K44" s="217" t="s">
        <v>501</v>
      </c>
      <c r="L44" s="217" t="s">
        <v>321</v>
      </c>
      <c r="M44" s="217" t="s">
        <v>413</v>
      </c>
      <c r="N44" s="217"/>
      <c r="O44" s="217"/>
      <c r="P44" s="217" t="s">
        <v>256</v>
      </c>
      <c r="Q44" s="217" t="s">
        <v>502</v>
      </c>
      <c r="R44" s="217" t="s">
        <v>257</v>
      </c>
      <c r="S44" s="217" t="s">
        <v>503</v>
      </c>
      <c r="T44" s="210"/>
      <c r="U44" s="210"/>
      <c r="V44" s="210"/>
      <c r="W44" s="210"/>
      <c r="X44" s="210"/>
      <c r="Y44" s="210"/>
      <c r="Z44" s="210"/>
    </row>
    <row r="45" ht="15.75" customHeight="1">
      <c r="A45" s="210"/>
      <c r="B45" s="219">
        <v>41.0</v>
      </c>
      <c r="C45" s="220">
        <v>2414871.0</v>
      </c>
      <c r="D45" s="217" t="s">
        <v>504</v>
      </c>
      <c r="E45" s="217" t="s">
        <v>505</v>
      </c>
      <c r="F45" s="217" t="s">
        <v>506</v>
      </c>
      <c r="G45" s="217" t="s">
        <v>239</v>
      </c>
      <c r="H45" s="217" t="s">
        <v>376</v>
      </c>
      <c r="I45" s="217" t="s">
        <v>54</v>
      </c>
      <c r="J45" s="217" t="s">
        <v>418</v>
      </c>
      <c r="K45" s="217" t="s">
        <v>507</v>
      </c>
      <c r="L45" s="217" t="s">
        <v>507</v>
      </c>
      <c r="M45" s="217" t="s">
        <v>420</v>
      </c>
      <c r="N45" s="217"/>
      <c r="O45" s="217"/>
      <c r="P45" s="217" t="s">
        <v>508</v>
      </c>
      <c r="Q45" s="217" t="s">
        <v>246</v>
      </c>
      <c r="R45" s="217" t="s">
        <v>257</v>
      </c>
      <c r="S45" s="217" t="s">
        <v>510</v>
      </c>
      <c r="T45" s="210"/>
      <c r="U45" s="210"/>
      <c r="V45" s="210"/>
      <c r="W45" s="210"/>
      <c r="X45" s="210"/>
      <c r="Y45" s="210"/>
      <c r="Z45" s="210"/>
    </row>
    <row r="46" ht="15.75" customHeight="1">
      <c r="A46" s="210"/>
      <c r="B46" s="219">
        <v>42.0</v>
      </c>
      <c r="C46" s="221"/>
      <c r="D46" s="217" t="s">
        <v>1101</v>
      </c>
      <c r="E46" s="222"/>
      <c r="F46" s="222" t="s">
        <v>154</v>
      </c>
      <c r="G46" s="221"/>
      <c r="H46" s="221"/>
      <c r="I46" s="221"/>
      <c r="J46" s="217" t="s">
        <v>1102</v>
      </c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ht="15.75" customHeight="1">
      <c r="A47" s="210"/>
      <c r="B47" s="219">
        <v>43.0</v>
      </c>
      <c r="C47" s="221"/>
      <c r="D47" s="223" t="s">
        <v>1103</v>
      </c>
      <c r="E47" s="224"/>
      <c r="F47" s="224" t="s">
        <v>67</v>
      </c>
      <c r="G47" s="221"/>
      <c r="H47" s="221"/>
      <c r="I47" s="221"/>
      <c r="J47" s="217" t="s">
        <v>1102</v>
      </c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ht="15.75" customHeight="1">
      <c r="A48" s="210"/>
      <c r="B48" s="219">
        <v>44.0</v>
      </c>
      <c r="C48" s="221"/>
      <c r="D48" s="223" t="s">
        <v>1104</v>
      </c>
      <c r="E48" s="224"/>
      <c r="F48" s="224" t="s">
        <v>1105</v>
      </c>
      <c r="G48" s="221"/>
      <c r="H48" s="221"/>
      <c r="I48" s="221"/>
      <c r="J48" s="217" t="s">
        <v>1102</v>
      </c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ht="15.75" customHeight="1">
      <c r="A49" s="210"/>
      <c r="B49" s="219">
        <v>45.0</v>
      </c>
      <c r="C49" s="221"/>
      <c r="D49" s="223" t="s">
        <v>1106</v>
      </c>
      <c r="E49" s="224"/>
      <c r="F49" s="224" t="s">
        <v>96</v>
      </c>
      <c r="G49" s="221"/>
      <c r="H49" s="221"/>
      <c r="I49" s="221"/>
      <c r="J49" s="217" t="s">
        <v>1102</v>
      </c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ht="15.75" customHeight="1">
      <c r="A50" s="210"/>
      <c r="B50" s="219">
        <v>46.0</v>
      </c>
      <c r="C50" s="221"/>
      <c r="D50" s="223" t="s">
        <v>1107</v>
      </c>
      <c r="E50" s="224"/>
      <c r="F50" s="224" t="s">
        <v>1108</v>
      </c>
      <c r="G50" s="221"/>
      <c r="H50" s="221"/>
      <c r="I50" s="221"/>
      <c r="J50" s="217" t="s">
        <v>1102</v>
      </c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ht="15.75" customHeight="1">
      <c r="A51" s="210"/>
      <c r="B51" s="219">
        <v>47.0</v>
      </c>
      <c r="C51" s="221"/>
      <c r="D51" s="223" t="s">
        <v>1109</v>
      </c>
      <c r="E51" s="224"/>
      <c r="F51" s="224" t="s">
        <v>1110</v>
      </c>
      <c r="G51" s="221"/>
      <c r="H51" s="221"/>
      <c r="I51" s="221"/>
      <c r="J51" s="217" t="s">
        <v>1102</v>
      </c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ht="15.75" customHeight="1">
      <c r="A52" s="210"/>
      <c r="B52" s="219">
        <v>48.0</v>
      </c>
      <c r="C52" s="221"/>
      <c r="D52" s="223" t="s">
        <v>1111</v>
      </c>
      <c r="E52" s="224"/>
      <c r="F52" s="224" t="s">
        <v>96</v>
      </c>
      <c r="G52" s="221"/>
      <c r="H52" s="221"/>
      <c r="I52" s="221"/>
      <c r="J52" s="217" t="s">
        <v>1102</v>
      </c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ht="15.75" customHeight="1">
      <c r="A53" s="210"/>
      <c r="B53" s="219">
        <v>49.0</v>
      </c>
      <c r="C53" s="221"/>
      <c r="D53" s="223" t="s">
        <v>1112</v>
      </c>
      <c r="E53" s="224"/>
      <c r="F53" s="224" t="s">
        <v>1110</v>
      </c>
      <c r="G53" s="221"/>
      <c r="H53" s="221"/>
      <c r="I53" s="221"/>
      <c r="J53" s="217" t="s">
        <v>1102</v>
      </c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ht="15.75" customHeight="1">
      <c r="A54" s="210"/>
      <c r="B54" s="219">
        <v>50.0</v>
      </c>
      <c r="C54" s="221"/>
      <c r="D54" s="223" t="s">
        <v>1113</v>
      </c>
      <c r="E54" s="224"/>
      <c r="F54" s="224" t="s">
        <v>96</v>
      </c>
      <c r="G54" s="221"/>
      <c r="H54" s="221"/>
      <c r="I54" s="221"/>
      <c r="J54" s="217" t="s">
        <v>1102</v>
      </c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ht="15.75" customHeight="1">
      <c r="A55" s="210"/>
      <c r="B55" s="219">
        <v>51.0</v>
      </c>
      <c r="C55" s="221"/>
      <c r="D55" s="223" t="s">
        <v>1114</v>
      </c>
      <c r="E55" s="224"/>
      <c r="F55" s="224" t="s">
        <v>96</v>
      </c>
      <c r="G55" s="221"/>
      <c r="H55" s="221"/>
      <c r="I55" s="221"/>
      <c r="J55" s="217" t="s">
        <v>1102</v>
      </c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ht="15.75" customHeight="1">
      <c r="A56" s="210"/>
      <c r="B56" s="219">
        <v>52.0</v>
      </c>
      <c r="C56" s="221"/>
      <c r="D56" s="223" t="s">
        <v>1115</v>
      </c>
      <c r="E56" s="224"/>
      <c r="F56" s="224" t="s">
        <v>96</v>
      </c>
      <c r="G56" s="221"/>
      <c r="H56" s="221"/>
      <c r="I56" s="221"/>
      <c r="J56" s="217" t="s">
        <v>1102</v>
      </c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ht="15.75" customHeight="1">
      <c r="A57" s="210"/>
      <c r="B57" s="219">
        <v>53.0</v>
      </c>
      <c r="C57" s="221"/>
      <c r="D57" s="223" t="s">
        <v>1116</v>
      </c>
      <c r="E57" s="224"/>
      <c r="F57" s="224" t="s">
        <v>96</v>
      </c>
      <c r="G57" s="221"/>
      <c r="H57" s="221"/>
      <c r="I57" s="221"/>
      <c r="J57" s="217" t="s">
        <v>1102</v>
      </c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ht="15.75" customHeight="1">
      <c r="A58" s="210"/>
      <c r="B58" s="219">
        <v>54.0</v>
      </c>
      <c r="C58" s="221"/>
      <c r="D58" s="223" t="s">
        <v>1118</v>
      </c>
      <c r="E58" s="224"/>
      <c r="F58" s="224" t="s">
        <v>96</v>
      </c>
      <c r="G58" s="221"/>
      <c r="H58" s="221"/>
      <c r="I58" s="221"/>
      <c r="J58" s="217" t="s">
        <v>1102</v>
      </c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ht="15.75" customHeight="1">
      <c r="A59" s="210"/>
      <c r="B59" s="219">
        <v>55.0</v>
      </c>
      <c r="C59" s="221"/>
      <c r="D59" s="223" t="s">
        <v>1120</v>
      </c>
      <c r="E59" s="224"/>
      <c r="F59" s="224" t="s">
        <v>96</v>
      </c>
      <c r="G59" s="221"/>
      <c r="H59" s="221"/>
      <c r="I59" s="221"/>
      <c r="J59" s="217" t="s">
        <v>1102</v>
      </c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ht="15.75" customHeight="1">
      <c r="A60" s="210"/>
      <c r="B60" s="219">
        <v>56.0</v>
      </c>
      <c r="C60" s="221"/>
      <c r="D60" s="223" t="s">
        <v>1122</v>
      </c>
      <c r="E60" s="224"/>
      <c r="F60" s="224" t="s">
        <v>1123</v>
      </c>
      <c r="G60" s="221"/>
      <c r="H60" s="221"/>
      <c r="I60" s="221"/>
      <c r="J60" s="217" t="s">
        <v>1102</v>
      </c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ht="15.75" customHeight="1">
      <c r="A61" s="210"/>
      <c r="B61" s="219">
        <v>57.0</v>
      </c>
      <c r="C61" s="221"/>
      <c r="D61" s="223" t="s">
        <v>1124</v>
      </c>
      <c r="E61" s="224"/>
      <c r="F61" s="224" t="s">
        <v>96</v>
      </c>
      <c r="G61" s="221"/>
      <c r="H61" s="221"/>
      <c r="I61" s="221"/>
      <c r="J61" s="217" t="s">
        <v>1102</v>
      </c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ht="15.75" customHeight="1">
      <c r="A62" s="210"/>
      <c r="B62" s="219">
        <v>58.0</v>
      </c>
      <c r="C62" s="221"/>
      <c r="D62" s="223" t="s">
        <v>1125</v>
      </c>
      <c r="E62" s="224"/>
      <c r="F62" s="224" t="s">
        <v>1126</v>
      </c>
      <c r="G62" s="221"/>
      <c r="H62" s="221"/>
      <c r="I62" s="221"/>
      <c r="J62" s="217" t="s">
        <v>1102</v>
      </c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ht="15.75" customHeight="1">
      <c r="A63" s="210"/>
      <c r="B63" s="219">
        <v>59.0</v>
      </c>
      <c r="C63" s="221"/>
      <c r="D63" s="223" t="s">
        <v>1127</v>
      </c>
      <c r="E63" s="224"/>
      <c r="F63" s="224" t="s">
        <v>1126</v>
      </c>
      <c r="G63" s="221"/>
      <c r="H63" s="221"/>
      <c r="I63" s="221"/>
      <c r="J63" s="217" t="s">
        <v>1102</v>
      </c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ht="15.75" customHeight="1">
      <c r="A64" s="210"/>
      <c r="B64" s="219">
        <v>60.0</v>
      </c>
      <c r="C64" s="221"/>
      <c r="D64" s="223" t="s">
        <v>1128</v>
      </c>
      <c r="E64" s="224"/>
      <c r="F64" s="224" t="s">
        <v>1108</v>
      </c>
      <c r="G64" s="221"/>
      <c r="H64" s="221"/>
      <c r="I64" s="221"/>
      <c r="J64" s="217" t="s">
        <v>1102</v>
      </c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ht="15.75" customHeight="1">
      <c r="A65" s="210"/>
      <c r="B65" s="219">
        <v>61.0</v>
      </c>
      <c r="C65" s="221"/>
      <c r="D65" s="223" t="s">
        <v>1129</v>
      </c>
      <c r="E65" s="224"/>
      <c r="F65" s="224" t="s">
        <v>1123</v>
      </c>
      <c r="G65" s="221"/>
      <c r="H65" s="221"/>
      <c r="I65" s="221"/>
      <c r="J65" s="217" t="s">
        <v>1102</v>
      </c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ht="15.75" customHeight="1">
      <c r="A66" s="210"/>
      <c r="B66" s="219">
        <v>62.0</v>
      </c>
      <c r="C66" s="221"/>
      <c r="D66" s="223" t="s">
        <v>1130</v>
      </c>
      <c r="E66" s="224"/>
      <c r="F66" s="224" t="s">
        <v>1131</v>
      </c>
      <c r="G66" s="221"/>
      <c r="H66" s="221"/>
      <c r="I66" s="221"/>
      <c r="J66" s="217" t="s">
        <v>1102</v>
      </c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ht="15.75" customHeight="1">
      <c r="A67" s="210"/>
      <c r="B67" s="219">
        <v>63.0</v>
      </c>
      <c r="C67" s="221"/>
      <c r="D67" s="223" t="s">
        <v>1132</v>
      </c>
      <c r="E67" s="224"/>
      <c r="F67" s="224" t="s">
        <v>1131</v>
      </c>
      <c r="G67" s="221"/>
      <c r="H67" s="221"/>
      <c r="I67" s="221"/>
      <c r="J67" s="217" t="s">
        <v>1102</v>
      </c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ht="15.75" customHeight="1">
      <c r="A68" s="210"/>
      <c r="B68" s="219">
        <v>64.0</v>
      </c>
      <c r="C68" s="221"/>
      <c r="D68" s="223" t="s">
        <v>1133</v>
      </c>
      <c r="E68" s="224"/>
      <c r="F68" s="224" t="s">
        <v>1126</v>
      </c>
      <c r="G68" s="221"/>
      <c r="H68" s="221"/>
      <c r="I68" s="221"/>
      <c r="J68" s="217" t="s">
        <v>1102</v>
      </c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ht="15.75" customHeight="1">
      <c r="A69" s="210"/>
      <c r="B69" s="219">
        <v>65.0</v>
      </c>
      <c r="C69" s="221"/>
      <c r="D69" s="223" t="s">
        <v>1134</v>
      </c>
      <c r="E69" s="224"/>
      <c r="F69" s="224" t="s">
        <v>1123</v>
      </c>
      <c r="G69" s="221"/>
      <c r="H69" s="221"/>
      <c r="I69" s="221"/>
      <c r="J69" s="217" t="s">
        <v>1102</v>
      </c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ht="15.75" customHeight="1">
      <c r="A70" s="210"/>
      <c r="B70" s="219">
        <v>66.0</v>
      </c>
      <c r="C70" s="221"/>
      <c r="D70" s="223" t="s">
        <v>1135</v>
      </c>
      <c r="E70" s="224"/>
      <c r="F70" s="224" t="s">
        <v>1136</v>
      </c>
      <c r="G70" s="221"/>
      <c r="H70" s="221"/>
      <c r="I70" s="221"/>
      <c r="J70" s="217" t="s">
        <v>1102</v>
      </c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ht="15.75" customHeight="1">
      <c r="A71" s="210"/>
      <c r="B71" s="219">
        <v>67.0</v>
      </c>
      <c r="C71" s="221"/>
      <c r="D71" s="223" t="s">
        <v>1137</v>
      </c>
      <c r="E71" s="224"/>
      <c r="F71" s="224" t="s">
        <v>1105</v>
      </c>
      <c r="G71" s="221"/>
      <c r="H71" s="221"/>
      <c r="I71" s="221"/>
      <c r="J71" s="217" t="s">
        <v>1102</v>
      </c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ht="15.75" customHeight="1">
      <c r="A72" s="210"/>
      <c r="B72" s="219">
        <v>68.0</v>
      </c>
      <c r="C72" s="221"/>
      <c r="D72" s="223" t="s">
        <v>1138</v>
      </c>
      <c r="E72" s="224"/>
      <c r="F72" s="224" t="s">
        <v>1139</v>
      </c>
      <c r="G72" s="221"/>
      <c r="H72" s="221"/>
      <c r="I72" s="221"/>
      <c r="J72" s="217" t="s">
        <v>1102</v>
      </c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ht="15.75" customHeight="1">
      <c r="A73" s="210"/>
      <c r="B73" s="219">
        <v>69.0</v>
      </c>
      <c r="C73" s="221"/>
      <c r="D73" s="223" t="s">
        <v>1140</v>
      </c>
      <c r="E73" s="224"/>
      <c r="F73" s="224" t="s">
        <v>1094</v>
      </c>
      <c r="G73" s="221"/>
      <c r="H73" s="221"/>
      <c r="I73" s="221"/>
      <c r="J73" s="217" t="s">
        <v>1102</v>
      </c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ht="15.75" customHeight="1">
      <c r="A74" s="210"/>
      <c r="B74" s="219">
        <v>70.0</v>
      </c>
      <c r="C74" s="221"/>
      <c r="D74" s="223" t="s">
        <v>1141</v>
      </c>
      <c r="E74" s="224"/>
      <c r="F74" s="224" t="s">
        <v>1142</v>
      </c>
      <c r="G74" s="221"/>
      <c r="H74" s="221"/>
      <c r="I74" s="221"/>
      <c r="J74" s="217" t="s">
        <v>1102</v>
      </c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ht="15.75" customHeight="1">
      <c r="A75" s="210"/>
      <c r="B75" s="219">
        <v>71.0</v>
      </c>
      <c r="C75" s="221"/>
      <c r="D75" s="223" t="s">
        <v>1143</v>
      </c>
      <c r="E75" s="224"/>
      <c r="F75" s="224" t="s">
        <v>1136</v>
      </c>
      <c r="G75" s="221"/>
      <c r="H75" s="221"/>
      <c r="I75" s="221"/>
      <c r="J75" s="217" t="s">
        <v>1102</v>
      </c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ht="15.75" customHeight="1">
      <c r="A76" s="210"/>
      <c r="B76" s="219">
        <v>72.0</v>
      </c>
      <c r="C76" s="221"/>
      <c r="D76" s="223" t="s">
        <v>1144</v>
      </c>
      <c r="E76" s="224"/>
      <c r="F76" s="224" t="s">
        <v>1145</v>
      </c>
      <c r="G76" s="221"/>
      <c r="H76" s="221"/>
      <c r="I76" s="221"/>
      <c r="J76" s="217" t="s">
        <v>1102</v>
      </c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ht="15.75" customHeight="1">
      <c r="A77" s="210"/>
      <c r="B77" s="219">
        <v>73.0</v>
      </c>
      <c r="C77" s="221"/>
      <c r="D77" s="223" t="s">
        <v>1146</v>
      </c>
      <c r="E77" s="224"/>
      <c r="F77" s="224" t="s">
        <v>1131</v>
      </c>
      <c r="G77" s="221"/>
      <c r="H77" s="221"/>
      <c r="I77" s="221"/>
      <c r="J77" s="217" t="s">
        <v>1102</v>
      </c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ht="15.75" customHeight="1">
      <c r="A78" s="210"/>
      <c r="B78" s="219">
        <v>74.0</v>
      </c>
      <c r="C78" s="221"/>
      <c r="D78" s="223" t="s">
        <v>1147</v>
      </c>
      <c r="E78" s="224"/>
      <c r="F78" s="224" t="s">
        <v>1131</v>
      </c>
      <c r="G78" s="221"/>
      <c r="H78" s="221"/>
      <c r="I78" s="221"/>
      <c r="J78" s="217" t="s">
        <v>1102</v>
      </c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ht="15.75" customHeight="1">
      <c r="A79" s="210"/>
      <c r="B79" s="219">
        <v>75.0</v>
      </c>
      <c r="C79" s="221"/>
      <c r="D79" s="223" t="s">
        <v>1148</v>
      </c>
      <c r="E79" s="224"/>
      <c r="F79" s="224" t="s">
        <v>1131</v>
      </c>
      <c r="G79" s="221"/>
      <c r="H79" s="221"/>
      <c r="I79" s="221"/>
      <c r="J79" s="217" t="s">
        <v>1102</v>
      </c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ht="15.75" customHeight="1">
      <c r="A80" s="210"/>
      <c r="B80" s="219">
        <v>76.0</v>
      </c>
      <c r="C80" s="221"/>
      <c r="D80" s="223" t="s">
        <v>1149</v>
      </c>
      <c r="E80" s="224"/>
      <c r="F80" s="224" t="s">
        <v>96</v>
      </c>
      <c r="G80" s="221"/>
      <c r="H80" s="221"/>
      <c r="I80" s="221"/>
      <c r="J80" s="217" t="s">
        <v>1102</v>
      </c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ht="15.75" customHeight="1">
      <c r="A81" s="210"/>
      <c r="B81" s="219">
        <v>77.0</v>
      </c>
      <c r="C81" s="221"/>
      <c r="D81" s="223" t="s">
        <v>1150</v>
      </c>
      <c r="E81" s="224"/>
      <c r="F81" s="224" t="s">
        <v>1151</v>
      </c>
      <c r="G81" s="221"/>
      <c r="H81" s="221"/>
      <c r="I81" s="221"/>
      <c r="J81" s="217" t="s">
        <v>1102</v>
      </c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ht="15.75" customHeight="1">
      <c r="A82" s="210"/>
      <c r="B82" s="219">
        <v>78.0</v>
      </c>
      <c r="C82" s="221"/>
      <c r="D82" s="223" t="s">
        <v>1152</v>
      </c>
      <c r="E82" s="224"/>
      <c r="F82" s="224" t="s">
        <v>1126</v>
      </c>
      <c r="G82" s="221"/>
      <c r="H82" s="221"/>
      <c r="I82" s="221"/>
      <c r="J82" s="217" t="s">
        <v>1102</v>
      </c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ht="15.75" customHeight="1">
      <c r="A83" s="210"/>
      <c r="B83" s="219">
        <v>79.0</v>
      </c>
      <c r="C83" s="221"/>
      <c r="D83" s="223" t="s">
        <v>1153</v>
      </c>
      <c r="E83" s="224"/>
      <c r="F83" s="224" t="s">
        <v>139</v>
      </c>
      <c r="G83" s="221"/>
      <c r="H83" s="221"/>
      <c r="I83" s="221"/>
      <c r="J83" s="217" t="s">
        <v>1102</v>
      </c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ht="15.75" customHeight="1">
      <c r="A84" s="210"/>
      <c r="B84" s="219">
        <v>80.0</v>
      </c>
      <c r="C84" s="221"/>
      <c r="D84" s="223" t="s">
        <v>1154</v>
      </c>
      <c r="E84" s="224"/>
      <c r="F84" s="224" t="s">
        <v>1131</v>
      </c>
      <c r="G84" s="221"/>
      <c r="H84" s="221"/>
      <c r="I84" s="221"/>
      <c r="J84" s="217" t="s">
        <v>1102</v>
      </c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ht="15.75" customHeight="1">
      <c r="A85" s="210"/>
      <c r="B85" s="219">
        <v>81.0</v>
      </c>
      <c r="C85" s="221"/>
      <c r="D85" s="223" t="s">
        <v>1155</v>
      </c>
      <c r="E85" s="224"/>
      <c r="F85" s="224" t="s">
        <v>1131</v>
      </c>
      <c r="G85" s="221"/>
      <c r="H85" s="221"/>
      <c r="I85" s="221"/>
      <c r="J85" s="217" t="s">
        <v>1102</v>
      </c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ht="15.75" customHeight="1">
      <c r="A86" s="210"/>
      <c r="B86" s="219">
        <v>82.0</v>
      </c>
      <c r="C86" s="221"/>
      <c r="D86" s="223" t="s">
        <v>1156</v>
      </c>
      <c r="E86" s="224"/>
      <c r="F86" s="224" t="s">
        <v>154</v>
      </c>
      <c r="G86" s="221"/>
      <c r="H86" s="221"/>
      <c r="I86" s="221"/>
      <c r="J86" s="217" t="s">
        <v>1102</v>
      </c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ht="15.75" customHeight="1">
      <c r="A87" s="210"/>
      <c r="B87" s="219">
        <v>83.0</v>
      </c>
      <c r="C87" s="221"/>
      <c r="D87" s="223" t="s">
        <v>1157</v>
      </c>
      <c r="E87" s="224"/>
      <c r="F87" s="224" t="s">
        <v>1126</v>
      </c>
      <c r="G87" s="221"/>
      <c r="H87" s="221"/>
      <c r="I87" s="221"/>
      <c r="J87" s="217" t="s">
        <v>1102</v>
      </c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ht="15.75" customHeight="1">
      <c r="A88" s="210"/>
      <c r="B88" s="219">
        <v>84.0</v>
      </c>
      <c r="C88" s="221"/>
      <c r="D88" s="223" t="s">
        <v>1158</v>
      </c>
      <c r="E88" s="224"/>
      <c r="F88" s="224" t="s">
        <v>179</v>
      </c>
      <c r="G88" s="221"/>
      <c r="H88" s="221"/>
      <c r="I88" s="221"/>
      <c r="J88" s="217" t="s">
        <v>1102</v>
      </c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ht="15.75" customHeight="1">
      <c r="A89" s="210"/>
      <c r="B89" s="219">
        <v>85.0</v>
      </c>
      <c r="C89" s="221"/>
      <c r="D89" s="223" t="s">
        <v>1159</v>
      </c>
      <c r="E89" s="224"/>
      <c r="F89" s="224" t="s">
        <v>1136</v>
      </c>
      <c r="G89" s="221"/>
      <c r="H89" s="221"/>
      <c r="I89" s="221"/>
      <c r="J89" s="217" t="s">
        <v>1102</v>
      </c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ht="15.75" customHeight="1">
      <c r="A90" s="210"/>
      <c r="B90" s="219">
        <v>86.0</v>
      </c>
      <c r="C90" s="221"/>
      <c r="D90" s="223" t="s">
        <v>1160</v>
      </c>
      <c r="E90" s="224"/>
      <c r="F90" s="224" t="s">
        <v>1110</v>
      </c>
      <c r="G90" s="221"/>
      <c r="H90" s="221"/>
      <c r="I90" s="221"/>
      <c r="J90" s="217" t="s">
        <v>1102</v>
      </c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ht="15.75" customHeight="1">
      <c r="A91" s="210"/>
      <c r="B91" s="219">
        <v>87.0</v>
      </c>
      <c r="C91" s="221"/>
      <c r="D91" s="223" t="s">
        <v>1161</v>
      </c>
      <c r="E91" s="224"/>
      <c r="F91" s="224" t="s">
        <v>1162</v>
      </c>
      <c r="G91" s="221"/>
      <c r="H91" s="221"/>
      <c r="I91" s="221"/>
      <c r="J91" s="217" t="s">
        <v>1102</v>
      </c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ht="15.75" customHeight="1">
      <c r="A92" s="210"/>
      <c r="B92" s="219">
        <v>88.0</v>
      </c>
      <c r="C92" s="221"/>
      <c r="D92" s="223" t="s">
        <v>1163</v>
      </c>
      <c r="E92" s="224"/>
      <c r="F92" s="224" t="s">
        <v>1126</v>
      </c>
      <c r="G92" s="221"/>
      <c r="H92" s="221"/>
      <c r="I92" s="221"/>
      <c r="J92" s="217" t="s">
        <v>1102</v>
      </c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ht="15.75" customHeight="1">
      <c r="A93" s="210"/>
      <c r="B93" s="219">
        <v>89.0</v>
      </c>
      <c r="C93" s="221"/>
      <c r="D93" s="223" t="s">
        <v>1164</v>
      </c>
      <c r="E93" s="224"/>
      <c r="F93" s="224" t="s">
        <v>96</v>
      </c>
      <c r="G93" s="221"/>
      <c r="H93" s="221"/>
      <c r="I93" s="221"/>
      <c r="J93" s="217" t="s">
        <v>1102</v>
      </c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ht="15.75" customHeight="1">
      <c r="A94" s="210"/>
      <c r="B94" s="219">
        <v>90.0</v>
      </c>
      <c r="C94" s="221"/>
      <c r="D94" s="223" t="s">
        <v>1165</v>
      </c>
      <c r="E94" s="224"/>
      <c r="F94" s="224" t="s">
        <v>154</v>
      </c>
      <c r="G94" s="221"/>
      <c r="H94" s="221"/>
      <c r="I94" s="221"/>
      <c r="J94" s="217" t="s">
        <v>1102</v>
      </c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ht="15.75" customHeight="1">
      <c r="A95" s="210"/>
      <c r="B95" s="219">
        <v>91.0</v>
      </c>
      <c r="C95" s="221"/>
      <c r="D95" s="223" t="s">
        <v>1166</v>
      </c>
      <c r="E95" s="224"/>
      <c r="F95" s="224" t="s">
        <v>96</v>
      </c>
      <c r="G95" s="221"/>
      <c r="H95" s="221"/>
      <c r="I95" s="221"/>
      <c r="J95" s="217" t="s">
        <v>1102</v>
      </c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ht="15.75" customHeight="1">
      <c r="A96" s="210"/>
      <c r="B96" s="219">
        <v>92.0</v>
      </c>
      <c r="C96" s="221"/>
      <c r="D96" s="223" t="s">
        <v>1167</v>
      </c>
      <c r="E96" s="224"/>
      <c r="F96" s="224" t="s">
        <v>96</v>
      </c>
      <c r="G96" s="221"/>
      <c r="H96" s="221"/>
      <c r="I96" s="221"/>
      <c r="J96" s="217" t="s">
        <v>1102</v>
      </c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ht="15.75" customHeight="1">
      <c r="A97" s="210"/>
      <c r="B97" s="219">
        <v>93.0</v>
      </c>
      <c r="C97" s="221"/>
      <c r="D97" s="223" t="s">
        <v>1168</v>
      </c>
      <c r="E97" s="224"/>
      <c r="F97" s="224" t="s">
        <v>151</v>
      </c>
      <c r="G97" s="221"/>
      <c r="H97" s="221"/>
      <c r="I97" s="221"/>
      <c r="J97" s="217" t="s">
        <v>1102</v>
      </c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ht="15.75" customHeight="1">
      <c r="A98" s="210"/>
      <c r="B98" s="219">
        <v>94.0</v>
      </c>
      <c r="C98" s="221"/>
      <c r="D98" s="223" t="s">
        <v>1169</v>
      </c>
      <c r="E98" s="224"/>
      <c r="F98" s="224" t="s">
        <v>96</v>
      </c>
      <c r="G98" s="221"/>
      <c r="H98" s="221"/>
      <c r="I98" s="221"/>
      <c r="J98" s="217" t="s">
        <v>1102</v>
      </c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ht="15.75" customHeight="1">
      <c r="A99" s="210"/>
      <c r="B99" s="219">
        <v>95.0</v>
      </c>
      <c r="C99" s="221"/>
      <c r="D99" s="223" t="s">
        <v>1170</v>
      </c>
      <c r="E99" s="224"/>
      <c r="F99" s="224" t="s">
        <v>96</v>
      </c>
      <c r="G99" s="221"/>
      <c r="H99" s="221"/>
      <c r="I99" s="221"/>
      <c r="J99" s="217" t="s">
        <v>1102</v>
      </c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ht="15.75" customHeight="1">
      <c r="A100" s="210"/>
      <c r="B100" s="219">
        <v>96.0</v>
      </c>
      <c r="C100" s="221"/>
      <c r="D100" s="223" t="s">
        <v>1171</v>
      </c>
      <c r="E100" s="224"/>
      <c r="F100" s="224" t="s">
        <v>37</v>
      </c>
      <c r="G100" s="221"/>
      <c r="H100" s="221"/>
      <c r="I100" s="221"/>
      <c r="J100" s="217" t="s">
        <v>1102</v>
      </c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ht="15.75" customHeight="1">
      <c r="A101" s="210"/>
      <c r="B101" s="219">
        <v>97.0</v>
      </c>
      <c r="C101" s="221"/>
      <c r="D101" s="223" t="s">
        <v>1172</v>
      </c>
      <c r="E101" s="224"/>
      <c r="F101" s="224" t="s">
        <v>1126</v>
      </c>
      <c r="G101" s="221"/>
      <c r="H101" s="221"/>
      <c r="I101" s="221"/>
      <c r="J101" s="217" t="s">
        <v>1102</v>
      </c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ht="15.75" customHeight="1">
      <c r="A102" s="210"/>
      <c r="B102" s="219">
        <v>98.0</v>
      </c>
      <c r="C102" s="221"/>
      <c r="D102" s="223" t="s">
        <v>1173</v>
      </c>
      <c r="E102" s="224"/>
      <c r="F102" s="224" t="s">
        <v>96</v>
      </c>
      <c r="G102" s="221"/>
      <c r="H102" s="221"/>
      <c r="I102" s="221"/>
      <c r="J102" s="217" t="s">
        <v>1102</v>
      </c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ht="15.75" customHeight="1">
      <c r="A103" s="210"/>
      <c r="B103" s="219">
        <v>99.0</v>
      </c>
      <c r="C103" s="221"/>
      <c r="D103" s="223" t="s">
        <v>1174</v>
      </c>
      <c r="E103" s="224"/>
      <c r="F103" s="224" t="s">
        <v>96</v>
      </c>
      <c r="G103" s="221"/>
      <c r="H103" s="221"/>
      <c r="I103" s="221"/>
      <c r="J103" s="217" t="s">
        <v>1102</v>
      </c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ht="15.75" customHeight="1">
      <c r="A104" s="210"/>
      <c r="B104" s="219">
        <v>100.0</v>
      </c>
      <c r="C104" s="221"/>
      <c r="D104" s="223" t="s">
        <v>1175</v>
      </c>
      <c r="E104" s="224"/>
      <c r="F104" s="224" t="s">
        <v>96</v>
      </c>
      <c r="G104" s="221"/>
      <c r="H104" s="221"/>
      <c r="I104" s="221"/>
      <c r="J104" s="217" t="s">
        <v>1102</v>
      </c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ht="15.75" customHeight="1">
      <c r="A105" s="210"/>
      <c r="B105" s="219">
        <v>101.0</v>
      </c>
      <c r="C105" s="221"/>
      <c r="D105" s="223" t="s">
        <v>1176</v>
      </c>
      <c r="E105" s="224"/>
      <c r="F105" s="224" t="s">
        <v>96</v>
      </c>
      <c r="G105" s="221"/>
      <c r="H105" s="221"/>
      <c r="I105" s="221"/>
      <c r="J105" s="217" t="s">
        <v>1102</v>
      </c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ht="15.75" customHeight="1">
      <c r="A106" s="210"/>
      <c r="B106" s="219">
        <v>102.0</v>
      </c>
      <c r="C106" s="221"/>
      <c r="D106" s="223" t="s">
        <v>1177</v>
      </c>
      <c r="E106" s="224"/>
      <c r="F106" s="224" t="s">
        <v>1178</v>
      </c>
      <c r="G106" s="221"/>
      <c r="H106" s="221"/>
      <c r="I106" s="221"/>
      <c r="J106" s="217" t="s">
        <v>1102</v>
      </c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ht="15.75" customHeight="1">
      <c r="A107" s="210"/>
      <c r="B107" s="219">
        <v>103.0</v>
      </c>
      <c r="C107" s="221"/>
      <c r="D107" s="223" t="s">
        <v>1179</v>
      </c>
      <c r="E107" s="224"/>
      <c r="F107" s="224" t="s">
        <v>1131</v>
      </c>
      <c r="G107" s="221"/>
      <c r="H107" s="221"/>
      <c r="I107" s="221"/>
      <c r="J107" s="217" t="s">
        <v>1102</v>
      </c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ht="15.75" customHeight="1">
      <c r="A108" s="210"/>
      <c r="B108" s="219">
        <v>104.0</v>
      </c>
      <c r="C108" s="221"/>
      <c r="D108" s="223" t="s">
        <v>1180</v>
      </c>
      <c r="E108" s="224"/>
      <c r="F108" s="224" t="s">
        <v>96</v>
      </c>
      <c r="G108" s="221"/>
      <c r="H108" s="221"/>
      <c r="I108" s="221"/>
      <c r="J108" s="217" t="s">
        <v>1102</v>
      </c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ht="15.75" customHeight="1">
      <c r="A109" s="210"/>
      <c r="B109" s="219">
        <v>105.0</v>
      </c>
      <c r="C109" s="221"/>
      <c r="D109" s="223" t="s">
        <v>1181</v>
      </c>
      <c r="E109" s="224"/>
      <c r="F109" s="222" t="s">
        <v>1126</v>
      </c>
      <c r="G109" s="221"/>
      <c r="H109" s="221"/>
      <c r="I109" s="221"/>
      <c r="J109" s="217" t="s">
        <v>1102</v>
      </c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ht="15.75" customHeight="1">
      <c r="A110" s="210"/>
      <c r="B110" s="219">
        <v>106.0</v>
      </c>
      <c r="C110" s="221"/>
      <c r="D110" s="223" t="s">
        <v>1182</v>
      </c>
      <c r="E110" s="224"/>
      <c r="F110" s="224" t="s">
        <v>1126</v>
      </c>
      <c r="G110" s="221"/>
      <c r="H110" s="221"/>
      <c r="I110" s="221"/>
      <c r="J110" s="217" t="s">
        <v>1102</v>
      </c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ht="15.75" customHeight="1">
      <c r="A111" s="210"/>
      <c r="B111" s="219">
        <v>107.0</v>
      </c>
      <c r="C111" s="221"/>
      <c r="D111" s="223" t="s">
        <v>1183</v>
      </c>
      <c r="E111" s="224"/>
      <c r="F111" s="224" t="s">
        <v>154</v>
      </c>
      <c r="G111" s="221"/>
      <c r="H111" s="221"/>
      <c r="I111" s="221"/>
      <c r="J111" s="217" t="s">
        <v>1102</v>
      </c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ht="15.75" customHeight="1">
      <c r="A112" s="210"/>
      <c r="B112" s="219">
        <v>108.0</v>
      </c>
      <c r="C112" s="221"/>
      <c r="D112" s="224" t="s">
        <v>1184</v>
      </c>
      <c r="E112" s="224"/>
      <c r="F112" s="224" t="s">
        <v>1185</v>
      </c>
      <c r="G112" s="221"/>
      <c r="H112" s="221"/>
      <c r="I112" s="221"/>
      <c r="J112" s="217" t="s">
        <v>1102</v>
      </c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ht="15.75" customHeight="1">
      <c r="A113" s="210"/>
      <c r="B113" s="219">
        <v>109.0</v>
      </c>
      <c r="C113" s="221"/>
      <c r="D113" s="224" t="s">
        <v>1186</v>
      </c>
      <c r="E113" s="224"/>
      <c r="F113" s="224" t="s">
        <v>179</v>
      </c>
      <c r="G113" s="221"/>
      <c r="H113" s="221"/>
      <c r="I113" s="221"/>
      <c r="J113" s="217" t="s">
        <v>1102</v>
      </c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ht="15.75" customHeight="1">
      <c r="A114" s="210"/>
      <c r="B114" s="219">
        <v>110.0</v>
      </c>
      <c r="C114" s="221"/>
      <c r="D114" s="224" t="s">
        <v>1187</v>
      </c>
      <c r="E114" s="224"/>
      <c r="F114" s="224" t="s">
        <v>179</v>
      </c>
      <c r="G114" s="221"/>
      <c r="H114" s="221"/>
      <c r="I114" s="221"/>
      <c r="J114" s="217" t="s">
        <v>1102</v>
      </c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ht="15.75" customHeight="1">
      <c r="A115" s="210"/>
      <c r="B115" s="219">
        <v>111.0</v>
      </c>
      <c r="C115" s="221"/>
      <c r="D115" s="225" t="s">
        <v>1188</v>
      </c>
      <c r="E115" s="225" t="s">
        <v>96</v>
      </c>
      <c r="F115" s="218" t="s">
        <v>96</v>
      </c>
      <c r="G115" s="226"/>
      <c r="H115" s="226"/>
      <c r="I115" s="226"/>
      <c r="J115" s="217" t="s">
        <v>1102</v>
      </c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ht="15.75" customHeight="1">
      <c r="A116" s="210"/>
      <c r="B116" s="219">
        <v>112.0</v>
      </c>
      <c r="C116" s="221"/>
      <c r="D116" s="225" t="s">
        <v>1189</v>
      </c>
      <c r="E116" s="225" t="s">
        <v>1190</v>
      </c>
      <c r="F116" s="218" t="s">
        <v>1191</v>
      </c>
      <c r="G116" s="218"/>
      <c r="H116" s="218"/>
      <c r="I116" s="218"/>
      <c r="J116" s="217" t="s">
        <v>1102</v>
      </c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ht="15.75" customHeight="1">
      <c r="A117" s="210"/>
      <c r="B117" s="219">
        <v>113.0</v>
      </c>
      <c r="C117" s="221"/>
      <c r="D117" s="225" t="s">
        <v>1192</v>
      </c>
      <c r="E117" s="225" t="s">
        <v>1190</v>
      </c>
      <c r="F117" s="218" t="s">
        <v>1191</v>
      </c>
      <c r="G117" s="218"/>
      <c r="H117" s="218"/>
      <c r="I117" s="218"/>
      <c r="J117" s="217" t="s">
        <v>1102</v>
      </c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ht="15.75" customHeight="1">
      <c r="A118" s="210"/>
      <c r="B118" s="219">
        <v>114.0</v>
      </c>
      <c r="C118" s="221"/>
      <c r="D118" s="225" t="s">
        <v>1193</v>
      </c>
      <c r="E118" s="225" t="s">
        <v>1194</v>
      </c>
      <c r="F118" s="218" t="s">
        <v>1139</v>
      </c>
      <c r="G118" s="218"/>
      <c r="H118" s="218"/>
      <c r="I118" s="218"/>
      <c r="J118" s="217" t="s">
        <v>1102</v>
      </c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ht="15.75" customHeight="1">
      <c r="A119" s="210"/>
      <c r="B119" s="219">
        <v>115.0</v>
      </c>
      <c r="C119" s="221"/>
      <c r="D119" s="225" t="s">
        <v>1195</v>
      </c>
      <c r="E119" s="225" t="s">
        <v>1139</v>
      </c>
      <c r="F119" s="218" t="s">
        <v>1139</v>
      </c>
      <c r="G119" s="218"/>
      <c r="H119" s="218"/>
      <c r="I119" s="218"/>
      <c r="J119" s="217" t="s">
        <v>1102</v>
      </c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ht="15.75" customHeight="1">
      <c r="A120" s="210"/>
      <c r="B120" s="219">
        <v>116.0</v>
      </c>
      <c r="C120" s="221"/>
      <c r="D120" s="225" t="s">
        <v>1196</v>
      </c>
      <c r="E120" s="218"/>
      <c r="F120" s="218" t="s">
        <v>96</v>
      </c>
      <c r="G120" s="218"/>
      <c r="H120" s="218"/>
      <c r="I120" s="218"/>
      <c r="J120" s="217" t="s">
        <v>1102</v>
      </c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ht="15.75" customHeight="1">
      <c r="A121" s="210"/>
      <c r="B121" s="219">
        <v>117.0</v>
      </c>
      <c r="C121" s="221"/>
      <c r="D121" s="225" t="s">
        <v>1197</v>
      </c>
      <c r="E121" s="217"/>
      <c r="F121" s="217" t="s">
        <v>139</v>
      </c>
      <c r="G121" s="216"/>
      <c r="H121" s="216"/>
      <c r="I121" s="216"/>
      <c r="J121" s="217" t="s">
        <v>1102</v>
      </c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ht="15.75" customHeight="1">
      <c r="A122" s="210"/>
      <c r="B122" s="219">
        <v>118.0</v>
      </c>
      <c r="C122" s="221"/>
      <c r="D122" s="225" t="s">
        <v>1198</v>
      </c>
      <c r="E122" s="217"/>
      <c r="F122" s="217" t="s">
        <v>96</v>
      </c>
      <c r="G122" s="216"/>
      <c r="H122" s="216"/>
      <c r="I122" s="216"/>
      <c r="J122" s="217" t="s">
        <v>1102</v>
      </c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ht="15.75" customHeight="1">
      <c r="A123" s="210"/>
      <c r="B123" s="219">
        <v>119.0</v>
      </c>
      <c r="C123" s="221"/>
      <c r="D123" s="225" t="s">
        <v>1199</v>
      </c>
      <c r="E123" s="218"/>
      <c r="F123" s="218" t="s">
        <v>1191</v>
      </c>
      <c r="G123" s="218"/>
      <c r="H123" s="218"/>
      <c r="I123" s="218"/>
      <c r="J123" s="217" t="s">
        <v>1102</v>
      </c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ht="15.75" customHeight="1">
      <c r="A124" s="210"/>
      <c r="B124" s="219">
        <v>120.0</v>
      </c>
      <c r="C124" s="221"/>
      <c r="D124" s="227" t="s">
        <v>1200</v>
      </c>
      <c r="E124" s="217"/>
      <c r="F124" s="217" t="s">
        <v>1191</v>
      </c>
      <c r="G124" s="216"/>
      <c r="H124" s="216"/>
      <c r="I124" s="216"/>
      <c r="J124" s="217" t="s">
        <v>1102</v>
      </c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ht="15.75" customHeight="1">
      <c r="A125" s="210"/>
      <c r="B125" s="219">
        <v>121.0</v>
      </c>
      <c r="C125" s="221"/>
      <c r="D125" s="218" t="s">
        <v>1201</v>
      </c>
      <c r="E125" s="218"/>
      <c r="F125" s="218" t="s">
        <v>179</v>
      </c>
      <c r="G125" s="218"/>
      <c r="H125" s="218"/>
      <c r="I125" s="218"/>
      <c r="J125" s="218" t="s">
        <v>1102</v>
      </c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ht="15.75" customHeight="1">
      <c r="A126" s="210"/>
      <c r="B126" s="219">
        <v>122.0</v>
      </c>
      <c r="C126" s="221"/>
      <c r="D126" s="217" t="s">
        <v>1202</v>
      </c>
      <c r="E126" s="217"/>
      <c r="F126" s="217" t="s">
        <v>179</v>
      </c>
      <c r="G126" s="216"/>
      <c r="H126" s="216"/>
      <c r="I126" s="216"/>
      <c r="J126" s="217" t="s">
        <v>1102</v>
      </c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ht="15.75" customHeight="1">
      <c r="A127" s="210"/>
      <c r="B127" s="219">
        <v>123.0</v>
      </c>
      <c r="C127" s="221"/>
      <c r="D127" s="217" t="s">
        <v>1203</v>
      </c>
      <c r="E127" s="217"/>
      <c r="F127" s="217" t="s">
        <v>179</v>
      </c>
      <c r="G127" s="216"/>
      <c r="H127" s="216"/>
      <c r="I127" s="216"/>
      <c r="J127" s="217" t="s">
        <v>1102</v>
      </c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ht="15.75" customHeight="1">
      <c r="A128" s="210"/>
      <c r="B128" s="219">
        <v>124.0</v>
      </c>
      <c r="C128" s="221"/>
      <c r="D128" s="217" t="s">
        <v>1204</v>
      </c>
      <c r="E128" s="217"/>
      <c r="F128" s="217" t="s">
        <v>179</v>
      </c>
      <c r="G128" s="216"/>
      <c r="H128" s="216"/>
      <c r="I128" s="216"/>
      <c r="J128" s="217" t="s">
        <v>1102</v>
      </c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ht="15.75" customHeight="1">
      <c r="A129" s="210"/>
      <c r="B129" s="219">
        <v>125.0</v>
      </c>
      <c r="C129" s="221"/>
      <c r="D129" s="218" t="s">
        <v>1205</v>
      </c>
      <c r="E129" s="218"/>
      <c r="F129" s="218" t="s">
        <v>179</v>
      </c>
      <c r="G129" s="218"/>
      <c r="H129" s="218"/>
      <c r="I129" s="218"/>
      <c r="J129" s="218" t="s">
        <v>1102</v>
      </c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ht="15.75" customHeight="1">
      <c r="A130" s="210"/>
      <c r="B130" s="219">
        <v>126.0</v>
      </c>
      <c r="C130" s="221"/>
      <c r="D130" s="217" t="s">
        <v>1206</v>
      </c>
      <c r="E130" s="217"/>
      <c r="F130" s="217" t="s">
        <v>179</v>
      </c>
      <c r="G130" s="216"/>
      <c r="H130" s="216"/>
      <c r="I130" s="216"/>
      <c r="J130" s="217" t="s">
        <v>1102</v>
      </c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ht="15.75" customHeight="1">
      <c r="A131" s="210"/>
      <c r="B131" s="219">
        <v>127.0</v>
      </c>
      <c r="C131" s="221"/>
      <c r="D131" s="222" t="s">
        <v>1207</v>
      </c>
      <c r="E131" s="217"/>
      <c r="F131" s="217" t="s">
        <v>1208</v>
      </c>
      <c r="G131" s="216"/>
      <c r="H131" s="216"/>
      <c r="I131" s="216"/>
      <c r="J131" s="217" t="s">
        <v>1102</v>
      </c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ht="15.75" customHeight="1">
      <c r="A132" s="210"/>
      <c r="B132" s="219">
        <v>128.0</v>
      </c>
      <c r="C132" s="221"/>
      <c r="D132" s="224" t="s">
        <v>1209</v>
      </c>
      <c r="E132" s="217"/>
      <c r="F132" s="217" t="s">
        <v>1208</v>
      </c>
      <c r="G132" s="216"/>
      <c r="H132" s="216"/>
      <c r="I132" s="216"/>
      <c r="J132" s="217" t="s">
        <v>1102</v>
      </c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ht="15.75" customHeight="1">
      <c r="A133" s="210"/>
      <c r="B133" s="219">
        <v>129.0</v>
      </c>
      <c r="C133" s="221"/>
      <c r="D133" s="224" t="s">
        <v>1210</v>
      </c>
      <c r="E133" s="217"/>
      <c r="F133" s="217" t="s">
        <v>1208</v>
      </c>
      <c r="G133" s="216"/>
      <c r="H133" s="216"/>
      <c r="I133" s="216"/>
      <c r="J133" s="217" t="s">
        <v>1102</v>
      </c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ht="15.75" customHeight="1">
      <c r="A134" s="210"/>
      <c r="B134" s="219">
        <v>130.0</v>
      </c>
      <c r="C134" s="221"/>
      <c r="D134" s="224" t="s">
        <v>1211</v>
      </c>
      <c r="E134" s="217"/>
      <c r="F134" s="217" t="s">
        <v>1208</v>
      </c>
      <c r="G134" s="216"/>
      <c r="H134" s="216"/>
      <c r="I134" s="216"/>
      <c r="J134" s="217" t="s">
        <v>1102</v>
      </c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ht="15.75" customHeight="1">
      <c r="A135" s="210"/>
      <c r="B135" s="219">
        <v>131.0</v>
      </c>
      <c r="C135" s="221"/>
      <c r="D135" s="224" t="s">
        <v>1212</v>
      </c>
      <c r="E135" s="217"/>
      <c r="F135" s="217" t="s">
        <v>1208</v>
      </c>
      <c r="G135" s="216"/>
      <c r="H135" s="216"/>
      <c r="I135" s="216"/>
      <c r="J135" s="217" t="s">
        <v>1102</v>
      </c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ht="15.75" customHeight="1">
      <c r="A136" s="210"/>
      <c r="B136" s="219">
        <v>132.0</v>
      </c>
      <c r="C136" s="221"/>
      <c r="D136" s="224" t="s">
        <v>1213</v>
      </c>
      <c r="E136" s="217"/>
      <c r="F136" s="217" t="s">
        <v>1208</v>
      </c>
      <c r="G136" s="216"/>
      <c r="H136" s="216"/>
      <c r="I136" s="216"/>
      <c r="J136" s="217" t="s">
        <v>1102</v>
      </c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ht="15.75" customHeight="1">
      <c r="A137" s="210"/>
      <c r="B137" s="219">
        <v>133.0</v>
      </c>
      <c r="C137" s="221"/>
      <c r="D137" s="224" t="s">
        <v>1214</v>
      </c>
      <c r="E137" s="217"/>
      <c r="F137" s="217" t="s">
        <v>1208</v>
      </c>
      <c r="G137" s="216"/>
      <c r="H137" s="216"/>
      <c r="I137" s="216"/>
      <c r="J137" s="217" t="s">
        <v>1102</v>
      </c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ht="15.75" customHeight="1">
      <c r="A138" s="210"/>
      <c r="B138" s="219">
        <v>134.0</v>
      </c>
      <c r="C138" s="221"/>
      <c r="D138" s="224" t="s">
        <v>1215</v>
      </c>
      <c r="E138" s="217"/>
      <c r="F138" s="217" t="s">
        <v>1208</v>
      </c>
      <c r="G138" s="216"/>
      <c r="H138" s="216"/>
      <c r="I138" s="216"/>
      <c r="J138" s="217" t="s">
        <v>1102</v>
      </c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ht="15.75" customHeight="1">
      <c r="A139" s="210"/>
      <c r="B139" s="219">
        <v>135.0</v>
      </c>
      <c r="C139" s="221"/>
      <c r="D139" s="224" t="s">
        <v>1216</v>
      </c>
      <c r="E139" s="217"/>
      <c r="F139" s="217" t="s">
        <v>1208</v>
      </c>
      <c r="G139" s="216"/>
      <c r="H139" s="216"/>
      <c r="I139" s="216"/>
      <c r="J139" s="217" t="s">
        <v>1102</v>
      </c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ht="15.75" customHeight="1">
      <c r="A140" s="210"/>
      <c r="B140" s="219">
        <v>136.0</v>
      </c>
      <c r="C140" s="221"/>
      <c r="D140" s="224" t="s">
        <v>1217</v>
      </c>
      <c r="E140" s="217"/>
      <c r="F140" s="217" t="s">
        <v>1208</v>
      </c>
      <c r="G140" s="216"/>
      <c r="H140" s="216"/>
      <c r="I140" s="216"/>
      <c r="J140" s="217" t="s">
        <v>1102</v>
      </c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ht="15.75" customHeight="1">
      <c r="A141" s="210"/>
      <c r="B141" s="219">
        <v>137.0</v>
      </c>
      <c r="C141" s="221"/>
      <c r="D141" s="224" t="s">
        <v>1218</v>
      </c>
      <c r="E141" s="218"/>
      <c r="F141" s="217" t="s">
        <v>1208</v>
      </c>
      <c r="G141" s="218"/>
      <c r="H141" s="218"/>
      <c r="I141" s="218"/>
      <c r="J141" s="217" t="s">
        <v>1102</v>
      </c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ht="15.75" customHeight="1">
      <c r="A142" s="210"/>
      <c r="B142" s="219">
        <v>138.0</v>
      </c>
      <c r="C142" s="221"/>
      <c r="D142" s="224" t="s">
        <v>1219</v>
      </c>
      <c r="E142" s="218"/>
      <c r="F142" s="217" t="s">
        <v>1208</v>
      </c>
      <c r="G142" s="218"/>
      <c r="H142" s="218"/>
      <c r="I142" s="218"/>
      <c r="J142" s="217" t="s">
        <v>1102</v>
      </c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ht="15.75" customHeight="1">
      <c r="A143" s="210"/>
      <c r="B143" s="219">
        <v>139.0</v>
      </c>
      <c r="C143" s="221"/>
      <c r="D143" s="224" t="s">
        <v>1220</v>
      </c>
      <c r="E143" s="218"/>
      <c r="F143" s="217" t="s">
        <v>1208</v>
      </c>
      <c r="G143" s="218"/>
      <c r="H143" s="218"/>
      <c r="I143" s="218"/>
      <c r="J143" s="217" t="s">
        <v>1102</v>
      </c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ht="15.75" customHeight="1">
      <c r="A144" s="210"/>
      <c r="B144" s="219">
        <v>140.0</v>
      </c>
      <c r="C144" s="221"/>
      <c r="D144" s="224" t="s">
        <v>1221</v>
      </c>
      <c r="E144" s="217"/>
      <c r="F144" s="217" t="s">
        <v>1208</v>
      </c>
      <c r="G144" s="216"/>
      <c r="H144" s="216"/>
      <c r="I144" s="216"/>
      <c r="J144" s="217" t="s">
        <v>1102</v>
      </c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ht="15.75" customHeight="1">
      <c r="A145" s="210"/>
      <c r="B145" s="219">
        <v>141.0</v>
      </c>
      <c r="C145" s="221"/>
      <c r="D145" s="222" t="s">
        <v>1222</v>
      </c>
      <c r="E145" s="217"/>
      <c r="F145" s="217" t="s">
        <v>1208</v>
      </c>
      <c r="G145" s="216"/>
      <c r="H145" s="216"/>
      <c r="I145" s="216"/>
      <c r="J145" s="217" t="s">
        <v>1102</v>
      </c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ht="15.75" customHeight="1">
      <c r="A146" s="210"/>
      <c r="B146" s="219">
        <v>142.0</v>
      </c>
      <c r="C146" s="221"/>
      <c r="D146" s="224" t="s">
        <v>1223</v>
      </c>
      <c r="E146" s="217"/>
      <c r="F146" s="217" t="s">
        <v>1208</v>
      </c>
      <c r="G146" s="216"/>
      <c r="H146" s="216"/>
      <c r="I146" s="216"/>
      <c r="J146" s="217" t="s">
        <v>1102</v>
      </c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ht="15.75" customHeight="1">
      <c r="A147" s="210"/>
      <c r="B147" s="219">
        <v>143.0</v>
      </c>
      <c r="C147" s="221"/>
      <c r="D147" s="224" t="s">
        <v>1224</v>
      </c>
      <c r="E147" s="217"/>
      <c r="F147" s="217" t="s">
        <v>1208</v>
      </c>
      <c r="G147" s="216"/>
      <c r="H147" s="216"/>
      <c r="I147" s="216"/>
      <c r="J147" s="217" t="s">
        <v>1102</v>
      </c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ht="15.75" customHeight="1">
      <c r="A148" s="210"/>
      <c r="B148" s="219">
        <v>144.0</v>
      </c>
      <c r="C148" s="221"/>
      <c r="D148" s="224" t="s">
        <v>1225</v>
      </c>
      <c r="E148" s="217"/>
      <c r="F148" s="217" t="s">
        <v>1208</v>
      </c>
      <c r="G148" s="216"/>
      <c r="H148" s="216"/>
      <c r="I148" s="216"/>
      <c r="J148" s="217" t="s">
        <v>1102</v>
      </c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ht="15.75" customHeight="1">
      <c r="A149" s="210"/>
      <c r="B149" s="219">
        <v>145.0</v>
      </c>
      <c r="C149" s="221"/>
      <c r="D149" s="224" t="s">
        <v>1226</v>
      </c>
      <c r="E149" s="217"/>
      <c r="F149" s="217" t="s">
        <v>1208</v>
      </c>
      <c r="G149" s="216"/>
      <c r="H149" s="216"/>
      <c r="I149" s="216"/>
      <c r="J149" s="217" t="s">
        <v>1102</v>
      </c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ht="15.75" customHeight="1">
      <c r="A150" s="210"/>
      <c r="B150" s="219">
        <v>146.0</v>
      </c>
      <c r="C150" s="221"/>
      <c r="D150" s="224" t="s">
        <v>1227</v>
      </c>
      <c r="E150" s="217"/>
      <c r="F150" s="217" t="s">
        <v>1208</v>
      </c>
      <c r="G150" s="216"/>
      <c r="H150" s="216"/>
      <c r="I150" s="216"/>
      <c r="J150" s="217" t="s">
        <v>1102</v>
      </c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ht="15.75" customHeight="1">
      <c r="A151" s="210"/>
      <c r="B151" s="219">
        <v>147.0</v>
      </c>
      <c r="C151" s="221"/>
      <c r="D151" s="224" t="s">
        <v>1228</v>
      </c>
      <c r="E151" s="217"/>
      <c r="F151" s="217" t="s">
        <v>1208</v>
      </c>
      <c r="G151" s="216"/>
      <c r="H151" s="216"/>
      <c r="I151" s="216"/>
      <c r="J151" s="217" t="s">
        <v>1102</v>
      </c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ht="15.75" customHeight="1">
      <c r="A152" s="210"/>
      <c r="B152" s="219">
        <v>148.0</v>
      </c>
      <c r="C152" s="221"/>
      <c r="D152" s="224" t="s">
        <v>1229</v>
      </c>
      <c r="E152" s="217"/>
      <c r="F152" s="217" t="s">
        <v>1208</v>
      </c>
      <c r="G152" s="216"/>
      <c r="H152" s="216"/>
      <c r="I152" s="216"/>
      <c r="J152" s="217" t="s">
        <v>1102</v>
      </c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ht="15.75" customHeight="1">
      <c r="A153" s="210"/>
      <c r="B153" s="219">
        <v>149.0</v>
      </c>
      <c r="C153" s="221"/>
      <c r="D153" s="225" t="s">
        <v>1230</v>
      </c>
      <c r="E153" s="217"/>
      <c r="F153" s="217" t="s">
        <v>1208</v>
      </c>
      <c r="G153" s="216"/>
      <c r="H153" s="216"/>
      <c r="I153" s="216"/>
      <c r="J153" s="217" t="s">
        <v>1102</v>
      </c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ht="15.75" customHeight="1">
      <c r="A154" s="210"/>
      <c r="B154" s="219">
        <v>150.0</v>
      </c>
      <c r="C154" s="221"/>
      <c r="D154" s="225" t="s">
        <v>1231</v>
      </c>
      <c r="E154" s="217"/>
      <c r="F154" s="217" t="s">
        <v>1208</v>
      </c>
      <c r="G154" s="221"/>
      <c r="H154" s="221"/>
      <c r="I154" s="221"/>
      <c r="J154" s="217" t="s">
        <v>1102</v>
      </c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ht="15.75" customHeight="1">
      <c r="A155" s="210"/>
      <c r="B155" s="219">
        <v>151.0</v>
      </c>
      <c r="C155" s="221"/>
      <c r="D155" s="225" t="s">
        <v>1232</v>
      </c>
      <c r="E155" s="217"/>
      <c r="F155" s="217" t="s">
        <v>1208</v>
      </c>
      <c r="G155" s="221"/>
      <c r="H155" s="221"/>
      <c r="I155" s="221"/>
      <c r="J155" s="217" t="s">
        <v>1102</v>
      </c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ht="15.75" customHeight="1">
      <c r="A156" s="210"/>
      <c r="B156" s="219">
        <v>152.0</v>
      </c>
      <c r="C156" s="221"/>
      <c r="D156" s="225" t="s">
        <v>1233</v>
      </c>
      <c r="E156" s="217"/>
      <c r="F156" s="217" t="s">
        <v>1208</v>
      </c>
      <c r="G156" s="221"/>
      <c r="H156" s="221"/>
      <c r="I156" s="221"/>
      <c r="J156" s="217" t="s">
        <v>1102</v>
      </c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ht="15.75" customHeight="1">
      <c r="A157" s="210"/>
      <c r="B157" s="219">
        <v>153.0</v>
      </c>
      <c r="C157" s="221"/>
      <c r="D157" s="225" t="s">
        <v>1234</v>
      </c>
      <c r="E157" s="217"/>
      <c r="F157" s="217" t="s">
        <v>1208</v>
      </c>
      <c r="G157" s="221"/>
      <c r="H157" s="221"/>
      <c r="I157" s="221"/>
      <c r="J157" s="217" t="s">
        <v>1102</v>
      </c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ht="15.75" customHeight="1">
      <c r="A158" s="210"/>
      <c r="B158" s="219">
        <v>154.0</v>
      </c>
      <c r="C158" s="221"/>
      <c r="D158" s="225" t="s">
        <v>1235</v>
      </c>
      <c r="E158" s="217"/>
      <c r="F158" s="217" t="s">
        <v>1208</v>
      </c>
      <c r="G158" s="221"/>
      <c r="H158" s="221"/>
      <c r="I158" s="221"/>
      <c r="J158" s="217" t="s">
        <v>1102</v>
      </c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ht="15.75" customHeight="1">
      <c r="A159" s="210"/>
      <c r="B159" s="219">
        <v>155.0</v>
      </c>
      <c r="C159" s="221"/>
      <c r="D159" s="225" t="s">
        <v>1236</v>
      </c>
      <c r="E159" s="217"/>
      <c r="F159" s="217" t="s">
        <v>1208</v>
      </c>
      <c r="G159" s="221"/>
      <c r="H159" s="221"/>
      <c r="I159" s="221"/>
      <c r="J159" s="217" t="s">
        <v>1102</v>
      </c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ht="15.75" customHeight="1">
      <c r="A160" s="210"/>
      <c r="B160" s="219">
        <v>156.0</v>
      </c>
      <c r="C160" s="221"/>
      <c r="D160" s="225" t="s">
        <v>1237</v>
      </c>
      <c r="E160" s="217"/>
      <c r="F160" s="217" t="s">
        <v>1208</v>
      </c>
      <c r="G160" s="221"/>
      <c r="H160" s="221"/>
      <c r="I160" s="221"/>
      <c r="J160" s="217" t="s">
        <v>1102</v>
      </c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ht="15.75" customHeight="1">
      <c r="A161" s="210"/>
      <c r="B161" s="219">
        <v>157.0</v>
      </c>
      <c r="C161" s="221"/>
      <c r="D161" s="225" t="s">
        <v>1238</v>
      </c>
      <c r="E161" s="217"/>
      <c r="F161" s="217" t="s">
        <v>1208</v>
      </c>
      <c r="G161" s="221"/>
      <c r="H161" s="221"/>
      <c r="I161" s="221"/>
      <c r="J161" s="217" t="s">
        <v>1102</v>
      </c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ht="15.75" customHeight="1">
      <c r="A162" s="210"/>
      <c r="B162" s="219">
        <v>158.0</v>
      </c>
      <c r="C162" s="221"/>
      <c r="D162" s="225" t="s">
        <v>1239</v>
      </c>
      <c r="E162" s="217"/>
      <c r="F162" s="217" t="s">
        <v>1208</v>
      </c>
      <c r="G162" s="221"/>
      <c r="H162" s="221"/>
      <c r="I162" s="221"/>
      <c r="J162" s="217" t="s">
        <v>1102</v>
      </c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ht="15.75" customHeight="1">
      <c r="A163" s="210"/>
      <c r="B163" s="219">
        <v>159.0</v>
      </c>
      <c r="C163" s="221"/>
      <c r="D163" s="225" t="s">
        <v>1240</v>
      </c>
      <c r="E163" s="217"/>
      <c r="F163" s="217" t="s">
        <v>1208</v>
      </c>
      <c r="G163" s="221"/>
      <c r="H163" s="221"/>
      <c r="I163" s="221"/>
      <c r="J163" s="217" t="s">
        <v>1102</v>
      </c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ht="15.75" customHeight="1">
      <c r="A164" s="210"/>
      <c r="B164" s="219">
        <v>160.0</v>
      </c>
      <c r="C164" s="221"/>
      <c r="D164" s="225" t="s">
        <v>1241</v>
      </c>
      <c r="E164" s="217"/>
      <c r="F164" s="217" t="s">
        <v>1208</v>
      </c>
      <c r="G164" s="221"/>
      <c r="H164" s="221"/>
      <c r="I164" s="221"/>
      <c r="J164" s="217" t="s">
        <v>1102</v>
      </c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ht="15.75" customHeight="1">
      <c r="A165" s="210"/>
      <c r="B165" s="219">
        <v>161.0</v>
      </c>
      <c r="C165" s="221"/>
      <c r="D165" s="225" t="s">
        <v>1242</v>
      </c>
      <c r="E165" s="217"/>
      <c r="F165" s="217" t="s">
        <v>1208</v>
      </c>
      <c r="G165" s="221"/>
      <c r="H165" s="221"/>
      <c r="I165" s="221"/>
      <c r="J165" s="217" t="s">
        <v>1102</v>
      </c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ht="15.75" customHeight="1">
      <c r="A166" s="210"/>
      <c r="B166" s="219">
        <v>162.0</v>
      </c>
      <c r="C166" s="221"/>
      <c r="D166" s="225" t="s">
        <v>1243</v>
      </c>
      <c r="E166" s="217"/>
      <c r="F166" s="217" t="s">
        <v>1208</v>
      </c>
      <c r="G166" s="221"/>
      <c r="H166" s="221"/>
      <c r="I166" s="221"/>
      <c r="J166" s="217" t="s">
        <v>1102</v>
      </c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ht="15.75" customHeight="1">
      <c r="A167" s="210"/>
      <c r="B167" s="219">
        <v>163.0</v>
      </c>
      <c r="C167" s="221"/>
      <c r="D167" s="225" t="s">
        <v>1244</v>
      </c>
      <c r="E167" s="217"/>
      <c r="F167" s="217" t="s">
        <v>1208</v>
      </c>
      <c r="G167" s="221"/>
      <c r="H167" s="221"/>
      <c r="I167" s="221"/>
      <c r="J167" s="217" t="s">
        <v>1102</v>
      </c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ht="15.75" customHeight="1">
      <c r="A168" s="210"/>
      <c r="B168" s="219">
        <v>164.0</v>
      </c>
      <c r="C168" s="221"/>
      <c r="D168" s="225" t="s">
        <v>1245</v>
      </c>
      <c r="E168" s="217"/>
      <c r="F168" s="217" t="s">
        <v>1208</v>
      </c>
      <c r="G168" s="221"/>
      <c r="H168" s="221"/>
      <c r="I168" s="221"/>
      <c r="J168" s="217" t="s">
        <v>1102</v>
      </c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ht="15.75" customHeight="1">
      <c r="A169" s="210"/>
      <c r="B169" s="219">
        <v>165.0</v>
      </c>
      <c r="C169" s="221"/>
      <c r="D169" s="225" t="s">
        <v>1246</v>
      </c>
      <c r="E169" s="218"/>
      <c r="F169" s="217" t="s">
        <v>1208</v>
      </c>
      <c r="G169" s="218"/>
      <c r="H169" s="218"/>
      <c r="I169" s="218"/>
      <c r="J169" s="217" t="s">
        <v>1102</v>
      </c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ht="15.75" customHeight="1">
      <c r="A170" s="210"/>
      <c r="B170" s="219">
        <v>166.0</v>
      </c>
      <c r="C170" s="221"/>
      <c r="D170" s="225" t="s">
        <v>1247</v>
      </c>
      <c r="E170" s="218"/>
      <c r="F170" s="217" t="s">
        <v>1208</v>
      </c>
      <c r="G170" s="218"/>
      <c r="H170" s="218"/>
      <c r="I170" s="218"/>
      <c r="J170" s="217" t="s">
        <v>1102</v>
      </c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ht="15.75" customHeight="1">
      <c r="A171" s="210"/>
      <c r="B171" s="219">
        <v>167.0</v>
      </c>
      <c r="C171" s="221"/>
      <c r="D171" s="225" t="s">
        <v>1248</v>
      </c>
      <c r="E171" s="218"/>
      <c r="F171" s="217" t="s">
        <v>1208</v>
      </c>
      <c r="G171" s="218"/>
      <c r="H171" s="218"/>
      <c r="I171" s="218"/>
      <c r="J171" s="217" t="s">
        <v>1102</v>
      </c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ht="15.75" customHeight="1">
      <c r="A172" s="210"/>
      <c r="B172" s="219">
        <v>168.0</v>
      </c>
      <c r="C172" s="226"/>
      <c r="D172" s="225" t="s">
        <v>1249</v>
      </c>
      <c r="E172" s="218"/>
      <c r="F172" s="217" t="s">
        <v>1208</v>
      </c>
      <c r="G172" s="218"/>
      <c r="H172" s="218"/>
      <c r="I172" s="218"/>
      <c r="J172" s="217" t="s">
        <v>1102</v>
      </c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ht="15.75" customHeight="1">
      <c r="A173" s="210"/>
      <c r="B173" s="228"/>
      <c r="C173" s="221"/>
      <c r="D173" s="210"/>
      <c r="E173" s="229"/>
      <c r="F173" s="229"/>
      <c r="G173" s="221"/>
      <c r="H173" s="221"/>
      <c r="I173" s="221"/>
      <c r="J173" s="229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ht="15.75" customHeight="1">
      <c r="A174" s="210"/>
      <c r="B174" s="228"/>
      <c r="C174" s="221"/>
      <c r="D174" s="229"/>
      <c r="E174" s="229"/>
      <c r="F174" s="229"/>
      <c r="G174" s="221"/>
      <c r="H174" s="221"/>
      <c r="I174" s="221"/>
      <c r="J174" s="229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ht="15.75" customHeight="1">
      <c r="A175" s="210"/>
      <c r="B175" s="228"/>
      <c r="C175" s="221"/>
      <c r="D175" s="229"/>
      <c r="E175" s="229"/>
      <c r="F175" s="229"/>
      <c r="G175" s="221"/>
      <c r="H175" s="221"/>
      <c r="I175" s="221"/>
      <c r="J175" s="22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ht="15.75" customHeight="1">
      <c r="A176" s="210"/>
      <c r="B176" s="228"/>
      <c r="C176" s="221"/>
      <c r="D176" s="229"/>
      <c r="E176" s="229"/>
      <c r="F176" s="229"/>
      <c r="G176" s="221"/>
      <c r="H176" s="221"/>
      <c r="I176" s="221"/>
      <c r="J176" s="229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ht="15.75" customHeight="1">
      <c r="A177" s="210"/>
      <c r="B177" s="221"/>
      <c r="C177" s="221"/>
      <c r="D177" s="221"/>
      <c r="E177" s="221"/>
      <c r="F177" s="221"/>
      <c r="G177" s="221"/>
      <c r="H177" s="221"/>
      <c r="I177" s="221"/>
      <c r="J177" s="229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ht="15.75" customHeight="1">
      <c r="A178" s="210"/>
      <c r="B178" s="221"/>
      <c r="C178" s="221"/>
      <c r="D178" s="221"/>
      <c r="E178" s="221"/>
      <c r="F178" s="221"/>
      <c r="G178" s="221"/>
      <c r="H178" s="221"/>
      <c r="I178" s="221"/>
      <c r="J178" s="229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ht="15.75" customHeight="1">
      <c r="A179" s="210"/>
      <c r="B179" s="221"/>
      <c r="C179" s="221"/>
      <c r="D179" s="218" t="s">
        <v>1250</v>
      </c>
      <c r="E179" s="218" t="s">
        <v>211</v>
      </c>
      <c r="F179" s="218" t="s">
        <v>211</v>
      </c>
      <c r="G179" s="218"/>
      <c r="H179" s="218"/>
      <c r="I179" s="218"/>
      <c r="J179" s="218" t="s">
        <v>856</v>
      </c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ht="15.75" customHeight="1">
      <c r="A180" s="210"/>
      <c r="B180" s="221"/>
      <c r="C180" s="221"/>
      <c r="D180" s="218" t="s">
        <v>1251</v>
      </c>
      <c r="E180" s="218">
        <v>3.0</v>
      </c>
      <c r="F180" s="218">
        <v>3.0</v>
      </c>
      <c r="G180" s="218"/>
      <c r="H180" s="218"/>
      <c r="I180" s="218"/>
      <c r="J180" s="230">
        <f>F180/F184</f>
        <v>0.01785714286</v>
      </c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ht="15.75" customHeight="1">
      <c r="A181" s="210"/>
      <c r="B181" s="221"/>
      <c r="C181" s="221"/>
      <c r="D181" s="218" t="s">
        <v>1252</v>
      </c>
      <c r="E181" s="218">
        <v>18.0</v>
      </c>
      <c r="F181" s="218">
        <v>23.0</v>
      </c>
      <c r="G181" s="218"/>
      <c r="H181" s="218"/>
      <c r="I181" s="218"/>
      <c r="J181" s="230">
        <f>F181/F184</f>
        <v>0.1369047619</v>
      </c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ht="15.75" customHeight="1">
      <c r="A182" s="210"/>
      <c r="B182" s="221"/>
      <c r="C182" s="221"/>
      <c r="D182" s="218" t="s">
        <v>1253</v>
      </c>
      <c r="E182" s="218">
        <v>10.0</v>
      </c>
      <c r="F182" s="218">
        <v>15.0</v>
      </c>
      <c r="G182" s="218"/>
      <c r="H182" s="218"/>
      <c r="I182" s="218"/>
      <c r="J182" s="230">
        <f>F182/F184</f>
        <v>0.08928571429</v>
      </c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ht="15.75" customHeight="1">
      <c r="A183" s="210"/>
      <c r="B183" s="221"/>
      <c r="C183" s="221"/>
      <c r="D183" s="218" t="s">
        <v>1102</v>
      </c>
      <c r="E183" s="218">
        <v>103.0</v>
      </c>
      <c r="F183" s="218">
        <v>127.0</v>
      </c>
      <c r="G183" s="218"/>
      <c r="H183" s="218"/>
      <c r="I183" s="218"/>
      <c r="J183" s="230">
        <f>F183/F184</f>
        <v>0.755952381</v>
      </c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ht="15.75" customHeight="1">
      <c r="A184" s="210"/>
      <c r="B184" s="221"/>
      <c r="C184" s="221"/>
      <c r="D184" s="218" t="s">
        <v>110</v>
      </c>
      <c r="E184" s="218">
        <v>134.0</v>
      </c>
      <c r="F184" s="218">
        <f>SUM(F180:F183)</f>
        <v>168</v>
      </c>
      <c r="G184" s="218"/>
      <c r="H184" s="218"/>
      <c r="I184" s="218"/>
      <c r="J184" s="231">
        <f>SUM(J180:J183)</f>
        <v>1</v>
      </c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ht="15.75" customHeight="1">
      <c r="A185" s="210"/>
      <c r="B185" s="221"/>
      <c r="C185" s="221"/>
      <c r="D185" s="221"/>
      <c r="E185" s="221"/>
      <c r="F185" s="221"/>
      <c r="G185" s="221"/>
      <c r="H185" s="221"/>
      <c r="I185" s="221"/>
      <c r="J185" s="229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ht="15.75" customHeight="1">
      <c r="A186" s="210"/>
      <c r="B186" s="221"/>
      <c r="C186" s="221"/>
      <c r="D186" s="221"/>
      <c r="E186" s="221"/>
      <c r="F186" s="221"/>
      <c r="G186" s="221"/>
      <c r="H186" s="221"/>
      <c r="I186" s="221"/>
      <c r="J186" s="229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ht="15.75" customHeight="1">
      <c r="A187" s="210"/>
      <c r="B187" s="221"/>
      <c r="C187" s="221"/>
      <c r="D187" s="221"/>
      <c r="E187" s="221"/>
      <c r="F187" s="221"/>
      <c r="G187" s="221"/>
      <c r="H187" s="221"/>
      <c r="I187" s="221"/>
      <c r="J187" s="229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ht="15.75" customHeight="1">
      <c r="A188" s="210"/>
      <c r="B188" s="221"/>
      <c r="C188" s="221"/>
      <c r="D188" s="221"/>
      <c r="E188" s="221"/>
      <c r="F188" s="221"/>
      <c r="G188" s="221"/>
      <c r="H188" s="221"/>
      <c r="I188" s="221"/>
      <c r="J188" s="229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ht="15.75" customHeight="1">
      <c r="A189" s="210"/>
      <c r="B189" s="221"/>
      <c r="C189" s="221"/>
      <c r="D189" s="221"/>
      <c r="E189" s="221"/>
      <c r="F189" s="221"/>
      <c r="G189" s="221"/>
      <c r="H189" s="221"/>
      <c r="I189" s="221"/>
      <c r="J189" s="229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ht="15.75" customHeight="1">
      <c r="A190" s="210"/>
      <c r="B190" s="221"/>
      <c r="C190" s="221"/>
      <c r="D190" s="221"/>
      <c r="E190" s="221"/>
      <c r="F190" s="221"/>
      <c r="G190" s="221"/>
      <c r="H190" s="221"/>
      <c r="I190" s="221"/>
      <c r="J190" s="229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ht="15.75" customHeight="1">
      <c r="A191" s="210"/>
      <c r="B191" s="221"/>
      <c r="C191" s="221"/>
      <c r="D191" s="221"/>
      <c r="E191" s="221"/>
      <c r="F191" s="221"/>
      <c r="G191" s="221"/>
      <c r="H191" s="221"/>
      <c r="I191" s="221"/>
      <c r="J191" s="229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ht="15.75" customHeight="1">
      <c r="A192" s="210"/>
      <c r="B192" s="221"/>
      <c r="C192" s="221"/>
      <c r="D192" s="221"/>
      <c r="E192" s="221"/>
      <c r="F192" s="221"/>
      <c r="G192" s="221"/>
      <c r="H192" s="221"/>
      <c r="I192" s="221"/>
      <c r="J192" s="229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ht="15.75" customHeight="1">
      <c r="A193" s="210"/>
      <c r="B193" s="221"/>
      <c r="C193" s="221"/>
      <c r="D193" s="221"/>
      <c r="E193" s="221"/>
      <c r="F193" s="221"/>
      <c r="G193" s="221"/>
      <c r="H193" s="221"/>
      <c r="I193" s="221"/>
      <c r="J193" s="229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ht="15.75" customHeight="1">
      <c r="A194" s="210"/>
      <c r="B194" s="221"/>
      <c r="C194" s="221"/>
      <c r="D194" s="221"/>
      <c r="E194" s="221"/>
      <c r="F194" s="221"/>
      <c r="G194" s="221"/>
      <c r="H194" s="221"/>
      <c r="I194" s="221"/>
      <c r="J194" s="229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ht="15.75" customHeight="1">
      <c r="A195" s="210"/>
      <c r="B195" s="221"/>
      <c r="C195" s="221"/>
      <c r="D195" s="221"/>
      <c r="E195" s="221"/>
      <c r="F195" s="221"/>
      <c r="G195" s="221"/>
      <c r="H195" s="221"/>
      <c r="I195" s="221"/>
      <c r="J195" s="229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ht="15.75" customHeight="1">
      <c r="A196" s="210"/>
      <c r="B196" s="221"/>
      <c r="C196" s="221"/>
      <c r="D196" s="221"/>
      <c r="E196" s="221"/>
      <c r="F196" s="221"/>
      <c r="G196" s="221"/>
      <c r="H196" s="221"/>
      <c r="I196" s="221"/>
      <c r="J196" s="229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ht="15.75" customHeight="1">
      <c r="A197" s="210"/>
      <c r="B197" s="221"/>
      <c r="C197" s="221"/>
      <c r="D197" s="221"/>
      <c r="E197" s="221"/>
      <c r="F197" s="221"/>
      <c r="G197" s="221"/>
      <c r="H197" s="221"/>
      <c r="I197" s="221"/>
      <c r="J197" s="229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ht="15.75" customHeight="1">
      <c r="A198" s="210"/>
      <c r="B198" s="221"/>
      <c r="C198" s="221"/>
      <c r="D198" s="221"/>
      <c r="E198" s="221"/>
      <c r="F198" s="221"/>
      <c r="G198" s="221"/>
      <c r="H198" s="221"/>
      <c r="I198" s="221"/>
      <c r="J198" s="229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ht="15.75" customHeight="1">
      <c r="A199" s="210"/>
      <c r="B199" s="221"/>
      <c r="C199" s="221"/>
      <c r="D199" s="221"/>
      <c r="E199" s="221"/>
      <c r="F199" s="221"/>
      <c r="G199" s="221"/>
      <c r="H199" s="221"/>
      <c r="I199" s="221"/>
      <c r="J199" s="229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ht="15.75" customHeight="1">
      <c r="A200" s="210"/>
      <c r="B200" s="221"/>
      <c r="C200" s="221"/>
      <c r="D200" s="221"/>
      <c r="E200" s="221"/>
      <c r="F200" s="221"/>
      <c r="G200" s="221"/>
      <c r="H200" s="221"/>
      <c r="I200" s="221"/>
      <c r="J200" s="229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ht="15.75" customHeight="1">
      <c r="A201" s="210"/>
      <c r="B201" s="221"/>
      <c r="C201" s="221"/>
      <c r="D201" s="221"/>
      <c r="E201" s="221"/>
      <c r="F201" s="221"/>
      <c r="G201" s="221"/>
      <c r="H201" s="221"/>
      <c r="I201" s="221"/>
      <c r="J201" s="229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ht="15.75" customHeight="1">
      <c r="A202" s="210"/>
      <c r="B202" s="221"/>
      <c r="C202" s="221"/>
      <c r="D202" s="221"/>
      <c r="E202" s="221"/>
      <c r="F202" s="221"/>
      <c r="G202" s="221"/>
      <c r="H202" s="221"/>
      <c r="I202" s="221"/>
      <c r="J202" s="229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ht="15.75" customHeight="1">
      <c r="A203" s="210"/>
      <c r="B203" s="221"/>
      <c r="C203" s="221"/>
      <c r="D203" s="221"/>
      <c r="E203" s="221"/>
      <c r="F203" s="221"/>
      <c r="G203" s="221"/>
      <c r="H203" s="221"/>
      <c r="I203" s="221"/>
      <c r="J203" s="229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ht="15.75" customHeight="1">
      <c r="A204" s="210"/>
      <c r="B204" s="221"/>
      <c r="C204" s="221"/>
      <c r="D204" s="221"/>
      <c r="E204" s="221"/>
      <c r="F204" s="221"/>
      <c r="G204" s="221"/>
      <c r="H204" s="221"/>
      <c r="I204" s="221"/>
      <c r="J204" s="229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ht="15.75" customHeight="1">
      <c r="A205" s="210"/>
      <c r="B205" s="221"/>
      <c r="C205" s="221"/>
      <c r="D205" s="221"/>
      <c r="E205" s="221"/>
      <c r="F205" s="221"/>
      <c r="G205" s="221"/>
      <c r="H205" s="221"/>
      <c r="I205" s="221"/>
      <c r="J205" s="229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ht="15.75" customHeight="1">
      <c r="A206" s="210"/>
      <c r="B206" s="221"/>
      <c r="C206" s="221"/>
      <c r="D206" s="221"/>
      <c r="E206" s="221"/>
      <c r="F206" s="221"/>
      <c r="G206" s="221"/>
      <c r="H206" s="221"/>
      <c r="I206" s="221"/>
      <c r="J206" s="229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ht="15.75" customHeight="1">
      <c r="A207" s="210"/>
      <c r="B207" s="221"/>
      <c r="C207" s="221"/>
      <c r="D207" s="221"/>
      <c r="E207" s="221"/>
      <c r="F207" s="221"/>
      <c r="G207" s="221"/>
      <c r="H207" s="221"/>
      <c r="I207" s="221"/>
      <c r="J207" s="229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ht="15.75" customHeight="1">
      <c r="A208" s="210"/>
      <c r="B208" s="221"/>
      <c r="C208" s="221"/>
      <c r="D208" s="221"/>
      <c r="E208" s="221"/>
      <c r="F208" s="221"/>
      <c r="G208" s="221"/>
      <c r="H208" s="221"/>
      <c r="I208" s="221"/>
      <c r="J208" s="229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ht="15.75" customHeight="1">
      <c r="A209" s="210"/>
      <c r="B209" s="221"/>
      <c r="C209" s="221"/>
      <c r="D209" s="221"/>
      <c r="E209" s="221"/>
      <c r="F209" s="221"/>
      <c r="G209" s="221"/>
      <c r="H209" s="221"/>
      <c r="I209" s="221"/>
      <c r="J209" s="229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ht="15.75" customHeight="1">
      <c r="A210" s="210"/>
      <c r="B210" s="221"/>
      <c r="C210" s="221"/>
      <c r="D210" s="221"/>
      <c r="E210" s="221"/>
      <c r="F210" s="221"/>
      <c r="G210" s="221"/>
      <c r="H210" s="221"/>
      <c r="I210" s="221"/>
      <c r="J210" s="229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ht="15.75" customHeight="1">
      <c r="A211" s="210"/>
      <c r="B211" s="221"/>
      <c r="C211" s="221"/>
      <c r="D211" s="221"/>
      <c r="E211" s="221"/>
      <c r="F211" s="221"/>
      <c r="G211" s="221"/>
      <c r="H211" s="221"/>
      <c r="I211" s="221"/>
      <c r="J211" s="229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ht="15.75" customHeight="1">
      <c r="A212" s="210"/>
      <c r="B212" s="221"/>
      <c r="C212" s="221"/>
      <c r="D212" s="221"/>
      <c r="E212" s="221"/>
      <c r="F212" s="221"/>
      <c r="G212" s="221"/>
      <c r="H212" s="221"/>
      <c r="I212" s="221"/>
      <c r="J212" s="229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ht="15.75" customHeight="1">
      <c r="A213" s="210"/>
      <c r="B213" s="221"/>
      <c r="C213" s="221"/>
      <c r="D213" s="221"/>
      <c r="E213" s="221"/>
      <c r="F213" s="221"/>
      <c r="G213" s="221"/>
      <c r="H213" s="221"/>
      <c r="I213" s="221"/>
      <c r="J213" s="229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ht="15.75" customHeight="1">
      <c r="A214" s="210"/>
      <c r="B214" s="221"/>
      <c r="C214" s="221"/>
      <c r="D214" s="221"/>
      <c r="E214" s="221"/>
      <c r="F214" s="221"/>
      <c r="G214" s="221"/>
      <c r="H214" s="221"/>
      <c r="I214" s="221"/>
      <c r="J214" s="229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ht="15.75" customHeight="1">
      <c r="A215" s="210"/>
      <c r="B215" s="221"/>
      <c r="C215" s="221"/>
      <c r="D215" s="221"/>
      <c r="E215" s="221"/>
      <c r="F215" s="221"/>
      <c r="G215" s="221"/>
      <c r="H215" s="221"/>
      <c r="I215" s="221"/>
      <c r="J215" s="229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ht="15.75" customHeight="1">
      <c r="A216" s="210"/>
      <c r="B216" s="221"/>
      <c r="C216" s="221"/>
      <c r="D216" s="221"/>
      <c r="E216" s="221"/>
      <c r="F216" s="221"/>
      <c r="G216" s="221"/>
      <c r="H216" s="221"/>
      <c r="I216" s="221"/>
      <c r="J216" s="229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ht="15.75" customHeight="1">
      <c r="A217" s="210"/>
      <c r="B217" s="221"/>
      <c r="C217" s="221"/>
      <c r="D217" s="221"/>
      <c r="E217" s="221"/>
      <c r="F217" s="221"/>
      <c r="G217" s="221"/>
      <c r="H217" s="221"/>
      <c r="I217" s="221"/>
      <c r="J217" s="229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ht="15.75" customHeight="1">
      <c r="A218" s="210"/>
      <c r="B218" s="221"/>
      <c r="C218" s="221"/>
      <c r="D218" s="221"/>
      <c r="E218" s="221"/>
      <c r="F218" s="221"/>
      <c r="G218" s="221"/>
      <c r="H218" s="221"/>
      <c r="I218" s="221"/>
      <c r="J218" s="229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ht="15.75" customHeight="1">
      <c r="A219" s="210"/>
      <c r="B219" s="221"/>
      <c r="C219" s="221"/>
      <c r="D219" s="221"/>
      <c r="E219" s="221"/>
      <c r="F219" s="221"/>
      <c r="G219" s="221"/>
      <c r="H219" s="221"/>
      <c r="I219" s="221"/>
      <c r="J219" s="229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ht="15.75" customHeight="1">
      <c r="A220" s="210"/>
      <c r="B220" s="221"/>
      <c r="C220" s="221"/>
      <c r="D220" s="221"/>
      <c r="E220" s="221"/>
      <c r="F220" s="221"/>
      <c r="G220" s="221"/>
      <c r="H220" s="221"/>
      <c r="I220" s="221"/>
      <c r="J220" s="229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ht="15.75" customHeight="1">
      <c r="A221" s="210"/>
      <c r="B221" s="221"/>
      <c r="C221" s="221"/>
      <c r="D221" s="221"/>
      <c r="E221" s="221"/>
      <c r="F221" s="221"/>
      <c r="G221" s="221"/>
      <c r="H221" s="221"/>
      <c r="I221" s="221"/>
      <c r="J221" s="229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ht="15.75" customHeight="1">
      <c r="A222" s="210"/>
      <c r="B222" s="221"/>
      <c r="C222" s="221"/>
      <c r="D222" s="221"/>
      <c r="E222" s="221"/>
      <c r="F222" s="221"/>
      <c r="G222" s="221"/>
      <c r="H222" s="221"/>
      <c r="I222" s="221"/>
      <c r="J222" s="229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ht="15.75" customHeight="1">
      <c r="A223" s="210"/>
      <c r="B223" s="221"/>
      <c r="C223" s="221"/>
      <c r="D223" s="221"/>
      <c r="E223" s="221"/>
      <c r="F223" s="221"/>
      <c r="G223" s="221"/>
      <c r="H223" s="221"/>
      <c r="I223" s="221"/>
      <c r="J223" s="229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ht="15.75" customHeight="1">
      <c r="A224" s="210"/>
      <c r="B224" s="221"/>
      <c r="C224" s="221"/>
      <c r="D224" s="221"/>
      <c r="E224" s="221"/>
      <c r="F224" s="221"/>
      <c r="G224" s="221"/>
      <c r="H224" s="221"/>
      <c r="I224" s="221"/>
      <c r="J224" s="229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ht="15.75" customHeight="1">
      <c r="A225" s="210"/>
      <c r="B225" s="221"/>
      <c r="C225" s="221"/>
      <c r="D225" s="221"/>
      <c r="E225" s="221"/>
      <c r="F225" s="221"/>
      <c r="G225" s="221"/>
      <c r="H225" s="221"/>
      <c r="I225" s="221"/>
      <c r="J225" s="229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ht="15.75" customHeight="1">
      <c r="A226" s="210"/>
      <c r="B226" s="221"/>
      <c r="C226" s="221"/>
      <c r="D226" s="221"/>
      <c r="E226" s="221"/>
      <c r="F226" s="221"/>
      <c r="G226" s="221"/>
      <c r="H226" s="221"/>
      <c r="I226" s="221"/>
      <c r="J226" s="229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ht="15.75" customHeight="1">
      <c r="A227" s="210"/>
      <c r="B227" s="221"/>
      <c r="C227" s="221"/>
      <c r="D227" s="221"/>
      <c r="E227" s="221"/>
      <c r="F227" s="221"/>
      <c r="G227" s="221"/>
      <c r="H227" s="221"/>
      <c r="I227" s="221"/>
      <c r="J227" s="22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ht="15.75" customHeight="1">
      <c r="A228" s="210"/>
      <c r="B228" s="221"/>
      <c r="C228" s="221"/>
      <c r="D228" s="221"/>
      <c r="E228" s="221"/>
      <c r="F228" s="221"/>
      <c r="G228" s="221"/>
      <c r="H228" s="221"/>
      <c r="I228" s="221"/>
      <c r="J228" s="229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ht="15.75" customHeight="1">
      <c r="A229" s="210"/>
      <c r="B229" s="221"/>
      <c r="C229" s="221"/>
      <c r="D229" s="221"/>
      <c r="E229" s="221"/>
      <c r="F229" s="221"/>
      <c r="G229" s="221"/>
      <c r="H229" s="221"/>
      <c r="I229" s="221"/>
      <c r="J229" s="229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ht="15.75" customHeight="1">
      <c r="A230" s="210"/>
      <c r="B230" s="221"/>
      <c r="C230" s="221"/>
      <c r="D230" s="221"/>
      <c r="E230" s="221"/>
      <c r="F230" s="221"/>
      <c r="G230" s="221"/>
      <c r="H230" s="221"/>
      <c r="I230" s="221"/>
      <c r="J230" s="229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ht="15.75" customHeight="1">
      <c r="A231" s="210"/>
      <c r="B231" s="221"/>
      <c r="C231" s="221"/>
      <c r="D231" s="221"/>
      <c r="E231" s="221"/>
      <c r="F231" s="221"/>
      <c r="G231" s="221"/>
      <c r="H231" s="221"/>
      <c r="I231" s="221"/>
      <c r="J231" s="229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ht="15.75" customHeight="1">
      <c r="A232" s="210"/>
      <c r="B232" s="221"/>
      <c r="C232" s="221"/>
      <c r="D232" s="221"/>
      <c r="E232" s="221"/>
      <c r="F232" s="221"/>
      <c r="G232" s="221"/>
      <c r="H232" s="221"/>
      <c r="I232" s="221"/>
      <c r="J232" s="229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ht="15.75" customHeight="1">
      <c r="A233" s="210"/>
      <c r="B233" s="221"/>
      <c r="C233" s="221"/>
      <c r="D233" s="221"/>
      <c r="E233" s="221"/>
      <c r="F233" s="221"/>
      <c r="G233" s="221"/>
      <c r="H233" s="221"/>
      <c r="I233" s="221"/>
      <c r="J233" s="229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ht="15.75" customHeight="1">
      <c r="A234" s="210"/>
      <c r="B234" s="221"/>
      <c r="C234" s="221"/>
      <c r="D234" s="221"/>
      <c r="E234" s="221"/>
      <c r="F234" s="221"/>
      <c r="G234" s="221"/>
      <c r="H234" s="221"/>
      <c r="I234" s="221"/>
      <c r="J234" s="229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ht="15.75" customHeight="1">
      <c r="A235" s="210"/>
      <c r="B235" s="221"/>
      <c r="C235" s="221"/>
      <c r="D235" s="221"/>
      <c r="E235" s="221"/>
      <c r="F235" s="221"/>
      <c r="G235" s="221"/>
      <c r="H235" s="221"/>
      <c r="I235" s="221"/>
      <c r="J235" s="229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ht="15.75" customHeight="1">
      <c r="A236" s="210"/>
      <c r="B236" s="221"/>
      <c r="C236" s="221"/>
      <c r="D236" s="221"/>
      <c r="E236" s="221"/>
      <c r="F236" s="221"/>
      <c r="G236" s="221"/>
      <c r="H236" s="221"/>
      <c r="I236" s="221"/>
      <c r="J236" s="229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ht="15.75" customHeight="1">
      <c r="A237" s="210"/>
      <c r="B237" s="221"/>
      <c r="C237" s="221"/>
      <c r="D237" s="221"/>
      <c r="E237" s="221"/>
      <c r="F237" s="221"/>
      <c r="G237" s="221"/>
      <c r="H237" s="221"/>
      <c r="I237" s="221"/>
      <c r="J237" s="229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ht="15.75" customHeight="1">
      <c r="A238" s="210"/>
      <c r="B238" s="221"/>
      <c r="C238" s="221"/>
      <c r="D238" s="221"/>
      <c r="E238" s="221"/>
      <c r="F238" s="221"/>
      <c r="G238" s="221"/>
      <c r="H238" s="221"/>
      <c r="I238" s="221"/>
      <c r="J238" s="229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ht="15.75" customHeight="1">
      <c r="A239" s="210"/>
      <c r="B239" s="221"/>
      <c r="C239" s="221"/>
      <c r="D239" s="221"/>
      <c r="E239" s="221"/>
      <c r="F239" s="221"/>
      <c r="G239" s="221"/>
      <c r="H239" s="221"/>
      <c r="I239" s="221"/>
      <c r="J239" s="229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ht="15.75" customHeight="1">
      <c r="A240" s="210"/>
      <c r="B240" s="221"/>
      <c r="C240" s="221"/>
      <c r="D240" s="221"/>
      <c r="E240" s="221"/>
      <c r="F240" s="221"/>
      <c r="G240" s="221"/>
      <c r="H240" s="221"/>
      <c r="I240" s="221"/>
      <c r="J240" s="229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ht="15.75" customHeight="1">
      <c r="A241" s="210"/>
      <c r="B241" s="221"/>
      <c r="C241" s="221"/>
      <c r="D241" s="221"/>
      <c r="E241" s="221"/>
      <c r="F241" s="221"/>
      <c r="G241" s="221"/>
      <c r="H241" s="221"/>
      <c r="I241" s="221"/>
      <c r="J241" s="229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ht="15.75" customHeight="1">
      <c r="A242" s="210"/>
      <c r="B242" s="221"/>
      <c r="C242" s="221"/>
      <c r="D242" s="221"/>
      <c r="E242" s="221"/>
      <c r="F242" s="221"/>
      <c r="G242" s="221"/>
      <c r="H242" s="221"/>
      <c r="I242" s="221"/>
      <c r="J242" s="229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ht="15.75" customHeight="1">
      <c r="A243" s="210"/>
      <c r="B243" s="221"/>
      <c r="C243" s="221"/>
      <c r="D243" s="221"/>
      <c r="E243" s="221"/>
      <c r="F243" s="221"/>
      <c r="G243" s="221"/>
      <c r="H243" s="221"/>
      <c r="I243" s="221"/>
      <c r="J243" s="229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ht="15.75" customHeight="1">
      <c r="A244" s="210"/>
      <c r="B244" s="221"/>
      <c r="C244" s="221"/>
      <c r="D244" s="221"/>
      <c r="E244" s="221"/>
      <c r="F244" s="221"/>
      <c r="G244" s="221"/>
      <c r="H244" s="221"/>
      <c r="I244" s="221"/>
      <c r="J244" s="229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ht="15.75" customHeight="1">
      <c r="A245" s="210"/>
      <c r="B245" s="221"/>
      <c r="C245" s="221"/>
      <c r="D245" s="221"/>
      <c r="E245" s="221"/>
      <c r="F245" s="221"/>
      <c r="G245" s="221"/>
      <c r="H245" s="221"/>
      <c r="I245" s="221"/>
      <c r="J245" s="229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ht="15.75" customHeight="1">
      <c r="A246" s="210"/>
      <c r="B246" s="221"/>
      <c r="C246" s="221"/>
      <c r="D246" s="221"/>
      <c r="E246" s="221"/>
      <c r="F246" s="221"/>
      <c r="G246" s="221"/>
      <c r="H246" s="221"/>
      <c r="I246" s="221"/>
      <c r="J246" s="229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ht="15.75" customHeight="1">
      <c r="A247" s="210"/>
      <c r="B247" s="221"/>
      <c r="C247" s="221"/>
      <c r="D247" s="221"/>
      <c r="E247" s="221"/>
      <c r="F247" s="221"/>
      <c r="G247" s="221"/>
      <c r="H247" s="221"/>
      <c r="I247" s="221"/>
      <c r="J247" s="229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ht="15.75" customHeight="1">
      <c r="A248" s="210"/>
      <c r="B248" s="221"/>
      <c r="C248" s="221"/>
      <c r="D248" s="221"/>
      <c r="E248" s="221"/>
      <c r="F248" s="221"/>
      <c r="G248" s="221"/>
      <c r="H248" s="221"/>
      <c r="I248" s="221"/>
      <c r="J248" s="229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</row>
    <row r="249" ht="15.75" customHeight="1">
      <c r="A249" s="210"/>
      <c r="B249" s="221"/>
      <c r="C249" s="221"/>
      <c r="D249" s="221"/>
      <c r="E249" s="221"/>
      <c r="F249" s="221"/>
      <c r="G249" s="221"/>
      <c r="H249" s="221"/>
      <c r="I249" s="221"/>
      <c r="J249" s="229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</row>
    <row r="250" ht="15.75" customHeight="1">
      <c r="A250" s="210"/>
      <c r="B250" s="221"/>
      <c r="C250" s="221"/>
      <c r="D250" s="221"/>
      <c r="E250" s="221"/>
      <c r="F250" s="221"/>
      <c r="G250" s="221"/>
      <c r="H250" s="221"/>
      <c r="I250" s="221"/>
      <c r="J250" s="229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</row>
    <row r="251" ht="15.75" customHeight="1">
      <c r="A251" s="210"/>
      <c r="B251" s="221"/>
      <c r="C251" s="221"/>
      <c r="D251" s="221"/>
      <c r="E251" s="221"/>
      <c r="F251" s="221"/>
      <c r="G251" s="221"/>
      <c r="H251" s="221"/>
      <c r="I251" s="221"/>
      <c r="J251" s="229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</row>
    <row r="252" ht="15.75" customHeight="1">
      <c r="A252" s="210"/>
      <c r="B252" s="221"/>
      <c r="C252" s="221"/>
      <c r="D252" s="221"/>
      <c r="E252" s="221"/>
      <c r="F252" s="221"/>
      <c r="G252" s="221"/>
      <c r="H252" s="221"/>
      <c r="I252" s="221"/>
      <c r="J252" s="229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</row>
    <row r="253" ht="15.75" customHeight="1">
      <c r="A253" s="210"/>
      <c r="B253" s="221"/>
      <c r="C253" s="221"/>
      <c r="D253" s="221"/>
      <c r="E253" s="221"/>
      <c r="F253" s="221"/>
      <c r="G253" s="221"/>
      <c r="H253" s="221"/>
      <c r="I253" s="221"/>
      <c r="J253" s="229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</row>
    <row r="254" ht="15.75" customHeight="1">
      <c r="A254" s="210"/>
      <c r="B254" s="221"/>
      <c r="C254" s="221"/>
      <c r="D254" s="221"/>
      <c r="E254" s="221"/>
      <c r="F254" s="221"/>
      <c r="G254" s="221"/>
      <c r="H254" s="221"/>
      <c r="I254" s="221"/>
      <c r="J254" s="229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</row>
    <row r="255" ht="15.75" customHeight="1">
      <c r="A255" s="210"/>
      <c r="B255" s="221"/>
      <c r="C255" s="221"/>
      <c r="D255" s="221"/>
      <c r="E255" s="221"/>
      <c r="F255" s="221"/>
      <c r="G255" s="221"/>
      <c r="H255" s="221"/>
      <c r="I255" s="221"/>
      <c r="J255" s="229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</row>
    <row r="256" ht="15.75" customHeight="1">
      <c r="A256" s="210"/>
      <c r="B256" s="221"/>
      <c r="C256" s="221"/>
      <c r="D256" s="221"/>
      <c r="E256" s="221"/>
      <c r="F256" s="221"/>
      <c r="G256" s="221"/>
      <c r="H256" s="221"/>
      <c r="I256" s="221"/>
      <c r="J256" s="229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</row>
    <row r="257" ht="15.75" customHeight="1">
      <c r="A257" s="210"/>
      <c r="B257" s="221"/>
      <c r="C257" s="221"/>
      <c r="D257" s="221"/>
      <c r="E257" s="221"/>
      <c r="F257" s="221"/>
      <c r="G257" s="221"/>
      <c r="H257" s="221"/>
      <c r="I257" s="221"/>
      <c r="J257" s="229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</row>
    <row r="258" ht="15.75" customHeight="1">
      <c r="A258" s="210"/>
      <c r="B258" s="221"/>
      <c r="C258" s="221"/>
      <c r="D258" s="221"/>
      <c r="E258" s="221"/>
      <c r="F258" s="221"/>
      <c r="G258" s="221"/>
      <c r="H258" s="221"/>
      <c r="I258" s="221"/>
      <c r="J258" s="229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</row>
    <row r="259" ht="15.75" customHeight="1">
      <c r="A259" s="210"/>
      <c r="B259" s="221"/>
      <c r="C259" s="221"/>
      <c r="D259" s="221"/>
      <c r="E259" s="221"/>
      <c r="F259" s="221"/>
      <c r="G259" s="221"/>
      <c r="H259" s="221"/>
      <c r="I259" s="221"/>
      <c r="J259" s="229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</row>
    <row r="260" ht="15.75" customHeight="1">
      <c r="A260" s="210"/>
      <c r="B260" s="221"/>
      <c r="C260" s="221"/>
      <c r="D260" s="221"/>
      <c r="E260" s="221"/>
      <c r="F260" s="221"/>
      <c r="G260" s="221"/>
      <c r="H260" s="221"/>
      <c r="I260" s="221"/>
      <c r="J260" s="229"/>
      <c r="K260" s="210"/>
      <c r="L260" s="210"/>
      <c r="M260" s="210"/>
      <c r="N260" s="210"/>
      <c r="O260" s="210"/>
      <c r="P260" s="210"/>
      <c r="Q260" s="210"/>
      <c r="R260" s="210"/>
      <c r="S260" s="210"/>
      <c r="T260" s="210"/>
      <c r="U260" s="210"/>
      <c r="V260" s="210"/>
      <c r="W260" s="210"/>
      <c r="X260" s="210"/>
      <c r="Y260" s="210"/>
      <c r="Z260" s="210"/>
    </row>
    <row r="261" ht="15.75" customHeight="1">
      <c r="A261" s="210"/>
      <c r="B261" s="221"/>
      <c r="C261" s="221"/>
      <c r="D261" s="221"/>
      <c r="E261" s="221"/>
      <c r="F261" s="221"/>
      <c r="G261" s="221"/>
      <c r="H261" s="221"/>
      <c r="I261" s="221"/>
      <c r="J261" s="229"/>
      <c r="K261" s="210"/>
      <c r="L261" s="210"/>
      <c r="M261" s="210"/>
      <c r="N261" s="210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</row>
    <row r="262" ht="15.75" customHeight="1">
      <c r="A262" s="210"/>
      <c r="B262" s="221"/>
      <c r="C262" s="221"/>
      <c r="D262" s="221"/>
      <c r="E262" s="221"/>
      <c r="F262" s="221"/>
      <c r="G262" s="221"/>
      <c r="H262" s="221"/>
      <c r="I262" s="221"/>
      <c r="J262" s="229"/>
      <c r="K262" s="210"/>
      <c r="L262" s="210"/>
      <c r="M262" s="210"/>
      <c r="N262" s="210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  <c r="Y262" s="210"/>
      <c r="Z262" s="210"/>
    </row>
    <row r="263" ht="15.75" customHeight="1">
      <c r="A263" s="210"/>
      <c r="B263" s="221"/>
      <c r="C263" s="221"/>
      <c r="D263" s="221"/>
      <c r="E263" s="221"/>
      <c r="F263" s="221"/>
      <c r="G263" s="221"/>
      <c r="H263" s="221"/>
      <c r="I263" s="221"/>
      <c r="J263" s="229"/>
      <c r="K263" s="210"/>
      <c r="L263" s="210"/>
      <c r="M263" s="210"/>
      <c r="N263" s="210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</row>
    <row r="264" ht="15.75" customHeight="1">
      <c r="A264" s="210"/>
      <c r="B264" s="221"/>
      <c r="C264" s="221"/>
      <c r="D264" s="221"/>
      <c r="E264" s="221"/>
      <c r="F264" s="221"/>
      <c r="G264" s="221"/>
      <c r="H264" s="221"/>
      <c r="I264" s="221"/>
      <c r="J264" s="229"/>
      <c r="K264" s="210"/>
      <c r="L264" s="210"/>
      <c r="M264" s="210"/>
      <c r="N264" s="210"/>
      <c r="O264" s="210"/>
      <c r="P264" s="210"/>
      <c r="Q264" s="210"/>
      <c r="R264" s="210"/>
      <c r="S264" s="210"/>
      <c r="T264" s="210"/>
      <c r="U264" s="210"/>
      <c r="V264" s="210"/>
      <c r="W264" s="210"/>
      <c r="X264" s="210"/>
      <c r="Y264" s="210"/>
      <c r="Z264" s="210"/>
    </row>
    <row r="265" ht="15.75" customHeight="1">
      <c r="A265" s="210"/>
      <c r="B265" s="221"/>
      <c r="C265" s="221"/>
      <c r="D265" s="221"/>
      <c r="E265" s="221"/>
      <c r="F265" s="221"/>
      <c r="G265" s="221"/>
      <c r="H265" s="221"/>
      <c r="I265" s="221"/>
      <c r="J265" s="229"/>
      <c r="K265" s="210"/>
      <c r="L265" s="210"/>
      <c r="M265" s="210"/>
      <c r="N265" s="210"/>
      <c r="O265" s="210"/>
      <c r="P265" s="210"/>
      <c r="Q265" s="210"/>
      <c r="R265" s="210"/>
      <c r="S265" s="210"/>
      <c r="T265" s="210"/>
      <c r="U265" s="210"/>
      <c r="V265" s="210"/>
      <c r="W265" s="210"/>
      <c r="X265" s="210"/>
      <c r="Y265" s="210"/>
      <c r="Z265" s="210"/>
    </row>
    <row r="266" ht="15.75" customHeight="1">
      <c r="A266" s="210"/>
      <c r="B266" s="221"/>
      <c r="C266" s="221"/>
      <c r="D266" s="221"/>
      <c r="E266" s="221"/>
      <c r="F266" s="221"/>
      <c r="G266" s="221"/>
      <c r="H266" s="221"/>
      <c r="I266" s="221"/>
      <c r="J266" s="229"/>
      <c r="K266" s="210"/>
      <c r="L266" s="210"/>
      <c r="M266" s="210"/>
      <c r="N266" s="210"/>
      <c r="O266" s="210"/>
      <c r="P266" s="210"/>
      <c r="Q266" s="210"/>
      <c r="R266" s="210"/>
      <c r="S266" s="210"/>
      <c r="T266" s="210"/>
      <c r="U266" s="210"/>
      <c r="V266" s="210"/>
      <c r="W266" s="210"/>
      <c r="X266" s="210"/>
      <c r="Y266" s="210"/>
      <c r="Z266" s="210"/>
    </row>
    <row r="267" ht="15.75" customHeight="1">
      <c r="A267" s="210"/>
      <c r="B267" s="221"/>
      <c r="C267" s="221"/>
      <c r="D267" s="221"/>
      <c r="E267" s="221"/>
      <c r="F267" s="221"/>
      <c r="G267" s="221"/>
      <c r="H267" s="221"/>
      <c r="I267" s="221"/>
      <c r="J267" s="229"/>
      <c r="K267" s="210"/>
      <c r="L267" s="210"/>
      <c r="M267" s="210"/>
      <c r="N267" s="210"/>
      <c r="O267" s="210"/>
      <c r="P267" s="210"/>
      <c r="Q267" s="210"/>
      <c r="R267" s="210"/>
      <c r="S267" s="210"/>
      <c r="T267" s="210"/>
      <c r="U267" s="210"/>
      <c r="V267" s="210"/>
      <c r="W267" s="210"/>
      <c r="X267" s="210"/>
      <c r="Y267" s="210"/>
      <c r="Z267" s="210"/>
    </row>
    <row r="268" ht="15.75" customHeight="1">
      <c r="A268" s="210"/>
      <c r="B268" s="221"/>
      <c r="C268" s="221"/>
      <c r="D268" s="221"/>
      <c r="E268" s="221"/>
      <c r="F268" s="221"/>
      <c r="G268" s="221"/>
      <c r="H268" s="221"/>
      <c r="I268" s="221"/>
      <c r="J268" s="229"/>
      <c r="K268" s="210"/>
      <c r="L268" s="210"/>
      <c r="M268" s="210"/>
      <c r="N268" s="210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</row>
    <row r="269" ht="15.75" customHeight="1">
      <c r="A269" s="210"/>
      <c r="B269" s="221"/>
      <c r="C269" s="221"/>
      <c r="D269" s="221"/>
      <c r="E269" s="221"/>
      <c r="F269" s="221"/>
      <c r="G269" s="221"/>
      <c r="H269" s="221"/>
      <c r="I269" s="221"/>
      <c r="J269" s="229"/>
      <c r="K269" s="210"/>
      <c r="L269" s="210"/>
      <c r="M269" s="210"/>
      <c r="N269" s="210"/>
      <c r="O269" s="210"/>
      <c r="P269" s="210"/>
      <c r="Q269" s="210"/>
      <c r="R269" s="210"/>
      <c r="S269" s="210"/>
      <c r="T269" s="210"/>
      <c r="U269" s="210"/>
      <c r="V269" s="210"/>
      <c r="W269" s="210"/>
      <c r="X269" s="210"/>
      <c r="Y269" s="210"/>
      <c r="Z269" s="210"/>
    </row>
    <row r="270" ht="15.75" customHeight="1">
      <c r="A270" s="210"/>
      <c r="B270" s="221"/>
      <c r="C270" s="221"/>
      <c r="D270" s="221"/>
      <c r="E270" s="221"/>
      <c r="F270" s="221"/>
      <c r="G270" s="221"/>
      <c r="H270" s="221"/>
      <c r="I270" s="221"/>
      <c r="J270" s="229"/>
      <c r="K270" s="210"/>
      <c r="L270" s="210"/>
      <c r="M270" s="210"/>
      <c r="N270" s="210"/>
      <c r="O270" s="210"/>
      <c r="P270" s="210"/>
      <c r="Q270" s="210"/>
      <c r="R270" s="210"/>
      <c r="S270" s="210"/>
      <c r="T270" s="210"/>
      <c r="U270" s="210"/>
      <c r="V270" s="210"/>
      <c r="W270" s="210"/>
      <c r="X270" s="210"/>
      <c r="Y270" s="210"/>
      <c r="Z270" s="210"/>
    </row>
    <row r="271" ht="15.75" customHeight="1">
      <c r="A271" s="210"/>
      <c r="B271" s="221"/>
      <c r="C271" s="221"/>
      <c r="D271" s="221"/>
      <c r="E271" s="221"/>
      <c r="F271" s="221"/>
      <c r="G271" s="221"/>
      <c r="H271" s="221"/>
      <c r="I271" s="221"/>
      <c r="J271" s="229"/>
      <c r="K271" s="210"/>
      <c r="L271" s="210"/>
      <c r="M271" s="210"/>
      <c r="N271" s="210"/>
      <c r="O271" s="210"/>
      <c r="P271" s="210"/>
      <c r="Q271" s="210"/>
      <c r="R271" s="210"/>
      <c r="S271" s="210"/>
      <c r="T271" s="210"/>
      <c r="U271" s="210"/>
      <c r="V271" s="210"/>
      <c r="W271" s="210"/>
      <c r="X271" s="210"/>
      <c r="Y271" s="210"/>
      <c r="Z271" s="210"/>
    </row>
    <row r="272" ht="15.75" customHeight="1">
      <c r="A272" s="210"/>
      <c r="B272" s="221"/>
      <c r="C272" s="221"/>
      <c r="D272" s="221"/>
      <c r="E272" s="221"/>
      <c r="F272" s="221"/>
      <c r="G272" s="221"/>
      <c r="H272" s="221"/>
      <c r="I272" s="221"/>
      <c r="J272" s="229"/>
      <c r="K272" s="210"/>
      <c r="L272" s="210"/>
      <c r="M272" s="210"/>
      <c r="N272" s="210"/>
      <c r="O272" s="210"/>
      <c r="P272" s="210"/>
      <c r="Q272" s="210"/>
      <c r="R272" s="210"/>
      <c r="S272" s="210"/>
      <c r="T272" s="210"/>
      <c r="U272" s="210"/>
      <c r="V272" s="210"/>
      <c r="W272" s="210"/>
      <c r="X272" s="210"/>
      <c r="Y272" s="210"/>
      <c r="Z272" s="210"/>
    </row>
    <row r="273" ht="15.75" customHeight="1">
      <c r="A273" s="210"/>
      <c r="B273" s="221"/>
      <c r="C273" s="221"/>
      <c r="D273" s="221"/>
      <c r="E273" s="221"/>
      <c r="F273" s="221"/>
      <c r="G273" s="221"/>
      <c r="H273" s="221"/>
      <c r="I273" s="221"/>
      <c r="J273" s="229"/>
      <c r="K273" s="210"/>
      <c r="L273" s="210"/>
      <c r="M273" s="210"/>
      <c r="N273" s="210"/>
      <c r="O273" s="210"/>
      <c r="P273" s="210"/>
      <c r="Q273" s="210"/>
      <c r="R273" s="210"/>
      <c r="S273" s="210"/>
      <c r="T273" s="210"/>
      <c r="U273" s="210"/>
      <c r="V273" s="210"/>
      <c r="W273" s="210"/>
      <c r="X273" s="210"/>
      <c r="Y273" s="210"/>
      <c r="Z273" s="210"/>
    </row>
    <row r="274" ht="15.75" customHeight="1">
      <c r="A274" s="210"/>
      <c r="B274" s="221"/>
      <c r="C274" s="221"/>
      <c r="D274" s="221"/>
      <c r="E274" s="221"/>
      <c r="F274" s="221"/>
      <c r="G274" s="221"/>
      <c r="H274" s="221"/>
      <c r="I274" s="221"/>
      <c r="J274" s="229"/>
      <c r="K274" s="210"/>
      <c r="L274" s="210"/>
      <c r="M274" s="210"/>
      <c r="N274" s="210"/>
      <c r="O274" s="210"/>
      <c r="P274" s="210"/>
      <c r="Q274" s="210"/>
      <c r="R274" s="210"/>
      <c r="S274" s="210"/>
      <c r="T274" s="210"/>
      <c r="U274" s="210"/>
      <c r="V274" s="210"/>
      <c r="W274" s="210"/>
      <c r="X274" s="210"/>
      <c r="Y274" s="210"/>
      <c r="Z274" s="210"/>
    </row>
    <row r="275" ht="15.75" customHeight="1">
      <c r="A275" s="210"/>
      <c r="B275" s="221"/>
      <c r="C275" s="221"/>
      <c r="D275" s="221"/>
      <c r="E275" s="221"/>
      <c r="F275" s="221"/>
      <c r="G275" s="221"/>
      <c r="H275" s="221"/>
      <c r="I275" s="221"/>
      <c r="J275" s="229"/>
      <c r="K275" s="210"/>
      <c r="L275" s="210"/>
      <c r="M275" s="210"/>
      <c r="N275" s="210"/>
      <c r="O275" s="210"/>
      <c r="P275" s="210"/>
      <c r="Q275" s="210"/>
      <c r="R275" s="210"/>
      <c r="S275" s="210"/>
      <c r="T275" s="210"/>
      <c r="U275" s="210"/>
      <c r="V275" s="210"/>
      <c r="W275" s="210"/>
      <c r="X275" s="210"/>
      <c r="Y275" s="210"/>
      <c r="Z275" s="210"/>
    </row>
    <row r="276" ht="15.75" customHeight="1">
      <c r="A276" s="210"/>
      <c r="B276" s="221"/>
      <c r="C276" s="221"/>
      <c r="D276" s="221"/>
      <c r="E276" s="221"/>
      <c r="F276" s="221"/>
      <c r="G276" s="221"/>
      <c r="H276" s="221"/>
      <c r="I276" s="221"/>
      <c r="J276" s="229"/>
      <c r="K276" s="210"/>
      <c r="L276" s="210"/>
      <c r="M276" s="210"/>
      <c r="N276" s="210"/>
      <c r="O276" s="210"/>
      <c r="P276" s="210"/>
      <c r="Q276" s="210"/>
      <c r="R276" s="210"/>
      <c r="S276" s="210"/>
      <c r="T276" s="210"/>
      <c r="U276" s="210"/>
      <c r="V276" s="210"/>
      <c r="W276" s="210"/>
      <c r="X276" s="210"/>
      <c r="Y276" s="210"/>
      <c r="Z276" s="210"/>
    </row>
    <row r="277" ht="15.75" customHeight="1">
      <c r="A277" s="210"/>
      <c r="B277" s="221"/>
      <c r="C277" s="221"/>
      <c r="D277" s="221"/>
      <c r="E277" s="221"/>
      <c r="F277" s="221"/>
      <c r="G277" s="221"/>
      <c r="H277" s="221"/>
      <c r="I277" s="221"/>
      <c r="J277" s="229"/>
      <c r="K277" s="210"/>
      <c r="L277" s="210"/>
      <c r="M277" s="210"/>
      <c r="N277" s="210"/>
      <c r="O277" s="210"/>
      <c r="P277" s="210"/>
      <c r="Q277" s="210"/>
      <c r="R277" s="210"/>
      <c r="S277" s="210"/>
      <c r="T277" s="210"/>
      <c r="U277" s="210"/>
      <c r="V277" s="210"/>
      <c r="W277" s="210"/>
      <c r="X277" s="210"/>
      <c r="Y277" s="210"/>
      <c r="Z277" s="210"/>
    </row>
    <row r="278" ht="15.75" customHeight="1">
      <c r="A278" s="210"/>
      <c r="B278" s="221"/>
      <c r="C278" s="221"/>
      <c r="D278" s="221"/>
      <c r="E278" s="221"/>
      <c r="F278" s="221"/>
      <c r="G278" s="221"/>
      <c r="H278" s="221"/>
      <c r="I278" s="221"/>
      <c r="J278" s="229"/>
      <c r="K278" s="210"/>
      <c r="L278" s="210"/>
      <c r="M278" s="210"/>
      <c r="N278" s="210"/>
      <c r="O278" s="210"/>
      <c r="P278" s="210"/>
      <c r="Q278" s="210"/>
      <c r="R278" s="210"/>
      <c r="S278" s="210"/>
      <c r="T278" s="210"/>
      <c r="U278" s="210"/>
      <c r="V278" s="210"/>
      <c r="W278" s="210"/>
      <c r="X278" s="210"/>
      <c r="Y278" s="210"/>
      <c r="Z278" s="210"/>
    </row>
    <row r="279" ht="15.75" customHeight="1">
      <c r="A279" s="210"/>
      <c r="B279" s="221"/>
      <c r="C279" s="221"/>
      <c r="D279" s="221"/>
      <c r="E279" s="221"/>
      <c r="F279" s="221"/>
      <c r="G279" s="221"/>
      <c r="H279" s="221"/>
      <c r="I279" s="221"/>
      <c r="J279" s="22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0"/>
      <c r="X279" s="210"/>
      <c r="Y279" s="210"/>
      <c r="Z279" s="210"/>
    </row>
    <row r="280" ht="15.75" customHeight="1">
      <c r="A280" s="210"/>
      <c r="B280" s="221"/>
      <c r="C280" s="221"/>
      <c r="D280" s="221"/>
      <c r="E280" s="221"/>
      <c r="F280" s="221"/>
      <c r="G280" s="221"/>
      <c r="H280" s="221"/>
      <c r="I280" s="221"/>
      <c r="J280" s="229"/>
      <c r="K280" s="210"/>
      <c r="L280" s="210"/>
      <c r="M280" s="210"/>
      <c r="N280" s="210"/>
      <c r="O280" s="210"/>
      <c r="P280" s="210"/>
      <c r="Q280" s="210"/>
      <c r="R280" s="210"/>
      <c r="S280" s="210"/>
      <c r="T280" s="210"/>
      <c r="U280" s="210"/>
      <c r="V280" s="210"/>
      <c r="W280" s="210"/>
      <c r="X280" s="210"/>
      <c r="Y280" s="210"/>
      <c r="Z280" s="210"/>
    </row>
    <row r="281" ht="15.75" customHeight="1">
      <c r="A281" s="210"/>
      <c r="B281" s="221"/>
      <c r="C281" s="221"/>
      <c r="D281" s="221"/>
      <c r="E281" s="221"/>
      <c r="F281" s="221"/>
      <c r="G281" s="221"/>
      <c r="H281" s="221"/>
      <c r="I281" s="221"/>
      <c r="J281" s="229"/>
      <c r="K281" s="210"/>
      <c r="L281" s="210"/>
      <c r="M281" s="210"/>
      <c r="N281" s="210"/>
      <c r="O281" s="210"/>
      <c r="P281" s="210"/>
      <c r="Q281" s="210"/>
      <c r="R281" s="210"/>
      <c r="S281" s="210"/>
      <c r="T281" s="210"/>
      <c r="U281" s="210"/>
      <c r="V281" s="210"/>
      <c r="W281" s="210"/>
      <c r="X281" s="210"/>
      <c r="Y281" s="210"/>
      <c r="Z281" s="210"/>
    </row>
    <row r="282" ht="15.75" customHeight="1">
      <c r="A282" s="210"/>
      <c r="B282" s="221"/>
      <c r="C282" s="221"/>
      <c r="D282" s="221"/>
      <c r="E282" s="221"/>
      <c r="F282" s="221"/>
      <c r="G282" s="221"/>
      <c r="H282" s="221"/>
      <c r="I282" s="221"/>
      <c r="J282" s="229"/>
      <c r="K282" s="210"/>
      <c r="L282" s="210"/>
      <c r="M282" s="210"/>
      <c r="N282" s="210"/>
      <c r="O282" s="210"/>
      <c r="P282" s="210"/>
      <c r="Q282" s="210"/>
      <c r="R282" s="210"/>
      <c r="S282" s="210"/>
      <c r="T282" s="210"/>
      <c r="U282" s="210"/>
      <c r="V282" s="210"/>
      <c r="W282" s="210"/>
      <c r="X282" s="210"/>
      <c r="Y282" s="210"/>
      <c r="Z282" s="210"/>
    </row>
    <row r="283" ht="15.75" customHeight="1">
      <c r="A283" s="210"/>
      <c r="B283" s="221"/>
      <c r="C283" s="221"/>
      <c r="D283" s="221"/>
      <c r="E283" s="221"/>
      <c r="F283" s="221"/>
      <c r="G283" s="221"/>
      <c r="H283" s="221"/>
      <c r="I283" s="221"/>
      <c r="J283" s="229"/>
      <c r="K283" s="210"/>
      <c r="L283" s="210"/>
      <c r="M283" s="210"/>
      <c r="N283" s="210"/>
      <c r="O283" s="210"/>
      <c r="P283" s="210"/>
      <c r="Q283" s="210"/>
      <c r="R283" s="210"/>
      <c r="S283" s="210"/>
      <c r="T283" s="210"/>
      <c r="U283" s="210"/>
      <c r="V283" s="210"/>
      <c r="W283" s="210"/>
      <c r="X283" s="210"/>
      <c r="Y283" s="210"/>
      <c r="Z283" s="210"/>
    </row>
    <row r="284" ht="15.75" customHeight="1">
      <c r="A284" s="210"/>
      <c r="B284" s="221"/>
      <c r="C284" s="221"/>
      <c r="D284" s="221"/>
      <c r="E284" s="221"/>
      <c r="F284" s="221"/>
      <c r="G284" s="221"/>
      <c r="H284" s="221"/>
      <c r="I284" s="221"/>
      <c r="J284" s="229"/>
      <c r="K284" s="210"/>
      <c r="L284" s="210"/>
      <c r="M284" s="210"/>
      <c r="N284" s="210"/>
      <c r="O284" s="210"/>
      <c r="P284" s="210"/>
      <c r="Q284" s="210"/>
      <c r="R284" s="210"/>
      <c r="S284" s="210"/>
      <c r="T284" s="210"/>
      <c r="U284" s="210"/>
      <c r="V284" s="210"/>
      <c r="W284" s="210"/>
      <c r="X284" s="210"/>
      <c r="Y284" s="210"/>
      <c r="Z284" s="210"/>
    </row>
    <row r="285" ht="15.75" customHeight="1">
      <c r="A285" s="210"/>
      <c r="B285" s="221"/>
      <c r="C285" s="221"/>
      <c r="D285" s="221"/>
      <c r="E285" s="221"/>
      <c r="F285" s="221"/>
      <c r="G285" s="221"/>
      <c r="H285" s="221"/>
      <c r="I285" s="221"/>
      <c r="J285" s="229"/>
      <c r="K285" s="210"/>
      <c r="L285" s="210"/>
      <c r="M285" s="210"/>
      <c r="N285" s="210"/>
      <c r="O285" s="210"/>
      <c r="P285" s="210"/>
      <c r="Q285" s="210"/>
      <c r="R285" s="210"/>
      <c r="S285" s="210"/>
      <c r="T285" s="210"/>
      <c r="U285" s="210"/>
      <c r="V285" s="210"/>
      <c r="W285" s="210"/>
      <c r="X285" s="210"/>
      <c r="Y285" s="210"/>
      <c r="Z285" s="210"/>
    </row>
    <row r="286" ht="15.75" customHeight="1">
      <c r="A286" s="210"/>
      <c r="B286" s="221"/>
      <c r="C286" s="221"/>
      <c r="D286" s="221"/>
      <c r="E286" s="221"/>
      <c r="F286" s="221"/>
      <c r="G286" s="221"/>
      <c r="H286" s="221"/>
      <c r="I286" s="221"/>
      <c r="J286" s="229"/>
      <c r="K286" s="210"/>
      <c r="L286" s="210"/>
      <c r="M286" s="210"/>
      <c r="N286" s="210"/>
      <c r="O286" s="210"/>
      <c r="P286" s="210"/>
      <c r="Q286" s="210"/>
      <c r="R286" s="210"/>
      <c r="S286" s="210"/>
      <c r="T286" s="210"/>
      <c r="U286" s="210"/>
      <c r="V286" s="210"/>
      <c r="W286" s="210"/>
      <c r="X286" s="210"/>
      <c r="Y286" s="210"/>
      <c r="Z286" s="210"/>
    </row>
    <row r="287" ht="15.75" customHeight="1">
      <c r="A287" s="210"/>
      <c r="B287" s="221"/>
      <c r="C287" s="221"/>
      <c r="D287" s="221"/>
      <c r="E287" s="221"/>
      <c r="F287" s="221"/>
      <c r="G287" s="221"/>
      <c r="H287" s="221"/>
      <c r="I287" s="221"/>
      <c r="J287" s="229"/>
      <c r="K287" s="210"/>
      <c r="L287" s="210"/>
      <c r="M287" s="210"/>
      <c r="N287" s="210"/>
      <c r="O287" s="210"/>
      <c r="P287" s="210"/>
      <c r="Q287" s="210"/>
      <c r="R287" s="210"/>
      <c r="S287" s="210"/>
      <c r="T287" s="210"/>
      <c r="U287" s="210"/>
      <c r="V287" s="210"/>
      <c r="W287" s="210"/>
      <c r="X287" s="210"/>
      <c r="Y287" s="210"/>
      <c r="Z287" s="210"/>
    </row>
    <row r="288" ht="15.75" customHeight="1">
      <c r="A288" s="210"/>
      <c r="B288" s="221"/>
      <c r="C288" s="221"/>
      <c r="D288" s="221"/>
      <c r="E288" s="221"/>
      <c r="F288" s="221"/>
      <c r="G288" s="221"/>
      <c r="H288" s="221"/>
      <c r="I288" s="221"/>
      <c r="J288" s="229"/>
      <c r="K288" s="210"/>
      <c r="L288" s="210"/>
      <c r="M288" s="210"/>
      <c r="N288" s="210"/>
      <c r="O288" s="210"/>
      <c r="P288" s="210"/>
      <c r="Q288" s="210"/>
      <c r="R288" s="210"/>
      <c r="S288" s="210"/>
      <c r="T288" s="210"/>
      <c r="U288" s="210"/>
      <c r="V288" s="210"/>
      <c r="W288" s="210"/>
      <c r="X288" s="210"/>
      <c r="Y288" s="210"/>
      <c r="Z288" s="210"/>
    </row>
    <row r="289" ht="15.75" customHeight="1">
      <c r="A289" s="210"/>
      <c r="B289" s="221"/>
      <c r="C289" s="221"/>
      <c r="D289" s="221"/>
      <c r="E289" s="221"/>
      <c r="F289" s="221"/>
      <c r="G289" s="221"/>
      <c r="H289" s="221"/>
      <c r="I289" s="221"/>
      <c r="J289" s="229"/>
      <c r="K289" s="210"/>
      <c r="L289" s="210"/>
      <c r="M289" s="210"/>
      <c r="N289" s="210"/>
      <c r="O289" s="210"/>
      <c r="P289" s="210"/>
      <c r="Q289" s="210"/>
      <c r="R289" s="210"/>
      <c r="S289" s="210"/>
      <c r="T289" s="210"/>
      <c r="U289" s="210"/>
      <c r="V289" s="210"/>
      <c r="W289" s="210"/>
      <c r="X289" s="210"/>
      <c r="Y289" s="210"/>
      <c r="Z289" s="210"/>
    </row>
    <row r="290" ht="15.75" customHeight="1">
      <c r="A290" s="210"/>
      <c r="B290" s="221"/>
      <c r="C290" s="221"/>
      <c r="D290" s="221"/>
      <c r="E290" s="221"/>
      <c r="F290" s="221"/>
      <c r="G290" s="221"/>
      <c r="H290" s="221"/>
      <c r="I290" s="221"/>
      <c r="J290" s="229"/>
      <c r="K290" s="210"/>
      <c r="L290" s="210"/>
      <c r="M290" s="210"/>
      <c r="N290" s="210"/>
      <c r="O290" s="210"/>
      <c r="P290" s="210"/>
      <c r="Q290" s="210"/>
      <c r="R290" s="210"/>
      <c r="S290" s="210"/>
      <c r="T290" s="210"/>
      <c r="U290" s="210"/>
      <c r="V290" s="210"/>
      <c r="W290" s="210"/>
      <c r="X290" s="210"/>
      <c r="Y290" s="210"/>
      <c r="Z290" s="210"/>
    </row>
    <row r="291" ht="15.75" customHeight="1">
      <c r="A291" s="210"/>
      <c r="B291" s="221"/>
      <c r="C291" s="221"/>
      <c r="D291" s="221"/>
      <c r="E291" s="221"/>
      <c r="F291" s="221"/>
      <c r="G291" s="221"/>
      <c r="H291" s="221"/>
      <c r="I291" s="221"/>
      <c r="J291" s="229"/>
      <c r="K291" s="210"/>
      <c r="L291" s="210"/>
      <c r="M291" s="210"/>
      <c r="N291" s="210"/>
      <c r="O291" s="210"/>
      <c r="P291" s="210"/>
      <c r="Q291" s="210"/>
      <c r="R291" s="210"/>
      <c r="S291" s="210"/>
      <c r="T291" s="210"/>
      <c r="U291" s="210"/>
      <c r="V291" s="210"/>
      <c r="W291" s="210"/>
      <c r="X291" s="210"/>
      <c r="Y291" s="210"/>
      <c r="Z291" s="210"/>
    </row>
    <row r="292" ht="15.75" customHeight="1">
      <c r="A292" s="210"/>
      <c r="B292" s="221"/>
      <c r="C292" s="221"/>
      <c r="D292" s="221"/>
      <c r="E292" s="221"/>
      <c r="F292" s="221"/>
      <c r="G292" s="221"/>
      <c r="H292" s="221"/>
      <c r="I292" s="221"/>
      <c r="J292" s="229"/>
      <c r="K292" s="210"/>
      <c r="L292" s="210"/>
      <c r="M292" s="210"/>
      <c r="N292" s="210"/>
      <c r="O292" s="210"/>
      <c r="P292" s="210"/>
      <c r="Q292" s="210"/>
      <c r="R292" s="210"/>
      <c r="S292" s="210"/>
      <c r="T292" s="210"/>
      <c r="U292" s="210"/>
      <c r="V292" s="210"/>
      <c r="W292" s="210"/>
      <c r="X292" s="210"/>
      <c r="Y292" s="210"/>
      <c r="Z292" s="210"/>
    </row>
    <row r="293" ht="15.75" customHeight="1">
      <c r="A293" s="210"/>
      <c r="B293" s="221"/>
      <c r="C293" s="221"/>
      <c r="D293" s="221"/>
      <c r="E293" s="221"/>
      <c r="F293" s="221"/>
      <c r="G293" s="221"/>
      <c r="H293" s="221"/>
      <c r="I293" s="221"/>
      <c r="J293" s="229"/>
      <c r="K293" s="210"/>
      <c r="L293" s="210"/>
      <c r="M293" s="210"/>
      <c r="N293" s="210"/>
      <c r="O293" s="210"/>
      <c r="P293" s="210"/>
      <c r="Q293" s="210"/>
      <c r="R293" s="210"/>
      <c r="S293" s="210"/>
      <c r="T293" s="210"/>
      <c r="U293" s="210"/>
      <c r="V293" s="210"/>
      <c r="W293" s="210"/>
      <c r="X293" s="210"/>
      <c r="Y293" s="210"/>
      <c r="Z293" s="210"/>
    </row>
    <row r="294" ht="15.75" customHeight="1">
      <c r="A294" s="210"/>
      <c r="B294" s="221"/>
      <c r="C294" s="221"/>
      <c r="D294" s="221"/>
      <c r="E294" s="221"/>
      <c r="F294" s="221"/>
      <c r="G294" s="221"/>
      <c r="H294" s="221"/>
      <c r="I294" s="221"/>
      <c r="J294" s="229"/>
      <c r="K294" s="210"/>
      <c r="L294" s="210"/>
      <c r="M294" s="210"/>
      <c r="N294" s="210"/>
      <c r="O294" s="210"/>
      <c r="P294" s="210"/>
      <c r="Q294" s="210"/>
      <c r="R294" s="210"/>
      <c r="S294" s="210"/>
      <c r="T294" s="210"/>
      <c r="U294" s="210"/>
      <c r="V294" s="210"/>
      <c r="W294" s="210"/>
      <c r="X294" s="210"/>
      <c r="Y294" s="210"/>
      <c r="Z294" s="210"/>
    </row>
    <row r="295" ht="15.75" customHeight="1">
      <c r="A295" s="210"/>
      <c r="B295" s="221"/>
      <c r="C295" s="221"/>
      <c r="D295" s="221"/>
      <c r="E295" s="221"/>
      <c r="F295" s="221"/>
      <c r="G295" s="221"/>
      <c r="H295" s="221"/>
      <c r="I295" s="221"/>
      <c r="J295" s="229"/>
      <c r="K295" s="210"/>
      <c r="L295" s="210"/>
      <c r="M295" s="210"/>
      <c r="N295" s="210"/>
      <c r="O295" s="210"/>
      <c r="P295" s="210"/>
      <c r="Q295" s="210"/>
      <c r="R295" s="210"/>
      <c r="S295" s="210"/>
      <c r="T295" s="210"/>
      <c r="U295" s="210"/>
      <c r="V295" s="210"/>
      <c r="W295" s="210"/>
      <c r="X295" s="210"/>
      <c r="Y295" s="210"/>
      <c r="Z295" s="210"/>
    </row>
    <row r="296" ht="15.75" customHeight="1">
      <c r="A296" s="210"/>
      <c r="B296" s="221"/>
      <c r="C296" s="221"/>
      <c r="D296" s="221"/>
      <c r="E296" s="221"/>
      <c r="F296" s="221"/>
      <c r="G296" s="221"/>
      <c r="H296" s="221"/>
      <c r="I296" s="221"/>
      <c r="J296" s="229"/>
      <c r="K296" s="210"/>
      <c r="L296" s="210"/>
      <c r="M296" s="210"/>
      <c r="N296" s="210"/>
      <c r="O296" s="210"/>
      <c r="P296" s="210"/>
      <c r="Q296" s="210"/>
      <c r="R296" s="210"/>
      <c r="S296" s="210"/>
      <c r="T296" s="210"/>
      <c r="U296" s="210"/>
      <c r="V296" s="210"/>
      <c r="W296" s="210"/>
      <c r="X296" s="210"/>
      <c r="Y296" s="210"/>
      <c r="Z296" s="210"/>
    </row>
    <row r="297" ht="15.75" customHeight="1">
      <c r="A297" s="210"/>
      <c r="B297" s="221"/>
      <c r="C297" s="221"/>
      <c r="D297" s="221"/>
      <c r="E297" s="221"/>
      <c r="F297" s="221"/>
      <c r="G297" s="221"/>
      <c r="H297" s="221"/>
      <c r="I297" s="221"/>
      <c r="J297" s="229"/>
      <c r="K297" s="210"/>
      <c r="L297" s="210"/>
      <c r="M297" s="210"/>
      <c r="N297" s="210"/>
      <c r="O297" s="210"/>
      <c r="P297" s="210"/>
      <c r="Q297" s="210"/>
      <c r="R297" s="210"/>
      <c r="S297" s="210"/>
      <c r="T297" s="210"/>
      <c r="U297" s="210"/>
      <c r="V297" s="210"/>
      <c r="W297" s="210"/>
      <c r="X297" s="210"/>
      <c r="Y297" s="210"/>
      <c r="Z297" s="210"/>
    </row>
    <row r="298" ht="15.75" customHeight="1">
      <c r="A298" s="210"/>
      <c r="B298" s="221"/>
      <c r="C298" s="221"/>
      <c r="D298" s="221"/>
      <c r="E298" s="221"/>
      <c r="F298" s="221"/>
      <c r="G298" s="221"/>
      <c r="H298" s="221"/>
      <c r="I298" s="221"/>
      <c r="J298" s="229"/>
      <c r="K298" s="210"/>
      <c r="L298" s="210"/>
      <c r="M298" s="210"/>
      <c r="N298" s="210"/>
      <c r="O298" s="210"/>
      <c r="P298" s="210"/>
      <c r="Q298" s="210"/>
      <c r="R298" s="210"/>
      <c r="S298" s="210"/>
      <c r="T298" s="210"/>
      <c r="U298" s="210"/>
      <c r="V298" s="210"/>
      <c r="W298" s="210"/>
      <c r="X298" s="210"/>
      <c r="Y298" s="210"/>
      <c r="Z298" s="210"/>
    </row>
    <row r="299" ht="15.75" customHeight="1">
      <c r="A299" s="210"/>
      <c r="B299" s="221"/>
      <c r="C299" s="221"/>
      <c r="D299" s="221"/>
      <c r="E299" s="221"/>
      <c r="F299" s="221"/>
      <c r="G299" s="221"/>
      <c r="H299" s="221"/>
      <c r="I299" s="221"/>
      <c r="J299" s="229"/>
      <c r="K299" s="210"/>
      <c r="L299" s="210"/>
      <c r="M299" s="210"/>
      <c r="N299" s="210"/>
      <c r="O299" s="210"/>
      <c r="P299" s="210"/>
      <c r="Q299" s="210"/>
      <c r="R299" s="210"/>
      <c r="S299" s="210"/>
      <c r="T299" s="210"/>
      <c r="U299" s="210"/>
      <c r="V299" s="210"/>
      <c r="W299" s="210"/>
      <c r="X299" s="210"/>
      <c r="Y299" s="210"/>
      <c r="Z299" s="210"/>
    </row>
    <row r="300" ht="15.75" customHeight="1">
      <c r="A300" s="210"/>
      <c r="B300" s="221"/>
      <c r="C300" s="221"/>
      <c r="D300" s="221"/>
      <c r="E300" s="221"/>
      <c r="F300" s="221"/>
      <c r="G300" s="221"/>
      <c r="H300" s="221"/>
      <c r="I300" s="221"/>
      <c r="J300" s="229"/>
      <c r="K300" s="210"/>
      <c r="L300" s="210"/>
      <c r="M300" s="210"/>
      <c r="N300" s="210"/>
      <c r="O300" s="210"/>
      <c r="P300" s="210"/>
      <c r="Q300" s="210"/>
      <c r="R300" s="210"/>
      <c r="S300" s="210"/>
      <c r="T300" s="210"/>
      <c r="U300" s="210"/>
      <c r="V300" s="210"/>
      <c r="W300" s="210"/>
      <c r="X300" s="210"/>
      <c r="Y300" s="210"/>
      <c r="Z300" s="210"/>
    </row>
    <row r="301" ht="15.75" customHeight="1">
      <c r="A301" s="210"/>
      <c r="B301" s="221"/>
      <c r="C301" s="221"/>
      <c r="D301" s="221"/>
      <c r="E301" s="221"/>
      <c r="F301" s="221"/>
      <c r="G301" s="221"/>
      <c r="H301" s="221"/>
      <c r="I301" s="221"/>
      <c r="J301" s="229"/>
      <c r="K301" s="210"/>
      <c r="L301" s="210"/>
      <c r="M301" s="210"/>
      <c r="N301" s="210"/>
      <c r="O301" s="210"/>
      <c r="P301" s="210"/>
      <c r="Q301" s="210"/>
      <c r="R301" s="210"/>
      <c r="S301" s="210"/>
      <c r="T301" s="210"/>
      <c r="U301" s="210"/>
      <c r="V301" s="210"/>
      <c r="W301" s="210"/>
      <c r="X301" s="210"/>
      <c r="Y301" s="210"/>
      <c r="Z301" s="210"/>
    </row>
    <row r="302" ht="15.75" customHeight="1">
      <c r="A302" s="210"/>
      <c r="B302" s="221"/>
      <c r="C302" s="221"/>
      <c r="D302" s="221"/>
      <c r="E302" s="221"/>
      <c r="F302" s="221"/>
      <c r="G302" s="221"/>
      <c r="H302" s="221"/>
      <c r="I302" s="221"/>
      <c r="J302" s="229"/>
      <c r="K302" s="210"/>
      <c r="L302" s="210"/>
      <c r="M302" s="210"/>
      <c r="N302" s="210"/>
      <c r="O302" s="210"/>
      <c r="P302" s="210"/>
      <c r="Q302" s="210"/>
      <c r="R302" s="210"/>
      <c r="S302" s="210"/>
      <c r="T302" s="210"/>
      <c r="U302" s="210"/>
      <c r="V302" s="210"/>
      <c r="W302" s="210"/>
      <c r="X302" s="210"/>
      <c r="Y302" s="210"/>
      <c r="Z302" s="210"/>
    </row>
    <row r="303" ht="15.75" customHeight="1">
      <c r="A303" s="210"/>
      <c r="B303" s="221"/>
      <c r="C303" s="221"/>
      <c r="D303" s="221"/>
      <c r="E303" s="221"/>
      <c r="F303" s="221"/>
      <c r="G303" s="221"/>
      <c r="H303" s="221"/>
      <c r="I303" s="221"/>
      <c r="J303" s="229"/>
      <c r="K303" s="210"/>
      <c r="L303" s="210"/>
      <c r="M303" s="210"/>
      <c r="N303" s="210"/>
      <c r="O303" s="210"/>
      <c r="P303" s="210"/>
      <c r="Q303" s="210"/>
      <c r="R303" s="210"/>
      <c r="S303" s="210"/>
      <c r="T303" s="210"/>
      <c r="U303" s="210"/>
      <c r="V303" s="210"/>
      <c r="W303" s="210"/>
      <c r="X303" s="210"/>
      <c r="Y303" s="210"/>
      <c r="Z303" s="210"/>
    </row>
    <row r="304" ht="15.75" customHeight="1">
      <c r="A304" s="210"/>
      <c r="B304" s="221"/>
      <c r="C304" s="221"/>
      <c r="D304" s="221"/>
      <c r="E304" s="221"/>
      <c r="F304" s="221"/>
      <c r="G304" s="221"/>
      <c r="H304" s="221"/>
      <c r="I304" s="221"/>
      <c r="J304" s="229"/>
      <c r="K304" s="210"/>
      <c r="L304" s="210"/>
      <c r="M304" s="210"/>
      <c r="N304" s="210"/>
      <c r="O304" s="210"/>
      <c r="P304" s="210"/>
      <c r="Q304" s="210"/>
      <c r="R304" s="210"/>
      <c r="S304" s="210"/>
      <c r="T304" s="210"/>
      <c r="U304" s="210"/>
      <c r="V304" s="210"/>
      <c r="W304" s="210"/>
      <c r="X304" s="210"/>
      <c r="Y304" s="210"/>
      <c r="Z304" s="210"/>
    </row>
    <row r="305" ht="15.75" customHeight="1">
      <c r="A305" s="210"/>
      <c r="B305" s="221"/>
      <c r="C305" s="221"/>
      <c r="D305" s="221"/>
      <c r="E305" s="221"/>
      <c r="F305" s="221"/>
      <c r="G305" s="221"/>
      <c r="H305" s="221"/>
      <c r="I305" s="221"/>
      <c r="J305" s="229"/>
      <c r="K305" s="210"/>
      <c r="L305" s="210"/>
      <c r="M305" s="210"/>
      <c r="N305" s="210"/>
      <c r="O305" s="210"/>
      <c r="P305" s="210"/>
      <c r="Q305" s="210"/>
      <c r="R305" s="210"/>
      <c r="S305" s="210"/>
      <c r="T305" s="210"/>
      <c r="U305" s="210"/>
      <c r="V305" s="210"/>
      <c r="W305" s="210"/>
      <c r="X305" s="210"/>
      <c r="Y305" s="210"/>
      <c r="Z305" s="210"/>
    </row>
    <row r="306" ht="15.75" customHeight="1">
      <c r="A306" s="210"/>
      <c r="B306" s="221"/>
      <c r="C306" s="221"/>
      <c r="D306" s="221"/>
      <c r="E306" s="221"/>
      <c r="F306" s="221"/>
      <c r="G306" s="221"/>
      <c r="H306" s="221"/>
      <c r="I306" s="221"/>
      <c r="J306" s="229"/>
      <c r="K306" s="210"/>
      <c r="L306" s="210"/>
      <c r="M306" s="210"/>
      <c r="N306" s="210"/>
      <c r="O306" s="210"/>
      <c r="P306" s="210"/>
      <c r="Q306" s="210"/>
      <c r="R306" s="210"/>
      <c r="S306" s="210"/>
      <c r="T306" s="210"/>
      <c r="U306" s="210"/>
      <c r="V306" s="210"/>
      <c r="W306" s="210"/>
      <c r="X306" s="210"/>
      <c r="Y306" s="210"/>
      <c r="Z306" s="210"/>
    </row>
    <row r="307" ht="15.75" customHeight="1">
      <c r="A307" s="210"/>
      <c r="B307" s="221"/>
      <c r="C307" s="221"/>
      <c r="D307" s="221"/>
      <c r="E307" s="221"/>
      <c r="F307" s="221"/>
      <c r="G307" s="221"/>
      <c r="H307" s="221"/>
      <c r="I307" s="221"/>
      <c r="J307" s="229"/>
      <c r="K307" s="210"/>
      <c r="L307" s="210"/>
      <c r="M307" s="210"/>
      <c r="N307" s="210"/>
      <c r="O307" s="210"/>
      <c r="P307" s="210"/>
      <c r="Q307" s="210"/>
      <c r="R307" s="210"/>
      <c r="S307" s="210"/>
      <c r="T307" s="210"/>
      <c r="U307" s="210"/>
      <c r="V307" s="210"/>
      <c r="W307" s="210"/>
      <c r="X307" s="210"/>
      <c r="Y307" s="210"/>
      <c r="Z307" s="210"/>
    </row>
    <row r="308" ht="15.75" customHeight="1">
      <c r="A308" s="210"/>
      <c r="B308" s="221"/>
      <c r="C308" s="221"/>
      <c r="D308" s="221"/>
      <c r="E308" s="221"/>
      <c r="F308" s="221"/>
      <c r="G308" s="221"/>
      <c r="H308" s="221"/>
      <c r="I308" s="221"/>
      <c r="J308" s="229"/>
      <c r="K308" s="210"/>
      <c r="L308" s="210"/>
      <c r="M308" s="210"/>
      <c r="N308" s="210"/>
      <c r="O308" s="210"/>
      <c r="P308" s="210"/>
      <c r="Q308" s="210"/>
      <c r="R308" s="210"/>
      <c r="S308" s="210"/>
      <c r="T308" s="210"/>
      <c r="U308" s="210"/>
      <c r="V308" s="210"/>
      <c r="W308" s="210"/>
      <c r="X308" s="210"/>
      <c r="Y308" s="210"/>
      <c r="Z308" s="210"/>
    </row>
    <row r="309" ht="15.75" customHeight="1">
      <c r="A309" s="210"/>
      <c r="B309" s="221"/>
      <c r="C309" s="221"/>
      <c r="D309" s="221"/>
      <c r="E309" s="221"/>
      <c r="F309" s="221"/>
      <c r="G309" s="221"/>
      <c r="H309" s="221"/>
      <c r="I309" s="221"/>
      <c r="J309" s="229"/>
      <c r="K309" s="210"/>
      <c r="L309" s="210"/>
      <c r="M309" s="210"/>
      <c r="N309" s="210"/>
      <c r="O309" s="210"/>
      <c r="P309" s="210"/>
      <c r="Q309" s="210"/>
      <c r="R309" s="210"/>
      <c r="S309" s="210"/>
      <c r="T309" s="210"/>
      <c r="U309" s="210"/>
      <c r="V309" s="210"/>
      <c r="W309" s="210"/>
      <c r="X309" s="210"/>
      <c r="Y309" s="210"/>
      <c r="Z309" s="210"/>
    </row>
    <row r="310" ht="15.75" customHeight="1">
      <c r="A310" s="210"/>
      <c r="B310" s="221"/>
      <c r="C310" s="221"/>
      <c r="D310" s="221"/>
      <c r="E310" s="221"/>
      <c r="F310" s="221"/>
      <c r="G310" s="221"/>
      <c r="H310" s="221"/>
      <c r="I310" s="221"/>
      <c r="J310" s="229"/>
      <c r="K310" s="210"/>
      <c r="L310" s="210"/>
      <c r="M310" s="210"/>
      <c r="N310" s="210"/>
      <c r="O310" s="210"/>
      <c r="P310" s="210"/>
      <c r="Q310" s="210"/>
      <c r="R310" s="210"/>
      <c r="S310" s="210"/>
      <c r="T310" s="210"/>
      <c r="U310" s="210"/>
      <c r="V310" s="210"/>
      <c r="W310" s="210"/>
      <c r="X310" s="210"/>
      <c r="Y310" s="210"/>
      <c r="Z310" s="210"/>
    </row>
    <row r="311" ht="15.75" customHeight="1">
      <c r="A311" s="210"/>
      <c r="B311" s="221"/>
      <c r="C311" s="221"/>
      <c r="D311" s="221"/>
      <c r="E311" s="221"/>
      <c r="F311" s="221"/>
      <c r="G311" s="221"/>
      <c r="H311" s="221"/>
      <c r="I311" s="221"/>
      <c r="J311" s="229"/>
      <c r="K311" s="210"/>
      <c r="L311" s="210"/>
      <c r="M311" s="210"/>
      <c r="N311" s="210"/>
      <c r="O311" s="210"/>
      <c r="P311" s="210"/>
      <c r="Q311" s="210"/>
      <c r="R311" s="210"/>
      <c r="S311" s="210"/>
      <c r="T311" s="210"/>
      <c r="U311" s="210"/>
      <c r="V311" s="210"/>
      <c r="W311" s="210"/>
      <c r="X311" s="210"/>
      <c r="Y311" s="210"/>
      <c r="Z311" s="210"/>
    </row>
    <row r="312" ht="15.75" customHeight="1">
      <c r="A312" s="210"/>
      <c r="B312" s="221"/>
      <c r="C312" s="221"/>
      <c r="D312" s="221"/>
      <c r="E312" s="221"/>
      <c r="F312" s="221"/>
      <c r="G312" s="221"/>
      <c r="H312" s="221"/>
      <c r="I312" s="221"/>
      <c r="J312" s="229"/>
      <c r="K312" s="210"/>
      <c r="L312" s="210"/>
      <c r="M312" s="210"/>
      <c r="N312" s="210"/>
      <c r="O312" s="210"/>
      <c r="P312" s="210"/>
      <c r="Q312" s="210"/>
      <c r="R312" s="210"/>
      <c r="S312" s="210"/>
      <c r="T312" s="210"/>
      <c r="U312" s="210"/>
      <c r="V312" s="210"/>
      <c r="W312" s="210"/>
      <c r="X312" s="210"/>
      <c r="Y312" s="210"/>
      <c r="Z312" s="210"/>
    </row>
    <row r="313" ht="15.75" customHeight="1">
      <c r="A313" s="210"/>
      <c r="B313" s="221"/>
      <c r="C313" s="221"/>
      <c r="D313" s="221"/>
      <c r="E313" s="221"/>
      <c r="F313" s="221"/>
      <c r="G313" s="221"/>
      <c r="H313" s="221"/>
      <c r="I313" s="221"/>
      <c r="J313" s="229"/>
      <c r="K313" s="210"/>
      <c r="L313" s="210"/>
      <c r="M313" s="210"/>
      <c r="N313" s="210"/>
      <c r="O313" s="210"/>
      <c r="P313" s="210"/>
      <c r="Q313" s="210"/>
      <c r="R313" s="210"/>
      <c r="S313" s="210"/>
      <c r="T313" s="210"/>
      <c r="U313" s="210"/>
      <c r="V313" s="210"/>
      <c r="W313" s="210"/>
      <c r="X313" s="210"/>
      <c r="Y313" s="210"/>
      <c r="Z313" s="210"/>
    </row>
    <row r="314" ht="15.75" customHeight="1">
      <c r="A314" s="210"/>
      <c r="B314" s="221"/>
      <c r="C314" s="221"/>
      <c r="D314" s="221"/>
      <c r="E314" s="221"/>
      <c r="F314" s="221"/>
      <c r="G314" s="221"/>
      <c r="H314" s="221"/>
      <c r="I314" s="221"/>
      <c r="J314" s="229"/>
      <c r="K314" s="210"/>
      <c r="L314" s="210"/>
      <c r="M314" s="210"/>
      <c r="N314" s="210"/>
      <c r="O314" s="210"/>
      <c r="P314" s="210"/>
      <c r="Q314" s="210"/>
      <c r="R314" s="210"/>
      <c r="S314" s="210"/>
      <c r="T314" s="210"/>
      <c r="U314" s="210"/>
      <c r="V314" s="210"/>
      <c r="W314" s="210"/>
      <c r="X314" s="210"/>
      <c r="Y314" s="210"/>
      <c r="Z314" s="210"/>
    </row>
    <row r="315" ht="15.75" customHeight="1">
      <c r="A315" s="210"/>
      <c r="B315" s="221"/>
      <c r="C315" s="221"/>
      <c r="D315" s="221"/>
      <c r="E315" s="221"/>
      <c r="F315" s="221"/>
      <c r="G315" s="221"/>
      <c r="H315" s="221"/>
      <c r="I315" s="221"/>
      <c r="J315" s="229"/>
      <c r="K315" s="210"/>
      <c r="L315" s="210"/>
      <c r="M315" s="210"/>
      <c r="N315" s="210"/>
      <c r="O315" s="210"/>
      <c r="P315" s="210"/>
      <c r="Q315" s="210"/>
      <c r="R315" s="210"/>
      <c r="S315" s="210"/>
      <c r="T315" s="210"/>
      <c r="U315" s="210"/>
      <c r="V315" s="210"/>
      <c r="W315" s="210"/>
      <c r="X315" s="210"/>
      <c r="Y315" s="210"/>
      <c r="Z315" s="210"/>
    </row>
    <row r="316" ht="15.75" customHeight="1">
      <c r="A316" s="210"/>
      <c r="B316" s="221"/>
      <c r="C316" s="221"/>
      <c r="D316" s="221"/>
      <c r="E316" s="221"/>
      <c r="F316" s="221"/>
      <c r="G316" s="221"/>
      <c r="H316" s="221"/>
      <c r="I316" s="221"/>
      <c r="J316" s="229"/>
      <c r="K316" s="210"/>
      <c r="L316" s="210"/>
      <c r="M316" s="210"/>
      <c r="N316" s="210"/>
      <c r="O316" s="210"/>
      <c r="P316" s="210"/>
      <c r="Q316" s="210"/>
      <c r="R316" s="210"/>
      <c r="S316" s="210"/>
      <c r="T316" s="210"/>
      <c r="U316" s="210"/>
      <c r="V316" s="210"/>
      <c r="W316" s="210"/>
      <c r="X316" s="210"/>
      <c r="Y316" s="210"/>
      <c r="Z316" s="210"/>
    </row>
    <row r="317" ht="15.75" customHeight="1">
      <c r="A317" s="210"/>
      <c r="B317" s="221"/>
      <c r="C317" s="221"/>
      <c r="D317" s="221"/>
      <c r="E317" s="221"/>
      <c r="F317" s="221"/>
      <c r="G317" s="221"/>
      <c r="H317" s="221"/>
      <c r="I317" s="221"/>
      <c r="J317" s="229"/>
      <c r="K317" s="210"/>
      <c r="L317" s="210"/>
      <c r="M317" s="210"/>
      <c r="N317" s="210"/>
      <c r="O317" s="210"/>
      <c r="P317" s="210"/>
      <c r="Q317" s="210"/>
      <c r="R317" s="210"/>
      <c r="S317" s="210"/>
      <c r="T317" s="210"/>
      <c r="U317" s="210"/>
      <c r="V317" s="210"/>
      <c r="W317" s="210"/>
      <c r="X317" s="210"/>
      <c r="Y317" s="210"/>
      <c r="Z317" s="210"/>
    </row>
    <row r="318" ht="15.75" customHeight="1">
      <c r="A318" s="210"/>
      <c r="B318" s="221"/>
      <c r="C318" s="221"/>
      <c r="D318" s="221"/>
      <c r="E318" s="221"/>
      <c r="F318" s="221"/>
      <c r="G318" s="221"/>
      <c r="H318" s="221"/>
      <c r="I318" s="221"/>
      <c r="J318" s="229"/>
      <c r="K318" s="210"/>
      <c r="L318" s="210"/>
      <c r="M318" s="210"/>
      <c r="N318" s="210"/>
      <c r="O318" s="210"/>
      <c r="P318" s="210"/>
      <c r="Q318" s="210"/>
      <c r="R318" s="210"/>
      <c r="S318" s="210"/>
      <c r="T318" s="210"/>
      <c r="U318" s="210"/>
      <c r="V318" s="210"/>
      <c r="W318" s="210"/>
      <c r="X318" s="210"/>
      <c r="Y318" s="210"/>
      <c r="Z318" s="210"/>
    </row>
    <row r="319" ht="15.75" customHeight="1">
      <c r="A319" s="210"/>
      <c r="B319" s="221"/>
      <c r="C319" s="221"/>
      <c r="D319" s="221"/>
      <c r="E319" s="221"/>
      <c r="F319" s="221"/>
      <c r="G319" s="221"/>
      <c r="H319" s="221"/>
      <c r="I319" s="221"/>
      <c r="J319" s="229"/>
      <c r="K319" s="210"/>
      <c r="L319" s="210"/>
      <c r="M319" s="210"/>
      <c r="N319" s="210"/>
      <c r="O319" s="210"/>
      <c r="P319" s="210"/>
      <c r="Q319" s="210"/>
      <c r="R319" s="210"/>
      <c r="S319" s="210"/>
      <c r="T319" s="210"/>
      <c r="U319" s="210"/>
      <c r="V319" s="210"/>
      <c r="W319" s="210"/>
      <c r="X319" s="210"/>
      <c r="Y319" s="210"/>
      <c r="Z319" s="210"/>
    </row>
    <row r="320" ht="15.75" customHeight="1">
      <c r="A320" s="210"/>
      <c r="B320" s="221"/>
      <c r="C320" s="221"/>
      <c r="D320" s="221"/>
      <c r="E320" s="221"/>
      <c r="F320" s="221"/>
      <c r="G320" s="221"/>
      <c r="H320" s="221"/>
      <c r="I320" s="221"/>
      <c r="J320" s="229"/>
      <c r="K320" s="210"/>
      <c r="L320" s="210"/>
      <c r="M320" s="210"/>
      <c r="N320" s="210"/>
      <c r="O320" s="210"/>
      <c r="P320" s="210"/>
      <c r="Q320" s="210"/>
      <c r="R320" s="210"/>
      <c r="S320" s="210"/>
      <c r="T320" s="210"/>
      <c r="U320" s="210"/>
      <c r="V320" s="210"/>
      <c r="W320" s="210"/>
      <c r="X320" s="210"/>
      <c r="Y320" s="210"/>
      <c r="Z320" s="210"/>
    </row>
    <row r="321" ht="15.75" customHeight="1">
      <c r="A321" s="210"/>
      <c r="B321" s="221"/>
      <c r="C321" s="221"/>
      <c r="D321" s="221"/>
      <c r="E321" s="221"/>
      <c r="F321" s="221"/>
      <c r="G321" s="221"/>
      <c r="H321" s="221"/>
      <c r="I321" s="221"/>
      <c r="J321" s="229"/>
      <c r="K321" s="210"/>
      <c r="L321" s="210"/>
      <c r="M321" s="210"/>
      <c r="N321" s="210"/>
      <c r="O321" s="210"/>
      <c r="P321" s="210"/>
      <c r="Q321" s="210"/>
      <c r="R321" s="210"/>
      <c r="S321" s="210"/>
      <c r="T321" s="210"/>
      <c r="U321" s="210"/>
      <c r="V321" s="210"/>
      <c r="W321" s="210"/>
      <c r="X321" s="210"/>
      <c r="Y321" s="210"/>
      <c r="Z321" s="210"/>
    </row>
    <row r="322" ht="15.75" customHeight="1">
      <c r="A322" s="210"/>
      <c r="B322" s="221"/>
      <c r="C322" s="221"/>
      <c r="D322" s="221"/>
      <c r="E322" s="221"/>
      <c r="F322" s="221"/>
      <c r="G322" s="221"/>
      <c r="H322" s="221"/>
      <c r="I322" s="221"/>
      <c r="J322" s="229"/>
      <c r="K322" s="210"/>
      <c r="L322" s="210"/>
      <c r="M322" s="210"/>
      <c r="N322" s="210"/>
      <c r="O322" s="210"/>
      <c r="P322" s="210"/>
      <c r="Q322" s="210"/>
      <c r="R322" s="210"/>
      <c r="S322" s="210"/>
      <c r="T322" s="210"/>
      <c r="U322" s="210"/>
      <c r="V322" s="210"/>
      <c r="W322" s="210"/>
      <c r="X322" s="210"/>
      <c r="Y322" s="210"/>
      <c r="Z322" s="210"/>
    </row>
    <row r="323" ht="15.75" customHeight="1">
      <c r="A323" s="210"/>
      <c r="B323" s="221"/>
      <c r="C323" s="221"/>
      <c r="D323" s="221"/>
      <c r="E323" s="221"/>
      <c r="F323" s="221"/>
      <c r="G323" s="221"/>
      <c r="H323" s="221"/>
      <c r="I323" s="221"/>
      <c r="J323" s="229"/>
      <c r="K323" s="210"/>
      <c r="L323" s="210"/>
      <c r="M323" s="210"/>
      <c r="N323" s="210"/>
      <c r="O323" s="210"/>
      <c r="P323" s="210"/>
      <c r="Q323" s="210"/>
      <c r="R323" s="210"/>
      <c r="S323" s="210"/>
      <c r="T323" s="210"/>
      <c r="U323" s="210"/>
      <c r="V323" s="210"/>
      <c r="W323" s="210"/>
      <c r="X323" s="210"/>
      <c r="Y323" s="210"/>
      <c r="Z323" s="210"/>
    </row>
    <row r="324" ht="15.75" customHeight="1">
      <c r="A324" s="210"/>
      <c r="B324" s="221"/>
      <c r="C324" s="221"/>
      <c r="D324" s="221"/>
      <c r="E324" s="221"/>
      <c r="F324" s="221"/>
      <c r="G324" s="221"/>
      <c r="H324" s="221"/>
      <c r="I324" s="221"/>
      <c r="J324" s="229"/>
      <c r="K324" s="210"/>
      <c r="L324" s="210"/>
      <c r="M324" s="210"/>
      <c r="N324" s="210"/>
      <c r="O324" s="210"/>
      <c r="P324" s="210"/>
      <c r="Q324" s="210"/>
      <c r="R324" s="210"/>
      <c r="S324" s="210"/>
      <c r="T324" s="210"/>
      <c r="U324" s="210"/>
      <c r="V324" s="210"/>
      <c r="W324" s="210"/>
      <c r="X324" s="210"/>
      <c r="Y324" s="210"/>
      <c r="Z324" s="210"/>
    </row>
    <row r="325" ht="15.75" customHeight="1">
      <c r="A325" s="210"/>
      <c r="B325" s="221"/>
      <c r="C325" s="221"/>
      <c r="D325" s="221"/>
      <c r="E325" s="221"/>
      <c r="F325" s="221"/>
      <c r="G325" s="221"/>
      <c r="H325" s="221"/>
      <c r="I325" s="221"/>
      <c r="J325" s="229"/>
      <c r="K325" s="210"/>
      <c r="L325" s="210"/>
      <c r="M325" s="210"/>
      <c r="N325" s="210"/>
      <c r="O325" s="210"/>
      <c r="P325" s="210"/>
      <c r="Q325" s="210"/>
      <c r="R325" s="210"/>
      <c r="S325" s="210"/>
      <c r="T325" s="210"/>
      <c r="U325" s="210"/>
      <c r="V325" s="210"/>
      <c r="W325" s="210"/>
      <c r="X325" s="210"/>
      <c r="Y325" s="210"/>
      <c r="Z325" s="210"/>
    </row>
    <row r="326" ht="15.75" customHeight="1">
      <c r="A326" s="210"/>
      <c r="B326" s="221"/>
      <c r="C326" s="221"/>
      <c r="D326" s="221"/>
      <c r="E326" s="221"/>
      <c r="F326" s="221"/>
      <c r="G326" s="221"/>
      <c r="H326" s="221"/>
      <c r="I326" s="221"/>
      <c r="J326" s="229"/>
      <c r="K326" s="210"/>
      <c r="L326" s="210"/>
      <c r="M326" s="210"/>
      <c r="N326" s="210"/>
      <c r="O326" s="210"/>
      <c r="P326" s="210"/>
      <c r="Q326" s="210"/>
      <c r="R326" s="210"/>
      <c r="S326" s="210"/>
      <c r="T326" s="210"/>
      <c r="U326" s="210"/>
      <c r="V326" s="210"/>
      <c r="W326" s="210"/>
      <c r="X326" s="210"/>
      <c r="Y326" s="210"/>
      <c r="Z326" s="210"/>
    </row>
    <row r="327" ht="15.75" customHeight="1">
      <c r="A327" s="210"/>
      <c r="B327" s="221"/>
      <c r="C327" s="221"/>
      <c r="D327" s="221"/>
      <c r="E327" s="221"/>
      <c r="F327" s="221"/>
      <c r="G327" s="221"/>
      <c r="H327" s="221"/>
      <c r="I327" s="221"/>
      <c r="J327" s="229"/>
      <c r="K327" s="210"/>
      <c r="L327" s="210"/>
      <c r="M327" s="210"/>
      <c r="N327" s="210"/>
      <c r="O327" s="210"/>
      <c r="P327" s="210"/>
      <c r="Q327" s="210"/>
      <c r="R327" s="210"/>
      <c r="S327" s="210"/>
      <c r="T327" s="210"/>
      <c r="U327" s="210"/>
      <c r="V327" s="210"/>
      <c r="W327" s="210"/>
      <c r="X327" s="210"/>
      <c r="Y327" s="210"/>
      <c r="Z327" s="210"/>
    </row>
    <row r="328" ht="15.75" customHeight="1">
      <c r="A328" s="210"/>
      <c r="B328" s="221"/>
      <c r="C328" s="221"/>
      <c r="D328" s="221"/>
      <c r="E328" s="221"/>
      <c r="F328" s="221"/>
      <c r="G328" s="221"/>
      <c r="H328" s="221"/>
      <c r="I328" s="221"/>
      <c r="J328" s="229"/>
      <c r="K328" s="210"/>
      <c r="L328" s="210"/>
      <c r="M328" s="210"/>
      <c r="N328" s="210"/>
      <c r="O328" s="210"/>
      <c r="P328" s="210"/>
      <c r="Q328" s="210"/>
      <c r="R328" s="210"/>
      <c r="S328" s="210"/>
      <c r="T328" s="210"/>
      <c r="U328" s="210"/>
      <c r="V328" s="210"/>
      <c r="W328" s="210"/>
      <c r="X328" s="210"/>
      <c r="Y328" s="210"/>
      <c r="Z328" s="210"/>
    </row>
    <row r="329" ht="15.75" customHeight="1">
      <c r="A329" s="210"/>
      <c r="B329" s="221"/>
      <c r="C329" s="221"/>
      <c r="D329" s="221"/>
      <c r="E329" s="221"/>
      <c r="F329" s="221"/>
      <c r="G329" s="221"/>
      <c r="H329" s="221"/>
      <c r="I329" s="221"/>
      <c r="J329" s="229"/>
      <c r="K329" s="210"/>
      <c r="L329" s="210"/>
      <c r="M329" s="210"/>
      <c r="N329" s="210"/>
      <c r="O329" s="210"/>
      <c r="P329" s="210"/>
      <c r="Q329" s="210"/>
      <c r="R329" s="210"/>
      <c r="S329" s="210"/>
      <c r="T329" s="210"/>
      <c r="U329" s="210"/>
      <c r="V329" s="210"/>
      <c r="W329" s="210"/>
      <c r="X329" s="210"/>
      <c r="Y329" s="210"/>
      <c r="Z329" s="210"/>
    </row>
    <row r="330" ht="15.75" customHeight="1">
      <c r="A330" s="210"/>
      <c r="B330" s="221"/>
      <c r="C330" s="221"/>
      <c r="D330" s="221"/>
      <c r="E330" s="221"/>
      <c r="F330" s="221"/>
      <c r="G330" s="221"/>
      <c r="H330" s="221"/>
      <c r="I330" s="221"/>
      <c r="J330" s="229"/>
      <c r="K330" s="210"/>
      <c r="L330" s="210"/>
      <c r="M330" s="210"/>
      <c r="N330" s="210"/>
      <c r="O330" s="210"/>
      <c r="P330" s="210"/>
      <c r="Q330" s="210"/>
      <c r="R330" s="210"/>
      <c r="S330" s="210"/>
      <c r="T330" s="210"/>
      <c r="U330" s="210"/>
      <c r="V330" s="210"/>
      <c r="W330" s="210"/>
      <c r="X330" s="210"/>
      <c r="Y330" s="210"/>
      <c r="Z330" s="210"/>
    </row>
    <row r="331" ht="15.75" customHeight="1">
      <c r="A331" s="210"/>
      <c r="B331" s="221"/>
      <c r="C331" s="221"/>
      <c r="D331" s="221"/>
      <c r="E331" s="221"/>
      <c r="F331" s="221"/>
      <c r="G331" s="221"/>
      <c r="H331" s="221"/>
      <c r="I331" s="221"/>
      <c r="J331" s="22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0"/>
      <c r="X331" s="210"/>
      <c r="Y331" s="210"/>
      <c r="Z331" s="210"/>
    </row>
    <row r="332" ht="15.75" customHeight="1">
      <c r="A332" s="210"/>
      <c r="B332" s="221"/>
      <c r="C332" s="221"/>
      <c r="D332" s="221"/>
      <c r="E332" s="221"/>
      <c r="F332" s="221"/>
      <c r="G332" s="221"/>
      <c r="H332" s="221"/>
      <c r="I332" s="221"/>
      <c r="J332" s="229"/>
      <c r="K332" s="210"/>
      <c r="L332" s="210"/>
      <c r="M332" s="210"/>
      <c r="N332" s="210"/>
      <c r="O332" s="210"/>
      <c r="P332" s="210"/>
      <c r="Q332" s="210"/>
      <c r="R332" s="210"/>
      <c r="S332" s="210"/>
      <c r="T332" s="210"/>
      <c r="U332" s="210"/>
      <c r="V332" s="210"/>
      <c r="W332" s="210"/>
      <c r="X332" s="210"/>
      <c r="Y332" s="210"/>
      <c r="Z332" s="210"/>
    </row>
    <row r="333" ht="15.75" customHeight="1">
      <c r="A333" s="210"/>
      <c r="B333" s="221"/>
      <c r="C333" s="221"/>
      <c r="D333" s="221"/>
      <c r="E333" s="221"/>
      <c r="F333" s="221"/>
      <c r="G333" s="221"/>
      <c r="H333" s="221"/>
      <c r="I333" s="221"/>
      <c r="J333" s="229"/>
      <c r="K333" s="210"/>
      <c r="L333" s="210"/>
      <c r="M333" s="210"/>
      <c r="N333" s="210"/>
      <c r="O333" s="210"/>
      <c r="P333" s="210"/>
      <c r="Q333" s="210"/>
      <c r="R333" s="210"/>
      <c r="S333" s="210"/>
      <c r="T333" s="210"/>
      <c r="U333" s="210"/>
      <c r="V333" s="210"/>
      <c r="W333" s="210"/>
      <c r="X333" s="210"/>
      <c r="Y333" s="210"/>
      <c r="Z333" s="210"/>
    </row>
    <row r="334" ht="15.75" customHeight="1">
      <c r="A334" s="210"/>
      <c r="B334" s="221"/>
      <c r="C334" s="221"/>
      <c r="D334" s="221"/>
      <c r="E334" s="221"/>
      <c r="F334" s="221"/>
      <c r="G334" s="221"/>
      <c r="H334" s="221"/>
      <c r="I334" s="221"/>
      <c r="J334" s="229"/>
      <c r="K334" s="210"/>
      <c r="L334" s="210"/>
      <c r="M334" s="210"/>
      <c r="N334" s="210"/>
      <c r="O334" s="210"/>
      <c r="P334" s="210"/>
      <c r="Q334" s="210"/>
      <c r="R334" s="210"/>
      <c r="S334" s="210"/>
      <c r="T334" s="210"/>
      <c r="U334" s="210"/>
      <c r="V334" s="210"/>
      <c r="W334" s="210"/>
      <c r="X334" s="210"/>
      <c r="Y334" s="210"/>
      <c r="Z334" s="210"/>
    </row>
    <row r="335" ht="15.75" customHeight="1">
      <c r="A335" s="210"/>
      <c r="B335" s="221"/>
      <c r="C335" s="221"/>
      <c r="D335" s="221"/>
      <c r="E335" s="221"/>
      <c r="F335" s="221"/>
      <c r="G335" s="221"/>
      <c r="H335" s="221"/>
      <c r="I335" s="221"/>
      <c r="J335" s="229"/>
      <c r="K335" s="210"/>
      <c r="L335" s="210"/>
      <c r="M335" s="210"/>
      <c r="N335" s="210"/>
      <c r="O335" s="210"/>
      <c r="P335" s="210"/>
      <c r="Q335" s="210"/>
      <c r="R335" s="210"/>
      <c r="S335" s="210"/>
      <c r="T335" s="210"/>
      <c r="U335" s="210"/>
      <c r="V335" s="210"/>
      <c r="W335" s="210"/>
      <c r="X335" s="210"/>
      <c r="Y335" s="210"/>
      <c r="Z335" s="210"/>
    </row>
    <row r="336" ht="15.75" customHeight="1">
      <c r="A336" s="210"/>
      <c r="B336" s="221"/>
      <c r="C336" s="221"/>
      <c r="D336" s="221"/>
      <c r="E336" s="221"/>
      <c r="F336" s="221"/>
      <c r="G336" s="221"/>
      <c r="H336" s="221"/>
      <c r="I336" s="221"/>
      <c r="J336" s="229"/>
      <c r="K336" s="210"/>
      <c r="L336" s="210"/>
      <c r="M336" s="210"/>
      <c r="N336" s="210"/>
      <c r="O336" s="210"/>
      <c r="P336" s="210"/>
      <c r="Q336" s="210"/>
      <c r="R336" s="210"/>
      <c r="S336" s="210"/>
      <c r="T336" s="210"/>
      <c r="U336" s="210"/>
      <c r="V336" s="210"/>
      <c r="W336" s="210"/>
      <c r="X336" s="210"/>
      <c r="Y336" s="210"/>
      <c r="Z336" s="210"/>
    </row>
    <row r="337" ht="15.75" customHeight="1">
      <c r="A337" s="210"/>
      <c r="B337" s="221"/>
      <c r="C337" s="221"/>
      <c r="D337" s="221"/>
      <c r="E337" s="221"/>
      <c r="F337" s="221"/>
      <c r="G337" s="221"/>
      <c r="H337" s="221"/>
      <c r="I337" s="221"/>
      <c r="J337" s="229"/>
      <c r="K337" s="210"/>
      <c r="L337" s="210"/>
      <c r="M337" s="210"/>
      <c r="N337" s="210"/>
      <c r="O337" s="210"/>
      <c r="P337" s="210"/>
      <c r="Q337" s="210"/>
      <c r="R337" s="210"/>
      <c r="S337" s="210"/>
      <c r="T337" s="210"/>
      <c r="U337" s="210"/>
      <c r="V337" s="210"/>
      <c r="W337" s="210"/>
      <c r="X337" s="210"/>
      <c r="Y337" s="210"/>
      <c r="Z337" s="210"/>
    </row>
    <row r="338" ht="15.75" customHeight="1">
      <c r="A338" s="210"/>
      <c r="B338" s="221"/>
      <c r="C338" s="221"/>
      <c r="D338" s="221"/>
      <c r="E338" s="221"/>
      <c r="F338" s="221"/>
      <c r="G338" s="221"/>
      <c r="H338" s="221"/>
      <c r="I338" s="221"/>
      <c r="J338" s="229"/>
      <c r="K338" s="210"/>
      <c r="L338" s="210"/>
      <c r="M338" s="210"/>
      <c r="N338" s="210"/>
      <c r="O338" s="210"/>
      <c r="P338" s="210"/>
      <c r="Q338" s="210"/>
      <c r="R338" s="210"/>
      <c r="S338" s="210"/>
      <c r="T338" s="210"/>
      <c r="U338" s="210"/>
      <c r="V338" s="210"/>
      <c r="W338" s="210"/>
      <c r="X338" s="210"/>
      <c r="Y338" s="210"/>
      <c r="Z338" s="210"/>
    </row>
    <row r="339" ht="15.75" customHeight="1">
      <c r="A339" s="210"/>
      <c r="B339" s="221"/>
      <c r="C339" s="221"/>
      <c r="D339" s="221"/>
      <c r="E339" s="221"/>
      <c r="F339" s="221"/>
      <c r="G339" s="221"/>
      <c r="H339" s="221"/>
      <c r="I339" s="221"/>
      <c r="J339" s="229"/>
      <c r="K339" s="210"/>
      <c r="L339" s="210"/>
      <c r="M339" s="210"/>
      <c r="N339" s="210"/>
      <c r="O339" s="210"/>
      <c r="P339" s="210"/>
      <c r="Q339" s="210"/>
      <c r="R339" s="210"/>
      <c r="S339" s="210"/>
      <c r="T339" s="210"/>
      <c r="U339" s="210"/>
      <c r="V339" s="210"/>
      <c r="W339" s="210"/>
      <c r="X339" s="210"/>
      <c r="Y339" s="210"/>
      <c r="Z339" s="210"/>
    </row>
    <row r="340" ht="15.75" customHeight="1">
      <c r="A340" s="210"/>
      <c r="B340" s="221"/>
      <c r="C340" s="221"/>
      <c r="D340" s="221"/>
      <c r="E340" s="221"/>
      <c r="F340" s="221"/>
      <c r="G340" s="221"/>
      <c r="H340" s="221"/>
      <c r="I340" s="221"/>
      <c r="J340" s="229"/>
      <c r="K340" s="210"/>
      <c r="L340" s="210"/>
      <c r="M340" s="210"/>
      <c r="N340" s="210"/>
      <c r="O340" s="210"/>
      <c r="P340" s="210"/>
      <c r="Q340" s="210"/>
      <c r="R340" s="210"/>
      <c r="S340" s="210"/>
      <c r="T340" s="210"/>
      <c r="U340" s="210"/>
      <c r="V340" s="210"/>
      <c r="W340" s="210"/>
      <c r="X340" s="210"/>
      <c r="Y340" s="210"/>
      <c r="Z340" s="210"/>
    </row>
    <row r="341" ht="15.75" customHeight="1">
      <c r="A341" s="210"/>
      <c r="B341" s="221"/>
      <c r="C341" s="221"/>
      <c r="D341" s="221"/>
      <c r="E341" s="221"/>
      <c r="F341" s="221"/>
      <c r="G341" s="221"/>
      <c r="H341" s="221"/>
      <c r="I341" s="221"/>
      <c r="J341" s="229"/>
      <c r="K341" s="210"/>
      <c r="L341" s="210"/>
      <c r="M341" s="210"/>
      <c r="N341" s="210"/>
      <c r="O341" s="210"/>
      <c r="P341" s="210"/>
      <c r="Q341" s="210"/>
      <c r="R341" s="210"/>
      <c r="S341" s="210"/>
      <c r="T341" s="210"/>
      <c r="U341" s="210"/>
      <c r="V341" s="210"/>
      <c r="W341" s="210"/>
      <c r="X341" s="210"/>
      <c r="Y341" s="210"/>
      <c r="Z341" s="210"/>
    </row>
    <row r="342" ht="15.75" customHeight="1">
      <c r="A342" s="210"/>
      <c r="B342" s="221"/>
      <c r="C342" s="221"/>
      <c r="D342" s="221"/>
      <c r="E342" s="221"/>
      <c r="F342" s="221"/>
      <c r="G342" s="221"/>
      <c r="H342" s="221"/>
      <c r="I342" s="221"/>
      <c r="J342" s="229"/>
      <c r="K342" s="210"/>
      <c r="L342" s="210"/>
      <c r="M342" s="210"/>
      <c r="N342" s="210"/>
      <c r="O342" s="210"/>
      <c r="P342" s="210"/>
      <c r="Q342" s="210"/>
      <c r="R342" s="210"/>
      <c r="S342" s="210"/>
      <c r="T342" s="210"/>
      <c r="U342" s="210"/>
      <c r="V342" s="210"/>
      <c r="W342" s="210"/>
      <c r="X342" s="210"/>
      <c r="Y342" s="210"/>
      <c r="Z342" s="210"/>
    </row>
    <row r="343" ht="15.75" customHeight="1">
      <c r="A343" s="210"/>
      <c r="B343" s="221"/>
      <c r="C343" s="221"/>
      <c r="D343" s="221"/>
      <c r="E343" s="221"/>
      <c r="F343" s="221"/>
      <c r="G343" s="221"/>
      <c r="H343" s="221"/>
      <c r="I343" s="221"/>
      <c r="J343" s="229"/>
      <c r="K343" s="210"/>
      <c r="L343" s="210"/>
      <c r="M343" s="210"/>
      <c r="N343" s="210"/>
      <c r="O343" s="210"/>
      <c r="P343" s="210"/>
      <c r="Q343" s="210"/>
      <c r="R343" s="210"/>
      <c r="S343" s="210"/>
      <c r="T343" s="210"/>
      <c r="U343" s="210"/>
      <c r="V343" s="210"/>
      <c r="W343" s="210"/>
      <c r="X343" s="210"/>
      <c r="Y343" s="210"/>
      <c r="Z343" s="210"/>
    </row>
    <row r="344" ht="15.75" customHeight="1">
      <c r="A344" s="210"/>
      <c r="B344" s="221"/>
      <c r="C344" s="221"/>
      <c r="D344" s="221"/>
      <c r="E344" s="221"/>
      <c r="F344" s="221"/>
      <c r="G344" s="221"/>
      <c r="H344" s="221"/>
      <c r="I344" s="221"/>
      <c r="J344" s="229"/>
      <c r="K344" s="210"/>
      <c r="L344" s="210"/>
      <c r="M344" s="210"/>
      <c r="N344" s="210"/>
      <c r="O344" s="210"/>
      <c r="P344" s="210"/>
      <c r="Q344" s="210"/>
      <c r="R344" s="210"/>
      <c r="S344" s="210"/>
      <c r="T344" s="210"/>
      <c r="U344" s="210"/>
      <c r="V344" s="210"/>
      <c r="W344" s="210"/>
      <c r="X344" s="210"/>
      <c r="Y344" s="210"/>
      <c r="Z344" s="210"/>
    </row>
    <row r="345" ht="15.75" customHeight="1">
      <c r="A345" s="210"/>
      <c r="B345" s="221"/>
      <c r="C345" s="221"/>
      <c r="D345" s="221"/>
      <c r="E345" s="221"/>
      <c r="F345" s="221"/>
      <c r="G345" s="221"/>
      <c r="H345" s="221"/>
      <c r="I345" s="221"/>
      <c r="J345" s="229"/>
      <c r="K345" s="210"/>
      <c r="L345" s="210"/>
      <c r="M345" s="210"/>
      <c r="N345" s="210"/>
      <c r="O345" s="210"/>
      <c r="P345" s="210"/>
      <c r="Q345" s="210"/>
      <c r="R345" s="210"/>
      <c r="S345" s="210"/>
      <c r="T345" s="210"/>
      <c r="U345" s="210"/>
      <c r="V345" s="210"/>
      <c r="W345" s="210"/>
      <c r="X345" s="210"/>
      <c r="Y345" s="210"/>
      <c r="Z345" s="210"/>
    </row>
    <row r="346" ht="15.75" customHeight="1">
      <c r="A346" s="210"/>
      <c r="B346" s="221"/>
      <c r="C346" s="221"/>
      <c r="D346" s="221"/>
      <c r="E346" s="221"/>
      <c r="F346" s="221"/>
      <c r="G346" s="221"/>
      <c r="H346" s="221"/>
      <c r="I346" s="221"/>
      <c r="J346" s="229"/>
      <c r="K346" s="210"/>
      <c r="L346" s="210"/>
      <c r="M346" s="210"/>
      <c r="N346" s="210"/>
      <c r="O346" s="210"/>
      <c r="P346" s="210"/>
      <c r="Q346" s="210"/>
      <c r="R346" s="210"/>
      <c r="S346" s="210"/>
      <c r="T346" s="210"/>
      <c r="U346" s="210"/>
      <c r="V346" s="210"/>
      <c r="W346" s="210"/>
      <c r="X346" s="210"/>
      <c r="Y346" s="210"/>
      <c r="Z346" s="210"/>
    </row>
    <row r="347" ht="15.75" customHeight="1">
      <c r="A347" s="210"/>
      <c r="B347" s="221"/>
      <c r="C347" s="221"/>
      <c r="D347" s="221"/>
      <c r="E347" s="221"/>
      <c r="F347" s="221"/>
      <c r="G347" s="221"/>
      <c r="H347" s="221"/>
      <c r="I347" s="221"/>
      <c r="J347" s="229"/>
      <c r="K347" s="210"/>
      <c r="L347" s="210"/>
      <c r="M347" s="210"/>
      <c r="N347" s="210"/>
      <c r="O347" s="210"/>
      <c r="P347" s="210"/>
      <c r="Q347" s="210"/>
      <c r="R347" s="210"/>
      <c r="S347" s="210"/>
      <c r="T347" s="210"/>
      <c r="U347" s="210"/>
      <c r="V347" s="210"/>
      <c r="W347" s="210"/>
      <c r="X347" s="210"/>
      <c r="Y347" s="210"/>
      <c r="Z347" s="210"/>
    </row>
    <row r="348" ht="15.75" customHeight="1">
      <c r="A348" s="210"/>
      <c r="B348" s="221"/>
      <c r="C348" s="221"/>
      <c r="D348" s="221"/>
      <c r="E348" s="221"/>
      <c r="F348" s="221"/>
      <c r="G348" s="221"/>
      <c r="H348" s="221"/>
      <c r="I348" s="221"/>
      <c r="J348" s="229"/>
      <c r="K348" s="210"/>
      <c r="L348" s="210"/>
      <c r="M348" s="210"/>
      <c r="N348" s="210"/>
      <c r="O348" s="210"/>
      <c r="P348" s="210"/>
      <c r="Q348" s="210"/>
      <c r="R348" s="210"/>
      <c r="S348" s="210"/>
      <c r="T348" s="210"/>
      <c r="U348" s="210"/>
      <c r="V348" s="210"/>
      <c r="W348" s="210"/>
      <c r="X348" s="210"/>
      <c r="Y348" s="210"/>
      <c r="Z348" s="210"/>
    </row>
    <row r="349" ht="15.75" customHeight="1">
      <c r="A349" s="210"/>
      <c r="B349" s="221"/>
      <c r="C349" s="221"/>
      <c r="D349" s="221"/>
      <c r="E349" s="221"/>
      <c r="F349" s="221"/>
      <c r="G349" s="221"/>
      <c r="H349" s="221"/>
      <c r="I349" s="221"/>
      <c r="J349" s="229"/>
      <c r="K349" s="210"/>
      <c r="L349" s="210"/>
      <c r="M349" s="210"/>
      <c r="N349" s="210"/>
      <c r="O349" s="210"/>
      <c r="P349" s="210"/>
      <c r="Q349" s="210"/>
      <c r="R349" s="210"/>
      <c r="S349" s="210"/>
      <c r="T349" s="210"/>
      <c r="U349" s="210"/>
      <c r="V349" s="210"/>
      <c r="W349" s="210"/>
      <c r="X349" s="210"/>
      <c r="Y349" s="210"/>
      <c r="Z349" s="210"/>
    </row>
    <row r="350" ht="15.75" customHeight="1">
      <c r="A350" s="210"/>
      <c r="B350" s="221"/>
      <c r="C350" s="221"/>
      <c r="D350" s="221"/>
      <c r="E350" s="221"/>
      <c r="F350" s="221"/>
      <c r="G350" s="221"/>
      <c r="H350" s="221"/>
      <c r="I350" s="221"/>
      <c r="J350" s="229"/>
      <c r="K350" s="210"/>
      <c r="L350" s="210"/>
      <c r="M350" s="210"/>
      <c r="N350" s="210"/>
      <c r="O350" s="210"/>
      <c r="P350" s="210"/>
      <c r="Q350" s="210"/>
      <c r="R350" s="210"/>
      <c r="S350" s="210"/>
      <c r="T350" s="210"/>
      <c r="U350" s="210"/>
      <c r="V350" s="210"/>
      <c r="W350" s="210"/>
      <c r="X350" s="210"/>
      <c r="Y350" s="210"/>
      <c r="Z350" s="210"/>
    </row>
    <row r="351" ht="15.75" customHeight="1">
      <c r="A351" s="210"/>
      <c r="B351" s="221"/>
      <c r="C351" s="221"/>
      <c r="D351" s="221"/>
      <c r="E351" s="221"/>
      <c r="F351" s="221"/>
      <c r="G351" s="221"/>
      <c r="H351" s="221"/>
      <c r="I351" s="221"/>
      <c r="J351" s="229"/>
      <c r="K351" s="210"/>
      <c r="L351" s="210"/>
      <c r="M351" s="210"/>
      <c r="N351" s="210"/>
      <c r="O351" s="210"/>
      <c r="P351" s="210"/>
      <c r="Q351" s="210"/>
      <c r="R351" s="210"/>
      <c r="S351" s="210"/>
      <c r="T351" s="210"/>
      <c r="U351" s="210"/>
      <c r="V351" s="210"/>
      <c r="W351" s="210"/>
      <c r="X351" s="210"/>
      <c r="Y351" s="210"/>
      <c r="Z351" s="210"/>
    </row>
    <row r="352" ht="15.75" customHeight="1">
      <c r="A352" s="210"/>
      <c r="B352" s="221"/>
      <c r="C352" s="221"/>
      <c r="D352" s="221"/>
      <c r="E352" s="221"/>
      <c r="F352" s="221"/>
      <c r="G352" s="221"/>
      <c r="H352" s="221"/>
      <c r="I352" s="221"/>
      <c r="J352" s="229"/>
      <c r="K352" s="210"/>
      <c r="L352" s="210"/>
      <c r="M352" s="210"/>
      <c r="N352" s="210"/>
      <c r="O352" s="210"/>
      <c r="P352" s="210"/>
      <c r="Q352" s="210"/>
      <c r="R352" s="210"/>
      <c r="S352" s="210"/>
      <c r="T352" s="210"/>
      <c r="U352" s="210"/>
      <c r="V352" s="210"/>
      <c r="W352" s="210"/>
      <c r="X352" s="210"/>
      <c r="Y352" s="210"/>
      <c r="Z352" s="210"/>
    </row>
    <row r="353" ht="15.75" customHeight="1">
      <c r="A353" s="210"/>
      <c r="B353" s="221"/>
      <c r="C353" s="221"/>
      <c r="D353" s="221"/>
      <c r="E353" s="221"/>
      <c r="F353" s="221"/>
      <c r="G353" s="221"/>
      <c r="H353" s="221"/>
      <c r="I353" s="221"/>
      <c r="J353" s="229"/>
      <c r="K353" s="210"/>
      <c r="L353" s="210"/>
      <c r="M353" s="210"/>
      <c r="N353" s="210"/>
      <c r="O353" s="210"/>
      <c r="P353" s="210"/>
      <c r="Q353" s="210"/>
      <c r="R353" s="210"/>
      <c r="S353" s="210"/>
      <c r="T353" s="210"/>
      <c r="U353" s="210"/>
      <c r="V353" s="210"/>
      <c r="W353" s="210"/>
      <c r="X353" s="210"/>
      <c r="Y353" s="210"/>
      <c r="Z353" s="210"/>
    </row>
    <row r="354" ht="15.75" customHeight="1">
      <c r="A354" s="210"/>
      <c r="B354" s="221"/>
      <c r="C354" s="221"/>
      <c r="D354" s="221"/>
      <c r="E354" s="221"/>
      <c r="F354" s="221"/>
      <c r="G354" s="221"/>
      <c r="H354" s="221"/>
      <c r="I354" s="221"/>
      <c r="J354" s="229"/>
      <c r="K354" s="210"/>
      <c r="L354" s="210"/>
      <c r="M354" s="210"/>
      <c r="N354" s="210"/>
      <c r="O354" s="210"/>
      <c r="P354" s="210"/>
      <c r="Q354" s="210"/>
      <c r="R354" s="210"/>
      <c r="S354" s="210"/>
      <c r="T354" s="210"/>
      <c r="U354" s="210"/>
      <c r="V354" s="210"/>
      <c r="W354" s="210"/>
      <c r="X354" s="210"/>
      <c r="Y354" s="210"/>
      <c r="Z354" s="210"/>
    </row>
    <row r="355" ht="15.75" customHeight="1">
      <c r="A355" s="210"/>
      <c r="B355" s="221"/>
      <c r="C355" s="221"/>
      <c r="D355" s="221"/>
      <c r="E355" s="221"/>
      <c r="F355" s="221"/>
      <c r="G355" s="221"/>
      <c r="H355" s="221"/>
      <c r="I355" s="221"/>
      <c r="J355" s="229"/>
      <c r="K355" s="210"/>
      <c r="L355" s="210"/>
      <c r="M355" s="210"/>
      <c r="N355" s="210"/>
      <c r="O355" s="210"/>
      <c r="P355" s="210"/>
      <c r="Q355" s="210"/>
      <c r="R355" s="210"/>
      <c r="S355" s="210"/>
      <c r="T355" s="210"/>
      <c r="U355" s="210"/>
      <c r="V355" s="210"/>
      <c r="W355" s="210"/>
      <c r="X355" s="210"/>
      <c r="Y355" s="210"/>
      <c r="Z355" s="210"/>
    </row>
    <row r="356" ht="15.75" customHeight="1">
      <c r="A356" s="210"/>
      <c r="B356" s="221"/>
      <c r="C356" s="221"/>
      <c r="D356" s="221"/>
      <c r="E356" s="221"/>
      <c r="F356" s="221"/>
      <c r="G356" s="221"/>
      <c r="H356" s="221"/>
      <c r="I356" s="221"/>
      <c r="J356" s="229"/>
      <c r="K356" s="210"/>
      <c r="L356" s="210"/>
      <c r="M356" s="210"/>
      <c r="N356" s="210"/>
      <c r="O356" s="210"/>
      <c r="P356" s="210"/>
      <c r="Q356" s="210"/>
      <c r="R356" s="210"/>
      <c r="S356" s="210"/>
      <c r="T356" s="210"/>
      <c r="U356" s="210"/>
      <c r="V356" s="210"/>
      <c r="W356" s="210"/>
      <c r="X356" s="210"/>
      <c r="Y356" s="210"/>
      <c r="Z356" s="210"/>
    </row>
    <row r="357" ht="15.75" customHeight="1">
      <c r="A357" s="210"/>
      <c r="B357" s="221"/>
      <c r="C357" s="221"/>
      <c r="D357" s="221"/>
      <c r="E357" s="221"/>
      <c r="F357" s="221"/>
      <c r="G357" s="221"/>
      <c r="H357" s="221"/>
      <c r="I357" s="221"/>
      <c r="J357" s="229"/>
      <c r="K357" s="210"/>
      <c r="L357" s="210"/>
      <c r="M357" s="210"/>
      <c r="N357" s="210"/>
      <c r="O357" s="210"/>
      <c r="P357" s="210"/>
      <c r="Q357" s="210"/>
      <c r="R357" s="210"/>
      <c r="S357" s="210"/>
      <c r="T357" s="210"/>
      <c r="U357" s="210"/>
      <c r="V357" s="210"/>
      <c r="W357" s="210"/>
      <c r="X357" s="210"/>
      <c r="Y357" s="210"/>
      <c r="Z357" s="210"/>
    </row>
    <row r="358" ht="15.75" customHeight="1">
      <c r="A358" s="210"/>
      <c r="B358" s="221"/>
      <c r="C358" s="221"/>
      <c r="D358" s="221"/>
      <c r="E358" s="221"/>
      <c r="F358" s="221"/>
      <c r="G358" s="221"/>
      <c r="H358" s="221"/>
      <c r="I358" s="221"/>
      <c r="J358" s="229"/>
      <c r="K358" s="210"/>
      <c r="L358" s="210"/>
      <c r="M358" s="210"/>
      <c r="N358" s="210"/>
      <c r="O358" s="210"/>
      <c r="P358" s="210"/>
      <c r="Q358" s="210"/>
      <c r="R358" s="210"/>
      <c r="S358" s="210"/>
      <c r="T358" s="210"/>
      <c r="U358" s="210"/>
      <c r="V358" s="210"/>
      <c r="W358" s="210"/>
      <c r="X358" s="210"/>
      <c r="Y358" s="210"/>
      <c r="Z358" s="210"/>
    </row>
    <row r="359" ht="15.75" customHeight="1">
      <c r="A359" s="210"/>
      <c r="B359" s="221"/>
      <c r="C359" s="221"/>
      <c r="D359" s="221"/>
      <c r="E359" s="221"/>
      <c r="F359" s="221"/>
      <c r="G359" s="221"/>
      <c r="H359" s="221"/>
      <c r="I359" s="221"/>
      <c r="J359" s="229"/>
      <c r="K359" s="210"/>
      <c r="L359" s="210"/>
      <c r="M359" s="210"/>
      <c r="N359" s="210"/>
      <c r="O359" s="210"/>
      <c r="P359" s="210"/>
      <c r="Q359" s="210"/>
      <c r="R359" s="210"/>
      <c r="S359" s="210"/>
      <c r="T359" s="210"/>
      <c r="U359" s="210"/>
      <c r="V359" s="210"/>
      <c r="W359" s="210"/>
      <c r="X359" s="210"/>
      <c r="Y359" s="210"/>
      <c r="Z359" s="210"/>
    </row>
    <row r="360" ht="15.75" customHeight="1">
      <c r="A360" s="210"/>
      <c r="B360" s="221"/>
      <c r="C360" s="221"/>
      <c r="D360" s="221"/>
      <c r="E360" s="221"/>
      <c r="F360" s="221"/>
      <c r="G360" s="221"/>
      <c r="H360" s="221"/>
      <c r="I360" s="221"/>
      <c r="J360" s="229"/>
      <c r="K360" s="210"/>
      <c r="L360" s="210"/>
      <c r="M360" s="210"/>
      <c r="N360" s="210"/>
      <c r="O360" s="210"/>
      <c r="P360" s="210"/>
      <c r="Q360" s="210"/>
      <c r="R360" s="210"/>
      <c r="S360" s="210"/>
      <c r="T360" s="210"/>
      <c r="U360" s="210"/>
      <c r="V360" s="210"/>
      <c r="W360" s="210"/>
      <c r="X360" s="210"/>
      <c r="Y360" s="210"/>
      <c r="Z360" s="210"/>
    </row>
    <row r="361" ht="15.75" customHeight="1">
      <c r="A361" s="210"/>
      <c r="B361" s="221"/>
      <c r="C361" s="221"/>
      <c r="D361" s="221"/>
      <c r="E361" s="221"/>
      <c r="F361" s="221"/>
      <c r="G361" s="221"/>
      <c r="H361" s="221"/>
      <c r="I361" s="221"/>
      <c r="J361" s="229"/>
      <c r="K361" s="210"/>
      <c r="L361" s="210"/>
      <c r="M361" s="210"/>
      <c r="N361" s="210"/>
      <c r="O361" s="210"/>
      <c r="P361" s="210"/>
      <c r="Q361" s="210"/>
      <c r="R361" s="210"/>
      <c r="S361" s="210"/>
      <c r="T361" s="210"/>
      <c r="U361" s="210"/>
      <c r="V361" s="210"/>
      <c r="W361" s="210"/>
      <c r="X361" s="210"/>
      <c r="Y361" s="210"/>
      <c r="Z361" s="210"/>
    </row>
    <row r="362" ht="15.75" customHeight="1">
      <c r="A362" s="210"/>
      <c r="B362" s="221"/>
      <c r="C362" s="221"/>
      <c r="D362" s="221"/>
      <c r="E362" s="221"/>
      <c r="F362" s="221"/>
      <c r="G362" s="221"/>
      <c r="H362" s="221"/>
      <c r="I362" s="221"/>
      <c r="J362" s="229"/>
      <c r="K362" s="210"/>
      <c r="L362" s="210"/>
      <c r="M362" s="210"/>
      <c r="N362" s="210"/>
      <c r="O362" s="210"/>
      <c r="P362" s="210"/>
      <c r="Q362" s="210"/>
      <c r="R362" s="210"/>
      <c r="S362" s="210"/>
      <c r="T362" s="210"/>
      <c r="U362" s="210"/>
      <c r="V362" s="210"/>
      <c r="W362" s="210"/>
      <c r="X362" s="210"/>
      <c r="Y362" s="210"/>
      <c r="Z362" s="210"/>
    </row>
    <row r="363" ht="15.75" customHeight="1">
      <c r="A363" s="210"/>
      <c r="B363" s="221"/>
      <c r="C363" s="221"/>
      <c r="D363" s="221"/>
      <c r="E363" s="221"/>
      <c r="F363" s="221"/>
      <c r="G363" s="221"/>
      <c r="H363" s="221"/>
      <c r="I363" s="221"/>
      <c r="J363" s="229"/>
      <c r="K363" s="210"/>
      <c r="L363" s="210"/>
      <c r="M363" s="210"/>
      <c r="N363" s="210"/>
      <c r="O363" s="210"/>
      <c r="P363" s="210"/>
      <c r="Q363" s="210"/>
      <c r="R363" s="210"/>
      <c r="S363" s="210"/>
      <c r="T363" s="210"/>
      <c r="U363" s="210"/>
      <c r="V363" s="210"/>
      <c r="W363" s="210"/>
      <c r="X363" s="210"/>
      <c r="Y363" s="210"/>
      <c r="Z363" s="210"/>
    </row>
    <row r="364" ht="15.75" customHeight="1">
      <c r="A364" s="210"/>
      <c r="B364" s="221"/>
      <c r="C364" s="221"/>
      <c r="D364" s="221"/>
      <c r="E364" s="221"/>
      <c r="F364" s="221"/>
      <c r="G364" s="221"/>
      <c r="H364" s="221"/>
      <c r="I364" s="221"/>
      <c r="J364" s="229"/>
      <c r="K364" s="210"/>
      <c r="L364" s="210"/>
      <c r="M364" s="210"/>
      <c r="N364" s="210"/>
      <c r="O364" s="210"/>
      <c r="P364" s="210"/>
      <c r="Q364" s="210"/>
      <c r="R364" s="210"/>
      <c r="S364" s="210"/>
      <c r="T364" s="210"/>
      <c r="U364" s="210"/>
      <c r="V364" s="210"/>
      <c r="W364" s="210"/>
      <c r="X364" s="210"/>
      <c r="Y364" s="210"/>
      <c r="Z364" s="210"/>
    </row>
    <row r="365" ht="15.75" customHeight="1">
      <c r="A365" s="210"/>
      <c r="B365" s="221"/>
      <c r="C365" s="221"/>
      <c r="D365" s="221"/>
      <c r="E365" s="221"/>
      <c r="F365" s="221"/>
      <c r="G365" s="221"/>
      <c r="H365" s="221"/>
      <c r="I365" s="221"/>
      <c r="J365" s="229"/>
      <c r="K365" s="210"/>
      <c r="L365" s="210"/>
      <c r="M365" s="210"/>
      <c r="N365" s="210"/>
      <c r="O365" s="210"/>
      <c r="P365" s="210"/>
      <c r="Q365" s="210"/>
      <c r="R365" s="210"/>
      <c r="S365" s="210"/>
      <c r="T365" s="210"/>
      <c r="U365" s="210"/>
      <c r="V365" s="210"/>
      <c r="W365" s="210"/>
      <c r="X365" s="210"/>
      <c r="Y365" s="210"/>
      <c r="Z365" s="210"/>
    </row>
    <row r="366" ht="15.75" customHeight="1">
      <c r="A366" s="210"/>
      <c r="B366" s="221"/>
      <c r="C366" s="221"/>
      <c r="D366" s="221"/>
      <c r="E366" s="221"/>
      <c r="F366" s="221"/>
      <c r="G366" s="221"/>
      <c r="H366" s="221"/>
      <c r="I366" s="221"/>
      <c r="J366" s="229"/>
      <c r="K366" s="210"/>
      <c r="L366" s="210"/>
      <c r="M366" s="210"/>
      <c r="N366" s="210"/>
      <c r="O366" s="210"/>
      <c r="P366" s="210"/>
      <c r="Q366" s="210"/>
      <c r="R366" s="210"/>
      <c r="S366" s="210"/>
      <c r="T366" s="210"/>
      <c r="U366" s="210"/>
      <c r="V366" s="210"/>
      <c r="W366" s="210"/>
      <c r="X366" s="210"/>
      <c r="Y366" s="210"/>
      <c r="Z366" s="210"/>
    </row>
    <row r="367" ht="15.75" customHeight="1">
      <c r="A367" s="210"/>
      <c r="B367" s="221"/>
      <c r="C367" s="221"/>
      <c r="D367" s="221"/>
      <c r="E367" s="221"/>
      <c r="F367" s="221"/>
      <c r="G367" s="221"/>
      <c r="H367" s="221"/>
      <c r="I367" s="221"/>
      <c r="J367" s="229"/>
      <c r="K367" s="210"/>
      <c r="L367" s="210"/>
      <c r="M367" s="210"/>
      <c r="N367" s="210"/>
      <c r="O367" s="210"/>
      <c r="P367" s="210"/>
      <c r="Q367" s="210"/>
      <c r="R367" s="210"/>
      <c r="S367" s="210"/>
      <c r="T367" s="210"/>
      <c r="U367" s="210"/>
      <c r="V367" s="210"/>
      <c r="W367" s="210"/>
      <c r="X367" s="210"/>
      <c r="Y367" s="210"/>
      <c r="Z367" s="210"/>
    </row>
    <row r="368" ht="15.75" customHeight="1">
      <c r="A368" s="210"/>
      <c r="B368" s="221"/>
      <c r="C368" s="221"/>
      <c r="D368" s="221"/>
      <c r="E368" s="221"/>
      <c r="F368" s="221"/>
      <c r="G368" s="221"/>
      <c r="H368" s="221"/>
      <c r="I368" s="221"/>
      <c r="J368" s="229"/>
      <c r="K368" s="210"/>
      <c r="L368" s="210"/>
      <c r="M368" s="210"/>
      <c r="N368" s="210"/>
      <c r="O368" s="210"/>
      <c r="P368" s="210"/>
      <c r="Q368" s="210"/>
      <c r="R368" s="210"/>
      <c r="S368" s="210"/>
      <c r="T368" s="210"/>
      <c r="U368" s="210"/>
      <c r="V368" s="210"/>
      <c r="W368" s="210"/>
      <c r="X368" s="210"/>
      <c r="Y368" s="210"/>
      <c r="Z368" s="210"/>
    </row>
    <row r="369" ht="15.75" customHeight="1">
      <c r="A369" s="210"/>
      <c r="B369" s="221"/>
      <c r="C369" s="221"/>
      <c r="D369" s="221"/>
      <c r="E369" s="221"/>
      <c r="F369" s="221"/>
      <c r="G369" s="221"/>
      <c r="H369" s="221"/>
      <c r="I369" s="221"/>
      <c r="J369" s="229"/>
      <c r="K369" s="210"/>
      <c r="L369" s="210"/>
      <c r="M369" s="210"/>
      <c r="N369" s="210"/>
      <c r="O369" s="210"/>
      <c r="P369" s="210"/>
      <c r="Q369" s="210"/>
      <c r="R369" s="210"/>
      <c r="S369" s="210"/>
      <c r="T369" s="210"/>
      <c r="U369" s="210"/>
      <c r="V369" s="210"/>
      <c r="W369" s="210"/>
      <c r="X369" s="210"/>
      <c r="Y369" s="210"/>
      <c r="Z369" s="210"/>
    </row>
    <row r="370" ht="15.75" customHeight="1">
      <c r="A370" s="210"/>
      <c r="B370" s="221"/>
      <c r="C370" s="221"/>
      <c r="D370" s="221"/>
      <c r="E370" s="221"/>
      <c r="F370" s="221"/>
      <c r="G370" s="221"/>
      <c r="H370" s="221"/>
      <c r="I370" s="221"/>
      <c r="J370" s="229"/>
      <c r="K370" s="210"/>
      <c r="L370" s="210"/>
      <c r="M370" s="210"/>
      <c r="N370" s="210"/>
      <c r="O370" s="210"/>
      <c r="P370" s="210"/>
      <c r="Q370" s="210"/>
      <c r="R370" s="210"/>
      <c r="S370" s="210"/>
      <c r="T370" s="210"/>
      <c r="U370" s="210"/>
      <c r="V370" s="210"/>
      <c r="W370" s="210"/>
      <c r="X370" s="210"/>
      <c r="Y370" s="210"/>
      <c r="Z370" s="210"/>
    </row>
    <row r="371" ht="15.75" customHeight="1">
      <c r="A371" s="210"/>
      <c r="B371" s="221"/>
      <c r="C371" s="221"/>
      <c r="D371" s="221"/>
      <c r="E371" s="221"/>
      <c r="F371" s="221"/>
      <c r="G371" s="221"/>
      <c r="H371" s="221"/>
      <c r="I371" s="221"/>
      <c r="J371" s="229"/>
      <c r="K371" s="210"/>
      <c r="L371" s="210"/>
      <c r="M371" s="210"/>
      <c r="N371" s="210"/>
      <c r="O371" s="210"/>
      <c r="P371" s="210"/>
      <c r="Q371" s="210"/>
      <c r="R371" s="210"/>
      <c r="S371" s="210"/>
      <c r="T371" s="210"/>
      <c r="U371" s="210"/>
      <c r="V371" s="210"/>
      <c r="W371" s="210"/>
      <c r="X371" s="210"/>
      <c r="Y371" s="210"/>
      <c r="Z371" s="210"/>
    </row>
    <row r="372" ht="15.75" customHeight="1">
      <c r="A372" s="210"/>
      <c r="B372" s="221"/>
      <c r="C372" s="221"/>
      <c r="D372" s="221"/>
      <c r="E372" s="221"/>
      <c r="F372" s="221"/>
      <c r="G372" s="221"/>
      <c r="H372" s="221"/>
      <c r="I372" s="221"/>
      <c r="J372" s="229"/>
      <c r="K372" s="210"/>
      <c r="L372" s="210"/>
      <c r="M372" s="210"/>
      <c r="N372" s="210"/>
      <c r="O372" s="210"/>
      <c r="P372" s="210"/>
      <c r="Q372" s="210"/>
      <c r="R372" s="210"/>
      <c r="S372" s="210"/>
      <c r="T372" s="210"/>
      <c r="U372" s="210"/>
      <c r="V372" s="210"/>
      <c r="W372" s="210"/>
      <c r="X372" s="210"/>
      <c r="Y372" s="210"/>
      <c r="Z372" s="210"/>
    </row>
    <row r="373" ht="15.75" customHeight="1">
      <c r="A373" s="210"/>
      <c r="B373" s="221"/>
      <c r="C373" s="221"/>
      <c r="D373" s="221"/>
      <c r="E373" s="221"/>
      <c r="F373" s="221"/>
      <c r="G373" s="221"/>
      <c r="H373" s="221"/>
      <c r="I373" s="221"/>
      <c r="J373" s="229"/>
      <c r="K373" s="210"/>
      <c r="L373" s="210"/>
      <c r="M373" s="210"/>
      <c r="N373" s="210"/>
      <c r="O373" s="210"/>
      <c r="P373" s="210"/>
      <c r="Q373" s="210"/>
      <c r="R373" s="210"/>
      <c r="S373" s="210"/>
      <c r="T373" s="210"/>
      <c r="U373" s="210"/>
      <c r="V373" s="210"/>
      <c r="W373" s="210"/>
      <c r="X373" s="210"/>
      <c r="Y373" s="210"/>
      <c r="Z373" s="210"/>
    </row>
    <row r="374" ht="15.75" customHeight="1">
      <c r="A374" s="210"/>
      <c r="B374" s="221"/>
      <c r="C374" s="221"/>
      <c r="D374" s="221"/>
      <c r="E374" s="221"/>
      <c r="F374" s="221"/>
      <c r="G374" s="221"/>
      <c r="H374" s="221"/>
      <c r="I374" s="221"/>
      <c r="J374" s="229"/>
      <c r="K374" s="210"/>
      <c r="L374" s="210"/>
      <c r="M374" s="210"/>
      <c r="N374" s="210"/>
      <c r="O374" s="210"/>
      <c r="P374" s="210"/>
      <c r="Q374" s="210"/>
      <c r="R374" s="210"/>
      <c r="S374" s="210"/>
      <c r="T374" s="210"/>
      <c r="U374" s="210"/>
      <c r="V374" s="210"/>
      <c r="W374" s="210"/>
      <c r="X374" s="210"/>
      <c r="Y374" s="210"/>
      <c r="Z374" s="210"/>
    </row>
    <row r="375" ht="15.75" customHeight="1">
      <c r="A375" s="210"/>
      <c r="B375" s="221"/>
      <c r="C375" s="221"/>
      <c r="D375" s="221"/>
      <c r="E375" s="221"/>
      <c r="F375" s="221"/>
      <c r="G375" s="221"/>
      <c r="H375" s="221"/>
      <c r="I375" s="221"/>
      <c r="J375" s="229"/>
      <c r="K375" s="210"/>
      <c r="L375" s="210"/>
      <c r="M375" s="210"/>
      <c r="N375" s="210"/>
      <c r="O375" s="210"/>
      <c r="P375" s="210"/>
      <c r="Q375" s="210"/>
      <c r="R375" s="210"/>
      <c r="S375" s="210"/>
      <c r="T375" s="210"/>
      <c r="U375" s="210"/>
      <c r="V375" s="210"/>
      <c r="W375" s="210"/>
      <c r="X375" s="210"/>
      <c r="Y375" s="210"/>
      <c r="Z375" s="210"/>
    </row>
    <row r="376" ht="15.75" customHeight="1">
      <c r="A376" s="210"/>
      <c r="B376" s="221"/>
      <c r="C376" s="221"/>
      <c r="D376" s="221"/>
      <c r="E376" s="221"/>
      <c r="F376" s="221"/>
      <c r="G376" s="221"/>
      <c r="H376" s="221"/>
      <c r="I376" s="221"/>
      <c r="J376" s="229"/>
      <c r="K376" s="210"/>
      <c r="L376" s="210"/>
      <c r="M376" s="210"/>
      <c r="N376" s="210"/>
      <c r="O376" s="210"/>
      <c r="P376" s="210"/>
      <c r="Q376" s="210"/>
      <c r="R376" s="210"/>
      <c r="S376" s="210"/>
      <c r="T376" s="210"/>
      <c r="U376" s="210"/>
      <c r="V376" s="210"/>
      <c r="W376" s="210"/>
      <c r="X376" s="210"/>
      <c r="Y376" s="210"/>
      <c r="Z376" s="210"/>
    </row>
    <row r="377" ht="15.75" customHeight="1">
      <c r="A377" s="210"/>
      <c r="B377" s="221"/>
      <c r="C377" s="221"/>
      <c r="D377" s="221"/>
      <c r="E377" s="221"/>
      <c r="F377" s="221"/>
      <c r="G377" s="221"/>
      <c r="H377" s="221"/>
      <c r="I377" s="221"/>
      <c r="J377" s="229"/>
      <c r="K377" s="210"/>
      <c r="L377" s="210"/>
      <c r="M377" s="210"/>
      <c r="N377" s="210"/>
      <c r="O377" s="210"/>
      <c r="P377" s="210"/>
      <c r="Q377" s="210"/>
      <c r="R377" s="210"/>
      <c r="S377" s="210"/>
      <c r="T377" s="210"/>
      <c r="U377" s="210"/>
      <c r="V377" s="210"/>
      <c r="W377" s="210"/>
      <c r="X377" s="210"/>
      <c r="Y377" s="210"/>
      <c r="Z377" s="210"/>
    </row>
    <row r="378" ht="15.75" customHeight="1">
      <c r="A378" s="210"/>
      <c r="B378" s="221"/>
      <c r="C378" s="221"/>
      <c r="D378" s="221"/>
      <c r="E378" s="221"/>
      <c r="F378" s="221"/>
      <c r="G378" s="221"/>
      <c r="H378" s="221"/>
      <c r="I378" s="221"/>
      <c r="J378" s="229"/>
      <c r="K378" s="210"/>
      <c r="L378" s="210"/>
      <c r="M378" s="210"/>
      <c r="N378" s="210"/>
      <c r="O378" s="210"/>
      <c r="P378" s="210"/>
      <c r="Q378" s="210"/>
      <c r="R378" s="210"/>
      <c r="S378" s="210"/>
      <c r="T378" s="210"/>
      <c r="U378" s="210"/>
      <c r="V378" s="210"/>
      <c r="W378" s="210"/>
      <c r="X378" s="210"/>
      <c r="Y378" s="210"/>
      <c r="Z378" s="210"/>
    </row>
    <row r="379" ht="15.75" customHeight="1">
      <c r="A379" s="210"/>
      <c r="B379" s="221"/>
      <c r="C379" s="221"/>
      <c r="D379" s="221"/>
      <c r="E379" s="221"/>
      <c r="F379" s="221"/>
      <c r="G379" s="221"/>
      <c r="H379" s="221"/>
      <c r="I379" s="221"/>
      <c r="J379" s="229"/>
      <c r="K379" s="210"/>
      <c r="L379" s="210"/>
      <c r="M379" s="210"/>
      <c r="N379" s="210"/>
      <c r="O379" s="210"/>
      <c r="P379" s="210"/>
      <c r="Q379" s="210"/>
      <c r="R379" s="210"/>
      <c r="S379" s="210"/>
      <c r="T379" s="210"/>
      <c r="U379" s="210"/>
      <c r="V379" s="210"/>
      <c r="W379" s="210"/>
      <c r="X379" s="210"/>
      <c r="Y379" s="210"/>
      <c r="Z379" s="210"/>
    </row>
    <row r="380" ht="15.75" customHeight="1">
      <c r="A380" s="210"/>
      <c r="B380" s="221"/>
      <c r="C380" s="221"/>
      <c r="D380" s="221"/>
      <c r="E380" s="221"/>
      <c r="F380" s="221"/>
      <c r="G380" s="221"/>
      <c r="H380" s="221"/>
      <c r="I380" s="221"/>
      <c r="J380" s="229"/>
      <c r="K380" s="210"/>
      <c r="L380" s="210"/>
      <c r="M380" s="210"/>
      <c r="N380" s="210"/>
      <c r="O380" s="210"/>
      <c r="P380" s="210"/>
      <c r="Q380" s="210"/>
      <c r="R380" s="210"/>
      <c r="S380" s="210"/>
      <c r="T380" s="210"/>
      <c r="U380" s="210"/>
      <c r="V380" s="210"/>
      <c r="W380" s="210"/>
      <c r="X380" s="210"/>
      <c r="Y380" s="210"/>
      <c r="Z380" s="210"/>
    </row>
    <row r="381" ht="15.75" customHeight="1">
      <c r="A381" s="210"/>
      <c r="B381" s="221"/>
      <c r="C381" s="221"/>
      <c r="D381" s="221"/>
      <c r="E381" s="221"/>
      <c r="F381" s="221"/>
      <c r="G381" s="221"/>
      <c r="H381" s="221"/>
      <c r="I381" s="221"/>
      <c r="J381" s="229"/>
      <c r="K381" s="210"/>
      <c r="L381" s="210"/>
      <c r="M381" s="210"/>
      <c r="N381" s="210"/>
      <c r="O381" s="210"/>
      <c r="P381" s="210"/>
      <c r="Q381" s="210"/>
      <c r="R381" s="210"/>
      <c r="S381" s="210"/>
      <c r="T381" s="210"/>
      <c r="U381" s="210"/>
      <c r="V381" s="210"/>
      <c r="W381" s="210"/>
      <c r="X381" s="210"/>
      <c r="Y381" s="210"/>
      <c r="Z381" s="210"/>
    </row>
    <row r="382" ht="15.75" customHeight="1">
      <c r="A382" s="210"/>
      <c r="B382" s="221"/>
      <c r="C382" s="221"/>
      <c r="D382" s="221"/>
      <c r="E382" s="221"/>
      <c r="F382" s="221"/>
      <c r="G382" s="221"/>
      <c r="H382" s="221"/>
      <c r="I382" s="221"/>
      <c r="J382" s="229"/>
      <c r="K382" s="210"/>
      <c r="L382" s="210"/>
      <c r="M382" s="210"/>
      <c r="N382" s="210"/>
      <c r="O382" s="210"/>
      <c r="P382" s="210"/>
      <c r="Q382" s="210"/>
      <c r="R382" s="210"/>
      <c r="S382" s="210"/>
      <c r="T382" s="210"/>
      <c r="U382" s="210"/>
      <c r="V382" s="210"/>
      <c r="W382" s="210"/>
      <c r="X382" s="210"/>
      <c r="Y382" s="210"/>
      <c r="Z382" s="210"/>
    </row>
    <row r="383" ht="15.75" customHeight="1">
      <c r="A383" s="210"/>
      <c r="B383" s="221"/>
      <c r="C383" s="221"/>
      <c r="D383" s="221"/>
      <c r="E383" s="221"/>
      <c r="F383" s="221"/>
      <c r="G383" s="221"/>
      <c r="H383" s="221"/>
      <c r="I383" s="221"/>
      <c r="J383" s="22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0"/>
      <c r="X383" s="210"/>
      <c r="Y383" s="210"/>
      <c r="Z383" s="210"/>
    </row>
    <row r="384" ht="15.75" customHeight="1">
      <c r="A384" s="210"/>
      <c r="B384" s="221"/>
      <c r="C384" s="221"/>
      <c r="D384" s="221"/>
      <c r="E384" s="221"/>
      <c r="F384" s="221"/>
      <c r="G384" s="221"/>
      <c r="H384" s="221"/>
      <c r="I384" s="221"/>
      <c r="J384" s="229"/>
      <c r="K384" s="210"/>
      <c r="L384" s="210"/>
      <c r="M384" s="210"/>
      <c r="N384" s="210"/>
      <c r="O384" s="210"/>
      <c r="P384" s="210"/>
      <c r="Q384" s="210"/>
      <c r="R384" s="210"/>
      <c r="S384" s="210"/>
      <c r="T384" s="210"/>
      <c r="U384" s="210"/>
      <c r="V384" s="210"/>
      <c r="W384" s="210"/>
      <c r="X384" s="210"/>
      <c r="Y384" s="210"/>
      <c r="Z384" s="210"/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S1"/>
    <mergeCell ref="J2:J3"/>
    <mergeCell ref="K2:K3"/>
    <mergeCell ref="L2:L3"/>
    <mergeCell ref="M2:M3"/>
    <mergeCell ref="N2:N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Col="2"/>
  <cols>
    <col customWidth="1" hidden="1" min="1" max="1" width="14.43"/>
    <col customWidth="1" min="2" max="2" width="9.0"/>
    <col customWidth="1" hidden="1" min="3" max="3" width="14.43"/>
    <col customWidth="1" min="4" max="4" width="37.86"/>
    <col customWidth="1" hidden="1" min="5" max="5" width="14.43"/>
    <col customWidth="1" min="6" max="6" width="22.14"/>
    <col customWidth="1" hidden="1" min="7" max="7" width="33.57"/>
    <col customWidth="1" hidden="1" min="8" max="8" width="21.14"/>
    <col customWidth="1" hidden="1" min="9" max="9" width="19.71"/>
    <col customWidth="1" min="10" max="10" width="18.43"/>
    <col customWidth="1" hidden="1" min="11" max="13" width="14.43"/>
    <col customWidth="1" hidden="1" min="14" max="14" width="16.57"/>
    <col customWidth="1" hidden="1" min="15" max="19" width="14.43"/>
  </cols>
  <sheetData>
    <row r="1" ht="15.75" customHeight="1">
      <c r="A1" s="232" t="s">
        <v>512</v>
      </c>
      <c r="B1" s="233" t="s">
        <v>513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</row>
    <row r="2" ht="15.75" customHeight="1">
      <c r="B2" s="234"/>
      <c r="C2" s="235"/>
      <c r="D2" s="235"/>
      <c r="E2" s="235"/>
      <c r="F2" s="235"/>
      <c r="G2" s="235"/>
      <c r="H2" s="235"/>
      <c r="I2" s="235"/>
      <c r="J2" s="236" t="s">
        <v>216</v>
      </c>
      <c r="K2" s="236" t="s">
        <v>217</v>
      </c>
      <c r="L2" s="236" t="s">
        <v>218</v>
      </c>
      <c r="M2" s="236" t="s">
        <v>219</v>
      </c>
      <c r="N2" s="236" t="s">
        <v>220</v>
      </c>
      <c r="O2" s="237"/>
      <c r="P2" s="237"/>
      <c r="Q2" s="237"/>
      <c r="R2" s="237"/>
      <c r="S2" s="237"/>
    </row>
    <row r="3" ht="15.75" customHeight="1">
      <c r="B3" s="234" t="s">
        <v>230</v>
      </c>
      <c r="C3" s="234" t="s">
        <v>231</v>
      </c>
      <c r="D3" s="234" t="s">
        <v>222</v>
      </c>
      <c r="E3" s="234" t="s">
        <v>223</v>
      </c>
      <c r="F3" s="234" t="s">
        <v>224</v>
      </c>
      <c r="G3" s="234" t="s">
        <v>225</v>
      </c>
      <c r="H3" s="234" t="s">
        <v>226</v>
      </c>
      <c r="I3" s="234" t="s">
        <v>227</v>
      </c>
      <c r="J3" s="23"/>
      <c r="K3" s="23"/>
      <c r="L3" s="23"/>
      <c r="M3" s="23"/>
      <c r="N3" s="23"/>
      <c r="O3" s="237" t="s">
        <v>228</v>
      </c>
      <c r="P3" s="237"/>
      <c r="Q3" s="237"/>
      <c r="R3" s="237"/>
      <c r="S3" s="237" t="s">
        <v>229</v>
      </c>
    </row>
    <row r="4" ht="15.75" customHeight="1">
      <c r="B4" s="238"/>
      <c r="D4" s="235"/>
      <c r="E4" s="235"/>
      <c r="F4" s="235"/>
      <c r="G4" s="235"/>
      <c r="H4" s="235"/>
      <c r="I4" s="235"/>
      <c r="J4" s="237"/>
      <c r="K4" s="237"/>
      <c r="L4" s="237"/>
      <c r="M4" s="237"/>
      <c r="N4" s="237"/>
      <c r="O4" s="237"/>
      <c r="P4" s="237" t="s">
        <v>232</v>
      </c>
      <c r="Q4" s="237" t="s">
        <v>233</v>
      </c>
      <c r="R4" s="237" t="s">
        <v>234</v>
      </c>
      <c r="S4" s="237"/>
    </row>
    <row r="5" ht="15.75" customHeight="1">
      <c r="B5" s="239">
        <v>1.0</v>
      </c>
      <c r="C5" s="239">
        <v>1301138.0</v>
      </c>
      <c r="D5" s="240" t="s">
        <v>515</v>
      </c>
      <c r="E5" s="234">
        <v>1.1300955E7</v>
      </c>
      <c r="F5" s="240" t="s">
        <v>517</v>
      </c>
      <c r="G5" s="240" t="s">
        <v>344</v>
      </c>
      <c r="H5" s="240" t="s">
        <v>253</v>
      </c>
      <c r="I5" s="240" t="s">
        <v>518</v>
      </c>
      <c r="J5" s="234" t="s">
        <v>242</v>
      </c>
      <c r="K5" s="241">
        <v>41456.0</v>
      </c>
      <c r="L5" s="241">
        <v>41640.0</v>
      </c>
      <c r="M5" s="235"/>
      <c r="N5" s="241">
        <v>41640.0</v>
      </c>
      <c r="O5" s="239">
        <v>2014.0</v>
      </c>
      <c r="P5" s="234" t="s">
        <v>274</v>
      </c>
      <c r="Q5" s="234" t="s">
        <v>414</v>
      </c>
      <c r="R5" s="234" t="s">
        <v>247</v>
      </c>
      <c r="S5" s="242">
        <v>30553.0</v>
      </c>
    </row>
    <row r="6" ht="15.75" customHeight="1">
      <c r="B6" s="239">
        <v>2.0</v>
      </c>
      <c r="C6" s="239">
        <v>1701348.0</v>
      </c>
      <c r="D6" s="240" t="s">
        <v>526</v>
      </c>
      <c r="E6" s="234">
        <v>1.1700323E7</v>
      </c>
      <c r="F6" s="240" t="s">
        <v>528</v>
      </c>
      <c r="G6" s="240" t="s">
        <v>261</v>
      </c>
      <c r="H6" s="240" t="s">
        <v>262</v>
      </c>
      <c r="I6" s="240" t="s">
        <v>529</v>
      </c>
      <c r="J6" s="234" t="s">
        <v>242</v>
      </c>
      <c r="K6" s="241">
        <v>43040.0</v>
      </c>
      <c r="L6" s="241">
        <v>43466.0</v>
      </c>
      <c r="M6" s="235"/>
      <c r="N6" s="241">
        <v>43466.0</v>
      </c>
      <c r="O6" s="239">
        <v>2019.0</v>
      </c>
      <c r="P6" s="234" t="s">
        <v>322</v>
      </c>
      <c r="Q6" s="234" t="s">
        <v>246</v>
      </c>
      <c r="R6" s="234" t="s">
        <v>257</v>
      </c>
      <c r="S6" s="242">
        <v>34652.0</v>
      </c>
    </row>
    <row r="7" ht="15.75" customHeight="1">
      <c r="B7" s="239">
        <v>3.0</v>
      </c>
      <c r="C7" s="239">
        <v>1814215.0</v>
      </c>
      <c r="D7" s="240" t="s">
        <v>532</v>
      </c>
      <c r="E7" s="234">
        <v>1.1800143E7</v>
      </c>
      <c r="F7" s="240" t="s">
        <v>534</v>
      </c>
      <c r="G7" s="240" t="s">
        <v>252</v>
      </c>
      <c r="H7" s="240" t="s">
        <v>271</v>
      </c>
      <c r="I7" s="240" t="s">
        <v>425</v>
      </c>
      <c r="J7" s="234" t="s">
        <v>242</v>
      </c>
      <c r="K7" s="243">
        <v>43221.0</v>
      </c>
      <c r="L7" s="241">
        <v>43466.0</v>
      </c>
      <c r="M7" s="235"/>
      <c r="N7" s="241">
        <v>43466.0</v>
      </c>
      <c r="O7" s="239">
        <v>2019.0</v>
      </c>
      <c r="P7" s="234" t="s">
        <v>274</v>
      </c>
      <c r="Q7" s="234" t="s">
        <v>275</v>
      </c>
      <c r="R7" s="234" t="s">
        <v>257</v>
      </c>
      <c r="S7" s="242">
        <v>28380.0</v>
      </c>
    </row>
    <row r="8" ht="15.75" customHeight="1">
      <c r="B8" s="239">
        <v>4.0</v>
      </c>
      <c r="C8" s="239">
        <v>1301159.0</v>
      </c>
      <c r="D8" s="240" t="s">
        <v>537</v>
      </c>
      <c r="E8" s="234">
        <v>1.1301386E7</v>
      </c>
      <c r="F8" s="240" t="s">
        <v>433</v>
      </c>
      <c r="G8" s="240" t="s">
        <v>252</v>
      </c>
      <c r="H8" s="240" t="s">
        <v>434</v>
      </c>
      <c r="I8" s="240" t="s">
        <v>434</v>
      </c>
      <c r="J8" s="234" t="s">
        <v>242</v>
      </c>
      <c r="K8" s="241">
        <v>41609.0</v>
      </c>
      <c r="L8" s="241">
        <v>42370.0</v>
      </c>
      <c r="M8" s="235"/>
      <c r="N8" s="241">
        <v>42370.0</v>
      </c>
      <c r="O8" s="239">
        <v>2016.0</v>
      </c>
      <c r="P8" s="234" t="s">
        <v>256</v>
      </c>
      <c r="Q8" s="234" t="s">
        <v>541</v>
      </c>
      <c r="R8" s="234" t="s">
        <v>257</v>
      </c>
      <c r="S8" s="242">
        <v>34513.0</v>
      </c>
    </row>
    <row r="9" ht="15.75" customHeight="1">
      <c r="B9" s="239">
        <v>5.0</v>
      </c>
      <c r="C9" s="234">
        <v>901275.0</v>
      </c>
      <c r="D9" s="240" t="s">
        <v>544</v>
      </c>
      <c r="E9" s="234">
        <v>1.080329E7</v>
      </c>
      <c r="F9" s="240" t="s">
        <v>546</v>
      </c>
      <c r="G9" s="240" t="s">
        <v>252</v>
      </c>
      <c r="H9" s="240" t="s">
        <v>314</v>
      </c>
      <c r="I9" s="240" t="s">
        <v>546</v>
      </c>
      <c r="J9" s="234" t="s">
        <v>242</v>
      </c>
      <c r="K9" s="241">
        <v>39814.0</v>
      </c>
      <c r="L9" s="241">
        <v>42005.0</v>
      </c>
      <c r="M9" s="235"/>
      <c r="N9" s="241">
        <v>42005.0</v>
      </c>
      <c r="O9" s="239">
        <v>2015.0</v>
      </c>
      <c r="P9" s="234" t="s">
        <v>265</v>
      </c>
      <c r="Q9" s="234" t="s">
        <v>541</v>
      </c>
      <c r="R9" s="234" t="s">
        <v>257</v>
      </c>
      <c r="S9" s="242">
        <v>33081.0</v>
      </c>
    </row>
    <row r="10" ht="15.75" customHeight="1">
      <c r="B10" s="239">
        <v>6.0</v>
      </c>
      <c r="C10" s="239">
        <v>1814209.0</v>
      </c>
      <c r="D10" s="240" t="s">
        <v>550</v>
      </c>
      <c r="E10" s="234">
        <v>1.180017E7</v>
      </c>
      <c r="F10" s="240" t="s">
        <v>552</v>
      </c>
      <c r="G10" s="240" t="s">
        <v>344</v>
      </c>
      <c r="H10" s="240" t="s">
        <v>314</v>
      </c>
      <c r="I10" s="240" t="s">
        <v>315</v>
      </c>
      <c r="J10" s="234" t="s">
        <v>242</v>
      </c>
      <c r="K10" s="243">
        <v>43221.0</v>
      </c>
      <c r="L10" s="241">
        <v>43466.0</v>
      </c>
      <c r="M10" s="235"/>
      <c r="N10" s="241">
        <v>43466.0</v>
      </c>
      <c r="O10" s="239">
        <v>2019.0</v>
      </c>
      <c r="P10" s="234" t="s">
        <v>274</v>
      </c>
      <c r="Q10" s="234" t="s">
        <v>246</v>
      </c>
      <c r="R10" s="234" t="s">
        <v>257</v>
      </c>
      <c r="S10" s="242">
        <v>31969.0</v>
      </c>
    </row>
    <row r="11" ht="15.75" customHeight="1">
      <c r="B11" s="239">
        <v>7.0</v>
      </c>
      <c r="C11" s="239">
        <v>500239.0</v>
      </c>
      <c r="D11" s="240" t="s">
        <v>809</v>
      </c>
      <c r="E11" s="234">
        <v>1106328.0</v>
      </c>
      <c r="F11" s="240" t="s">
        <v>810</v>
      </c>
      <c r="G11" s="240" t="s">
        <v>239</v>
      </c>
      <c r="H11" s="240" t="s">
        <v>314</v>
      </c>
      <c r="I11" s="240" t="s">
        <v>352</v>
      </c>
      <c r="J11" s="234" t="s">
        <v>242</v>
      </c>
      <c r="K11" s="241">
        <v>37257.0</v>
      </c>
      <c r="L11" s="241">
        <v>38353.0</v>
      </c>
      <c r="M11" s="235"/>
      <c r="N11" s="241">
        <v>38353.0</v>
      </c>
      <c r="O11" s="239">
        <v>2005.0</v>
      </c>
      <c r="P11" s="234" t="s">
        <v>265</v>
      </c>
      <c r="Q11" s="234" t="s">
        <v>309</v>
      </c>
      <c r="R11" s="234" t="s">
        <v>257</v>
      </c>
      <c r="S11" s="242">
        <v>30361.0</v>
      </c>
    </row>
    <row r="12" ht="15.75" customHeight="1">
      <c r="B12" s="239">
        <v>8.0</v>
      </c>
      <c r="C12" s="239">
        <v>1814186.0</v>
      </c>
      <c r="D12" s="240" t="s">
        <v>554</v>
      </c>
      <c r="E12" s="234">
        <v>1.1800131E7</v>
      </c>
      <c r="F12" s="240" t="s">
        <v>351</v>
      </c>
      <c r="G12" s="240" t="s">
        <v>344</v>
      </c>
      <c r="H12" s="240" t="s">
        <v>314</v>
      </c>
      <c r="I12" s="240" t="s">
        <v>352</v>
      </c>
      <c r="J12" s="234" t="s">
        <v>242</v>
      </c>
      <c r="K12" s="243">
        <v>43221.0</v>
      </c>
      <c r="L12" s="241">
        <v>43466.0</v>
      </c>
      <c r="M12" s="235"/>
      <c r="N12" s="241">
        <v>43466.0</v>
      </c>
      <c r="O12" s="239">
        <v>2019.0</v>
      </c>
      <c r="P12" s="234" t="s">
        <v>274</v>
      </c>
      <c r="Q12" s="234" t="s">
        <v>541</v>
      </c>
      <c r="R12" s="234" t="s">
        <v>257</v>
      </c>
      <c r="S12" s="242">
        <v>28136.0</v>
      </c>
    </row>
    <row r="13" ht="15.75" customHeight="1">
      <c r="B13" s="239">
        <v>9.0</v>
      </c>
      <c r="C13" s="239">
        <v>1814196.0</v>
      </c>
      <c r="D13" s="240" t="s">
        <v>557</v>
      </c>
      <c r="E13" s="234">
        <v>1.1800126E7</v>
      </c>
      <c r="F13" s="240" t="s">
        <v>559</v>
      </c>
      <c r="G13" s="240" t="s">
        <v>252</v>
      </c>
      <c r="H13" s="240" t="s">
        <v>314</v>
      </c>
      <c r="I13" s="240" t="s">
        <v>319</v>
      </c>
      <c r="J13" s="234" t="s">
        <v>242</v>
      </c>
      <c r="K13" s="243">
        <v>43221.0</v>
      </c>
      <c r="L13" s="241">
        <v>43466.0</v>
      </c>
      <c r="M13" s="235"/>
      <c r="N13" s="241">
        <v>43466.0</v>
      </c>
      <c r="O13" s="239">
        <v>2019.0</v>
      </c>
      <c r="P13" s="234" t="s">
        <v>274</v>
      </c>
      <c r="Q13" s="234" t="s">
        <v>414</v>
      </c>
      <c r="R13" s="234" t="s">
        <v>257</v>
      </c>
      <c r="S13" s="242">
        <v>31118.0</v>
      </c>
    </row>
    <row r="14" ht="15.75" customHeight="1">
      <c r="B14" s="239">
        <v>10.0</v>
      </c>
      <c r="C14" s="239">
        <v>1814208.0</v>
      </c>
      <c r="D14" s="240" t="s">
        <v>561</v>
      </c>
      <c r="E14" s="234">
        <v>1.1800117E7</v>
      </c>
      <c r="F14" s="240" t="s">
        <v>559</v>
      </c>
      <c r="G14" s="240" t="s">
        <v>252</v>
      </c>
      <c r="H14" s="240" t="s">
        <v>314</v>
      </c>
      <c r="I14" s="240" t="s">
        <v>319</v>
      </c>
      <c r="J14" s="234" t="s">
        <v>242</v>
      </c>
      <c r="K14" s="243">
        <v>43221.0</v>
      </c>
      <c r="L14" s="241">
        <v>43831.0</v>
      </c>
      <c r="M14" s="235"/>
      <c r="N14" s="241">
        <v>43831.0</v>
      </c>
      <c r="O14" s="239">
        <v>2020.0</v>
      </c>
      <c r="P14" s="234" t="s">
        <v>274</v>
      </c>
      <c r="Q14" s="234" t="s">
        <v>564</v>
      </c>
      <c r="R14" s="234" t="s">
        <v>257</v>
      </c>
      <c r="S14" s="242">
        <v>28229.0</v>
      </c>
    </row>
    <row r="15" ht="15.75" customHeight="1">
      <c r="B15" s="239">
        <v>11.0</v>
      </c>
      <c r="C15" s="239">
        <v>1814159.0</v>
      </c>
      <c r="D15" s="240" t="s">
        <v>566</v>
      </c>
      <c r="E15" s="234">
        <v>1.180013E7</v>
      </c>
      <c r="F15" s="240" t="s">
        <v>559</v>
      </c>
      <c r="G15" s="240" t="s">
        <v>252</v>
      </c>
      <c r="H15" s="240" t="s">
        <v>314</v>
      </c>
      <c r="I15" s="240" t="s">
        <v>319</v>
      </c>
      <c r="J15" s="234" t="s">
        <v>242</v>
      </c>
      <c r="K15" s="243">
        <v>43221.0</v>
      </c>
      <c r="L15" s="241">
        <v>43831.0</v>
      </c>
      <c r="M15" s="235"/>
      <c r="N15" s="241">
        <v>43831.0</v>
      </c>
      <c r="O15" s="239">
        <v>2020.0</v>
      </c>
      <c r="P15" s="234" t="s">
        <v>274</v>
      </c>
      <c r="Q15" s="234" t="s">
        <v>568</v>
      </c>
      <c r="R15" s="234" t="s">
        <v>257</v>
      </c>
      <c r="S15" s="241">
        <v>29441.0</v>
      </c>
    </row>
    <row r="16" ht="15.75" customHeight="1">
      <c r="B16" s="239">
        <v>12.0</v>
      </c>
      <c r="C16" s="239">
        <v>1814199.0</v>
      </c>
      <c r="D16" s="240" t="s">
        <v>570</v>
      </c>
      <c r="E16" s="234">
        <v>1.1800158E7</v>
      </c>
      <c r="F16" s="240" t="s">
        <v>559</v>
      </c>
      <c r="G16" s="240" t="s">
        <v>252</v>
      </c>
      <c r="H16" s="240" t="s">
        <v>314</v>
      </c>
      <c r="I16" s="240" t="s">
        <v>319</v>
      </c>
      <c r="J16" s="234" t="s">
        <v>242</v>
      </c>
      <c r="K16" s="243">
        <v>43221.0</v>
      </c>
      <c r="L16" s="241">
        <v>43831.0</v>
      </c>
      <c r="M16" s="235"/>
      <c r="N16" s="241">
        <v>43831.0</v>
      </c>
      <c r="O16" s="239">
        <v>2020.0</v>
      </c>
      <c r="P16" s="234" t="s">
        <v>245</v>
      </c>
      <c r="Q16" s="234" t="s">
        <v>323</v>
      </c>
      <c r="R16" s="234" t="s">
        <v>257</v>
      </c>
      <c r="S16" s="241">
        <v>34703.0</v>
      </c>
    </row>
    <row r="17" ht="15.75" customHeight="1">
      <c r="B17" s="239">
        <v>13.0</v>
      </c>
      <c r="C17" s="239">
        <v>1814214.0</v>
      </c>
      <c r="D17" s="240" t="s">
        <v>573</v>
      </c>
      <c r="E17" s="234">
        <v>1.1800169E7</v>
      </c>
      <c r="F17" s="240" t="s">
        <v>559</v>
      </c>
      <c r="G17" s="240" t="s">
        <v>252</v>
      </c>
      <c r="H17" s="240" t="s">
        <v>314</v>
      </c>
      <c r="I17" s="240" t="s">
        <v>319</v>
      </c>
      <c r="J17" s="234" t="s">
        <v>242</v>
      </c>
      <c r="K17" s="243">
        <v>43221.0</v>
      </c>
      <c r="L17" s="241">
        <v>43466.0</v>
      </c>
      <c r="M17" s="235"/>
      <c r="N17" s="241">
        <v>43466.0</v>
      </c>
      <c r="O17" s="239">
        <v>2019.0</v>
      </c>
      <c r="P17" s="234" t="s">
        <v>274</v>
      </c>
      <c r="Q17" s="234" t="s">
        <v>568</v>
      </c>
      <c r="R17" s="234" t="s">
        <v>257</v>
      </c>
      <c r="S17" s="242">
        <v>30221.0</v>
      </c>
    </row>
    <row r="18" ht="15.75" customHeight="1">
      <c r="B18" s="239">
        <v>14.0</v>
      </c>
      <c r="C18" s="234">
        <v>1814192.0</v>
      </c>
      <c r="D18" s="240" t="s">
        <v>576</v>
      </c>
      <c r="E18" s="239">
        <v>1.1800174E7</v>
      </c>
      <c r="F18" s="240" t="s">
        <v>578</v>
      </c>
      <c r="G18" s="240" t="s">
        <v>252</v>
      </c>
      <c r="H18" s="240" t="s">
        <v>314</v>
      </c>
      <c r="I18" s="240" t="s">
        <v>352</v>
      </c>
      <c r="J18" s="234" t="s">
        <v>242</v>
      </c>
      <c r="K18" s="243">
        <v>43221.0</v>
      </c>
      <c r="L18" s="241">
        <v>43831.0</v>
      </c>
      <c r="M18" s="235"/>
      <c r="N18" s="241">
        <v>43831.0</v>
      </c>
      <c r="O18" s="239">
        <v>2020.0</v>
      </c>
      <c r="P18" s="234" t="s">
        <v>274</v>
      </c>
      <c r="Q18" s="234" t="s">
        <v>564</v>
      </c>
      <c r="R18" s="234" t="s">
        <v>257</v>
      </c>
      <c r="S18" s="242">
        <v>28478.0</v>
      </c>
    </row>
    <row r="19" ht="15.75" customHeight="1">
      <c r="B19" s="239">
        <v>15.0</v>
      </c>
      <c r="C19" s="234">
        <v>500423.0</v>
      </c>
      <c r="D19" s="240" t="s">
        <v>581</v>
      </c>
      <c r="E19" s="239">
        <v>1106343.0</v>
      </c>
      <c r="F19" s="240" t="s">
        <v>578</v>
      </c>
      <c r="G19" s="240" t="s">
        <v>252</v>
      </c>
      <c r="H19" s="240" t="s">
        <v>314</v>
      </c>
      <c r="I19" s="240" t="s">
        <v>352</v>
      </c>
      <c r="J19" s="234" t="s">
        <v>242</v>
      </c>
      <c r="K19" s="242">
        <v>38341.0</v>
      </c>
      <c r="L19" s="241">
        <v>39083.0</v>
      </c>
      <c r="M19" s="235"/>
      <c r="N19" s="241">
        <v>39083.0</v>
      </c>
      <c r="O19" s="239">
        <v>2007.0</v>
      </c>
      <c r="P19" s="234" t="s">
        <v>265</v>
      </c>
      <c r="Q19" s="234" t="s">
        <v>309</v>
      </c>
      <c r="R19" s="234" t="s">
        <v>257</v>
      </c>
      <c r="S19" s="242">
        <v>31120.0</v>
      </c>
    </row>
    <row r="20" ht="15.75" customHeight="1">
      <c r="B20" s="239">
        <v>16.0</v>
      </c>
      <c r="C20" s="239">
        <v>500425.0</v>
      </c>
      <c r="D20" s="240" t="s">
        <v>586</v>
      </c>
      <c r="E20" s="234">
        <v>1106344.0</v>
      </c>
      <c r="F20" s="240" t="s">
        <v>587</v>
      </c>
      <c r="G20" s="240" t="s">
        <v>344</v>
      </c>
      <c r="H20" s="240" t="s">
        <v>376</v>
      </c>
      <c r="I20" s="240" t="s">
        <v>54</v>
      </c>
      <c r="J20" s="234" t="s">
        <v>242</v>
      </c>
      <c r="K20" s="242">
        <v>38341.0</v>
      </c>
      <c r="L20" s="241">
        <v>39083.0</v>
      </c>
      <c r="M20" s="235"/>
      <c r="N20" s="241">
        <v>39083.0</v>
      </c>
      <c r="O20" s="239">
        <v>2007.0</v>
      </c>
      <c r="P20" s="234" t="s">
        <v>322</v>
      </c>
      <c r="Q20" s="234" t="s">
        <v>309</v>
      </c>
      <c r="R20" s="234" t="s">
        <v>257</v>
      </c>
      <c r="S20" s="243">
        <v>31172.0</v>
      </c>
    </row>
    <row r="21" ht="15.75" customHeight="1">
      <c r="B21" s="239">
        <v>17.0</v>
      </c>
      <c r="C21" s="239">
        <v>1814176.0</v>
      </c>
      <c r="D21" s="240" t="s">
        <v>592</v>
      </c>
      <c r="E21" s="234">
        <v>1.1800122E7</v>
      </c>
      <c r="F21" s="240" t="s">
        <v>594</v>
      </c>
      <c r="G21" s="240" t="s">
        <v>252</v>
      </c>
      <c r="H21" s="240" t="s">
        <v>376</v>
      </c>
      <c r="I21" s="240" t="s">
        <v>54</v>
      </c>
      <c r="J21" s="234" t="s">
        <v>242</v>
      </c>
      <c r="K21" s="243">
        <v>43221.0</v>
      </c>
      <c r="L21" s="241">
        <v>43466.0</v>
      </c>
      <c r="M21" s="235"/>
      <c r="N21" s="241">
        <v>43466.0</v>
      </c>
      <c r="O21" s="239">
        <v>2019.0</v>
      </c>
      <c r="P21" s="234" t="s">
        <v>274</v>
      </c>
      <c r="Q21" s="234" t="s">
        <v>541</v>
      </c>
      <c r="R21" s="234" t="s">
        <v>257</v>
      </c>
      <c r="S21" s="244">
        <v>26082.0</v>
      </c>
    </row>
    <row r="22" ht="15.75" customHeight="1">
      <c r="B22" s="239">
        <v>18.0</v>
      </c>
      <c r="C22" s="239">
        <v>1814182.0</v>
      </c>
      <c r="D22" s="240" t="s">
        <v>596</v>
      </c>
      <c r="E22" s="234">
        <v>1.1800119E7</v>
      </c>
      <c r="F22" s="240" t="s">
        <v>492</v>
      </c>
      <c r="G22" s="240" t="s">
        <v>252</v>
      </c>
      <c r="H22" s="240" t="s">
        <v>376</v>
      </c>
      <c r="I22" s="240" t="s">
        <v>54</v>
      </c>
      <c r="J22" s="234" t="s">
        <v>242</v>
      </c>
      <c r="K22" s="243">
        <v>43221.0</v>
      </c>
      <c r="L22" s="241">
        <v>43831.0</v>
      </c>
      <c r="M22" s="235"/>
      <c r="N22" s="241">
        <v>43831.0</v>
      </c>
      <c r="O22" s="239">
        <v>2020.0</v>
      </c>
      <c r="P22" s="234" t="s">
        <v>274</v>
      </c>
      <c r="Q22" s="234" t="s">
        <v>323</v>
      </c>
      <c r="R22" s="234" t="s">
        <v>257</v>
      </c>
      <c r="S22" s="241">
        <v>26611.0</v>
      </c>
    </row>
    <row r="23" ht="15.75" customHeight="1">
      <c r="B23" s="239">
        <v>19.0</v>
      </c>
      <c r="C23" s="239">
        <v>1814152.0</v>
      </c>
      <c r="D23" s="240" t="s">
        <v>599</v>
      </c>
      <c r="E23" s="234">
        <v>1.1800157E7</v>
      </c>
      <c r="F23" s="240" t="s">
        <v>601</v>
      </c>
      <c r="G23" s="240" t="s">
        <v>239</v>
      </c>
      <c r="H23" s="240" t="s">
        <v>388</v>
      </c>
      <c r="I23" s="240" t="s">
        <v>398</v>
      </c>
      <c r="J23" s="234" t="s">
        <v>242</v>
      </c>
      <c r="K23" s="243">
        <v>43221.0</v>
      </c>
      <c r="L23" s="241">
        <v>43466.0</v>
      </c>
      <c r="M23" s="234"/>
      <c r="N23" s="241">
        <v>43466.0</v>
      </c>
      <c r="O23" s="234">
        <v>2019.0</v>
      </c>
      <c r="P23" s="234" t="s">
        <v>274</v>
      </c>
      <c r="Q23" s="234" t="s">
        <v>541</v>
      </c>
      <c r="R23" s="234" t="s">
        <v>257</v>
      </c>
      <c r="S23" s="242">
        <v>29430.0</v>
      </c>
    </row>
    <row r="24" ht="15.75" customHeight="1">
      <c r="B24" s="239">
        <v>20.0</v>
      </c>
      <c r="C24" s="239">
        <v>2314857.0</v>
      </c>
      <c r="D24" s="240" t="s">
        <v>604</v>
      </c>
      <c r="E24" s="234">
        <v>1.2300201E7</v>
      </c>
      <c r="F24" s="234" t="s">
        <v>524</v>
      </c>
      <c r="G24" s="240" t="s">
        <v>252</v>
      </c>
      <c r="H24" s="234" t="s">
        <v>253</v>
      </c>
      <c r="I24" s="234" t="s">
        <v>254</v>
      </c>
      <c r="J24" s="234" t="s">
        <v>418</v>
      </c>
      <c r="K24" s="241">
        <v>45261.0</v>
      </c>
      <c r="L24" s="241">
        <v>45261.0</v>
      </c>
      <c r="M24" s="242">
        <v>45657.0</v>
      </c>
      <c r="N24" s="235"/>
      <c r="O24" s="235"/>
      <c r="P24" s="234" t="s">
        <v>256</v>
      </c>
      <c r="Q24" s="234" t="s">
        <v>246</v>
      </c>
      <c r="R24" s="234" t="s">
        <v>247</v>
      </c>
      <c r="S24" s="242">
        <v>35702.0</v>
      </c>
    </row>
    <row r="25" ht="15.75" customHeight="1">
      <c r="B25" s="239">
        <v>21.0</v>
      </c>
      <c r="C25" s="239">
        <v>2114505.0</v>
      </c>
      <c r="D25" s="240" t="s">
        <v>612</v>
      </c>
      <c r="E25" s="234">
        <v>1.2100013E7</v>
      </c>
      <c r="F25" s="234" t="s">
        <v>270</v>
      </c>
      <c r="G25" s="240" t="s">
        <v>239</v>
      </c>
      <c r="H25" s="234" t="s">
        <v>271</v>
      </c>
      <c r="I25" s="234" t="s">
        <v>271</v>
      </c>
      <c r="J25" s="234" t="s">
        <v>412</v>
      </c>
      <c r="K25" s="241">
        <v>44197.0</v>
      </c>
      <c r="L25" s="241">
        <v>45292.0</v>
      </c>
      <c r="M25" s="242">
        <v>45657.0</v>
      </c>
      <c r="N25" s="235"/>
      <c r="O25" s="235"/>
      <c r="P25" s="234" t="s">
        <v>274</v>
      </c>
      <c r="Q25" s="234" t="s">
        <v>246</v>
      </c>
      <c r="R25" s="234" t="s">
        <v>247</v>
      </c>
      <c r="S25" s="242">
        <v>24032.0</v>
      </c>
    </row>
    <row r="26" ht="15.75" customHeight="1">
      <c r="B26" s="239">
        <v>22.0</v>
      </c>
      <c r="C26" s="239">
        <v>2214752.0</v>
      </c>
      <c r="D26" s="240" t="s">
        <v>615</v>
      </c>
      <c r="E26" s="234">
        <v>1.2200108E7</v>
      </c>
      <c r="F26" s="234" t="s">
        <v>279</v>
      </c>
      <c r="G26" s="240" t="s">
        <v>252</v>
      </c>
      <c r="H26" s="234" t="s">
        <v>271</v>
      </c>
      <c r="I26" s="234" t="s">
        <v>271</v>
      </c>
      <c r="J26" s="234" t="s">
        <v>451</v>
      </c>
      <c r="K26" s="241">
        <v>44743.0</v>
      </c>
      <c r="L26" s="241">
        <v>45292.0</v>
      </c>
      <c r="M26" s="242">
        <v>45473.0</v>
      </c>
      <c r="N26" s="235"/>
      <c r="O26" s="235"/>
      <c r="P26" s="234" t="s">
        <v>274</v>
      </c>
      <c r="Q26" s="234" t="s">
        <v>246</v>
      </c>
      <c r="R26" s="234" t="s">
        <v>247</v>
      </c>
      <c r="S26" s="242">
        <v>33478.0</v>
      </c>
    </row>
    <row r="27" ht="15.75" customHeight="1">
      <c r="B27" s="239">
        <v>23.0</v>
      </c>
      <c r="C27" s="239">
        <v>2314782.0</v>
      </c>
      <c r="D27" s="240" t="s">
        <v>619</v>
      </c>
      <c r="E27" s="234">
        <v>1.2300015E7</v>
      </c>
      <c r="F27" s="234" t="s">
        <v>621</v>
      </c>
      <c r="G27" s="240" t="s">
        <v>252</v>
      </c>
      <c r="H27" s="234" t="s">
        <v>290</v>
      </c>
      <c r="I27" s="234" t="s">
        <v>444</v>
      </c>
      <c r="J27" s="234" t="s">
        <v>426</v>
      </c>
      <c r="K27" s="242">
        <v>44937.0</v>
      </c>
      <c r="L27" s="241">
        <v>45292.0</v>
      </c>
      <c r="M27" s="242">
        <v>45382.0</v>
      </c>
      <c r="N27" s="235"/>
      <c r="O27" s="235"/>
      <c r="P27" s="234" t="s">
        <v>256</v>
      </c>
      <c r="Q27" s="234" t="s">
        <v>246</v>
      </c>
      <c r="R27" s="234" t="s">
        <v>257</v>
      </c>
      <c r="S27" s="242">
        <v>33614.0</v>
      </c>
    </row>
    <row r="28" ht="15.75" customHeight="1">
      <c r="B28" s="239">
        <v>24.0</v>
      </c>
      <c r="C28" s="239">
        <v>2114634.0</v>
      </c>
      <c r="D28" s="240" t="s">
        <v>626</v>
      </c>
      <c r="E28" s="234">
        <v>1.2100217E7</v>
      </c>
      <c r="F28" s="234" t="s">
        <v>628</v>
      </c>
      <c r="G28" s="240" t="s">
        <v>252</v>
      </c>
      <c r="H28" s="234" t="s">
        <v>290</v>
      </c>
      <c r="I28" s="234" t="s">
        <v>444</v>
      </c>
      <c r="J28" s="234" t="s">
        <v>412</v>
      </c>
      <c r="K28" s="241">
        <v>44409.0</v>
      </c>
      <c r="L28" s="241">
        <v>45292.0</v>
      </c>
      <c r="M28" s="242">
        <v>45657.0</v>
      </c>
      <c r="N28" s="235"/>
      <c r="O28" s="235"/>
      <c r="P28" s="234" t="s">
        <v>265</v>
      </c>
      <c r="Q28" s="234" t="s">
        <v>309</v>
      </c>
      <c r="R28" s="234" t="s">
        <v>257</v>
      </c>
      <c r="S28" s="241">
        <v>28527.0</v>
      </c>
    </row>
    <row r="29" ht="15.75" customHeight="1">
      <c r="B29" s="239">
        <v>25.0</v>
      </c>
      <c r="C29" s="239">
        <v>2114677.0</v>
      </c>
      <c r="D29" s="240" t="s">
        <v>629</v>
      </c>
      <c r="E29" s="234">
        <v>1.2100262E7</v>
      </c>
      <c r="F29" s="234" t="s">
        <v>305</v>
      </c>
      <c r="G29" s="240" t="s">
        <v>252</v>
      </c>
      <c r="H29" s="234" t="s">
        <v>290</v>
      </c>
      <c r="I29" s="234" t="s">
        <v>37</v>
      </c>
      <c r="J29" s="234" t="s">
        <v>463</v>
      </c>
      <c r="K29" s="241">
        <v>44501.0</v>
      </c>
      <c r="L29" s="241">
        <v>45292.0</v>
      </c>
      <c r="M29" s="242">
        <v>45657.0</v>
      </c>
      <c r="N29" s="235"/>
      <c r="O29" s="235"/>
      <c r="P29" s="234" t="s">
        <v>508</v>
      </c>
      <c r="Q29" s="234" t="s">
        <v>246</v>
      </c>
      <c r="R29" s="234" t="s">
        <v>257</v>
      </c>
      <c r="S29" s="242">
        <v>33172.0</v>
      </c>
    </row>
    <row r="30" ht="15.75" customHeight="1">
      <c r="B30" s="239">
        <v>26.0</v>
      </c>
      <c r="C30" s="239">
        <v>2114635.0</v>
      </c>
      <c r="D30" s="240" t="s">
        <v>633</v>
      </c>
      <c r="E30" s="234">
        <v>1.2100218E7</v>
      </c>
      <c r="F30" s="234" t="s">
        <v>552</v>
      </c>
      <c r="G30" s="240" t="s">
        <v>344</v>
      </c>
      <c r="H30" s="234" t="s">
        <v>314</v>
      </c>
      <c r="I30" s="234" t="s">
        <v>315</v>
      </c>
      <c r="J30" s="234" t="s">
        <v>412</v>
      </c>
      <c r="K30" s="241">
        <v>44409.0</v>
      </c>
      <c r="L30" s="241">
        <v>45292.0</v>
      </c>
      <c r="M30" s="242">
        <v>45657.0</v>
      </c>
      <c r="N30" s="235"/>
      <c r="O30" s="235"/>
      <c r="P30" s="234" t="s">
        <v>322</v>
      </c>
      <c r="Q30" s="234" t="s">
        <v>414</v>
      </c>
      <c r="R30" s="234" t="s">
        <v>257</v>
      </c>
      <c r="S30" s="241">
        <v>27974.0</v>
      </c>
    </row>
    <row r="31" ht="15.75" customHeight="1">
      <c r="B31" s="239">
        <v>27.0</v>
      </c>
      <c r="C31" s="239">
        <v>2114675.0</v>
      </c>
      <c r="D31" s="240" t="s">
        <v>636</v>
      </c>
      <c r="E31" s="234">
        <v>1.2100258E7</v>
      </c>
      <c r="F31" s="234" t="s">
        <v>578</v>
      </c>
      <c r="G31" s="240" t="s">
        <v>252</v>
      </c>
      <c r="H31" s="234" t="s">
        <v>314</v>
      </c>
      <c r="I31" s="234" t="s">
        <v>352</v>
      </c>
      <c r="J31" s="234" t="s">
        <v>463</v>
      </c>
      <c r="K31" s="242">
        <v>44490.0</v>
      </c>
      <c r="L31" s="241">
        <v>45292.0</v>
      </c>
      <c r="M31" s="242">
        <v>45657.0</v>
      </c>
      <c r="N31" s="235"/>
      <c r="O31" s="235"/>
      <c r="P31" s="234" t="s">
        <v>274</v>
      </c>
      <c r="Q31" s="234" t="s">
        <v>309</v>
      </c>
      <c r="R31" s="234" t="s">
        <v>257</v>
      </c>
      <c r="S31" s="241">
        <v>31632.0</v>
      </c>
    </row>
    <row r="32" ht="15.75" customHeight="1">
      <c r="B32" s="239">
        <v>28.0</v>
      </c>
      <c r="C32" s="239">
        <v>2014418.0</v>
      </c>
      <c r="D32" s="240" t="s">
        <v>640</v>
      </c>
      <c r="E32" s="234">
        <v>1.2000017E7</v>
      </c>
      <c r="F32" s="234" t="s">
        <v>578</v>
      </c>
      <c r="G32" s="240" t="s">
        <v>252</v>
      </c>
      <c r="H32" s="234" t="s">
        <v>314</v>
      </c>
      <c r="I32" s="234" t="s">
        <v>352</v>
      </c>
      <c r="J32" s="234" t="s">
        <v>418</v>
      </c>
      <c r="K32" s="241">
        <v>43836.0</v>
      </c>
      <c r="L32" s="241">
        <v>45292.0</v>
      </c>
      <c r="M32" s="242">
        <v>45657.0</v>
      </c>
      <c r="N32" s="235"/>
      <c r="O32" s="235"/>
      <c r="P32" s="234" t="s">
        <v>322</v>
      </c>
      <c r="Q32" s="234" t="s">
        <v>323</v>
      </c>
      <c r="R32" s="234" t="s">
        <v>257</v>
      </c>
      <c r="S32" s="242">
        <v>34226.0</v>
      </c>
    </row>
    <row r="33" ht="15.75" customHeight="1">
      <c r="B33" s="239">
        <v>29.0</v>
      </c>
      <c r="C33" s="239">
        <v>2114539.0</v>
      </c>
      <c r="D33" s="240" t="s">
        <v>643</v>
      </c>
      <c r="E33" s="234">
        <v>1.2100054E7</v>
      </c>
      <c r="F33" s="234" t="s">
        <v>578</v>
      </c>
      <c r="G33" s="240" t="s">
        <v>252</v>
      </c>
      <c r="H33" s="234" t="s">
        <v>314</v>
      </c>
      <c r="I33" s="234" t="s">
        <v>352</v>
      </c>
      <c r="J33" s="234" t="s">
        <v>463</v>
      </c>
      <c r="K33" s="241">
        <v>44228.0</v>
      </c>
      <c r="L33" s="241">
        <v>45292.0</v>
      </c>
      <c r="M33" s="242">
        <v>45657.0</v>
      </c>
      <c r="N33" s="235"/>
      <c r="O33" s="235"/>
      <c r="P33" s="234" t="s">
        <v>265</v>
      </c>
      <c r="Q33" s="234" t="s">
        <v>309</v>
      </c>
      <c r="R33" s="234" t="s">
        <v>257</v>
      </c>
      <c r="S33" s="242">
        <v>30478.0</v>
      </c>
    </row>
    <row r="34" ht="15.75" customHeight="1">
      <c r="B34" s="239">
        <v>30.0</v>
      </c>
      <c r="C34" s="239">
        <v>2014430.0</v>
      </c>
      <c r="D34" s="240" t="s">
        <v>647</v>
      </c>
      <c r="E34" s="234">
        <v>1.2000029E7</v>
      </c>
      <c r="F34" s="234" t="s">
        <v>578</v>
      </c>
      <c r="G34" s="240" t="s">
        <v>252</v>
      </c>
      <c r="H34" s="234" t="s">
        <v>314</v>
      </c>
      <c r="I34" s="234" t="s">
        <v>352</v>
      </c>
      <c r="J34" s="234" t="s">
        <v>426</v>
      </c>
      <c r="K34" s="241">
        <v>44197.0</v>
      </c>
      <c r="L34" s="241">
        <v>45292.0</v>
      </c>
      <c r="M34" s="242">
        <v>45657.0</v>
      </c>
      <c r="N34" s="235"/>
      <c r="O34" s="235"/>
      <c r="P34" s="234" t="s">
        <v>256</v>
      </c>
      <c r="Q34" s="234" t="s">
        <v>323</v>
      </c>
      <c r="R34" s="234" t="s">
        <v>257</v>
      </c>
      <c r="S34" s="242">
        <v>34754.0</v>
      </c>
    </row>
    <row r="35" ht="15.75" customHeight="1">
      <c r="B35" s="239">
        <v>31.0</v>
      </c>
      <c r="C35" s="239">
        <v>2314781.0</v>
      </c>
      <c r="D35" s="240" t="s">
        <v>650</v>
      </c>
      <c r="E35" s="234">
        <v>1.2300011E7</v>
      </c>
      <c r="F35" s="234" t="s">
        <v>578</v>
      </c>
      <c r="G35" s="240" t="s">
        <v>252</v>
      </c>
      <c r="H35" s="234" t="s">
        <v>314</v>
      </c>
      <c r="I35" s="234" t="s">
        <v>352</v>
      </c>
      <c r="J35" s="234" t="s">
        <v>426</v>
      </c>
      <c r="K35" s="241">
        <v>44935.0</v>
      </c>
      <c r="L35" s="241">
        <v>45292.0</v>
      </c>
      <c r="M35" s="242">
        <v>45657.0</v>
      </c>
      <c r="N35" s="235"/>
      <c r="O35" s="235"/>
      <c r="P35" s="234" t="s">
        <v>322</v>
      </c>
      <c r="Q35" s="234" t="s">
        <v>323</v>
      </c>
      <c r="R35" s="234" t="s">
        <v>257</v>
      </c>
      <c r="S35" s="242">
        <v>35359.0</v>
      </c>
    </row>
    <row r="36" ht="15.75" customHeight="1">
      <c r="B36" s="239">
        <v>32.0</v>
      </c>
      <c r="C36" s="239">
        <v>2214711.0</v>
      </c>
      <c r="D36" s="240" t="s">
        <v>661</v>
      </c>
      <c r="E36" s="234">
        <v>1.220003E7</v>
      </c>
      <c r="F36" s="234" t="s">
        <v>398</v>
      </c>
      <c r="G36" s="240" t="s">
        <v>252</v>
      </c>
      <c r="H36" s="234" t="s">
        <v>388</v>
      </c>
      <c r="I36" s="234" t="s">
        <v>398</v>
      </c>
      <c r="J36" s="234" t="s">
        <v>463</v>
      </c>
      <c r="K36" s="242">
        <v>44610.0</v>
      </c>
      <c r="L36" s="241">
        <v>45292.0</v>
      </c>
      <c r="M36" s="242">
        <v>45657.0</v>
      </c>
      <c r="N36" s="235"/>
      <c r="O36" s="235"/>
      <c r="P36" s="234" t="s">
        <v>256</v>
      </c>
      <c r="Q36" s="234" t="s">
        <v>275</v>
      </c>
      <c r="R36" s="234" t="s">
        <v>257</v>
      </c>
      <c r="S36" s="241">
        <v>36197.0</v>
      </c>
    </row>
    <row r="37" ht="15.75" customHeight="1">
      <c r="B37" s="113"/>
      <c r="C37" s="96"/>
      <c r="D37" s="96"/>
      <c r="E37" s="96"/>
      <c r="F37" s="96"/>
      <c r="G37" s="96"/>
      <c r="H37" s="96"/>
      <c r="I37" s="96"/>
      <c r="J37" s="96"/>
    </row>
    <row r="38" ht="15.75" customHeight="1">
      <c r="B38" s="113">
        <v>1.0</v>
      </c>
      <c r="C38" s="96"/>
      <c r="D38" s="96" t="s">
        <v>1256</v>
      </c>
      <c r="E38" s="96"/>
      <c r="F38" s="96" t="s">
        <v>1257</v>
      </c>
      <c r="G38" s="96"/>
      <c r="H38" s="96"/>
      <c r="I38" s="96"/>
      <c r="J38" s="96" t="s">
        <v>146</v>
      </c>
    </row>
    <row r="39" ht="15.75" customHeight="1">
      <c r="B39" s="113">
        <v>2.0</v>
      </c>
      <c r="C39" s="96"/>
      <c r="D39" s="96" t="s">
        <v>1258</v>
      </c>
      <c r="E39" s="96"/>
      <c r="F39" s="96" t="s">
        <v>1259</v>
      </c>
      <c r="G39" s="96"/>
      <c r="H39" s="96"/>
      <c r="I39" s="96"/>
      <c r="J39" s="96" t="s">
        <v>146</v>
      </c>
    </row>
    <row r="40" ht="15.75" customHeight="1">
      <c r="B40" s="113">
        <v>3.0</v>
      </c>
      <c r="C40" s="96"/>
      <c r="D40" s="96" t="s">
        <v>1260</v>
      </c>
      <c r="E40" s="96"/>
      <c r="F40" s="96" t="s">
        <v>1261</v>
      </c>
      <c r="G40" s="96"/>
      <c r="H40" s="96"/>
      <c r="I40" s="96"/>
      <c r="J40" s="96" t="s">
        <v>146</v>
      </c>
    </row>
    <row r="41" ht="15.75" customHeight="1">
      <c r="B41" s="113">
        <v>4.0</v>
      </c>
      <c r="C41" s="96"/>
      <c r="D41" s="96" t="s">
        <v>1262</v>
      </c>
      <c r="E41" s="96"/>
      <c r="F41" s="96" t="s">
        <v>1263</v>
      </c>
      <c r="G41" s="96"/>
      <c r="H41" s="96"/>
      <c r="I41" s="96"/>
      <c r="J41" s="96" t="s">
        <v>146</v>
      </c>
    </row>
    <row r="42" ht="15.75" customHeight="1">
      <c r="B42" s="113">
        <v>5.0</v>
      </c>
      <c r="C42" s="96"/>
      <c r="D42" s="96" t="s">
        <v>1264</v>
      </c>
      <c r="E42" s="96"/>
      <c r="F42" s="96" t="s">
        <v>1263</v>
      </c>
      <c r="G42" s="96"/>
      <c r="H42" s="96"/>
      <c r="I42" s="96"/>
      <c r="J42" s="96" t="s">
        <v>146</v>
      </c>
    </row>
    <row r="43" ht="15.75" customHeight="1">
      <c r="B43" s="113">
        <v>6.0</v>
      </c>
      <c r="C43" s="96"/>
      <c r="D43" s="96" t="s">
        <v>1265</v>
      </c>
      <c r="E43" s="96"/>
      <c r="F43" s="96" t="s">
        <v>1263</v>
      </c>
      <c r="G43" s="96"/>
      <c r="H43" s="96"/>
      <c r="I43" s="96"/>
      <c r="J43" s="96" t="s">
        <v>146</v>
      </c>
    </row>
    <row r="44" ht="15.75" customHeight="1">
      <c r="B44" s="113">
        <v>7.0</v>
      </c>
      <c r="C44" s="96"/>
      <c r="D44" s="96" t="s">
        <v>1266</v>
      </c>
      <c r="E44" s="96"/>
      <c r="F44" s="96" t="s">
        <v>1267</v>
      </c>
      <c r="G44" s="96"/>
      <c r="H44" s="96"/>
      <c r="I44" s="96"/>
      <c r="J44" s="96" t="s">
        <v>146</v>
      </c>
    </row>
    <row r="45" ht="15.75" customHeight="1">
      <c r="B45" s="113">
        <v>8.0</v>
      </c>
      <c r="C45" s="96"/>
      <c r="D45" s="96" t="s">
        <v>1268</v>
      </c>
      <c r="E45" s="96"/>
      <c r="F45" s="96" t="s">
        <v>1269</v>
      </c>
      <c r="G45" s="96"/>
      <c r="H45" s="96"/>
      <c r="I45" s="96"/>
      <c r="J45" s="96" t="s">
        <v>146</v>
      </c>
    </row>
    <row r="46" ht="15.75" customHeight="1">
      <c r="B46" s="113">
        <v>9.0</v>
      </c>
      <c r="C46" s="96"/>
      <c r="D46" s="96" t="s">
        <v>1270</v>
      </c>
      <c r="E46" s="96"/>
      <c r="F46" s="96" t="s">
        <v>1271</v>
      </c>
      <c r="G46" s="96"/>
      <c r="H46" s="96"/>
      <c r="I46" s="96"/>
      <c r="J46" s="96" t="s">
        <v>146</v>
      </c>
    </row>
    <row r="47" ht="15.75" customHeight="1">
      <c r="B47" s="113">
        <v>10.0</v>
      </c>
      <c r="C47" s="96"/>
      <c r="D47" s="96" t="s">
        <v>1272</v>
      </c>
      <c r="E47" s="96"/>
      <c r="F47" s="96" t="s">
        <v>1269</v>
      </c>
      <c r="G47" s="96"/>
      <c r="H47" s="96"/>
      <c r="I47" s="96"/>
      <c r="J47" s="96" t="s">
        <v>146</v>
      </c>
    </row>
    <row r="48" ht="15.75" customHeight="1">
      <c r="B48" s="113">
        <v>11.0</v>
      </c>
      <c r="C48" s="96"/>
      <c r="D48" s="96" t="s">
        <v>1273</v>
      </c>
      <c r="E48" s="96"/>
      <c r="F48" s="96" t="s">
        <v>1274</v>
      </c>
      <c r="G48" s="96"/>
      <c r="H48" s="96"/>
      <c r="I48" s="96"/>
      <c r="J48" s="96" t="s">
        <v>146</v>
      </c>
    </row>
    <row r="49" ht="15.75" customHeight="1">
      <c r="B49" s="113">
        <v>12.0</v>
      </c>
      <c r="C49" s="96"/>
      <c r="D49" s="96" t="s">
        <v>1275</v>
      </c>
      <c r="E49" s="96"/>
      <c r="F49" s="96" t="s">
        <v>1276</v>
      </c>
      <c r="G49" s="96"/>
      <c r="H49" s="96"/>
      <c r="I49" s="96"/>
      <c r="J49" s="96" t="s">
        <v>146</v>
      </c>
    </row>
    <row r="50" ht="15.75" customHeight="1">
      <c r="B50" s="113">
        <v>13.0</v>
      </c>
      <c r="C50" s="96"/>
      <c r="D50" s="96" t="s">
        <v>1277</v>
      </c>
      <c r="E50" s="96"/>
      <c r="F50" s="96" t="s">
        <v>1274</v>
      </c>
      <c r="G50" s="96"/>
      <c r="H50" s="96"/>
      <c r="I50" s="96"/>
      <c r="J50" s="96" t="s">
        <v>146</v>
      </c>
    </row>
    <row r="51" ht="15.75" customHeight="1">
      <c r="B51" s="113">
        <v>14.0</v>
      </c>
      <c r="C51" s="96"/>
      <c r="D51" s="96" t="s">
        <v>1278</v>
      </c>
      <c r="E51" s="96"/>
      <c r="F51" s="96" t="s">
        <v>1274</v>
      </c>
      <c r="G51" s="96"/>
      <c r="H51" s="96"/>
      <c r="I51" s="96"/>
      <c r="J51" s="96" t="s">
        <v>146</v>
      </c>
    </row>
    <row r="52" ht="15.75" customHeight="1">
      <c r="B52" s="113">
        <v>15.0</v>
      </c>
      <c r="C52" s="96"/>
      <c r="D52" s="96" t="s">
        <v>1279</v>
      </c>
      <c r="E52" s="96"/>
      <c r="F52" s="96" t="s">
        <v>1276</v>
      </c>
      <c r="G52" s="96"/>
      <c r="H52" s="96"/>
      <c r="I52" s="96"/>
      <c r="J52" s="96" t="s">
        <v>146</v>
      </c>
    </row>
    <row r="53" ht="15.75" customHeight="1">
      <c r="B53" s="113">
        <v>16.0</v>
      </c>
      <c r="C53" s="96"/>
      <c r="D53" s="96" t="s">
        <v>1280</v>
      </c>
      <c r="E53" s="96"/>
      <c r="F53" s="96" t="s">
        <v>1276</v>
      </c>
      <c r="G53" s="96"/>
      <c r="H53" s="96"/>
      <c r="I53" s="96"/>
      <c r="J53" s="96" t="s">
        <v>146</v>
      </c>
    </row>
    <row r="54" ht="15.75" customHeight="1">
      <c r="B54" s="113">
        <v>17.0</v>
      </c>
      <c r="C54" s="96"/>
      <c r="D54" s="96" t="s">
        <v>1281</v>
      </c>
      <c r="E54" s="96"/>
      <c r="F54" s="96" t="s">
        <v>1282</v>
      </c>
      <c r="G54" s="96"/>
      <c r="H54" s="96"/>
      <c r="I54" s="96"/>
      <c r="J54" s="96" t="s">
        <v>146</v>
      </c>
    </row>
    <row r="55" ht="15.75" customHeight="1">
      <c r="B55" s="113">
        <v>18.0</v>
      </c>
      <c r="C55" s="96"/>
      <c r="D55" s="96" t="s">
        <v>1283</v>
      </c>
      <c r="E55" s="96"/>
      <c r="F55" s="96" t="s">
        <v>1284</v>
      </c>
      <c r="G55" s="96"/>
      <c r="H55" s="96"/>
      <c r="I55" s="96"/>
      <c r="J55" s="96" t="s">
        <v>146</v>
      </c>
    </row>
    <row r="56" ht="15.75" customHeight="1">
      <c r="B56" s="113">
        <v>19.0</v>
      </c>
      <c r="C56" s="245"/>
      <c r="D56" s="245" t="s">
        <v>1285</v>
      </c>
      <c r="E56" s="245" t="s">
        <v>1286</v>
      </c>
      <c r="F56" s="245" t="s">
        <v>1286</v>
      </c>
      <c r="G56" s="245"/>
      <c r="H56" s="245"/>
      <c r="I56" s="245"/>
      <c r="J56" s="245" t="s">
        <v>146</v>
      </c>
    </row>
    <row r="57" ht="15.75" customHeight="1">
      <c r="B57" s="113">
        <v>20.0</v>
      </c>
      <c r="C57" s="245"/>
      <c r="D57" s="245" t="s">
        <v>1287</v>
      </c>
      <c r="E57" s="245" t="s">
        <v>1286</v>
      </c>
      <c r="F57" s="245" t="s">
        <v>1286</v>
      </c>
      <c r="G57" s="245"/>
      <c r="H57" s="245"/>
      <c r="I57" s="245"/>
      <c r="J57" s="245" t="s">
        <v>146</v>
      </c>
    </row>
    <row r="58" ht="15.75" customHeight="1">
      <c r="B58" s="113">
        <v>21.0</v>
      </c>
      <c r="C58" s="96"/>
      <c r="D58" s="96" t="s">
        <v>1288</v>
      </c>
      <c r="E58" s="96"/>
      <c r="F58" s="96" t="s">
        <v>1289</v>
      </c>
      <c r="G58" s="96"/>
      <c r="H58" s="96"/>
      <c r="I58" s="96"/>
      <c r="J58" s="96" t="s">
        <v>146</v>
      </c>
    </row>
    <row r="59" ht="15.75" customHeight="1">
      <c r="B59" s="113">
        <v>22.0</v>
      </c>
      <c r="C59" s="96"/>
      <c r="D59" s="96" t="s">
        <v>1290</v>
      </c>
      <c r="E59" s="96"/>
      <c r="F59" s="96" t="s">
        <v>1289</v>
      </c>
      <c r="G59" s="96"/>
      <c r="H59" s="96"/>
      <c r="I59" s="96"/>
      <c r="J59" s="96" t="s">
        <v>146</v>
      </c>
    </row>
    <row r="60" ht="15.75" customHeight="1">
      <c r="B60" s="113">
        <v>23.0</v>
      </c>
      <c r="C60" s="96"/>
      <c r="D60" s="96" t="s">
        <v>1291</v>
      </c>
      <c r="E60" s="96"/>
      <c r="F60" s="96" t="s">
        <v>1289</v>
      </c>
      <c r="G60" s="96"/>
      <c r="H60" s="96"/>
      <c r="I60" s="96"/>
      <c r="J60" s="96" t="s">
        <v>146</v>
      </c>
    </row>
    <row r="61" ht="15.75" customHeight="1">
      <c r="B61" s="113">
        <v>24.0</v>
      </c>
      <c r="C61" s="96"/>
      <c r="D61" s="96" t="s">
        <v>1292</v>
      </c>
      <c r="E61" s="96"/>
      <c r="F61" s="96" t="s">
        <v>1289</v>
      </c>
      <c r="G61" s="96"/>
      <c r="H61" s="96"/>
      <c r="I61" s="96"/>
      <c r="J61" s="96" t="s">
        <v>146</v>
      </c>
    </row>
    <row r="62" ht="15.75" customHeight="1">
      <c r="B62" s="113">
        <v>25.0</v>
      </c>
      <c r="C62" s="96"/>
      <c r="D62" s="96" t="s">
        <v>1293</v>
      </c>
      <c r="E62" s="96"/>
      <c r="F62" s="96" t="s">
        <v>1289</v>
      </c>
      <c r="G62" s="96"/>
      <c r="H62" s="96"/>
      <c r="I62" s="96"/>
      <c r="J62" s="96" t="s">
        <v>146</v>
      </c>
    </row>
    <row r="63" ht="15.75" customHeight="1">
      <c r="B63" s="113">
        <v>26.0</v>
      </c>
      <c r="C63" s="96"/>
      <c r="D63" s="96" t="s">
        <v>1294</v>
      </c>
      <c r="E63" s="96"/>
      <c r="F63" s="96" t="s">
        <v>1289</v>
      </c>
      <c r="G63" s="96"/>
      <c r="H63" s="96"/>
      <c r="I63" s="96"/>
      <c r="J63" s="96" t="s">
        <v>146</v>
      </c>
    </row>
    <row r="64" ht="15.75" customHeight="1">
      <c r="B64" s="113">
        <v>27.0</v>
      </c>
      <c r="C64" s="96"/>
      <c r="D64" s="96" t="s">
        <v>1295</v>
      </c>
      <c r="E64" s="96"/>
      <c r="F64" s="96" t="s">
        <v>1289</v>
      </c>
      <c r="G64" s="96"/>
      <c r="H64" s="96"/>
      <c r="I64" s="96"/>
      <c r="J64" s="96" t="s">
        <v>146</v>
      </c>
    </row>
    <row r="65" ht="15.75" customHeight="1">
      <c r="B65" s="113">
        <v>28.0</v>
      </c>
      <c r="C65" s="96"/>
      <c r="D65" s="96" t="s">
        <v>1296</v>
      </c>
      <c r="E65" s="96"/>
      <c r="F65" s="96" t="s">
        <v>1289</v>
      </c>
      <c r="G65" s="96"/>
      <c r="H65" s="96"/>
      <c r="I65" s="96"/>
      <c r="J65" s="96" t="s">
        <v>146</v>
      </c>
    </row>
    <row r="66" ht="15.75" customHeight="1">
      <c r="B66" s="113">
        <v>29.0</v>
      </c>
      <c r="C66" s="96"/>
      <c r="D66" s="96" t="s">
        <v>1297</v>
      </c>
      <c r="E66" s="96"/>
      <c r="F66" s="96" t="s">
        <v>1289</v>
      </c>
      <c r="G66" s="96"/>
      <c r="H66" s="96"/>
      <c r="I66" s="96"/>
      <c r="J66" s="96" t="s">
        <v>146</v>
      </c>
    </row>
    <row r="67" ht="15.75" customHeight="1">
      <c r="B67" s="113">
        <v>30.0</v>
      </c>
      <c r="C67" s="96"/>
      <c r="D67" s="96" t="s">
        <v>1298</v>
      </c>
      <c r="E67" s="96"/>
      <c r="F67" s="96" t="s">
        <v>1289</v>
      </c>
      <c r="G67" s="96"/>
      <c r="H67" s="96"/>
      <c r="I67" s="96"/>
      <c r="J67" s="96" t="s">
        <v>146</v>
      </c>
    </row>
    <row r="68" ht="15.75" customHeight="1">
      <c r="B68" s="113">
        <v>31.0</v>
      </c>
      <c r="C68" s="96"/>
      <c r="D68" s="96" t="s">
        <v>1299</v>
      </c>
      <c r="E68" s="96"/>
      <c r="F68" s="96" t="s">
        <v>1289</v>
      </c>
      <c r="G68" s="96"/>
      <c r="H68" s="96"/>
      <c r="I68" s="96"/>
      <c r="J68" s="96" t="s">
        <v>146</v>
      </c>
    </row>
    <row r="69" ht="15.75" customHeight="1">
      <c r="B69" s="113">
        <v>32.0</v>
      </c>
      <c r="C69" s="96"/>
      <c r="D69" s="96" t="s">
        <v>1300</v>
      </c>
      <c r="E69" s="96"/>
      <c r="F69" s="96" t="s">
        <v>1289</v>
      </c>
      <c r="G69" s="96"/>
      <c r="H69" s="96"/>
      <c r="I69" s="96"/>
      <c r="J69" s="96" t="s">
        <v>146</v>
      </c>
    </row>
    <row r="70" ht="15.75" customHeight="1">
      <c r="B70" s="113">
        <v>33.0</v>
      </c>
      <c r="C70" s="96"/>
      <c r="D70" s="96" t="s">
        <v>1301</v>
      </c>
      <c r="E70" s="96"/>
      <c r="F70" s="96" t="s">
        <v>1302</v>
      </c>
      <c r="G70" s="96"/>
      <c r="H70" s="96"/>
      <c r="I70" s="96"/>
      <c r="J70" s="96" t="s">
        <v>146</v>
      </c>
    </row>
    <row r="71" ht="15.75" customHeight="1">
      <c r="B71" s="113">
        <v>34.0</v>
      </c>
      <c r="C71" s="96"/>
      <c r="D71" s="96" t="s">
        <v>1303</v>
      </c>
      <c r="E71" s="96"/>
      <c r="F71" s="96" t="s">
        <v>1302</v>
      </c>
      <c r="G71" s="96"/>
      <c r="H71" s="96"/>
      <c r="I71" s="96"/>
      <c r="J71" s="96" t="s">
        <v>146</v>
      </c>
    </row>
    <row r="72" ht="15.75" customHeight="1">
      <c r="B72" s="113">
        <v>35.0</v>
      </c>
      <c r="C72" s="96"/>
      <c r="D72" s="96" t="s">
        <v>1304</v>
      </c>
      <c r="E72" s="96"/>
      <c r="F72" s="96" t="s">
        <v>1305</v>
      </c>
      <c r="G72" s="96"/>
      <c r="H72" s="96"/>
      <c r="I72" s="96"/>
      <c r="J72" s="96" t="s">
        <v>146</v>
      </c>
    </row>
    <row r="73" ht="15.75" customHeight="1">
      <c r="B73" s="113">
        <v>36.0</v>
      </c>
      <c r="C73" s="96"/>
      <c r="D73" s="96" t="s">
        <v>1306</v>
      </c>
      <c r="E73" s="96"/>
      <c r="F73" s="96" t="s">
        <v>1305</v>
      </c>
      <c r="G73" s="96"/>
      <c r="H73" s="96"/>
      <c r="I73" s="96"/>
      <c r="J73" s="96" t="s">
        <v>146</v>
      </c>
    </row>
    <row r="74" ht="15.75" customHeight="1">
      <c r="B74" s="113">
        <v>37.0</v>
      </c>
      <c r="C74" s="96"/>
      <c r="D74" s="96" t="s">
        <v>1307</v>
      </c>
      <c r="E74" s="96"/>
      <c r="F74" s="96" t="s">
        <v>1305</v>
      </c>
      <c r="G74" s="96"/>
      <c r="H74" s="96"/>
      <c r="I74" s="96"/>
      <c r="J74" s="96" t="s">
        <v>146</v>
      </c>
    </row>
    <row r="75" ht="15.75" customHeight="1">
      <c r="B75" s="113">
        <v>38.0</v>
      </c>
      <c r="C75" s="96"/>
      <c r="D75" s="96" t="s">
        <v>1308</v>
      </c>
      <c r="E75" s="96"/>
      <c r="F75" s="96" t="s">
        <v>1305</v>
      </c>
      <c r="G75" s="96"/>
      <c r="H75" s="96"/>
      <c r="I75" s="96"/>
      <c r="J75" s="96" t="s">
        <v>146</v>
      </c>
    </row>
    <row r="76" ht="15.75" customHeight="1">
      <c r="B76" s="113">
        <v>39.0</v>
      </c>
      <c r="C76" s="96"/>
      <c r="D76" s="96" t="s">
        <v>1309</v>
      </c>
      <c r="E76" s="96"/>
      <c r="F76" s="96" t="s">
        <v>1305</v>
      </c>
      <c r="G76" s="96"/>
      <c r="H76" s="96"/>
      <c r="I76" s="96"/>
      <c r="J76" s="96" t="s">
        <v>146</v>
      </c>
    </row>
    <row r="77" ht="15.75" customHeight="1">
      <c r="B77" s="113">
        <v>40.0</v>
      </c>
      <c r="C77" s="96"/>
      <c r="D77" s="96" t="s">
        <v>1310</v>
      </c>
      <c r="E77" s="96"/>
      <c r="F77" s="96" t="s">
        <v>1305</v>
      </c>
      <c r="G77" s="96"/>
      <c r="H77" s="96"/>
      <c r="I77" s="96"/>
      <c r="J77" s="96" t="s">
        <v>146</v>
      </c>
    </row>
    <row r="78" ht="15.75" customHeight="1">
      <c r="B78" s="113">
        <v>41.0</v>
      </c>
      <c r="C78" s="96"/>
      <c r="D78" s="96" t="s">
        <v>1311</v>
      </c>
      <c r="E78" s="96"/>
      <c r="F78" s="96" t="s">
        <v>1305</v>
      </c>
      <c r="G78" s="96"/>
      <c r="H78" s="96"/>
      <c r="I78" s="96"/>
      <c r="J78" s="96" t="s">
        <v>146</v>
      </c>
    </row>
    <row r="79" ht="15.75" customHeight="1">
      <c r="B79" s="113">
        <v>42.0</v>
      </c>
      <c r="C79" s="96"/>
      <c r="D79" s="96" t="s">
        <v>1312</v>
      </c>
      <c r="E79" s="96"/>
      <c r="F79" s="96" t="s">
        <v>1305</v>
      </c>
      <c r="G79" s="96"/>
      <c r="H79" s="96"/>
      <c r="I79" s="96"/>
      <c r="J79" s="96" t="s">
        <v>146</v>
      </c>
    </row>
    <row r="80" ht="15.75" customHeight="1">
      <c r="B80" s="113">
        <v>43.0</v>
      </c>
      <c r="C80" s="96"/>
      <c r="D80" s="96" t="s">
        <v>1313</v>
      </c>
      <c r="E80" s="96"/>
      <c r="F80" s="96" t="s">
        <v>1305</v>
      </c>
      <c r="G80" s="96"/>
      <c r="H80" s="96"/>
      <c r="I80" s="96"/>
      <c r="J80" s="96" t="s">
        <v>146</v>
      </c>
    </row>
    <row r="81" ht="15.75" customHeight="1">
      <c r="B81" s="113">
        <v>44.0</v>
      </c>
      <c r="C81" s="96"/>
      <c r="D81" s="96" t="s">
        <v>1314</v>
      </c>
      <c r="E81" s="96"/>
      <c r="F81" s="96" t="s">
        <v>1305</v>
      </c>
      <c r="G81" s="96"/>
      <c r="H81" s="96"/>
      <c r="I81" s="96"/>
      <c r="J81" s="96" t="s">
        <v>146</v>
      </c>
    </row>
    <row r="82" ht="15.75" customHeight="1">
      <c r="B82" s="113">
        <v>45.0</v>
      </c>
      <c r="C82" s="96"/>
      <c r="D82" s="96" t="s">
        <v>1315</v>
      </c>
      <c r="E82" s="96"/>
      <c r="F82" s="96" t="s">
        <v>1305</v>
      </c>
      <c r="G82" s="96"/>
      <c r="H82" s="96"/>
      <c r="I82" s="96"/>
      <c r="J82" s="96" t="s">
        <v>146</v>
      </c>
    </row>
    <row r="83" ht="15.75" customHeight="1">
      <c r="B83" s="113">
        <v>46.0</v>
      </c>
      <c r="C83" s="96"/>
      <c r="D83" s="96" t="s">
        <v>1316</v>
      </c>
      <c r="E83" s="96"/>
      <c r="F83" s="96" t="s">
        <v>1305</v>
      </c>
      <c r="G83" s="96"/>
      <c r="H83" s="96"/>
      <c r="I83" s="96"/>
      <c r="J83" s="96" t="s">
        <v>146</v>
      </c>
    </row>
    <row r="84" ht="15.75" customHeight="1">
      <c r="B84" s="113">
        <v>47.0</v>
      </c>
      <c r="C84" s="96"/>
      <c r="D84" s="96" t="s">
        <v>1317</v>
      </c>
      <c r="E84" s="96"/>
      <c r="F84" s="96" t="s">
        <v>1305</v>
      </c>
      <c r="G84" s="96"/>
      <c r="H84" s="96"/>
      <c r="I84" s="96"/>
      <c r="J84" s="96" t="s">
        <v>146</v>
      </c>
    </row>
    <row r="85" ht="15.75" customHeight="1">
      <c r="B85" s="113">
        <v>48.0</v>
      </c>
      <c r="C85" s="96"/>
      <c r="D85" s="96" t="s">
        <v>1318</v>
      </c>
      <c r="E85" s="96"/>
      <c r="F85" s="96" t="s">
        <v>1305</v>
      </c>
      <c r="G85" s="96"/>
      <c r="H85" s="96"/>
      <c r="I85" s="96"/>
      <c r="J85" s="96" t="s">
        <v>146</v>
      </c>
    </row>
    <row r="86" ht="15.75" customHeight="1">
      <c r="B86" s="113">
        <v>49.0</v>
      </c>
      <c r="C86" s="96"/>
      <c r="D86" s="96" t="s">
        <v>1319</v>
      </c>
      <c r="E86" s="96"/>
      <c r="F86" s="96" t="s">
        <v>1305</v>
      </c>
      <c r="G86" s="96"/>
      <c r="H86" s="96"/>
      <c r="I86" s="96"/>
      <c r="J86" s="96" t="s">
        <v>146</v>
      </c>
    </row>
    <row r="87" ht="15.75" customHeight="1">
      <c r="B87" s="113">
        <v>50.0</v>
      </c>
      <c r="C87" s="96"/>
      <c r="D87" s="96" t="s">
        <v>1320</v>
      </c>
      <c r="E87" s="96"/>
      <c r="F87" s="96" t="s">
        <v>1321</v>
      </c>
      <c r="G87" s="96"/>
      <c r="H87" s="96"/>
      <c r="I87" s="96"/>
      <c r="J87" s="96" t="s">
        <v>146</v>
      </c>
    </row>
    <row r="88" ht="15.75" customHeight="1">
      <c r="B88" s="113">
        <v>51.0</v>
      </c>
      <c r="C88" s="96"/>
      <c r="D88" s="96" t="s">
        <v>1322</v>
      </c>
      <c r="E88" s="96"/>
      <c r="F88" s="96" t="s">
        <v>1321</v>
      </c>
      <c r="G88" s="96"/>
      <c r="H88" s="96"/>
      <c r="I88" s="96"/>
      <c r="J88" s="96" t="s">
        <v>146</v>
      </c>
    </row>
    <row r="89" ht="15.75" customHeight="1">
      <c r="B89" s="113">
        <v>52.0</v>
      </c>
      <c r="C89" s="96"/>
      <c r="D89" s="96" t="s">
        <v>1323</v>
      </c>
      <c r="E89" s="96"/>
      <c r="F89" s="96" t="s">
        <v>1321</v>
      </c>
      <c r="G89" s="96"/>
      <c r="H89" s="96"/>
      <c r="I89" s="96"/>
      <c r="J89" s="96" t="s">
        <v>146</v>
      </c>
    </row>
    <row r="90" ht="15.75" customHeight="1">
      <c r="B90" s="113">
        <v>53.0</v>
      </c>
      <c r="C90" s="96"/>
      <c r="D90" s="96" t="s">
        <v>1324</v>
      </c>
      <c r="E90" s="96"/>
      <c r="F90" s="96" t="s">
        <v>1325</v>
      </c>
      <c r="G90" s="96"/>
      <c r="H90" s="96"/>
      <c r="I90" s="96"/>
      <c r="J90" s="96" t="s">
        <v>146</v>
      </c>
    </row>
    <row r="91" ht="15.75" customHeight="1">
      <c r="B91" s="113">
        <v>54.0</v>
      </c>
      <c r="C91" s="96"/>
      <c r="D91" s="96" t="s">
        <v>1326</v>
      </c>
      <c r="E91" s="96"/>
      <c r="F91" s="96" t="s">
        <v>1325</v>
      </c>
      <c r="G91" s="96"/>
      <c r="H91" s="96"/>
      <c r="I91" s="96"/>
      <c r="J91" s="96" t="s">
        <v>146</v>
      </c>
    </row>
    <row r="92" ht="15.75" customHeight="1">
      <c r="B92" s="113">
        <v>55.0</v>
      </c>
      <c r="C92" s="96"/>
      <c r="D92" s="96" t="s">
        <v>1327</v>
      </c>
      <c r="E92" s="96"/>
      <c r="F92" s="96" t="s">
        <v>1325</v>
      </c>
      <c r="G92" s="96"/>
      <c r="H92" s="96"/>
      <c r="I92" s="96"/>
      <c r="J92" s="96" t="s">
        <v>146</v>
      </c>
    </row>
    <row r="93" ht="15.75" customHeight="1">
      <c r="B93" s="113">
        <v>56.0</v>
      </c>
      <c r="C93" s="96"/>
      <c r="D93" s="96" t="s">
        <v>1328</v>
      </c>
      <c r="E93" s="96"/>
      <c r="F93" s="96" t="s">
        <v>1325</v>
      </c>
      <c r="G93" s="96"/>
      <c r="H93" s="96"/>
      <c r="I93" s="96"/>
      <c r="J93" s="96" t="s">
        <v>146</v>
      </c>
    </row>
    <row r="94" ht="15.75" customHeight="1">
      <c r="B94" s="113">
        <v>57.0</v>
      </c>
      <c r="C94" s="96"/>
      <c r="D94" s="96" t="s">
        <v>1329</v>
      </c>
      <c r="E94" s="96"/>
      <c r="F94" s="96" t="s">
        <v>1325</v>
      </c>
      <c r="G94" s="96"/>
      <c r="H94" s="96"/>
      <c r="I94" s="96"/>
      <c r="J94" s="96" t="s">
        <v>146</v>
      </c>
    </row>
    <row r="95" ht="15.75" customHeight="1">
      <c r="B95" s="113">
        <v>58.0</v>
      </c>
      <c r="C95" s="96"/>
      <c r="D95" s="96" t="s">
        <v>1330</v>
      </c>
      <c r="E95" s="96"/>
      <c r="F95" s="96" t="s">
        <v>1325</v>
      </c>
      <c r="G95" s="96"/>
      <c r="H95" s="96"/>
      <c r="I95" s="96"/>
      <c r="J95" s="96" t="s">
        <v>146</v>
      </c>
    </row>
    <row r="96" ht="15.75" customHeight="1">
      <c r="B96" s="113">
        <v>59.0</v>
      </c>
      <c r="C96" s="96"/>
      <c r="D96" s="96" t="s">
        <v>1331</v>
      </c>
      <c r="E96" s="96"/>
      <c r="F96" s="96" t="s">
        <v>1325</v>
      </c>
      <c r="G96" s="96"/>
      <c r="H96" s="96"/>
      <c r="I96" s="96"/>
      <c r="J96" s="96" t="s">
        <v>146</v>
      </c>
    </row>
    <row r="97" ht="15.75" customHeight="1">
      <c r="B97" s="113">
        <v>60.0</v>
      </c>
      <c r="C97" s="96"/>
      <c r="D97" s="96" t="s">
        <v>1332</v>
      </c>
      <c r="E97" s="96"/>
      <c r="F97" s="96" t="s">
        <v>1325</v>
      </c>
      <c r="G97" s="96"/>
      <c r="H97" s="96"/>
      <c r="I97" s="96"/>
      <c r="J97" s="96" t="s">
        <v>146</v>
      </c>
    </row>
    <row r="98" ht="15.75" customHeight="1">
      <c r="B98" s="113">
        <v>61.0</v>
      </c>
      <c r="C98" s="96"/>
      <c r="D98" s="96" t="s">
        <v>1333</v>
      </c>
      <c r="E98" s="96"/>
      <c r="F98" s="96" t="s">
        <v>1325</v>
      </c>
      <c r="G98" s="96"/>
      <c r="H98" s="96"/>
      <c r="I98" s="96"/>
      <c r="J98" s="96" t="s">
        <v>146</v>
      </c>
    </row>
    <row r="99" ht="15.75" customHeight="1">
      <c r="B99" s="113">
        <v>62.0</v>
      </c>
      <c r="C99" s="96"/>
      <c r="D99" s="96" t="s">
        <v>1334</v>
      </c>
      <c r="E99" s="96"/>
      <c r="F99" s="96" t="s">
        <v>1325</v>
      </c>
      <c r="G99" s="96"/>
      <c r="H99" s="96"/>
      <c r="I99" s="96"/>
      <c r="J99" s="96" t="s">
        <v>146</v>
      </c>
    </row>
    <row r="100" ht="15.75" customHeight="1">
      <c r="B100" s="113">
        <v>63.0</v>
      </c>
      <c r="C100" s="96"/>
      <c r="D100" s="96" t="s">
        <v>1335</v>
      </c>
      <c r="E100" s="96"/>
      <c r="F100" s="96" t="s">
        <v>1325</v>
      </c>
      <c r="G100" s="96"/>
      <c r="H100" s="96"/>
      <c r="I100" s="96"/>
      <c r="J100" s="96" t="s">
        <v>146</v>
      </c>
    </row>
    <row r="101" ht="15.75" customHeight="1">
      <c r="B101" s="113">
        <v>64.0</v>
      </c>
      <c r="C101" s="96"/>
      <c r="D101" s="96" t="s">
        <v>1336</v>
      </c>
      <c r="E101" s="96"/>
      <c r="F101" s="96" t="s">
        <v>1325</v>
      </c>
      <c r="G101" s="96"/>
      <c r="H101" s="96"/>
      <c r="I101" s="96"/>
      <c r="J101" s="96" t="s">
        <v>146</v>
      </c>
    </row>
    <row r="102" ht="15.75" customHeight="1">
      <c r="B102" s="113">
        <v>65.0</v>
      </c>
      <c r="C102" s="96"/>
      <c r="D102" s="96" t="s">
        <v>1337</v>
      </c>
      <c r="E102" s="96"/>
      <c r="F102" s="96" t="s">
        <v>1325</v>
      </c>
      <c r="G102" s="96"/>
      <c r="H102" s="96"/>
      <c r="I102" s="96"/>
      <c r="J102" s="96" t="s">
        <v>146</v>
      </c>
    </row>
    <row r="103" ht="15.75" customHeight="1">
      <c r="B103" s="113">
        <v>66.0</v>
      </c>
      <c r="C103" s="96"/>
      <c r="D103" s="96" t="s">
        <v>1338</v>
      </c>
      <c r="E103" s="96"/>
      <c r="F103" s="96" t="s">
        <v>1325</v>
      </c>
      <c r="G103" s="96"/>
      <c r="H103" s="96"/>
      <c r="I103" s="96"/>
      <c r="J103" s="96" t="s">
        <v>146</v>
      </c>
    </row>
    <row r="104" ht="15.75" customHeight="1">
      <c r="B104" s="113">
        <v>67.0</v>
      </c>
      <c r="C104" s="96"/>
      <c r="D104" s="96" t="s">
        <v>1339</v>
      </c>
      <c r="E104" s="96"/>
      <c r="F104" s="96" t="s">
        <v>1325</v>
      </c>
      <c r="G104" s="96"/>
      <c r="H104" s="96"/>
      <c r="I104" s="96"/>
      <c r="J104" s="96" t="s">
        <v>146</v>
      </c>
    </row>
    <row r="105" ht="15.75" customHeight="1">
      <c r="B105" s="113">
        <v>68.0</v>
      </c>
      <c r="C105" s="96"/>
      <c r="D105" s="96" t="s">
        <v>1340</v>
      </c>
      <c r="E105" s="96"/>
      <c r="F105" s="96" t="s">
        <v>1325</v>
      </c>
      <c r="G105" s="96"/>
      <c r="H105" s="96"/>
      <c r="I105" s="96"/>
      <c r="J105" s="96" t="s">
        <v>146</v>
      </c>
    </row>
    <row r="106" ht="15.75" customHeight="1">
      <c r="B106" s="113">
        <v>69.0</v>
      </c>
      <c r="C106" s="96"/>
      <c r="D106" s="96" t="s">
        <v>1341</v>
      </c>
      <c r="E106" s="96"/>
      <c r="F106" s="96" t="s">
        <v>1325</v>
      </c>
      <c r="G106" s="96"/>
      <c r="H106" s="96"/>
      <c r="I106" s="96"/>
      <c r="J106" s="96" t="s">
        <v>146</v>
      </c>
    </row>
    <row r="107" ht="15.75" customHeight="1">
      <c r="B107" s="113">
        <v>70.0</v>
      </c>
      <c r="C107" s="96"/>
      <c r="D107" s="96" t="s">
        <v>1342</v>
      </c>
      <c r="E107" s="96"/>
      <c r="F107" s="96" t="s">
        <v>1325</v>
      </c>
      <c r="G107" s="96"/>
      <c r="H107" s="96"/>
      <c r="I107" s="96"/>
      <c r="J107" s="96" t="s">
        <v>146</v>
      </c>
    </row>
    <row r="108" ht="15.75" customHeight="1">
      <c r="B108" s="113">
        <v>71.0</v>
      </c>
      <c r="C108" s="96"/>
      <c r="D108" s="96" t="s">
        <v>1343</v>
      </c>
      <c r="E108" s="96"/>
      <c r="F108" s="96" t="s">
        <v>1325</v>
      </c>
      <c r="G108" s="96"/>
      <c r="H108" s="96"/>
      <c r="I108" s="96"/>
      <c r="J108" s="96" t="s">
        <v>146</v>
      </c>
    </row>
    <row r="109" ht="15.75" customHeight="1">
      <c r="B109" s="113">
        <v>72.0</v>
      </c>
      <c r="C109" s="96"/>
      <c r="D109" s="96" t="s">
        <v>1344</v>
      </c>
      <c r="E109" s="96"/>
      <c r="F109" s="96" t="s">
        <v>1325</v>
      </c>
      <c r="G109" s="96"/>
      <c r="H109" s="96"/>
      <c r="I109" s="96"/>
      <c r="J109" s="96" t="s">
        <v>146</v>
      </c>
    </row>
    <row r="110" ht="15.75" customHeight="1">
      <c r="B110" s="113">
        <v>73.0</v>
      </c>
      <c r="C110" s="96"/>
      <c r="D110" s="96" t="s">
        <v>1345</v>
      </c>
      <c r="E110" s="96"/>
      <c r="F110" s="96" t="s">
        <v>1325</v>
      </c>
      <c r="G110" s="96"/>
      <c r="H110" s="96"/>
      <c r="I110" s="96"/>
      <c r="J110" s="96" t="s">
        <v>146</v>
      </c>
    </row>
    <row r="111" ht="15.75" customHeight="1">
      <c r="B111" s="113">
        <v>74.0</v>
      </c>
      <c r="C111" s="96"/>
      <c r="D111" s="96" t="s">
        <v>1346</v>
      </c>
      <c r="E111" s="96"/>
      <c r="F111" s="96" t="s">
        <v>1325</v>
      </c>
      <c r="G111" s="96"/>
      <c r="H111" s="96"/>
      <c r="I111" s="96"/>
      <c r="J111" s="96" t="s">
        <v>146</v>
      </c>
    </row>
    <row r="112" ht="15.75" customHeight="1">
      <c r="B112" s="113">
        <v>75.0</v>
      </c>
      <c r="C112" s="96"/>
      <c r="D112" s="96" t="s">
        <v>1347</v>
      </c>
      <c r="E112" s="96"/>
      <c r="F112" s="96" t="s">
        <v>1325</v>
      </c>
      <c r="G112" s="96"/>
      <c r="H112" s="96"/>
      <c r="I112" s="96"/>
      <c r="J112" s="96" t="s">
        <v>146</v>
      </c>
    </row>
    <row r="113" ht="15.75" customHeight="1">
      <c r="B113" s="113">
        <v>76.0</v>
      </c>
      <c r="C113" s="96"/>
      <c r="D113" s="96" t="s">
        <v>1348</v>
      </c>
      <c r="E113" s="96"/>
      <c r="F113" s="96" t="s">
        <v>1325</v>
      </c>
      <c r="G113" s="96"/>
      <c r="H113" s="96"/>
      <c r="I113" s="96"/>
      <c r="J113" s="96" t="s">
        <v>146</v>
      </c>
    </row>
    <row r="114" ht="15.75" customHeight="1">
      <c r="B114" s="113">
        <v>77.0</v>
      </c>
      <c r="C114" s="96"/>
      <c r="D114" s="96" t="s">
        <v>1349</v>
      </c>
      <c r="E114" s="96"/>
      <c r="F114" s="96" t="s">
        <v>1350</v>
      </c>
      <c r="G114" s="96"/>
      <c r="H114" s="96"/>
      <c r="I114" s="96"/>
      <c r="J114" s="96" t="s">
        <v>146</v>
      </c>
    </row>
    <row r="115" ht="15.75" customHeight="1">
      <c r="B115" s="113">
        <v>78.0</v>
      </c>
      <c r="C115" s="96"/>
      <c r="D115" s="96" t="s">
        <v>1351</v>
      </c>
      <c r="E115" s="96"/>
      <c r="F115" s="96" t="s">
        <v>1352</v>
      </c>
      <c r="G115" s="96"/>
      <c r="H115" s="96"/>
      <c r="I115" s="96"/>
      <c r="J115" s="96" t="s">
        <v>146</v>
      </c>
    </row>
    <row r="116" ht="15.75" customHeight="1">
      <c r="B116" s="113">
        <v>79.0</v>
      </c>
      <c r="C116" s="96"/>
      <c r="D116" s="96" t="s">
        <v>1353</v>
      </c>
      <c r="E116" s="96"/>
      <c r="F116" s="96" t="s">
        <v>1352</v>
      </c>
      <c r="G116" s="96"/>
      <c r="H116" s="96"/>
      <c r="I116" s="96"/>
      <c r="J116" s="96" t="s">
        <v>146</v>
      </c>
    </row>
    <row r="117" ht="15.75" customHeight="1">
      <c r="B117" s="113">
        <v>80.0</v>
      </c>
      <c r="C117" s="96"/>
      <c r="D117" s="96" t="s">
        <v>1354</v>
      </c>
      <c r="E117" s="96"/>
      <c r="F117" s="96" t="s">
        <v>1352</v>
      </c>
      <c r="G117" s="96"/>
      <c r="H117" s="96"/>
      <c r="I117" s="96"/>
      <c r="J117" s="96" t="s">
        <v>146</v>
      </c>
    </row>
    <row r="118" ht="15.75" customHeight="1">
      <c r="B118" s="113">
        <v>81.0</v>
      </c>
      <c r="C118" s="96"/>
      <c r="D118" s="96" t="s">
        <v>1355</v>
      </c>
      <c r="E118" s="96"/>
      <c r="F118" s="96" t="s">
        <v>1352</v>
      </c>
      <c r="G118" s="96"/>
      <c r="H118" s="96"/>
      <c r="I118" s="96"/>
      <c r="J118" s="96" t="s">
        <v>146</v>
      </c>
    </row>
    <row r="119" ht="15.75" customHeight="1">
      <c r="B119" s="113">
        <v>82.0</v>
      </c>
      <c r="C119" s="96"/>
      <c r="D119" s="96" t="s">
        <v>1356</v>
      </c>
      <c r="E119" s="96"/>
      <c r="F119" s="96" t="s">
        <v>1357</v>
      </c>
      <c r="G119" s="96"/>
      <c r="H119" s="96"/>
      <c r="I119" s="96"/>
      <c r="J119" s="96" t="s">
        <v>146</v>
      </c>
    </row>
    <row r="120" ht="15.75" customHeight="1">
      <c r="B120" s="113">
        <v>83.0</v>
      </c>
      <c r="C120" s="96"/>
      <c r="D120" s="96" t="s">
        <v>1358</v>
      </c>
      <c r="E120" s="96"/>
      <c r="F120" s="96" t="s">
        <v>1359</v>
      </c>
      <c r="G120" s="96"/>
      <c r="H120" s="96"/>
      <c r="I120" s="96"/>
      <c r="J120" s="96" t="s">
        <v>146</v>
      </c>
    </row>
    <row r="121" ht="15.75" customHeight="1">
      <c r="B121" s="113">
        <v>84.0</v>
      </c>
      <c r="C121" s="96"/>
      <c r="D121" s="96" t="s">
        <v>1360</v>
      </c>
      <c r="E121" s="96"/>
      <c r="F121" s="96" t="s">
        <v>1359</v>
      </c>
      <c r="G121" s="96"/>
      <c r="H121" s="96"/>
      <c r="I121" s="96"/>
      <c r="J121" s="96" t="s">
        <v>146</v>
      </c>
    </row>
    <row r="122" ht="15.75" customHeight="1">
      <c r="B122" s="113">
        <v>85.0</v>
      </c>
      <c r="C122" s="96"/>
      <c r="D122" s="96" t="s">
        <v>1361</v>
      </c>
      <c r="E122" s="96"/>
      <c r="F122" s="96" t="s">
        <v>289</v>
      </c>
      <c r="G122" s="96"/>
      <c r="H122" s="96"/>
      <c r="I122" s="96"/>
      <c r="J122" s="96" t="s">
        <v>146</v>
      </c>
    </row>
    <row r="123" ht="15.75" customHeight="1">
      <c r="B123" s="113">
        <v>86.0</v>
      </c>
      <c r="C123" s="96"/>
      <c r="D123" s="96" t="s">
        <v>1362</v>
      </c>
      <c r="E123" s="96"/>
      <c r="F123" s="96" t="s">
        <v>546</v>
      </c>
      <c r="G123" s="96"/>
      <c r="H123" s="96"/>
      <c r="I123" s="96"/>
      <c r="J123" s="96" t="s">
        <v>146</v>
      </c>
    </row>
    <row r="124" ht="15.75" customHeight="1">
      <c r="B124" s="113">
        <v>87.0</v>
      </c>
      <c r="C124" s="96"/>
      <c r="D124" s="96" t="s">
        <v>1363</v>
      </c>
      <c r="E124" s="96"/>
      <c r="F124" s="96" t="s">
        <v>546</v>
      </c>
      <c r="G124" s="96"/>
      <c r="H124" s="96"/>
      <c r="I124" s="96"/>
      <c r="J124" s="96" t="s">
        <v>146</v>
      </c>
    </row>
    <row r="125" ht="15.75" customHeight="1">
      <c r="B125" s="113">
        <v>88.0</v>
      </c>
      <c r="C125" s="96"/>
      <c r="D125" s="96" t="s">
        <v>1364</v>
      </c>
      <c r="E125" s="96"/>
      <c r="F125" s="96" t="s">
        <v>546</v>
      </c>
      <c r="G125" s="96"/>
      <c r="H125" s="96"/>
      <c r="I125" s="96"/>
      <c r="J125" s="96" t="s">
        <v>146</v>
      </c>
    </row>
    <row r="126" ht="15.75" customHeight="1">
      <c r="B126" s="113">
        <v>89.0</v>
      </c>
      <c r="C126" s="96"/>
      <c r="D126" s="96" t="s">
        <v>1365</v>
      </c>
      <c r="E126" s="96"/>
      <c r="F126" s="96" t="s">
        <v>546</v>
      </c>
      <c r="G126" s="96"/>
      <c r="H126" s="96"/>
      <c r="I126" s="96"/>
      <c r="J126" s="96" t="s">
        <v>146</v>
      </c>
    </row>
    <row r="127" ht="15.75" customHeight="1">
      <c r="B127" s="113">
        <v>90.0</v>
      </c>
      <c r="C127" s="96"/>
      <c r="D127" s="96" t="s">
        <v>1366</v>
      </c>
      <c r="E127" s="96"/>
      <c r="F127" s="96" t="s">
        <v>546</v>
      </c>
      <c r="G127" s="96"/>
      <c r="H127" s="96"/>
      <c r="I127" s="96"/>
      <c r="J127" s="96" t="s">
        <v>146</v>
      </c>
    </row>
    <row r="128" ht="15.75" customHeight="1">
      <c r="B128" s="113">
        <v>91.0</v>
      </c>
      <c r="C128" s="96"/>
      <c r="D128" s="96" t="s">
        <v>1367</v>
      </c>
      <c r="E128" s="96"/>
      <c r="F128" s="96" t="s">
        <v>1368</v>
      </c>
      <c r="G128" s="96"/>
      <c r="H128" s="96"/>
      <c r="I128" s="96"/>
      <c r="J128" s="96" t="s">
        <v>146</v>
      </c>
    </row>
    <row r="129" ht="15.75" customHeight="1">
      <c r="B129" s="113">
        <v>92.0</v>
      </c>
      <c r="C129" s="96"/>
      <c r="D129" s="96" t="s">
        <v>1369</v>
      </c>
      <c r="E129" s="96"/>
      <c r="F129" s="96" t="s">
        <v>1370</v>
      </c>
      <c r="G129" s="96"/>
      <c r="H129" s="96"/>
      <c r="I129" s="96"/>
      <c r="J129" s="96" t="s">
        <v>146</v>
      </c>
    </row>
    <row r="130" ht="15.75" customHeight="1">
      <c r="B130" s="113">
        <v>93.0</v>
      </c>
      <c r="C130" s="96"/>
      <c r="D130" s="96" t="s">
        <v>1371</v>
      </c>
      <c r="E130" s="96"/>
      <c r="F130" s="96" t="s">
        <v>1372</v>
      </c>
      <c r="G130" s="96"/>
      <c r="H130" s="96"/>
      <c r="I130" s="96"/>
      <c r="J130" s="96" t="s">
        <v>146</v>
      </c>
    </row>
    <row r="131" ht="15.75" customHeight="1">
      <c r="B131" s="113">
        <v>94.0</v>
      </c>
      <c r="C131" s="96"/>
      <c r="D131" s="96" t="s">
        <v>1373</v>
      </c>
      <c r="E131" s="96"/>
      <c r="F131" s="96" t="s">
        <v>1374</v>
      </c>
      <c r="G131" s="96"/>
      <c r="H131" s="96"/>
      <c r="I131" s="96"/>
      <c r="J131" s="96" t="s">
        <v>146</v>
      </c>
    </row>
    <row r="132" ht="15.75" customHeight="1">
      <c r="B132" s="113">
        <v>95.0</v>
      </c>
      <c r="C132" s="96"/>
      <c r="D132" s="96" t="s">
        <v>1375</v>
      </c>
      <c r="E132" s="96"/>
      <c r="F132" s="96" t="s">
        <v>1374</v>
      </c>
      <c r="G132" s="96"/>
      <c r="H132" s="96"/>
      <c r="I132" s="96"/>
      <c r="J132" s="96" t="s">
        <v>146</v>
      </c>
    </row>
    <row r="133" ht="15.75" customHeight="1">
      <c r="B133" s="113">
        <v>96.0</v>
      </c>
      <c r="C133" s="96"/>
      <c r="D133" s="96" t="s">
        <v>1376</v>
      </c>
      <c r="E133" s="96"/>
      <c r="F133" s="96" t="s">
        <v>1377</v>
      </c>
      <c r="G133" s="96"/>
      <c r="H133" s="96"/>
      <c r="I133" s="96"/>
      <c r="J133" s="96" t="s">
        <v>146</v>
      </c>
    </row>
    <row r="134" ht="15.75" customHeight="1">
      <c r="B134" s="113">
        <v>97.0</v>
      </c>
      <c r="C134" s="96"/>
      <c r="D134" s="96" t="s">
        <v>1378</v>
      </c>
      <c r="E134" s="96"/>
      <c r="F134" s="96" t="s">
        <v>398</v>
      </c>
      <c r="G134" s="96"/>
      <c r="H134" s="96"/>
      <c r="I134" s="96"/>
      <c r="J134" s="96" t="s">
        <v>146</v>
      </c>
    </row>
    <row r="135" ht="15.75" customHeight="1">
      <c r="B135" s="113">
        <v>98.0</v>
      </c>
      <c r="C135" s="96"/>
      <c r="D135" s="96" t="s">
        <v>1379</v>
      </c>
      <c r="E135" s="96"/>
      <c r="F135" s="96" t="s">
        <v>518</v>
      </c>
      <c r="G135" s="96"/>
      <c r="H135" s="96"/>
      <c r="I135" s="96"/>
      <c r="J135" s="96" t="s">
        <v>146</v>
      </c>
    </row>
    <row r="136" ht="15.75" customHeight="1">
      <c r="B136" s="113">
        <v>99.0</v>
      </c>
      <c r="C136" s="96"/>
      <c r="D136" s="96" t="s">
        <v>1380</v>
      </c>
      <c r="E136" s="96"/>
      <c r="F136" s="96" t="s">
        <v>518</v>
      </c>
      <c r="G136" s="96"/>
      <c r="H136" s="96"/>
      <c r="I136" s="96"/>
      <c r="J136" s="96" t="s">
        <v>146</v>
      </c>
    </row>
    <row r="137" ht="15.75" customHeight="1">
      <c r="B137" s="113">
        <v>100.0</v>
      </c>
      <c r="C137" s="96"/>
      <c r="D137" s="96" t="s">
        <v>1381</v>
      </c>
      <c r="E137" s="96"/>
      <c r="F137" s="96" t="s">
        <v>518</v>
      </c>
      <c r="G137" s="96"/>
      <c r="H137" s="96"/>
      <c r="I137" s="96"/>
      <c r="J137" s="96" t="s">
        <v>146</v>
      </c>
    </row>
    <row r="138" ht="15.75" customHeight="1">
      <c r="B138" s="113">
        <v>101.0</v>
      </c>
      <c r="C138" s="96"/>
      <c r="D138" s="96" t="s">
        <v>1382</v>
      </c>
      <c r="E138" s="96"/>
      <c r="F138" s="96" t="s">
        <v>518</v>
      </c>
      <c r="G138" s="96"/>
      <c r="H138" s="96"/>
      <c r="I138" s="96"/>
      <c r="J138" s="96" t="s">
        <v>146</v>
      </c>
    </row>
    <row r="139" ht="15.75" customHeight="1">
      <c r="B139" s="113">
        <v>102.0</v>
      </c>
      <c r="C139" s="96"/>
      <c r="D139" s="96" t="s">
        <v>1383</v>
      </c>
      <c r="E139" s="96"/>
      <c r="F139" s="96" t="s">
        <v>1384</v>
      </c>
      <c r="G139" s="96"/>
      <c r="H139" s="96"/>
      <c r="I139" s="96"/>
      <c r="J139" s="96" t="s">
        <v>146</v>
      </c>
    </row>
    <row r="140" ht="15.75" customHeight="1">
      <c r="B140" s="113">
        <v>103.0</v>
      </c>
      <c r="C140" s="96"/>
      <c r="D140" s="96" t="s">
        <v>1385</v>
      </c>
      <c r="E140" s="96"/>
      <c r="F140" s="96" t="s">
        <v>1384</v>
      </c>
      <c r="G140" s="96"/>
      <c r="H140" s="96"/>
      <c r="I140" s="96"/>
      <c r="J140" s="96" t="s">
        <v>146</v>
      </c>
    </row>
    <row r="141" ht="15.75" customHeight="1">
      <c r="B141" s="140"/>
    </row>
    <row r="142" ht="15.75" customHeight="1">
      <c r="B142" s="140"/>
    </row>
    <row r="143" ht="15.75" customHeight="1">
      <c r="B143" s="140"/>
    </row>
    <row r="144" ht="15.75" customHeight="1">
      <c r="B144" s="140"/>
    </row>
    <row r="145" ht="15.75" customHeight="1">
      <c r="B145" s="140"/>
      <c r="D145" s="96" t="s">
        <v>1250</v>
      </c>
      <c r="E145" s="96" t="s">
        <v>211</v>
      </c>
      <c r="F145" s="96" t="s">
        <v>211</v>
      </c>
      <c r="G145" s="96"/>
      <c r="H145" s="96"/>
      <c r="I145" s="96"/>
      <c r="J145" s="96" t="s">
        <v>856</v>
      </c>
    </row>
    <row r="146" ht="15.75" customHeight="1">
      <c r="B146" s="140"/>
      <c r="D146" s="96" t="s">
        <v>1251</v>
      </c>
      <c r="E146" s="96">
        <v>3.0</v>
      </c>
      <c r="F146" s="96">
        <v>3.0</v>
      </c>
      <c r="G146" s="96"/>
      <c r="H146" s="96"/>
      <c r="I146" s="96"/>
      <c r="J146" s="250">
        <f>F146/F150</f>
        <v>0.02205882353</v>
      </c>
    </row>
    <row r="147" ht="15.75" customHeight="1">
      <c r="B147" s="140"/>
      <c r="D147" s="96" t="s">
        <v>1252</v>
      </c>
      <c r="E147" s="96">
        <v>18.0</v>
      </c>
      <c r="F147" s="96">
        <v>18.0</v>
      </c>
      <c r="G147" s="96"/>
      <c r="H147" s="96"/>
      <c r="I147" s="96"/>
      <c r="J147" s="250">
        <f>F147/F150</f>
        <v>0.1323529412</v>
      </c>
    </row>
    <row r="148" ht="15.75" customHeight="1">
      <c r="B148" s="140"/>
      <c r="D148" s="96" t="s">
        <v>1253</v>
      </c>
      <c r="E148" s="96">
        <v>10.0</v>
      </c>
      <c r="F148" s="96">
        <v>12.0</v>
      </c>
      <c r="G148" s="96"/>
      <c r="H148" s="96"/>
      <c r="I148" s="96"/>
      <c r="J148" s="250">
        <f>F148/F150</f>
        <v>0.08823529412</v>
      </c>
    </row>
    <row r="149" ht="15.75" customHeight="1">
      <c r="B149" s="140"/>
      <c r="D149" s="96" t="s">
        <v>1102</v>
      </c>
      <c r="E149" s="96">
        <v>103.0</v>
      </c>
      <c r="F149" s="96">
        <v>103.0</v>
      </c>
      <c r="G149" s="96"/>
      <c r="H149" s="96"/>
      <c r="I149" s="96"/>
      <c r="J149" s="250">
        <f>F149/F150</f>
        <v>0.7573529412</v>
      </c>
    </row>
    <row r="150" ht="15.75" customHeight="1">
      <c r="B150" s="140"/>
      <c r="D150" s="96" t="s">
        <v>110</v>
      </c>
      <c r="E150" s="96">
        <v>134.0</v>
      </c>
      <c r="F150" s="96">
        <f>SUM(F146:F149)</f>
        <v>136</v>
      </c>
      <c r="G150" s="96"/>
      <c r="H150" s="96"/>
      <c r="I150" s="96"/>
      <c r="J150" s="125">
        <f>SUM(J146:J149)</f>
        <v>1</v>
      </c>
    </row>
    <row r="151" ht="15.75" customHeight="1">
      <c r="B151" s="140"/>
    </row>
    <row r="152" ht="15.75" customHeight="1">
      <c r="B152" s="140"/>
    </row>
    <row r="153" ht="15.75" customHeight="1">
      <c r="B153" s="140"/>
    </row>
    <row r="154" ht="15.75" customHeight="1">
      <c r="B154" s="140"/>
    </row>
    <row r="155" ht="15.75" customHeight="1">
      <c r="B155" s="140"/>
    </row>
    <row r="156" ht="15.75" customHeight="1">
      <c r="B156" s="140"/>
    </row>
    <row r="157" ht="15.75" customHeight="1">
      <c r="B157" s="140"/>
    </row>
    <row r="158" ht="15.75" customHeight="1">
      <c r="B158" s="140"/>
    </row>
    <row r="159" ht="15.75" customHeight="1">
      <c r="B159" s="140"/>
    </row>
    <row r="160" ht="15.75" customHeight="1">
      <c r="B160" s="140"/>
    </row>
    <row r="161" ht="15.75" customHeight="1">
      <c r="B161" s="140"/>
    </row>
    <row r="162" ht="15.75" customHeight="1">
      <c r="B162" s="140"/>
    </row>
    <row r="163" ht="15.75" customHeight="1">
      <c r="B163" s="140"/>
    </row>
    <row r="164" ht="15.75" customHeight="1">
      <c r="B164" s="140"/>
    </row>
    <row r="165" ht="15.75" customHeight="1">
      <c r="B165" s="140"/>
    </row>
    <row r="166" ht="15.75" customHeight="1">
      <c r="B166" s="140"/>
    </row>
    <row r="167" ht="15.75" customHeight="1">
      <c r="B167" s="140"/>
    </row>
    <row r="168" ht="15.75" customHeight="1">
      <c r="B168" s="140"/>
    </row>
    <row r="169" ht="15.75" customHeight="1">
      <c r="B169" s="140"/>
    </row>
    <row r="170" ht="15.75" customHeight="1">
      <c r="B170" s="140"/>
    </row>
    <row r="171" ht="15.75" customHeight="1">
      <c r="B171" s="140"/>
    </row>
    <row r="172" ht="15.75" customHeight="1">
      <c r="B172" s="140"/>
    </row>
    <row r="173" ht="15.75" customHeight="1">
      <c r="B173" s="140"/>
    </row>
    <row r="174" ht="15.75" customHeight="1">
      <c r="B174" s="140"/>
    </row>
    <row r="175" ht="15.75" customHeight="1">
      <c r="B175" s="140"/>
    </row>
    <row r="176" ht="15.75" customHeight="1">
      <c r="B176" s="140"/>
    </row>
    <row r="177" ht="15.75" customHeight="1">
      <c r="B177" s="140"/>
    </row>
    <row r="178" ht="15.75" customHeight="1">
      <c r="B178" s="140"/>
    </row>
    <row r="179" ht="15.75" customHeight="1">
      <c r="B179" s="140"/>
    </row>
    <row r="180" ht="15.75" customHeight="1">
      <c r="B180" s="140"/>
    </row>
    <row r="181" ht="15.75" customHeight="1">
      <c r="B181" s="140"/>
    </row>
    <row r="182" ht="15.75" customHeight="1">
      <c r="B182" s="140"/>
    </row>
    <row r="183" ht="15.75" customHeight="1">
      <c r="B183" s="140"/>
    </row>
    <row r="184" ht="15.75" customHeight="1">
      <c r="B184" s="140"/>
    </row>
    <row r="185" ht="15.75" customHeight="1">
      <c r="B185" s="140"/>
    </row>
    <row r="186" ht="15.75" customHeight="1">
      <c r="B186" s="140"/>
    </row>
    <row r="187" ht="15.75" customHeight="1">
      <c r="B187" s="140"/>
    </row>
    <row r="188" ht="15.75" customHeight="1">
      <c r="B188" s="140"/>
    </row>
    <row r="189" ht="15.75" customHeight="1">
      <c r="B189" s="140"/>
    </row>
    <row r="190" ht="15.75" customHeight="1">
      <c r="B190" s="140"/>
    </row>
    <row r="191" ht="15.75" customHeight="1">
      <c r="B191" s="140"/>
    </row>
    <row r="192" ht="15.75" customHeight="1">
      <c r="B192" s="140"/>
    </row>
    <row r="193" ht="15.75" customHeight="1">
      <c r="B193" s="140"/>
    </row>
    <row r="194" ht="15.75" customHeight="1">
      <c r="B194" s="140"/>
    </row>
    <row r="195" ht="15.75" customHeight="1">
      <c r="B195" s="140"/>
    </row>
    <row r="196" ht="15.75" customHeight="1">
      <c r="B196" s="140"/>
    </row>
    <row r="197" ht="15.75" customHeight="1">
      <c r="B197" s="140"/>
    </row>
    <row r="198" ht="15.75" customHeight="1">
      <c r="B198" s="140"/>
    </row>
    <row r="199" ht="15.75" customHeight="1">
      <c r="B199" s="140"/>
    </row>
    <row r="200" ht="15.75" customHeight="1">
      <c r="B200" s="140"/>
    </row>
    <row r="201" ht="15.75" customHeight="1">
      <c r="B201" s="140"/>
    </row>
    <row r="202" ht="15.75" customHeight="1">
      <c r="B202" s="140"/>
    </row>
    <row r="203" ht="15.75" customHeight="1">
      <c r="B203" s="140"/>
    </row>
    <row r="204" ht="15.75" customHeight="1">
      <c r="B204" s="140"/>
    </row>
    <row r="205" ht="15.75" customHeight="1">
      <c r="B205" s="140"/>
    </row>
    <row r="206" ht="15.75" customHeight="1">
      <c r="B206" s="140"/>
    </row>
    <row r="207" ht="15.75" customHeight="1">
      <c r="B207" s="140"/>
    </row>
    <row r="208" ht="15.75" customHeight="1">
      <c r="B208" s="140"/>
    </row>
    <row r="209" ht="15.75" customHeight="1">
      <c r="B209" s="140"/>
    </row>
    <row r="210" ht="15.75" customHeight="1">
      <c r="B210" s="140"/>
    </row>
    <row r="211" ht="15.75" customHeight="1">
      <c r="B211" s="140"/>
    </row>
    <row r="212" ht="15.75" customHeight="1">
      <c r="B212" s="140"/>
    </row>
    <row r="213" ht="15.75" customHeight="1">
      <c r="B213" s="140"/>
    </row>
    <row r="214" ht="15.75" customHeight="1">
      <c r="B214" s="140"/>
    </row>
    <row r="215" ht="15.75" customHeight="1">
      <c r="B215" s="140"/>
    </row>
    <row r="216" ht="15.75" customHeight="1">
      <c r="B216" s="140"/>
    </row>
    <row r="217" ht="15.75" customHeight="1">
      <c r="B217" s="140"/>
    </row>
    <row r="218" ht="15.75" customHeight="1">
      <c r="B218" s="140"/>
    </row>
    <row r="219" ht="15.75" customHeight="1">
      <c r="B219" s="140"/>
    </row>
    <row r="220" ht="15.75" customHeight="1">
      <c r="B220" s="140"/>
    </row>
    <row r="221" ht="15.75" customHeight="1">
      <c r="B221" s="140"/>
    </row>
    <row r="222" ht="15.75" customHeight="1">
      <c r="B222" s="140"/>
    </row>
    <row r="223" ht="15.75" customHeight="1">
      <c r="B223" s="140"/>
    </row>
    <row r="224" ht="15.75" customHeight="1">
      <c r="B224" s="140"/>
    </row>
    <row r="225" ht="15.75" customHeight="1">
      <c r="B225" s="140"/>
    </row>
    <row r="226" ht="15.75" customHeight="1">
      <c r="B226" s="140"/>
    </row>
    <row r="227" ht="15.75" customHeight="1">
      <c r="B227" s="140"/>
    </row>
    <row r="228" ht="15.75" customHeight="1">
      <c r="B228" s="140"/>
    </row>
    <row r="229" ht="15.75" customHeight="1">
      <c r="B229" s="140"/>
    </row>
    <row r="230" ht="15.75" customHeight="1">
      <c r="B230" s="140"/>
    </row>
    <row r="231" ht="15.75" customHeight="1">
      <c r="B231" s="140"/>
    </row>
    <row r="232" ht="15.75" customHeight="1">
      <c r="B232" s="140"/>
    </row>
    <row r="233" ht="15.75" customHeight="1">
      <c r="B233" s="140"/>
    </row>
    <row r="234" ht="15.75" customHeight="1">
      <c r="B234" s="140"/>
    </row>
    <row r="235" ht="15.75" customHeight="1">
      <c r="B235" s="140"/>
    </row>
    <row r="236" ht="15.75" customHeight="1">
      <c r="B236" s="140"/>
    </row>
    <row r="237" ht="15.75" customHeight="1">
      <c r="B237" s="140"/>
    </row>
    <row r="238" ht="15.75" customHeight="1">
      <c r="B238" s="140"/>
    </row>
    <row r="239" ht="15.75" customHeight="1">
      <c r="B239" s="140"/>
    </row>
    <row r="240" ht="15.75" customHeight="1">
      <c r="B240" s="140"/>
    </row>
    <row r="241" ht="15.75" customHeight="1">
      <c r="B241" s="140"/>
    </row>
    <row r="242" ht="15.75" customHeight="1">
      <c r="B242" s="140"/>
    </row>
    <row r="243" ht="15.75" customHeight="1">
      <c r="B243" s="140"/>
    </row>
    <row r="244" ht="15.75" customHeight="1">
      <c r="B244" s="140"/>
    </row>
    <row r="245" ht="15.75" customHeight="1">
      <c r="B245" s="140"/>
    </row>
    <row r="246" ht="15.75" customHeight="1">
      <c r="B246" s="140"/>
    </row>
    <row r="247" ht="15.75" customHeight="1">
      <c r="B247" s="140"/>
    </row>
    <row r="248" ht="15.75" customHeight="1">
      <c r="B248" s="140"/>
    </row>
    <row r="249" ht="15.75" customHeight="1">
      <c r="B249" s="140"/>
    </row>
    <row r="250" ht="15.75" customHeight="1">
      <c r="B250" s="140"/>
    </row>
    <row r="251" ht="15.75" customHeight="1">
      <c r="B251" s="140"/>
    </row>
    <row r="252" ht="15.75" customHeight="1">
      <c r="B252" s="140"/>
    </row>
    <row r="253" ht="15.75" customHeight="1">
      <c r="B253" s="140"/>
    </row>
    <row r="254" ht="15.75" customHeight="1">
      <c r="B254" s="140"/>
    </row>
    <row r="255" ht="15.75" customHeight="1">
      <c r="B255" s="140"/>
    </row>
    <row r="256" ht="15.75" customHeight="1">
      <c r="B256" s="140"/>
    </row>
    <row r="257" ht="15.75" customHeight="1">
      <c r="B257" s="140"/>
    </row>
    <row r="258" ht="15.75" customHeight="1">
      <c r="B258" s="140"/>
    </row>
    <row r="259" ht="15.75" customHeight="1">
      <c r="B259" s="140"/>
    </row>
    <row r="260" ht="15.75" customHeight="1">
      <c r="B260" s="140"/>
    </row>
    <row r="261" ht="15.75" customHeight="1">
      <c r="B261" s="140"/>
    </row>
    <row r="262" ht="15.75" customHeight="1">
      <c r="B262" s="140"/>
    </row>
    <row r="263" ht="15.75" customHeight="1">
      <c r="B263" s="140"/>
    </row>
    <row r="264" ht="15.75" customHeight="1">
      <c r="B264" s="140"/>
    </row>
    <row r="265" ht="15.75" customHeight="1">
      <c r="B265" s="140"/>
    </row>
    <row r="266" ht="15.75" customHeight="1">
      <c r="B266" s="140"/>
    </row>
    <row r="267" ht="15.75" customHeight="1">
      <c r="B267" s="140"/>
    </row>
    <row r="268" ht="15.75" customHeight="1">
      <c r="B268" s="140"/>
    </row>
    <row r="269" ht="15.75" customHeight="1">
      <c r="B269" s="140"/>
    </row>
    <row r="270" ht="15.75" customHeight="1">
      <c r="B270" s="140"/>
    </row>
    <row r="271" ht="15.75" customHeight="1">
      <c r="B271" s="140"/>
    </row>
    <row r="272" ht="15.75" customHeight="1">
      <c r="B272" s="140"/>
    </row>
    <row r="273" ht="15.75" customHeight="1">
      <c r="B273" s="140"/>
    </row>
    <row r="274" ht="15.75" customHeight="1">
      <c r="B274" s="140"/>
    </row>
    <row r="275" ht="15.75" customHeight="1">
      <c r="B275" s="140"/>
    </row>
    <row r="276" ht="15.75" customHeight="1">
      <c r="B276" s="140"/>
    </row>
    <row r="277" ht="15.75" customHeight="1">
      <c r="B277" s="140"/>
    </row>
    <row r="278" ht="15.75" customHeight="1">
      <c r="B278" s="140"/>
    </row>
    <row r="279" ht="15.75" customHeight="1">
      <c r="B279" s="140"/>
    </row>
    <row r="280" ht="15.75" customHeight="1">
      <c r="B280" s="140"/>
    </row>
    <row r="281" ht="15.75" customHeight="1">
      <c r="B281" s="140"/>
    </row>
    <row r="282" ht="15.75" customHeight="1">
      <c r="B282" s="140"/>
    </row>
    <row r="283" ht="15.75" customHeight="1">
      <c r="B283" s="140"/>
    </row>
    <row r="284" ht="15.75" customHeight="1">
      <c r="B284" s="140"/>
    </row>
    <row r="285" ht="15.75" customHeight="1">
      <c r="B285" s="140"/>
    </row>
    <row r="286" ht="15.75" customHeight="1">
      <c r="B286" s="140"/>
    </row>
    <row r="287" ht="15.75" customHeight="1">
      <c r="B287" s="140"/>
    </row>
    <row r="288" ht="15.75" customHeight="1">
      <c r="B288" s="140"/>
    </row>
    <row r="289" ht="15.75" customHeight="1">
      <c r="B289" s="140"/>
    </row>
    <row r="290" ht="15.75" customHeight="1">
      <c r="B290" s="140"/>
    </row>
    <row r="291" ht="15.75" customHeight="1">
      <c r="B291" s="140"/>
    </row>
    <row r="292" ht="15.75" customHeight="1">
      <c r="B292" s="140"/>
    </row>
    <row r="293" ht="15.75" customHeight="1">
      <c r="B293" s="140"/>
    </row>
    <row r="294" ht="15.75" customHeight="1">
      <c r="B294" s="140"/>
    </row>
    <row r="295" ht="15.75" customHeight="1">
      <c r="B295" s="140"/>
    </row>
    <row r="296" ht="15.75" customHeight="1">
      <c r="B296" s="140"/>
    </row>
    <row r="297" ht="15.75" customHeight="1">
      <c r="B297" s="140"/>
    </row>
    <row r="298" ht="15.75" customHeight="1">
      <c r="B298" s="140"/>
    </row>
    <row r="299" ht="15.75" customHeight="1">
      <c r="B299" s="140"/>
    </row>
    <row r="300" ht="15.75" customHeight="1">
      <c r="B300" s="140"/>
    </row>
    <row r="301" ht="15.75" customHeight="1">
      <c r="B301" s="140"/>
    </row>
    <row r="302" ht="15.75" customHeight="1">
      <c r="B302" s="140"/>
    </row>
    <row r="303" ht="15.75" customHeight="1">
      <c r="B303" s="140"/>
    </row>
    <row r="304" ht="15.75" customHeight="1">
      <c r="B304" s="140"/>
    </row>
    <row r="305" ht="15.75" customHeight="1">
      <c r="B305" s="140"/>
    </row>
    <row r="306" ht="15.75" customHeight="1">
      <c r="B306" s="140"/>
    </row>
    <row r="307" ht="15.75" customHeight="1">
      <c r="B307" s="140"/>
    </row>
    <row r="308" ht="15.75" customHeight="1">
      <c r="B308" s="140"/>
    </row>
    <row r="309" ht="15.75" customHeight="1">
      <c r="B309" s="140"/>
    </row>
    <row r="310" ht="15.75" customHeight="1">
      <c r="B310" s="140"/>
    </row>
    <row r="311" ht="15.75" customHeight="1">
      <c r="B311" s="140"/>
    </row>
    <row r="312" ht="15.75" customHeight="1">
      <c r="B312" s="140"/>
    </row>
    <row r="313" ht="15.75" customHeight="1">
      <c r="B313" s="140"/>
    </row>
    <row r="314" ht="15.75" customHeight="1">
      <c r="B314" s="140"/>
    </row>
    <row r="315" ht="15.75" customHeight="1">
      <c r="B315" s="140"/>
    </row>
    <row r="316" ht="15.75" customHeight="1">
      <c r="B316" s="140"/>
    </row>
    <row r="317" ht="15.75" customHeight="1">
      <c r="B317" s="140"/>
    </row>
    <row r="318" ht="15.75" customHeight="1">
      <c r="B318" s="140"/>
    </row>
    <row r="319" ht="15.75" customHeight="1">
      <c r="B319" s="140"/>
    </row>
    <row r="320" ht="15.75" customHeight="1">
      <c r="B320" s="140"/>
    </row>
    <row r="321" ht="15.75" customHeight="1">
      <c r="B321" s="140"/>
    </row>
    <row r="322" ht="15.75" customHeight="1">
      <c r="B322" s="140"/>
    </row>
    <row r="323" ht="15.75" customHeight="1">
      <c r="B323" s="140"/>
    </row>
    <row r="324" ht="15.75" customHeight="1">
      <c r="B324" s="140"/>
    </row>
    <row r="325" ht="15.75" customHeight="1">
      <c r="B325" s="140"/>
    </row>
    <row r="326" ht="15.75" customHeight="1">
      <c r="B326" s="140"/>
    </row>
    <row r="327" ht="15.75" customHeight="1">
      <c r="B327" s="140"/>
    </row>
    <row r="328" ht="15.75" customHeight="1">
      <c r="B328" s="140"/>
    </row>
    <row r="329" ht="15.75" customHeight="1">
      <c r="B329" s="140"/>
    </row>
    <row r="330" ht="15.75" customHeight="1">
      <c r="B330" s="140"/>
    </row>
    <row r="331" ht="15.75" customHeight="1">
      <c r="B331" s="140"/>
    </row>
    <row r="332" ht="15.75" customHeight="1">
      <c r="B332" s="140"/>
    </row>
    <row r="333" ht="15.75" customHeight="1">
      <c r="B333" s="140"/>
    </row>
    <row r="334" ht="15.75" customHeight="1">
      <c r="B334" s="140"/>
    </row>
    <row r="335" ht="15.75" customHeight="1">
      <c r="B335" s="140"/>
    </row>
    <row r="336" ht="15.75" customHeight="1">
      <c r="B336" s="140"/>
    </row>
    <row r="337" ht="15.75" customHeight="1">
      <c r="B337" s="140"/>
    </row>
    <row r="338" ht="15.75" customHeight="1">
      <c r="B338" s="140"/>
    </row>
    <row r="339" ht="15.75" customHeight="1">
      <c r="B339" s="140"/>
    </row>
    <row r="340" ht="15.75" customHeight="1">
      <c r="B340" s="140"/>
    </row>
    <row r="341" ht="15.75" customHeight="1">
      <c r="B341" s="140"/>
    </row>
    <row r="342" ht="15.75" customHeight="1">
      <c r="B342" s="140"/>
    </row>
    <row r="343" ht="15.75" customHeight="1">
      <c r="B343" s="140"/>
    </row>
    <row r="344" ht="15.75" customHeight="1">
      <c r="B344" s="140"/>
    </row>
    <row r="345" ht="15.75" customHeight="1">
      <c r="B345" s="140"/>
    </row>
    <row r="346" ht="15.75" customHeight="1">
      <c r="B346" s="140"/>
    </row>
    <row r="347" ht="15.75" customHeight="1">
      <c r="B347" s="140"/>
    </row>
    <row r="348" ht="15.75" customHeight="1">
      <c r="B348" s="140"/>
    </row>
    <row r="349" ht="15.75" customHeight="1">
      <c r="B349" s="140"/>
    </row>
    <row r="350" ht="15.75" customHeight="1">
      <c r="B350" s="140"/>
    </row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S1"/>
    <mergeCell ref="J2:J3"/>
    <mergeCell ref="K2:K3"/>
    <mergeCell ref="L2:L3"/>
    <mergeCell ref="M2:M3"/>
    <mergeCell ref="N2:N3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Col="2"/>
  <cols>
    <col customWidth="1" hidden="1" min="1" max="1" width="14.43"/>
    <col customWidth="1" min="2" max="2" width="14.43"/>
    <col customWidth="1" hidden="1" min="3" max="3" width="14.43"/>
    <col customWidth="1" min="4" max="4" width="33.29"/>
    <col customWidth="1" hidden="1" min="5" max="5" width="14.43"/>
    <col customWidth="1" min="6" max="6" width="32.0"/>
    <col customWidth="1" hidden="1" min="7" max="7" width="14.43"/>
    <col customWidth="1" hidden="1" min="8" max="8" width="21.14"/>
    <col customWidth="1" hidden="1" min="9" max="9" width="14.43"/>
    <col customWidth="1" min="10" max="10" width="18.43"/>
    <col customWidth="1" hidden="1" min="11" max="19" width="14.43"/>
  </cols>
  <sheetData>
    <row r="1" ht="15.75" customHeight="1">
      <c r="A1" s="97" t="s">
        <v>724</v>
      </c>
      <c r="B1" s="99" t="s">
        <v>725</v>
      </c>
      <c r="T1" s="100"/>
      <c r="U1" s="100"/>
      <c r="V1" s="100"/>
      <c r="W1" s="100"/>
      <c r="X1" s="100"/>
      <c r="Y1" s="100"/>
      <c r="Z1" s="100"/>
    </row>
    <row r="2" ht="15.75" customHeight="1">
      <c r="A2" s="100"/>
      <c r="B2" s="234"/>
      <c r="C2" s="235"/>
      <c r="D2" s="235"/>
      <c r="E2" s="235"/>
      <c r="F2" s="240"/>
      <c r="G2" s="235"/>
      <c r="H2" s="240"/>
      <c r="I2" s="235"/>
      <c r="J2" s="246" t="s">
        <v>216</v>
      </c>
      <c r="K2" s="99" t="s">
        <v>217</v>
      </c>
      <c r="L2" s="99" t="s">
        <v>218</v>
      </c>
      <c r="M2" s="99" t="s">
        <v>219</v>
      </c>
      <c r="N2" s="99" t="s">
        <v>220</v>
      </c>
      <c r="O2" s="101"/>
      <c r="P2" s="101"/>
      <c r="Q2" s="101"/>
      <c r="R2" s="101"/>
      <c r="S2" s="101"/>
      <c r="T2" s="100"/>
      <c r="U2" s="100"/>
      <c r="V2" s="100"/>
      <c r="W2" s="100"/>
      <c r="X2" s="100"/>
      <c r="Y2" s="100"/>
      <c r="Z2" s="100"/>
    </row>
    <row r="3" ht="15.75" customHeight="1">
      <c r="A3" s="100"/>
      <c r="B3" s="234" t="s">
        <v>230</v>
      </c>
      <c r="C3" s="235"/>
      <c r="D3" s="234" t="s">
        <v>222</v>
      </c>
      <c r="E3" s="234" t="s">
        <v>223</v>
      </c>
      <c r="F3" s="234" t="s">
        <v>224</v>
      </c>
      <c r="G3" s="234" t="s">
        <v>225</v>
      </c>
      <c r="H3" s="234" t="s">
        <v>226</v>
      </c>
      <c r="I3" s="234" t="s">
        <v>227</v>
      </c>
      <c r="J3" s="23"/>
      <c r="O3" s="99" t="s">
        <v>228</v>
      </c>
      <c r="P3" s="101"/>
      <c r="Q3" s="101"/>
      <c r="R3" s="101"/>
      <c r="S3" s="99" t="s">
        <v>229</v>
      </c>
      <c r="T3" s="100"/>
      <c r="U3" s="100"/>
      <c r="V3" s="100"/>
      <c r="W3" s="100"/>
      <c r="X3" s="100"/>
      <c r="Y3" s="100"/>
      <c r="Z3" s="100"/>
    </row>
    <row r="4" ht="15.75" customHeight="1">
      <c r="A4" s="100"/>
      <c r="B4" s="239">
        <v>1.0</v>
      </c>
      <c r="C4" s="239">
        <v>2114656.0</v>
      </c>
      <c r="D4" s="240" t="s">
        <v>733</v>
      </c>
      <c r="E4" s="234">
        <v>1.2100239E7</v>
      </c>
      <c r="F4" s="240" t="s">
        <v>736</v>
      </c>
      <c r="G4" s="240" t="s">
        <v>261</v>
      </c>
      <c r="H4" s="240" t="s">
        <v>262</v>
      </c>
      <c r="I4" s="234" t="s">
        <v>263</v>
      </c>
      <c r="J4" s="234" t="s">
        <v>242</v>
      </c>
      <c r="K4" s="247">
        <v>44409.0</v>
      </c>
      <c r="L4" s="247">
        <v>45292.0</v>
      </c>
      <c r="M4" s="248">
        <v>45657.0</v>
      </c>
      <c r="N4" s="247">
        <v>45292.0</v>
      </c>
      <c r="O4" s="105">
        <v>2024.0</v>
      </c>
      <c r="P4" s="99" t="s">
        <v>322</v>
      </c>
      <c r="Q4" s="99" t="s">
        <v>414</v>
      </c>
      <c r="R4" s="99" t="s">
        <v>257</v>
      </c>
      <c r="S4" s="248">
        <v>28938.0</v>
      </c>
      <c r="T4" s="100"/>
      <c r="U4" s="100"/>
      <c r="V4" s="100"/>
      <c r="W4" s="100"/>
      <c r="X4" s="100"/>
      <c r="Y4" s="100"/>
      <c r="Z4" s="100"/>
    </row>
    <row r="5" ht="15.75" customHeight="1">
      <c r="A5" s="100"/>
      <c r="B5" s="239">
        <v>2.0</v>
      </c>
      <c r="C5" s="239">
        <v>1814139.0</v>
      </c>
      <c r="D5" s="240" t="s">
        <v>739</v>
      </c>
      <c r="E5" s="234">
        <v>1.1800145E7</v>
      </c>
      <c r="F5" s="240" t="s">
        <v>741</v>
      </c>
      <c r="G5" s="240" t="s">
        <v>252</v>
      </c>
      <c r="H5" s="240" t="s">
        <v>271</v>
      </c>
      <c r="I5" s="234" t="s">
        <v>425</v>
      </c>
      <c r="J5" s="234" t="s">
        <v>242</v>
      </c>
      <c r="K5" s="249">
        <v>43221.0</v>
      </c>
      <c r="L5" s="247">
        <v>43466.0</v>
      </c>
      <c r="M5" s="101"/>
      <c r="N5" s="247">
        <v>43466.0</v>
      </c>
      <c r="O5" s="105">
        <v>2019.0</v>
      </c>
      <c r="P5" s="99" t="s">
        <v>245</v>
      </c>
      <c r="Q5" s="99" t="s">
        <v>323</v>
      </c>
      <c r="R5" s="99" t="s">
        <v>257</v>
      </c>
      <c r="S5" s="248">
        <v>32553.0</v>
      </c>
      <c r="T5" s="100"/>
      <c r="U5" s="100"/>
      <c r="V5" s="100"/>
      <c r="W5" s="100"/>
      <c r="X5" s="100"/>
      <c r="Y5" s="100"/>
      <c r="Z5" s="100"/>
    </row>
    <row r="6" ht="15.75" customHeight="1">
      <c r="A6" s="100"/>
      <c r="B6" s="239">
        <v>3.0</v>
      </c>
      <c r="C6" s="239">
        <v>2114578.0</v>
      </c>
      <c r="D6" s="240" t="s">
        <v>743</v>
      </c>
      <c r="E6" s="234">
        <v>1.2100143E7</v>
      </c>
      <c r="F6" s="240" t="s">
        <v>279</v>
      </c>
      <c r="G6" s="240" t="s">
        <v>252</v>
      </c>
      <c r="H6" s="240" t="s">
        <v>271</v>
      </c>
      <c r="I6" s="234" t="s">
        <v>271</v>
      </c>
      <c r="J6" s="234" t="s">
        <v>242</v>
      </c>
      <c r="K6" s="248">
        <v>44389.0</v>
      </c>
      <c r="L6" s="247">
        <v>45292.0</v>
      </c>
      <c r="M6" s="101"/>
      <c r="N6" s="247">
        <v>45292.0</v>
      </c>
      <c r="O6" s="105">
        <v>2024.0</v>
      </c>
      <c r="P6" s="99" t="s">
        <v>245</v>
      </c>
      <c r="Q6" s="99" t="s">
        <v>246</v>
      </c>
      <c r="R6" s="99" t="s">
        <v>257</v>
      </c>
      <c r="S6" s="247">
        <v>34373.0</v>
      </c>
      <c r="T6" s="100"/>
      <c r="U6" s="100"/>
      <c r="V6" s="100"/>
      <c r="W6" s="100"/>
      <c r="X6" s="100"/>
      <c r="Y6" s="100"/>
      <c r="Z6" s="100"/>
    </row>
    <row r="7" ht="15.75" customHeight="1">
      <c r="A7" s="100"/>
      <c r="B7" s="239">
        <v>4.0</v>
      </c>
      <c r="C7" s="239">
        <v>1814211.0</v>
      </c>
      <c r="D7" s="240" t="s">
        <v>589</v>
      </c>
      <c r="E7" s="234">
        <v>1.1800137E7</v>
      </c>
      <c r="F7" s="240" t="s">
        <v>587</v>
      </c>
      <c r="G7" s="240" t="s">
        <v>344</v>
      </c>
      <c r="H7" s="240" t="s">
        <v>376</v>
      </c>
      <c r="I7" s="234" t="s">
        <v>54</v>
      </c>
      <c r="J7" s="234" t="s">
        <v>242</v>
      </c>
      <c r="K7" s="249">
        <v>43221.0</v>
      </c>
      <c r="L7" s="247">
        <v>43466.0</v>
      </c>
      <c r="M7" s="101"/>
      <c r="N7" s="247">
        <v>43466.0</v>
      </c>
      <c r="O7" s="105">
        <v>2019.0</v>
      </c>
      <c r="P7" s="99" t="s">
        <v>274</v>
      </c>
      <c r="Q7" s="99" t="s">
        <v>541</v>
      </c>
      <c r="R7" s="99" t="s">
        <v>257</v>
      </c>
      <c r="S7" s="248">
        <v>25930.0</v>
      </c>
      <c r="T7" s="100"/>
      <c r="U7" s="100"/>
      <c r="V7" s="100"/>
      <c r="W7" s="100"/>
      <c r="X7" s="100"/>
      <c r="Y7" s="100"/>
      <c r="Z7" s="100"/>
    </row>
    <row r="8" ht="15.75" customHeight="1">
      <c r="A8" s="100"/>
      <c r="B8" s="239">
        <v>5.0</v>
      </c>
      <c r="C8" s="234">
        <v>1101069.0</v>
      </c>
      <c r="D8" s="240" t="s">
        <v>752</v>
      </c>
      <c r="E8" s="234">
        <v>1.1100835E7</v>
      </c>
      <c r="F8" s="240" t="s">
        <v>305</v>
      </c>
      <c r="G8" s="240" t="s">
        <v>252</v>
      </c>
      <c r="H8" s="240" t="s">
        <v>290</v>
      </c>
      <c r="I8" s="234" t="s">
        <v>37</v>
      </c>
      <c r="J8" s="234" t="s">
        <v>242</v>
      </c>
      <c r="K8" s="248">
        <v>40807.0</v>
      </c>
      <c r="L8" s="247">
        <v>42005.0</v>
      </c>
      <c r="M8" s="101"/>
      <c r="N8" s="247">
        <v>42005.0</v>
      </c>
      <c r="O8" s="105">
        <v>2015.0</v>
      </c>
      <c r="P8" s="99" t="s">
        <v>322</v>
      </c>
      <c r="Q8" s="99" t="s">
        <v>323</v>
      </c>
      <c r="R8" s="99" t="s">
        <v>257</v>
      </c>
      <c r="S8" s="248">
        <v>33255.0</v>
      </c>
      <c r="T8" s="100"/>
      <c r="U8" s="100"/>
      <c r="V8" s="100"/>
      <c r="W8" s="100"/>
      <c r="X8" s="100"/>
      <c r="Y8" s="100"/>
      <c r="Z8" s="100"/>
    </row>
    <row r="9" ht="15.75" customHeight="1">
      <c r="A9" s="100"/>
      <c r="B9" s="239">
        <v>6.0</v>
      </c>
      <c r="C9" s="239">
        <v>800862.0</v>
      </c>
      <c r="D9" s="240" t="s">
        <v>761</v>
      </c>
      <c r="E9" s="234">
        <v>1.0900037E7</v>
      </c>
      <c r="F9" s="240" t="s">
        <v>763</v>
      </c>
      <c r="G9" s="240" t="s">
        <v>252</v>
      </c>
      <c r="H9" s="240" t="s">
        <v>314</v>
      </c>
      <c r="I9" s="234" t="s">
        <v>352</v>
      </c>
      <c r="J9" s="234" t="s">
        <v>242</v>
      </c>
      <c r="K9" s="248">
        <v>39763.0</v>
      </c>
      <c r="L9" s="247">
        <v>40544.0</v>
      </c>
      <c r="M9" s="101"/>
      <c r="N9" s="247">
        <v>40544.0</v>
      </c>
      <c r="O9" s="105">
        <v>2011.0</v>
      </c>
      <c r="P9" s="99" t="s">
        <v>322</v>
      </c>
      <c r="Q9" s="99" t="s">
        <v>323</v>
      </c>
      <c r="R9" s="99" t="s">
        <v>257</v>
      </c>
      <c r="S9" s="247">
        <v>33212.0</v>
      </c>
      <c r="T9" s="100"/>
      <c r="U9" s="100"/>
      <c r="V9" s="100"/>
      <c r="W9" s="100"/>
      <c r="X9" s="100"/>
      <c r="Y9" s="100"/>
      <c r="Z9" s="100"/>
    </row>
    <row r="10" ht="15.75" customHeight="1">
      <c r="A10" s="100"/>
      <c r="B10" s="239">
        <v>7.0</v>
      </c>
      <c r="C10" s="239">
        <v>1914388.0</v>
      </c>
      <c r="D10" s="240" t="s">
        <v>767</v>
      </c>
      <c r="E10" s="234">
        <v>1.1900323E7</v>
      </c>
      <c r="F10" s="240" t="s">
        <v>763</v>
      </c>
      <c r="G10" s="240" t="s">
        <v>252</v>
      </c>
      <c r="H10" s="240" t="s">
        <v>314</v>
      </c>
      <c r="I10" s="234" t="s">
        <v>352</v>
      </c>
      <c r="J10" s="234" t="s">
        <v>242</v>
      </c>
      <c r="K10" s="247">
        <v>43678.0</v>
      </c>
      <c r="L10" s="247">
        <v>44927.0</v>
      </c>
      <c r="M10" s="101"/>
      <c r="N10" s="247">
        <v>44927.0</v>
      </c>
      <c r="O10" s="105">
        <v>2023.0</v>
      </c>
      <c r="P10" s="99" t="s">
        <v>300</v>
      </c>
      <c r="Q10" s="99" t="s">
        <v>293</v>
      </c>
      <c r="R10" s="99" t="s">
        <v>257</v>
      </c>
      <c r="S10" s="248">
        <v>32104.0</v>
      </c>
      <c r="T10" s="100"/>
      <c r="U10" s="100"/>
      <c r="V10" s="100"/>
      <c r="W10" s="100"/>
      <c r="X10" s="100"/>
      <c r="Y10" s="100"/>
      <c r="Z10" s="100"/>
    </row>
    <row r="11" ht="15.75" customHeight="1">
      <c r="A11" s="100"/>
      <c r="B11" s="239">
        <v>8.0</v>
      </c>
      <c r="C11" s="234">
        <v>1401177.0</v>
      </c>
      <c r="D11" s="240" t="s">
        <v>782</v>
      </c>
      <c r="E11" s="234">
        <v>1.1400428E7</v>
      </c>
      <c r="F11" s="240" t="s">
        <v>784</v>
      </c>
      <c r="G11" s="240" t="s">
        <v>252</v>
      </c>
      <c r="H11" s="240" t="s">
        <v>314</v>
      </c>
      <c r="I11" s="234" t="s">
        <v>721</v>
      </c>
      <c r="J11" s="234" t="s">
        <v>242</v>
      </c>
      <c r="K11" s="247">
        <v>41641.0</v>
      </c>
      <c r="L11" s="247">
        <v>44927.0</v>
      </c>
      <c r="M11" s="101"/>
      <c r="N11" s="247">
        <v>44927.0</v>
      </c>
      <c r="O11" s="105">
        <v>2023.0</v>
      </c>
      <c r="P11" s="99" t="s">
        <v>256</v>
      </c>
      <c r="Q11" s="99" t="s">
        <v>323</v>
      </c>
      <c r="R11" s="99" t="s">
        <v>257</v>
      </c>
      <c r="S11" s="248">
        <v>35018.0</v>
      </c>
      <c r="T11" s="100"/>
      <c r="U11" s="100"/>
      <c r="V11" s="100"/>
      <c r="W11" s="100"/>
      <c r="X11" s="100"/>
      <c r="Y11" s="100"/>
      <c r="Z11" s="100"/>
    </row>
    <row r="12" ht="15.75" customHeight="1">
      <c r="A12" s="100"/>
      <c r="B12" s="239">
        <v>9.0</v>
      </c>
      <c r="C12" s="234">
        <v>801271.0</v>
      </c>
      <c r="D12" s="240" t="s">
        <v>788</v>
      </c>
      <c r="E12" s="234">
        <v>508163.0</v>
      </c>
      <c r="F12" s="240" t="s">
        <v>790</v>
      </c>
      <c r="G12" s="240" t="s">
        <v>252</v>
      </c>
      <c r="H12" s="240" t="s">
        <v>314</v>
      </c>
      <c r="I12" s="234" t="s">
        <v>721</v>
      </c>
      <c r="J12" s="234" t="s">
        <v>242</v>
      </c>
      <c r="K12" s="247">
        <v>39479.0</v>
      </c>
      <c r="L12" s="247">
        <v>41640.0</v>
      </c>
      <c r="M12" s="101"/>
      <c r="N12" s="247">
        <v>41640.0</v>
      </c>
      <c r="O12" s="105">
        <v>2014.0</v>
      </c>
      <c r="P12" s="99" t="s">
        <v>245</v>
      </c>
      <c r="Q12" s="99" t="s">
        <v>361</v>
      </c>
      <c r="R12" s="99" t="s">
        <v>257</v>
      </c>
      <c r="S12" s="248">
        <v>32494.0</v>
      </c>
      <c r="T12" s="100"/>
      <c r="U12" s="100"/>
      <c r="V12" s="100"/>
      <c r="W12" s="100"/>
      <c r="X12" s="100"/>
      <c r="Y12" s="100"/>
      <c r="Z12" s="100"/>
    </row>
    <row r="13" ht="15.75" customHeight="1">
      <c r="A13" s="100"/>
      <c r="B13" s="239">
        <v>10.0</v>
      </c>
      <c r="C13" s="239">
        <v>400939.0</v>
      </c>
      <c r="D13" s="240" t="s">
        <v>794</v>
      </c>
      <c r="E13" s="234">
        <v>508150.0</v>
      </c>
      <c r="F13" s="240" t="s">
        <v>790</v>
      </c>
      <c r="G13" s="240" t="s">
        <v>252</v>
      </c>
      <c r="H13" s="240" t="s">
        <v>314</v>
      </c>
      <c r="I13" s="234" t="s">
        <v>721</v>
      </c>
      <c r="J13" s="234" t="s">
        <v>242</v>
      </c>
      <c r="K13" s="248">
        <v>38069.0</v>
      </c>
      <c r="L13" s="247">
        <v>40544.0</v>
      </c>
      <c r="M13" s="101"/>
      <c r="N13" s="247">
        <v>40544.0</v>
      </c>
      <c r="O13" s="105">
        <v>2011.0</v>
      </c>
      <c r="P13" s="99" t="s">
        <v>265</v>
      </c>
      <c r="Q13" s="99" t="s">
        <v>323</v>
      </c>
      <c r="R13" s="99" t="s">
        <v>257</v>
      </c>
      <c r="S13" s="248">
        <v>30948.0</v>
      </c>
      <c r="T13" s="100"/>
      <c r="U13" s="100"/>
      <c r="V13" s="100"/>
      <c r="W13" s="100"/>
      <c r="X13" s="100"/>
      <c r="Y13" s="100"/>
      <c r="Z13" s="100"/>
    </row>
    <row r="14" ht="15.75" customHeight="1">
      <c r="A14" s="100"/>
      <c r="B14" s="239">
        <v>11.0</v>
      </c>
      <c r="C14" s="239">
        <v>1914407.0</v>
      </c>
      <c r="D14" s="240" t="s">
        <v>798</v>
      </c>
      <c r="E14" s="234">
        <v>1.1900351E7</v>
      </c>
      <c r="F14" s="240" t="s">
        <v>578</v>
      </c>
      <c r="G14" s="240" t="s">
        <v>252</v>
      </c>
      <c r="H14" s="240" t="s">
        <v>314</v>
      </c>
      <c r="I14" s="234" t="s">
        <v>352</v>
      </c>
      <c r="J14" s="234" t="s">
        <v>242</v>
      </c>
      <c r="K14" s="248">
        <v>43780.0</v>
      </c>
      <c r="L14" s="247">
        <v>44927.0</v>
      </c>
      <c r="M14" s="101"/>
      <c r="N14" s="247">
        <v>44927.0</v>
      </c>
      <c r="O14" s="105">
        <v>2023.0</v>
      </c>
      <c r="P14" s="99" t="s">
        <v>274</v>
      </c>
      <c r="Q14" s="99" t="s">
        <v>801</v>
      </c>
      <c r="R14" s="99" t="s">
        <v>257</v>
      </c>
      <c r="S14" s="248">
        <v>32213.0</v>
      </c>
      <c r="T14" s="100"/>
      <c r="U14" s="100"/>
      <c r="V14" s="100"/>
      <c r="W14" s="100"/>
      <c r="X14" s="100"/>
      <c r="Y14" s="100"/>
      <c r="Z14" s="100"/>
    </row>
    <row r="15" ht="15.75" customHeight="1">
      <c r="A15" s="100"/>
      <c r="B15" s="239">
        <v>12.0</v>
      </c>
      <c r="C15" s="234">
        <v>1601307.0</v>
      </c>
      <c r="D15" s="240" t="s">
        <v>803</v>
      </c>
      <c r="E15" s="239">
        <v>1.1600831E7</v>
      </c>
      <c r="F15" s="240" t="s">
        <v>805</v>
      </c>
      <c r="G15" s="240" t="s">
        <v>252</v>
      </c>
      <c r="H15" s="240" t="s">
        <v>314</v>
      </c>
      <c r="I15" s="234" t="s">
        <v>315</v>
      </c>
      <c r="J15" s="234" t="s">
        <v>242</v>
      </c>
      <c r="K15" s="248">
        <v>42657.0</v>
      </c>
      <c r="L15" s="247">
        <v>43466.0</v>
      </c>
      <c r="M15" s="101"/>
      <c r="N15" s="247">
        <v>43466.0</v>
      </c>
      <c r="O15" s="105">
        <v>2019.0</v>
      </c>
      <c r="P15" s="99" t="s">
        <v>265</v>
      </c>
      <c r="Q15" s="99" t="s">
        <v>275</v>
      </c>
      <c r="R15" s="99" t="s">
        <v>257</v>
      </c>
      <c r="S15" s="249">
        <v>28617.0</v>
      </c>
      <c r="T15" s="100"/>
      <c r="U15" s="100"/>
      <c r="V15" s="100"/>
      <c r="W15" s="100"/>
      <c r="X15" s="100"/>
      <c r="Y15" s="100"/>
      <c r="Z15" s="100"/>
    </row>
    <row r="16" ht="15.75" customHeight="1">
      <c r="A16" s="100"/>
      <c r="B16" s="239">
        <v>13.0</v>
      </c>
      <c r="C16" s="239">
        <v>2014452.0</v>
      </c>
      <c r="D16" s="240" t="s">
        <v>814</v>
      </c>
      <c r="E16" s="234">
        <v>1.2000091E7</v>
      </c>
      <c r="F16" s="240" t="s">
        <v>387</v>
      </c>
      <c r="G16" s="240" t="s">
        <v>252</v>
      </c>
      <c r="H16" s="240" t="s">
        <v>388</v>
      </c>
      <c r="I16" s="234" t="s">
        <v>387</v>
      </c>
      <c r="J16" s="234" t="s">
        <v>242</v>
      </c>
      <c r="K16" s="247">
        <v>43831.0</v>
      </c>
      <c r="L16" s="247">
        <v>44197.0</v>
      </c>
      <c r="M16" s="101"/>
      <c r="N16" s="247">
        <v>44197.0</v>
      </c>
      <c r="O16" s="105">
        <v>2021.0</v>
      </c>
      <c r="P16" s="99" t="s">
        <v>245</v>
      </c>
      <c r="Q16" s="99" t="s">
        <v>246</v>
      </c>
      <c r="R16" s="99" t="s">
        <v>257</v>
      </c>
      <c r="S16" s="247">
        <v>32453.0</v>
      </c>
      <c r="T16" s="100"/>
      <c r="U16" s="100"/>
      <c r="V16" s="100"/>
      <c r="W16" s="100"/>
      <c r="X16" s="100"/>
      <c r="Y16" s="100"/>
      <c r="Z16" s="100"/>
    </row>
    <row r="17" ht="15.75" customHeight="1">
      <c r="A17" s="100"/>
      <c r="B17" s="239">
        <v>14.0</v>
      </c>
      <c r="C17" s="234">
        <v>500431.0</v>
      </c>
      <c r="D17" s="240" t="s">
        <v>820</v>
      </c>
      <c r="E17" s="239">
        <v>1106357.0</v>
      </c>
      <c r="F17" s="240" t="s">
        <v>392</v>
      </c>
      <c r="G17" s="240" t="s">
        <v>344</v>
      </c>
      <c r="H17" s="240" t="s">
        <v>388</v>
      </c>
      <c r="I17" s="234" t="s">
        <v>387</v>
      </c>
      <c r="J17" s="234" t="s">
        <v>242</v>
      </c>
      <c r="K17" s="248">
        <v>37978.0</v>
      </c>
      <c r="L17" s="247">
        <v>38718.0</v>
      </c>
      <c r="M17" s="101"/>
      <c r="N17" s="247">
        <v>38718.0</v>
      </c>
      <c r="O17" s="105">
        <v>2006.0</v>
      </c>
      <c r="P17" s="99" t="s">
        <v>322</v>
      </c>
      <c r="Q17" s="99" t="s">
        <v>275</v>
      </c>
      <c r="R17" s="99" t="s">
        <v>257</v>
      </c>
      <c r="S17" s="248">
        <v>29853.0</v>
      </c>
      <c r="T17" s="100"/>
      <c r="U17" s="100"/>
      <c r="V17" s="100"/>
      <c r="W17" s="100"/>
      <c r="X17" s="100"/>
      <c r="Y17" s="100"/>
      <c r="Z17" s="100"/>
    </row>
    <row r="18" ht="15.75" customHeight="1">
      <c r="A18" s="100"/>
      <c r="B18" s="239">
        <v>15.0</v>
      </c>
      <c r="C18" s="239">
        <v>2014412.0</v>
      </c>
      <c r="D18" s="240" t="s">
        <v>608</v>
      </c>
      <c r="E18" s="234">
        <v>1.2000011E7</v>
      </c>
      <c r="F18" s="240" t="s">
        <v>518</v>
      </c>
      <c r="G18" s="240" t="s">
        <v>252</v>
      </c>
      <c r="H18" s="240" t="s">
        <v>253</v>
      </c>
      <c r="I18" s="234" t="s">
        <v>518</v>
      </c>
      <c r="J18" s="234" t="s">
        <v>497</v>
      </c>
      <c r="K18" s="247">
        <v>43836.0</v>
      </c>
      <c r="L18" s="247">
        <v>45292.0</v>
      </c>
      <c r="M18" s="248">
        <v>45657.0</v>
      </c>
      <c r="N18" s="101"/>
      <c r="O18" s="101"/>
      <c r="P18" s="99" t="s">
        <v>322</v>
      </c>
      <c r="Q18" s="99" t="s">
        <v>541</v>
      </c>
      <c r="R18" s="99" t="s">
        <v>257</v>
      </c>
      <c r="S18" s="248">
        <v>31956.0</v>
      </c>
      <c r="T18" s="100"/>
      <c r="U18" s="100"/>
      <c r="V18" s="100"/>
      <c r="W18" s="100"/>
      <c r="X18" s="100"/>
      <c r="Y18" s="100"/>
      <c r="Z18" s="100"/>
    </row>
    <row r="19" ht="15.75" customHeight="1">
      <c r="A19" s="100"/>
      <c r="B19" s="239">
        <v>16.0</v>
      </c>
      <c r="C19" s="239">
        <v>2214742.0</v>
      </c>
      <c r="D19" s="240" t="s">
        <v>825</v>
      </c>
      <c r="E19" s="234">
        <v>1.2200092E7</v>
      </c>
      <c r="F19" s="240" t="s">
        <v>684</v>
      </c>
      <c r="G19" s="240" t="s">
        <v>252</v>
      </c>
      <c r="H19" s="240" t="s">
        <v>240</v>
      </c>
      <c r="I19" s="234" t="s">
        <v>676</v>
      </c>
      <c r="J19" s="234" t="s">
        <v>451</v>
      </c>
      <c r="K19" s="249">
        <v>44682.0</v>
      </c>
      <c r="L19" s="247">
        <v>45292.0</v>
      </c>
      <c r="M19" s="248">
        <v>45657.0</v>
      </c>
      <c r="N19" s="101"/>
      <c r="O19" s="101"/>
      <c r="P19" s="99" t="s">
        <v>256</v>
      </c>
      <c r="Q19" s="99" t="s">
        <v>246</v>
      </c>
      <c r="R19" s="99" t="s">
        <v>247</v>
      </c>
      <c r="S19" s="248">
        <v>35304.0</v>
      </c>
      <c r="T19" s="100"/>
      <c r="U19" s="100"/>
      <c r="V19" s="100"/>
      <c r="W19" s="100"/>
      <c r="X19" s="100"/>
      <c r="Y19" s="100"/>
      <c r="Z19" s="100"/>
    </row>
    <row r="20" ht="15.75" customHeight="1">
      <c r="A20" s="100"/>
      <c r="B20" s="239">
        <v>17.0</v>
      </c>
      <c r="C20" s="239">
        <v>2014487.0</v>
      </c>
      <c r="D20" s="240" t="s">
        <v>829</v>
      </c>
      <c r="E20" s="234">
        <v>1.2000239E7</v>
      </c>
      <c r="F20" s="240" t="s">
        <v>279</v>
      </c>
      <c r="G20" s="240" t="s">
        <v>252</v>
      </c>
      <c r="H20" s="240" t="s">
        <v>271</v>
      </c>
      <c r="I20" s="234" t="s">
        <v>271</v>
      </c>
      <c r="J20" s="234" t="s">
        <v>497</v>
      </c>
      <c r="K20" s="248">
        <v>44116.0</v>
      </c>
      <c r="L20" s="247">
        <v>45292.0</v>
      </c>
      <c r="M20" s="248">
        <v>45657.0</v>
      </c>
      <c r="N20" s="101"/>
      <c r="O20" s="101"/>
      <c r="P20" s="99" t="s">
        <v>256</v>
      </c>
      <c r="Q20" s="99" t="s">
        <v>246</v>
      </c>
      <c r="R20" s="99" t="s">
        <v>247</v>
      </c>
      <c r="S20" s="248">
        <v>34501.0</v>
      </c>
      <c r="T20" s="100"/>
      <c r="U20" s="100"/>
      <c r="V20" s="100"/>
      <c r="W20" s="100"/>
      <c r="X20" s="100"/>
      <c r="Y20" s="100"/>
      <c r="Z20" s="100"/>
    </row>
    <row r="21" ht="15.75" customHeight="1">
      <c r="A21" s="100"/>
      <c r="B21" s="239">
        <v>18.0</v>
      </c>
      <c r="C21" s="239">
        <v>2214773.0</v>
      </c>
      <c r="D21" s="240" t="s">
        <v>833</v>
      </c>
      <c r="E21" s="234">
        <v>1.2200171E7</v>
      </c>
      <c r="F21" s="240" t="s">
        <v>279</v>
      </c>
      <c r="G21" s="240" t="s">
        <v>252</v>
      </c>
      <c r="H21" s="240" t="s">
        <v>271</v>
      </c>
      <c r="I21" s="234" t="s">
        <v>271</v>
      </c>
      <c r="J21" s="234" t="s">
        <v>426</v>
      </c>
      <c r="K21" s="248">
        <v>44907.0</v>
      </c>
      <c r="L21" s="247">
        <v>45292.0</v>
      </c>
      <c r="M21" s="248">
        <v>45657.0</v>
      </c>
      <c r="N21" s="101"/>
      <c r="O21" s="101"/>
      <c r="P21" s="99" t="s">
        <v>256</v>
      </c>
      <c r="Q21" s="99" t="s">
        <v>323</v>
      </c>
      <c r="R21" s="99" t="s">
        <v>247</v>
      </c>
      <c r="S21" s="248">
        <v>35239.0</v>
      </c>
      <c r="T21" s="100"/>
      <c r="U21" s="100"/>
      <c r="V21" s="100"/>
      <c r="W21" s="100"/>
      <c r="X21" s="100"/>
      <c r="Y21" s="100"/>
      <c r="Z21" s="100"/>
    </row>
    <row r="22" ht="15.75" customHeight="1">
      <c r="A22" s="100"/>
      <c r="B22" s="239">
        <v>19.0</v>
      </c>
      <c r="C22" s="239">
        <v>2314787.0</v>
      </c>
      <c r="D22" s="240" t="s">
        <v>1386</v>
      </c>
      <c r="E22" s="234">
        <v>1.2300022E7</v>
      </c>
      <c r="F22" s="240" t="s">
        <v>656</v>
      </c>
      <c r="G22" s="240" t="s">
        <v>252</v>
      </c>
      <c r="H22" s="240" t="s">
        <v>314</v>
      </c>
      <c r="I22" s="234" t="s">
        <v>315</v>
      </c>
      <c r="J22" s="234" t="s">
        <v>426</v>
      </c>
      <c r="K22" s="248">
        <v>44946.0</v>
      </c>
      <c r="L22" s="247">
        <v>45292.0</v>
      </c>
      <c r="M22" s="248">
        <v>45657.0</v>
      </c>
      <c r="N22" s="101"/>
      <c r="O22" s="101"/>
      <c r="P22" s="99" t="s">
        <v>256</v>
      </c>
      <c r="Q22" s="99" t="s">
        <v>275</v>
      </c>
      <c r="R22" s="99" t="s">
        <v>257</v>
      </c>
      <c r="S22" s="248">
        <v>36750.0</v>
      </c>
      <c r="T22" s="100"/>
      <c r="U22" s="100"/>
      <c r="V22" s="100"/>
      <c r="W22" s="100"/>
      <c r="X22" s="100"/>
      <c r="Y22" s="100"/>
      <c r="Z22" s="100"/>
    </row>
    <row r="23" ht="15.75" customHeight="1">
      <c r="A23" s="100"/>
      <c r="B23" s="239">
        <v>20.0</v>
      </c>
      <c r="C23" s="239">
        <v>2114497.0</v>
      </c>
      <c r="D23" s="240" t="s">
        <v>837</v>
      </c>
      <c r="E23" s="234">
        <v>1.2100001E7</v>
      </c>
      <c r="F23" s="240" t="s">
        <v>750</v>
      </c>
      <c r="G23" s="240" t="s">
        <v>252</v>
      </c>
      <c r="H23" s="240" t="s">
        <v>290</v>
      </c>
      <c r="I23" s="234" t="s">
        <v>291</v>
      </c>
      <c r="J23" s="234" t="s">
        <v>463</v>
      </c>
      <c r="K23" s="247">
        <v>44197.0</v>
      </c>
      <c r="L23" s="247">
        <v>45292.0</v>
      </c>
      <c r="M23" s="248">
        <v>45657.0</v>
      </c>
      <c r="N23" s="101"/>
      <c r="O23" s="101"/>
      <c r="P23" s="99" t="s">
        <v>256</v>
      </c>
      <c r="Q23" s="99" t="s">
        <v>246</v>
      </c>
      <c r="R23" s="99" t="s">
        <v>257</v>
      </c>
      <c r="S23" s="247">
        <v>33086.0</v>
      </c>
      <c r="T23" s="100"/>
      <c r="U23" s="100"/>
      <c r="V23" s="100"/>
      <c r="W23" s="100"/>
      <c r="X23" s="100"/>
      <c r="Y23" s="100"/>
      <c r="Z23" s="100"/>
    </row>
    <row r="24" ht="15.75" customHeight="1">
      <c r="A24" s="100"/>
      <c r="B24" s="239">
        <v>21.0</v>
      </c>
      <c r="C24" s="239">
        <v>2114630.0</v>
      </c>
      <c r="D24" s="240" t="s">
        <v>840</v>
      </c>
      <c r="E24" s="234">
        <v>1.2100213E7</v>
      </c>
      <c r="F24" s="240" t="s">
        <v>842</v>
      </c>
      <c r="G24" s="240" t="s">
        <v>344</v>
      </c>
      <c r="H24" s="240" t="s">
        <v>314</v>
      </c>
      <c r="I24" s="234" t="s">
        <v>721</v>
      </c>
      <c r="J24" s="234" t="s">
        <v>412</v>
      </c>
      <c r="K24" s="247">
        <v>44409.0</v>
      </c>
      <c r="L24" s="247">
        <v>45292.0</v>
      </c>
      <c r="M24" s="248">
        <v>45657.0</v>
      </c>
      <c r="N24" s="101"/>
      <c r="O24" s="101"/>
      <c r="P24" s="99" t="s">
        <v>265</v>
      </c>
      <c r="Q24" s="99" t="s">
        <v>309</v>
      </c>
      <c r="R24" s="99" t="s">
        <v>257</v>
      </c>
      <c r="S24" s="248">
        <v>29087.0</v>
      </c>
      <c r="T24" s="100"/>
      <c r="U24" s="100"/>
      <c r="V24" s="100"/>
      <c r="W24" s="100"/>
      <c r="X24" s="100"/>
      <c r="Y24" s="100"/>
      <c r="Z24" s="100"/>
    </row>
    <row r="25" ht="15.75" customHeight="1">
      <c r="A25" s="100"/>
      <c r="B25" s="239">
        <v>22.0</v>
      </c>
      <c r="C25" s="239">
        <v>2314854.0</v>
      </c>
      <c r="D25" s="240" t="s">
        <v>844</v>
      </c>
      <c r="E25" s="234">
        <v>1.2300191E7</v>
      </c>
      <c r="F25" s="240" t="s">
        <v>763</v>
      </c>
      <c r="G25" s="240" t="s">
        <v>252</v>
      </c>
      <c r="H25" s="240" t="s">
        <v>314</v>
      </c>
      <c r="I25" s="234" t="s">
        <v>352</v>
      </c>
      <c r="J25" s="234" t="s">
        <v>418</v>
      </c>
      <c r="K25" s="247">
        <v>45231.0</v>
      </c>
      <c r="L25" s="247">
        <v>45231.0</v>
      </c>
      <c r="M25" s="248">
        <v>45596.0</v>
      </c>
      <c r="N25" s="101"/>
      <c r="O25" s="101"/>
      <c r="P25" s="99" t="s">
        <v>256</v>
      </c>
      <c r="Q25" s="99" t="s">
        <v>323</v>
      </c>
      <c r="R25" s="99" t="s">
        <v>257</v>
      </c>
      <c r="S25" s="247">
        <v>37165.0</v>
      </c>
      <c r="T25" s="100"/>
      <c r="U25" s="100"/>
      <c r="V25" s="100"/>
      <c r="W25" s="100"/>
      <c r="X25" s="100"/>
      <c r="Y25" s="100"/>
      <c r="Z25" s="100"/>
    </row>
    <row r="26" ht="15.75" customHeight="1">
      <c r="A26" s="100"/>
      <c r="B26" s="239">
        <v>23.0</v>
      </c>
      <c r="C26" s="239">
        <v>1914387.0</v>
      </c>
      <c r="D26" s="240" t="s">
        <v>849</v>
      </c>
      <c r="E26" s="234">
        <v>1.1900324E7</v>
      </c>
      <c r="F26" s="240" t="s">
        <v>763</v>
      </c>
      <c r="G26" s="240" t="s">
        <v>252</v>
      </c>
      <c r="H26" s="240" t="s">
        <v>314</v>
      </c>
      <c r="I26" s="234" t="s">
        <v>352</v>
      </c>
      <c r="J26" s="234" t="s">
        <v>418</v>
      </c>
      <c r="K26" s="247">
        <v>43683.0</v>
      </c>
      <c r="L26" s="247">
        <v>45292.0</v>
      </c>
      <c r="M26" s="248">
        <v>45657.0</v>
      </c>
      <c r="N26" s="101"/>
      <c r="O26" s="101"/>
      <c r="P26" s="99" t="s">
        <v>256</v>
      </c>
      <c r="Q26" s="99" t="s">
        <v>275</v>
      </c>
      <c r="R26" s="99" t="s">
        <v>257</v>
      </c>
      <c r="S26" s="248">
        <v>35479.0</v>
      </c>
      <c r="T26" s="100"/>
      <c r="U26" s="100"/>
      <c r="V26" s="100"/>
      <c r="W26" s="100"/>
      <c r="X26" s="100"/>
      <c r="Y26" s="100"/>
      <c r="Z26" s="100"/>
    </row>
    <row r="27" ht="15.75" customHeight="1">
      <c r="A27" s="100"/>
      <c r="B27" s="239">
        <v>24.0</v>
      </c>
      <c r="C27" s="239">
        <v>2214774.0</v>
      </c>
      <c r="D27" s="240" t="s">
        <v>853</v>
      </c>
      <c r="E27" s="234">
        <v>1.2200174E7</v>
      </c>
      <c r="F27" s="240" t="s">
        <v>763</v>
      </c>
      <c r="G27" s="240" t="s">
        <v>252</v>
      </c>
      <c r="H27" s="240" t="s">
        <v>314</v>
      </c>
      <c r="I27" s="234" t="s">
        <v>352</v>
      </c>
      <c r="J27" s="234" t="s">
        <v>426</v>
      </c>
      <c r="K27" s="248">
        <v>44914.0</v>
      </c>
      <c r="L27" s="247">
        <v>45292.0</v>
      </c>
      <c r="M27" s="248">
        <v>45657.0</v>
      </c>
      <c r="N27" s="101"/>
      <c r="O27" s="101"/>
      <c r="P27" s="99" t="s">
        <v>256</v>
      </c>
      <c r="Q27" s="99" t="s">
        <v>323</v>
      </c>
      <c r="R27" s="99" t="s">
        <v>257</v>
      </c>
      <c r="S27" s="247">
        <v>36982.0</v>
      </c>
      <c r="T27" s="100"/>
      <c r="U27" s="100"/>
      <c r="V27" s="100"/>
      <c r="W27" s="100"/>
      <c r="X27" s="100"/>
      <c r="Y27" s="100"/>
      <c r="Z27" s="100"/>
    </row>
    <row r="28" ht="15.75" customHeight="1">
      <c r="A28" s="100"/>
      <c r="B28" s="239">
        <v>25.0</v>
      </c>
      <c r="C28" s="239">
        <v>2114669.0</v>
      </c>
      <c r="D28" s="240" t="s">
        <v>858</v>
      </c>
      <c r="E28" s="234">
        <v>1.2100162E7</v>
      </c>
      <c r="F28" s="240" t="s">
        <v>763</v>
      </c>
      <c r="G28" s="240" t="s">
        <v>252</v>
      </c>
      <c r="H28" s="240" t="s">
        <v>314</v>
      </c>
      <c r="I28" s="234" t="s">
        <v>352</v>
      </c>
      <c r="J28" s="234" t="s">
        <v>463</v>
      </c>
      <c r="K28" s="247">
        <v>44440.0</v>
      </c>
      <c r="L28" s="247">
        <v>45292.0</v>
      </c>
      <c r="M28" s="248">
        <v>45657.0</v>
      </c>
      <c r="N28" s="101"/>
      <c r="O28" s="101"/>
      <c r="P28" s="99" t="s">
        <v>256</v>
      </c>
      <c r="Q28" s="99" t="s">
        <v>541</v>
      </c>
      <c r="R28" s="99" t="s">
        <v>257</v>
      </c>
      <c r="S28" s="247">
        <v>35887.0</v>
      </c>
      <c r="T28" s="100"/>
      <c r="U28" s="100"/>
      <c r="V28" s="100"/>
      <c r="W28" s="100"/>
      <c r="X28" s="100"/>
      <c r="Y28" s="100"/>
      <c r="Z28" s="100"/>
    </row>
    <row r="29" ht="15.75" customHeight="1">
      <c r="A29" s="100"/>
      <c r="B29" s="239">
        <v>26.0</v>
      </c>
      <c r="C29" s="239">
        <v>2214754.0</v>
      </c>
      <c r="D29" s="240" t="s">
        <v>862</v>
      </c>
      <c r="E29" s="234">
        <v>1.2200114E7</v>
      </c>
      <c r="F29" s="240" t="s">
        <v>763</v>
      </c>
      <c r="G29" s="240" t="s">
        <v>252</v>
      </c>
      <c r="H29" s="240" t="s">
        <v>314</v>
      </c>
      <c r="I29" s="234" t="s">
        <v>352</v>
      </c>
      <c r="J29" s="234" t="s">
        <v>451</v>
      </c>
      <c r="K29" s="247">
        <v>44774.0</v>
      </c>
      <c r="L29" s="247">
        <v>45292.0</v>
      </c>
      <c r="M29" s="248">
        <v>45657.0</v>
      </c>
      <c r="N29" s="101"/>
      <c r="O29" s="101"/>
      <c r="P29" s="99" t="s">
        <v>256</v>
      </c>
      <c r="Q29" s="99"/>
      <c r="R29" s="99" t="s">
        <v>257</v>
      </c>
      <c r="S29" s="248">
        <v>37186.0</v>
      </c>
      <c r="T29" s="100"/>
      <c r="U29" s="100"/>
      <c r="V29" s="100"/>
      <c r="W29" s="100"/>
      <c r="X29" s="100"/>
      <c r="Y29" s="100"/>
      <c r="Z29" s="100"/>
    </row>
    <row r="30" ht="15.75" customHeight="1">
      <c r="A30" s="100"/>
      <c r="B30" s="239">
        <v>27.0</v>
      </c>
      <c r="C30" s="239">
        <v>2314853.0</v>
      </c>
      <c r="D30" s="240" t="s">
        <v>865</v>
      </c>
      <c r="E30" s="234">
        <v>1.2300188E7</v>
      </c>
      <c r="F30" s="240" t="s">
        <v>763</v>
      </c>
      <c r="G30" s="240" t="s">
        <v>252</v>
      </c>
      <c r="H30" s="240" t="s">
        <v>314</v>
      </c>
      <c r="I30" s="234" t="s">
        <v>352</v>
      </c>
      <c r="J30" s="234" t="s">
        <v>418</v>
      </c>
      <c r="K30" s="247">
        <v>45200.0</v>
      </c>
      <c r="L30" s="247">
        <v>45200.0</v>
      </c>
      <c r="M30" s="248">
        <v>45565.0</v>
      </c>
      <c r="N30" s="101"/>
      <c r="O30" s="101"/>
      <c r="P30" s="99" t="s">
        <v>256</v>
      </c>
      <c r="Q30" s="99" t="s">
        <v>323</v>
      </c>
      <c r="R30" s="99" t="s">
        <v>257</v>
      </c>
      <c r="S30" s="248">
        <v>36643.0</v>
      </c>
      <c r="T30" s="100"/>
      <c r="U30" s="100"/>
      <c r="V30" s="100"/>
      <c r="W30" s="100"/>
      <c r="X30" s="100"/>
      <c r="Y30" s="100"/>
      <c r="Z30" s="100"/>
    </row>
    <row r="31" ht="15.75" customHeight="1">
      <c r="A31" s="100"/>
      <c r="B31" s="239">
        <v>28.0</v>
      </c>
      <c r="C31" s="239">
        <v>2214749.0</v>
      </c>
      <c r="D31" s="240" t="s">
        <v>870</v>
      </c>
      <c r="E31" s="234">
        <v>1.2200103E7</v>
      </c>
      <c r="F31" s="240" t="s">
        <v>763</v>
      </c>
      <c r="G31" s="240" t="s">
        <v>252</v>
      </c>
      <c r="H31" s="240" t="s">
        <v>314</v>
      </c>
      <c r="I31" s="234" t="s">
        <v>352</v>
      </c>
      <c r="J31" s="234" t="s">
        <v>451</v>
      </c>
      <c r="K31" s="247">
        <v>44743.0</v>
      </c>
      <c r="L31" s="247">
        <v>45292.0</v>
      </c>
      <c r="M31" s="248">
        <v>45657.0</v>
      </c>
      <c r="N31" s="101"/>
      <c r="O31" s="101"/>
      <c r="P31" s="99" t="s">
        <v>322</v>
      </c>
      <c r="Q31" s="99" t="s">
        <v>801</v>
      </c>
      <c r="R31" s="99" t="s">
        <v>257</v>
      </c>
      <c r="S31" s="247">
        <v>34735.0</v>
      </c>
      <c r="T31" s="100"/>
      <c r="U31" s="100"/>
      <c r="V31" s="100"/>
      <c r="W31" s="100"/>
      <c r="X31" s="100"/>
      <c r="Y31" s="100"/>
      <c r="Z31" s="100"/>
    </row>
    <row r="32" ht="15.75" customHeight="1">
      <c r="A32" s="100"/>
      <c r="B32" s="239">
        <v>29.0</v>
      </c>
      <c r="C32" s="239">
        <v>2214751.0</v>
      </c>
      <c r="D32" s="240" t="s">
        <v>873</v>
      </c>
      <c r="E32" s="234">
        <v>1.2200105E7</v>
      </c>
      <c r="F32" s="240" t="s">
        <v>784</v>
      </c>
      <c r="G32" s="240" t="s">
        <v>252</v>
      </c>
      <c r="H32" s="240" t="s">
        <v>314</v>
      </c>
      <c r="I32" s="234" t="s">
        <v>721</v>
      </c>
      <c r="J32" s="234" t="s">
        <v>497</v>
      </c>
      <c r="K32" s="247">
        <v>44743.0</v>
      </c>
      <c r="L32" s="247">
        <v>45292.0</v>
      </c>
      <c r="M32" s="248">
        <v>45657.0</v>
      </c>
      <c r="N32" s="101"/>
      <c r="O32" s="101"/>
      <c r="P32" s="99" t="s">
        <v>256</v>
      </c>
      <c r="Q32" s="99" t="s">
        <v>801</v>
      </c>
      <c r="R32" s="99" t="s">
        <v>257</v>
      </c>
      <c r="S32" s="251">
        <v>35566.0</v>
      </c>
      <c r="T32" s="100"/>
      <c r="U32" s="100"/>
      <c r="V32" s="100"/>
      <c r="W32" s="100"/>
      <c r="X32" s="100"/>
      <c r="Y32" s="100"/>
      <c r="Z32" s="100"/>
    </row>
    <row r="33" ht="15.75" customHeight="1">
      <c r="A33" s="100"/>
      <c r="B33" s="239">
        <v>30.0</v>
      </c>
      <c r="C33" s="239">
        <v>2114535.0</v>
      </c>
      <c r="D33" s="240" t="s">
        <v>876</v>
      </c>
      <c r="E33" s="234">
        <v>1.2100049E7</v>
      </c>
      <c r="F33" s="240" t="s">
        <v>784</v>
      </c>
      <c r="G33" s="240" t="s">
        <v>252</v>
      </c>
      <c r="H33" s="240" t="s">
        <v>314</v>
      </c>
      <c r="I33" s="234" t="s">
        <v>721</v>
      </c>
      <c r="J33" s="234" t="s">
        <v>463</v>
      </c>
      <c r="K33" s="248">
        <v>44221.0</v>
      </c>
      <c r="L33" s="247">
        <v>45292.0</v>
      </c>
      <c r="M33" s="248">
        <v>45657.0</v>
      </c>
      <c r="N33" s="101"/>
      <c r="O33" s="101"/>
      <c r="P33" s="99" t="s">
        <v>256</v>
      </c>
      <c r="Q33" s="99" t="s">
        <v>541</v>
      </c>
      <c r="R33" s="99" t="s">
        <v>257</v>
      </c>
      <c r="S33" s="247">
        <v>34791.0</v>
      </c>
      <c r="T33" s="100"/>
      <c r="U33" s="100"/>
      <c r="V33" s="100"/>
      <c r="W33" s="100"/>
      <c r="X33" s="100"/>
      <c r="Y33" s="100"/>
      <c r="Z33" s="100"/>
    </row>
    <row r="34" ht="15.75" customHeight="1">
      <c r="A34" s="100"/>
      <c r="B34" s="239">
        <v>31.0</v>
      </c>
      <c r="C34" s="239">
        <v>2214750.0</v>
      </c>
      <c r="D34" s="240" t="s">
        <v>880</v>
      </c>
      <c r="E34" s="234">
        <v>1.2200104E7</v>
      </c>
      <c r="F34" s="240" t="s">
        <v>784</v>
      </c>
      <c r="G34" s="240" t="s">
        <v>252</v>
      </c>
      <c r="H34" s="240" t="s">
        <v>314</v>
      </c>
      <c r="I34" s="234" t="s">
        <v>721</v>
      </c>
      <c r="J34" s="234" t="s">
        <v>451</v>
      </c>
      <c r="K34" s="247">
        <v>44743.0</v>
      </c>
      <c r="L34" s="247">
        <v>45292.0</v>
      </c>
      <c r="M34" s="248">
        <v>45657.0</v>
      </c>
      <c r="N34" s="101"/>
      <c r="O34" s="101"/>
      <c r="P34" s="99" t="s">
        <v>265</v>
      </c>
      <c r="Q34" s="99" t="s">
        <v>541</v>
      </c>
      <c r="R34" s="99" t="s">
        <v>257</v>
      </c>
      <c r="S34" s="248">
        <v>34587.0</v>
      </c>
      <c r="T34" s="100"/>
      <c r="U34" s="100"/>
      <c r="V34" s="100"/>
      <c r="W34" s="100"/>
      <c r="X34" s="100"/>
      <c r="Y34" s="100"/>
      <c r="Z34" s="100"/>
    </row>
    <row r="35" ht="15.75" customHeight="1">
      <c r="A35" s="100"/>
      <c r="B35" s="239">
        <v>32.0</v>
      </c>
      <c r="C35" s="239">
        <v>2314860.0</v>
      </c>
      <c r="D35" s="240" t="s">
        <v>885</v>
      </c>
      <c r="E35" s="234">
        <v>1.2300204E7</v>
      </c>
      <c r="F35" s="240" t="s">
        <v>790</v>
      </c>
      <c r="G35" s="240" t="s">
        <v>252</v>
      </c>
      <c r="H35" s="240" t="s">
        <v>314</v>
      </c>
      <c r="I35" s="234" t="s">
        <v>721</v>
      </c>
      <c r="J35" s="234" t="s">
        <v>418</v>
      </c>
      <c r="K35" s="247">
        <v>45261.0</v>
      </c>
      <c r="L35" s="247">
        <v>45261.0</v>
      </c>
      <c r="M35" s="248">
        <v>45473.0</v>
      </c>
      <c r="N35" s="101"/>
      <c r="O35" s="101"/>
      <c r="P35" s="99" t="s">
        <v>256</v>
      </c>
      <c r="Q35" s="99" t="s">
        <v>246</v>
      </c>
      <c r="R35" s="99" t="s">
        <v>257</v>
      </c>
      <c r="S35" s="251">
        <v>33753.0</v>
      </c>
      <c r="T35" s="100"/>
      <c r="U35" s="100"/>
      <c r="V35" s="100"/>
      <c r="W35" s="100"/>
      <c r="X35" s="100"/>
      <c r="Y35" s="100"/>
      <c r="Z35" s="100"/>
    </row>
    <row r="36" ht="15.75" customHeight="1">
      <c r="A36" s="100"/>
      <c r="B36" s="239">
        <v>33.0</v>
      </c>
      <c r="C36" s="239">
        <v>2114557.0</v>
      </c>
      <c r="D36" s="240" t="s">
        <v>888</v>
      </c>
      <c r="E36" s="234">
        <v>1.2100104E7</v>
      </c>
      <c r="F36" s="240" t="s">
        <v>890</v>
      </c>
      <c r="G36" s="240" t="s">
        <v>252</v>
      </c>
      <c r="H36" s="240" t="s">
        <v>314</v>
      </c>
      <c r="I36" s="234" t="s">
        <v>721</v>
      </c>
      <c r="J36" s="234" t="s">
        <v>463</v>
      </c>
      <c r="K36" s="251">
        <v>44333.0</v>
      </c>
      <c r="L36" s="247">
        <v>45292.0</v>
      </c>
      <c r="M36" s="248">
        <v>45657.0</v>
      </c>
      <c r="N36" s="101"/>
      <c r="O36" s="101"/>
      <c r="P36" s="99" t="s">
        <v>256</v>
      </c>
      <c r="Q36" s="99" t="s">
        <v>801</v>
      </c>
      <c r="R36" s="99" t="s">
        <v>257</v>
      </c>
      <c r="S36" s="248">
        <v>36627.0</v>
      </c>
      <c r="T36" s="100"/>
      <c r="U36" s="100"/>
      <c r="V36" s="100"/>
      <c r="W36" s="100"/>
      <c r="X36" s="100"/>
      <c r="Y36" s="100"/>
      <c r="Z36" s="100"/>
    </row>
    <row r="37" ht="15.75" customHeight="1">
      <c r="A37" s="239"/>
      <c r="B37" s="239">
        <v>34.0</v>
      </c>
      <c r="C37" s="239">
        <v>2114582.0</v>
      </c>
      <c r="D37" s="252" t="s">
        <v>895</v>
      </c>
      <c r="E37" s="239">
        <v>1.2100153E7</v>
      </c>
      <c r="F37" s="252" t="s">
        <v>897</v>
      </c>
      <c r="G37" s="252" t="s">
        <v>252</v>
      </c>
      <c r="H37" s="252" t="s">
        <v>314</v>
      </c>
      <c r="I37" s="239" t="s">
        <v>721</v>
      </c>
      <c r="J37" s="239" t="s">
        <v>497</v>
      </c>
      <c r="K37" s="251">
        <v>44398.0</v>
      </c>
      <c r="L37" s="247">
        <v>45292.0</v>
      </c>
      <c r="M37" s="247">
        <v>45657.0</v>
      </c>
      <c r="N37" s="105"/>
      <c r="O37" s="105"/>
      <c r="P37" s="105" t="s">
        <v>256</v>
      </c>
      <c r="Q37" s="105" t="s">
        <v>541</v>
      </c>
      <c r="R37" s="105" t="s">
        <v>257</v>
      </c>
      <c r="S37" s="248">
        <v>34621.0</v>
      </c>
      <c r="T37" s="105"/>
      <c r="U37" s="105"/>
      <c r="V37" s="105"/>
      <c r="W37" s="105"/>
      <c r="X37" s="105"/>
      <c r="Y37" s="105"/>
      <c r="Z37" s="105"/>
    </row>
    <row r="38" ht="15.75" customHeight="1">
      <c r="A38" s="100"/>
      <c r="B38" s="253"/>
      <c r="C38" s="100"/>
      <c r="D38" s="100"/>
      <c r="E38" s="100"/>
      <c r="F38" s="254"/>
      <c r="G38" s="100"/>
      <c r="H38" s="254"/>
      <c r="I38" s="100"/>
      <c r="J38" s="253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00"/>
      <c r="B39" s="253"/>
      <c r="C39" s="100"/>
      <c r="D39" s="100"/>
      <c r="E39" s="100"/>
      <c r="F39" s="254"/>
      <c r="G39" s="100"/>
      <c r="H39" s="254"/>
      <c r="I39" s="100"/>
      <c r="J39" s="253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0"/>
      <c r="B40" s="238">
        <v>1.0</v>
      </c>
      <c r="C40" s="255"/>
      <c r="D40" s="240" t="s">
        <v>1387</v>
      </c>
      <c r="E40" s="240" t="s">
        <v>1388</v>
      </c>
      <c r="F40" s="240" t="s">
        <v>1388</v>
      </c>
      <c r="G40" s="255"/>
      <c r="H40" s="256"/>
      <c r="I40" s="255"/>
      <c r="J40" s="234" t="s">
        <v>146</v>
      </c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00"/>
      <c r="B41" s="238">
        <v>2.0</v>
      </c>
      <c r="C41" s="255"/>
      <c r="D41" s="240" t="s">
        <v>1389</v>
      </c>
      <c r="E41" s="240" t="s">
        <v>1284</v>
      </c>
      <c r="F41" s="240" t="s">
        <v>1388</v>
      </c>
      <c r="G41" s="255"/>
      <c r="H41" s="256"/>
      <c r="I41" s="255"/>
      <c r="J41" s="234" t="s">
        <v>146</v>
      </c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238">
        <v>3.0</v>
      </c>
      <c r="C42" s="255"/>
      <c r="D42" s="240" t="s">
        <v>1285</v>
      </c>
      <c r="E42" s="240" t="s">
        <v>1286</v>
      </c>
      <c r="F42" s="240" t="s">
        <v>1286</v>
      </c>
      <c r="G42" s="255"/>
      <c r="H42" s="256"/>
      <c r="I42" s="255"/>
      <c r="J42" s="234" t="s">
        <v>146</v>
      </c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238">
        <v>4.0</v>
      </c>
      <c r="C43" s="255"/>
      <c r="D43" s="240" t="s">
        <v>1287</v>
      </c>
      <c r="E43" s="240" t="s">
        <v>1286</v>
      </c>
      <c r="F43" s="240" t="s">
        <v>1286</v>
      </c>
      <c r="G43" s="255"/>
      <c r="H43" s="256"/>
      <c r="I43" s="255"/>
      <c r="J43" s="234" t="s">
        <v>146</v>
      </c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238">
        <v>5.0</v>
      </c>
      <c r="C44" s="255"/>
      <c r="D44" s="240" t="s">
        <v>1390</v>
      </c>
      <c r="E44" s="240" t="s">
        <v>1391</v>
      </c>
      <c r="F44" s="240" t="s">
        <v>1391</v>
      </c>
      <c r="G44" s="255"/>
      <c r="H44" s="256"/>
      <c r="I44" s="255"/>
      <c r="J44" s="234" t="s">
        <v>146</v>
      </c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238">
        <v>6.0</v>
      </c>
      <c r="C45" s="255"/>
      <c r="D45" s="240" t="s">
        <v>1392</v>
      </c>
      <c r="E45" s="240" t="s">
        <v>1393</v>
      </c>
      <c r="F45" s="240" t="s">
        <v>1393</v>
      </c>
      <c r="G45" s="255"/>
      <c r="H45" s="256"/>
      <c r="I45" s="255"/>
      <c r="J45" s="234" t="s">
        <v>146</v>
      </c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238">
        <v>7.0</v>
      </c>
      <c r="C46" s="255"/>
      <c r="D46" s="240" t="s">
        <v>1394</v>
      </c>
      <c r="E46" s="240" t="s">
        <v>1393</v>
      </c>
      <c r="F46" s="240" t="s">
        <v>1393</v>
      </c>
      <c r="G46" s="255"/>
      <c r="H46" s="256"/>
      <c r="I46" s="255"/>
      <c r="J46" s="234" t="s">
        <v>146</v>
      </c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238">
        <v>8.0</v>
      </c>
      <c r="C47" s="255"/>
      <c r="D47" s="240" t="s">
        <v>1395</v>
      </c>
      <c r="E47" s="240" t="s">
        <v>1393</v>
      </c>
      <c r="F47" s="240" t="s">
        <v>1393</v>
      </c>
      <c r="G47" s="255"/>
      <c r="H47" s="256"/>
      <c r="I47" s="255"/>
      <c r="J47" s="234" t="s">
        <v>146</v>
      </c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238">
        <v>9.0</v>
      </c>
      <c r="C48" s="255"/>
      <c r="D48" s="240" t="s">
        <v>1396</v>
      </c>
      <c r="E48" s="240" t="s">
        <v>1393</v>
      </c>
      <c r="F48" s="240" t="s">
        <v>1393</v>
      </c>
      <c r="G48" s="255"/>
      <c r="H48" s="256"/>
      <c r="I48" s="255"/>
      <c r="J48" s="234" t="s">
        <v>146</v>
      </c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238">
        <v>10.0</v>
      </c>
      <c r="C49" s="255"/>
      <c r="D49" s="240" t="s">
        <v>1397</v>
      </c>
      <c r="E49" s="240" t="s">
        <v>1393</v>
      </c>
      <c r="F49" s="240" t="s">
        <v>1393</v>
      </c>
      <c r="G49" s="255"/>
      <c r="H49" s="256"/>
      <c r="I49" s="255"/>
      <c r="J49" s="234" t="s">
        <v>146</v>
      </c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238">
        <v>11.0</v>
      </c>
      <c r="C50" s="255"/>
      <c r="D50" s="240" t="s">
        <v>1398</v>
      </c>
      <c r="E50" s="240" t="s">
        <v>1393</v>
      </c>
      <c r="F50" s="240" t="s">
        <v>1393</v>
      </c>
      <c r="G50" s="255"/>
      <c r="H50" s="256"/>
      <c r="I50" s="255"/>
      <c r="J50" s="234" t="s">
        <v>146</v>
      </c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238">
        <v>12.0</v>
      </c>
      <c r="C51" s="255"/>
      <c r="D51" s="240" t="s">
        <v>1399</v>
      </c>
      <c r="E51" s="240" t="s">
        <v>1400</v>
      </c>
      <c r="F51" s="240" t="s">
        <v>1400</v>
      </c>
      <c r="G51" s="255"/>
      <c r="H51" s="256"/>
      <c r="I51" s="255"/>
      <c r="J51" s="234" t="s">
        <v>146</v>
      </c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238">
        <v>13.0</v>
      </c>
      <c r="C52" s="255"/>
      <c r="D52" s="240" t="s">
        <v>1401</v>
      </c>
      <c r="E52" s="240" t="s">
        <v>1400</v>
      </c>
      <c r="F52" s="240" t="s">
        <v>1400</v>
      </c>
      <c r="G52" s="255"/>
      <c r="H52" s="256"/>
      <c r="I52" s="255"/>
      <c r="J52" s="234" t="s">
        <v>146</v>
      </c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238">
        <v>14.0</v>
      </c>
      <c r="C53" s="255"/>
      <c r="D53" s="240" t="s">
        <v>1402</v>
      </c>
      <c r="E53" s="240" t="s">
        <v>1400</v>
      </c>
      <c r="F53" s="240" t="s">
        <v>1400</v>
      </c>
      <c r="G53" s="255"/>
      <c r="H53" s="256"/>
      <c r="I53" s="255"/>
      <c r="J53" s="234" t="s">
        <v>146</v>
      </c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238">
        <v>15.0</v>
      </c>
      <c r="C54" s="255"/>
      <c r="D54" s="240" t="s">
        <v>1403</v>
      </c>
      <c r="E54" s="240" t="s">
        <v>1404</v>
      </c>
      <c r="F54" s="240" t="s">
        <v>1404</v>
      </c>
      <c r="G54" s="255"/>
      <c r="H54" s="256"/>
      <c r="I54" s="255"/>
      <c r="J54" s="234" t="s">
        <v>146</v>
      </c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238">
        <v>16.0</v>
      </c>
      <c r="C55" s="255"/>
      <c r="D55" s="240" t="s">
        <v>1405</v>
      </c>
      <c r="E55" s="240" t="s">
        <v>1400</v>
      </c>
      <c r="F55" s="240" t="s">
        <v>1404</v>
      </c>
      <c r="G55" s="255"/>
      <c r="H55" s="256"/>
      <c r="I55" s="255"/>
      <c r="J55" s="234" t="s">
        <v>146</v>
      </c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238">
        <v>17.0</v>
      </c>
      <c r="C56" s="255"/>
      <c r="D56" s="240" t="s">
        <v>1406</v>
      </c>
      <c r="E56" s="240" t="s">
        <v>1404</v>
      </c>
      <c r="F56" s="240" t="s">
        <v>1400</v>
      </c>
      <c r="G56" s="255"/>
      <c r="H56" s="256"/>
      <c r="I56" s="255"/>
      <c r="J56" s="234" t="s">
        <v>146</v>
      </c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238">
        <v>18.0</v>
      </c>
      <c r="C57" s="255"/>
      <c r="D57" s="240" t="s">
        <v>1407</v>
      </c>
      <c r="E57" s="240" t="s">
        <v>1404</v>
      </c>
      <c r="F57" s="240" t="s">
        <v>1400</v>
      </c>
      <c r="G57" s="255"/>
      <c r="H57" s="256"/>
      <c r="I57" s="255"/>
      <c r="J57" s="234" t="s">
        <v>146</v>
      </c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238">
        <v>19.0</v>
      </c>
      <c r="C58" s="255"/>
      <c r="D58" s="240" t="s">
        <v>1408</v>
      </c>
      <c r="E58" s="240" t="s">
        <v>1404</v>
      </c>
      <c r="F58" s="240" t="s">
        <v>1404</v>
      </c>
      <c r="G58" s="255"/>
      <c r="H58" s="256"/>
      <c r="I58" s="255"/>
      <c r="J58" s="234" t="s">
        <v>146</v>
      </c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238">
        <v>20.0</v>
      </c>
      <c r="C59" s="255"/>
      <c r="D59" s="240" t="s">
        <v>1409</v>
      </c>
      <c r="E59" s="240" t="s">
        <v>1404</v>
      </c>
      <c r="F59" s="240" t="s">
        <v>1404</v>
      </c>
      <c r="G59" s="255"/>
      <c r="H59" s="256"/>
      <c r="I59" s="255"/>
      <c r="J59" s="234" t="s">
        <v>146</v>
      </c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238">
        <v>21.0</v>
      </c>
      <c r="C60" s="255"/>
      <c r="D60" s="240" t="s">
        <v>1410</v>
      </c>
      <c r="E60" s="240" t="s">
        <v>1404</v>
      </c>
      <c r="F60" s="240" t="s">
        <v>1404</v>
      </c>
      <c r="G60" s="255"/>
      <c r="H60" s="256"/>
      <c r="I60" s="255"/>
      <c r="J60" s="234" t="s">
        <v>146</v>
      </c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238">
        <v>22.0</v>
      </c>
      <c r="C61" s="255"/>
      <c r="D61" s="240" t="s">
        <v>1411</v>
      </c>
      <c r="E61" s="240" t="s">
        <v>1412</v>
      </c>
      <c r="F61" s="240" t="s">
        <v>1404</v>
      </c>
      <c r="G61" s="255"/>
      <c r="H61" s="256"/>
      <c r="I61" s="255"/>
      <c r="J61" s="234" t="s">
        <v>146</v>
      </c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238">
        <v>23.0</v>
      </c>
      <c r="C62" s="255"/>
      <c r="D62" s="240" t="s">
        <v>1413</v>
      </c>
      <c r="E62" s="240" t="s">
        <v>1414</v>
      </c>
      <c r="F62" s="240" t="s">
        <v>1404</v>
      </c>
      <c r="G62" s="255"/>
      <c r="H62" s="256"/>
      <c r="I62" s="255"/>
      <c r="J62" s="234" t="s">
        <v>146</v>
      </c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238">
        <v>24.0</v>
      </c>
      <c r="C63" s="255"/>
      <c r="D63" s="240" t="s">
        <v>1415</v>
      </c>
      <c r="E63" s="240" t="s">
        <v>1416</v>
      </c>
      <c r="F63" s="240" t="s">
        <v>1417</v>
      </c>
      <c r="G63" s="255"/>
      <c r="H63" s="256"/>
      <c r="I63" s="255"/>
      <c r="J63" s="234" t="s">
        <v>146</v>
      </c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238">
        <v>25.0</v>
      </c>
      <c r="C64" s="255"/>
      <c r="D64" s="240" t="s">
        <v>1418</v>
      </c>
      <c r="E64" s="240" t="s">
        <v>1414</v>
      </c>
      <c r="F64" s="240" t="s">
        <v>1417</v>
      </c>
      <c r="G64" s="255"/>
      <c r="H64" s="256"/>
      <c r="I64" s="255"/>
      <c r="J64" s="234" t="s">
        <v>146</v>
      </c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238">
        <v>26.0</v>
      </c>
      <c r="C65" s="255"/>
      <c r="D65" s="240" t="s">
        <v>1419</v>
      </c>
      <c r="E65" s="240" t="s">
        <v>1414</v>
      </c>
      <c r="F65" s="240" t="s">
        <v>1417</v>
      </c>
      <c r="G65" s="255"/>
      <c r="H65" s="256"/>
      <c r="I65" s="255"/>
      <c r="J65" s="234" t="s">
        <v>146</v>
      </c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238">
        <v>27.0</v>
      </c>
      <c r="C66" s="255"/>
      <c r="D66" s="240" t="s">
        <v>1420</v>
      </c>
      <c r="E66" s="240" t="s">
        <v>1414</v>
      </c>
      <c r="F66" s="240" t="s">
        <v>1421</v>
      </c>
      <c r="G66" s="255"/>
      <c r="H66" s="256"/>
      <c r="I66" s="255"/>
      <c r="J66" s="234" t="s">
        <v>146</v>
      </c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238">
        <v>28.0</v>
      </c>
      <c r="C67" s="255"/>
      <c r="D67" s="240" t="s">
        <v>1422</v>
      </c>
      <c r="E67" s="240" t="s">
        <v>1414</v>
      </c>
      <c r="F67" s="240" t="s">
        <v>1421</v>
      </c>
      <c r="G67" s="255"/>
      <c r="H67" s="256"/>
      <c r="I67" s="255"/>
      <c r="J67" s="234" t="s">
        <v>146</v>
      </c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238">
        <v>29.0</v>
      </c>
      <c r="C68" s="255"/>
      <c r="D68" s="240" t="s">
        <v>1423</v>
      </c>
      <c r="E68" s="240" t="s">
        <v>1424</v>
      </c>
      <c r="F68" s="240" t="s">
        <v>1421</v>
      </c>
      <c r="G68" s="255"/>
      <c r="H68" s="256"/>
      <c r="I68" s="255"/>
      <c r="J68" s="234" t="s">
        <v>146</v>
      </c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238">
        <v>30.0</v>
      </c>
      <c r="C69" s="255"/>
      <c r="D69" s="240" t="s">
        <v>1425</v>
      </c>
      <c r="E69" s="240" t="s">
        <v>1414</v>
      </c>
      <c r="F69" s="240" t="s">
        <v>1421</v>
      </c>
      <c r="G69" s="255"/>
      <c r="H69" s="256"/>
      <c r="I69" s="255"/>
      <c r="J69" s="234" t="s">
        <v>146</v>
      </c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238">
        <v>31.0</v>
      </c>
      <c r="C70" s="255"/>
      <c r="D70" s="240" t="s">
        <v>1426</v>
      </c>
      <c r="E70" s="240" t="s">
        <v>1424</v>
      </c>
      <c r="F70" s="240" t="s">
        <v>1421</v>
      </c>
      <c r="G70" s="255"/>
      <c r="H70" s="256"/>
      <c r="I70" s="255"/>
      <c r="J70" s="234" t="s">
        <v>146</v>
      </c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238">
        <v>32.0</v>
      </c>
      <c r="C71" s="255"/>
      <c r="D71" s="240" t="s">
        <v>1427</v>
      </c>
      <c r="E71" s="240" t="s">
        <v>1417</v>
      </c>
      <c r="F71" s="240" t="s">
        <v>1421</v>
      </c>
      <c r="G71" s="255"/>
      <c r="H71" s="256"/>
      <c r="I71" s="255"/>
      <c r="J71" s="234" t="s">
        <v>146</v>
      </c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238">
        <v>33.0</v>
      </c>
      <c r="C72" s="255"/>
      <c r="D72" s="240" t="s">
        <v>1428</v>
      </c>
      <c r="E72" s="240" t="s">
        <v>1417</v>
      </c>
      <c r="F72" s="240" t="s">
        <v>1421</v>
      </c>
      <c r="G72" s="255"/>
      <c r="H72" s="256"/>
      <c r="I72" s="255"/>
      <c r="J72" s="234" t="s">
        <v>146</v>
      </c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238">
        <v>34.0</v>
      </c>
      <c r="C73" s="255"/>
      <c r="D73" s="240" t="s">
        <v>1429</v>
      </c>
      <c r="E73" s="240" t="s">
        <v>1417</v>
      </c>
      <c r="F73" s="240" t="s">
        <v>1421</v>
      </c>
      <c r="G73" s="255"/>
      <c r="H73" s="256"/>
      <c r="I73" s="255"/>
      <c r="J73" s="234" t="s">
        <v>146</v>
      </c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238">
        <v>35.0</v>
      </c>
      <c r="C74" s="255"/>
      <c r="D74" s="240" t="s">
        <v>1430</v>
      </c>
      <c r="E74" s="240" t="s">
        <v>1421</v>
      </c>
      <c r="F74" s="240" t="s">
        <v>1421</v>
      </c>
      <c r="G74" s="255"/>
      <c r="H74" s="256"/>
      <c r="I74" s="255"/>
      <c r="J74" s="234" t="s">
        <v>146</v>
      </c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238">
        <v>36.0</v>
      </c>
      <c r="C75" s="255"/>
      <c r="D75" s="240" t="s">
        <v>1431</v>
      </c>
      <c r="E75" s="240" t="s">
        <v>1421</v>
      </c>
      <c r="F75" s="240" t="s">
        <v>1421</v>
      </c>
      <c r="G75" s="255"/>
      <c r="H75" s="256"/>
      <c r="I75" s="255"/>
      <c r="J75" s="234" t="s">
        <v>146</v>
      </c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238">
        <v>37.0</v>
      </c>
      <c r="C76" s="255"/>
      <c r="D76" s="240" t="s">
        <v>1432</v>
      </c>
      <c r="E76" s="240" t="s">
        <v>1421</v>
      </c>
      <c r="F76" s="240" t="s">
        <v>1421</v>
      </c>
      <c r="G76" s="255"/>
      <c r="H76" s="256"/>
      <c r="I76" s="255"/>
      <c r="J76" s="234" t="s">
        <v>146</v>
      </c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238">
        <v>38.0</v>
      </c>
      <c r="C77" s="255"/>
      <c r="D77" s="240" t="s">
        <v>1433</v>
      </c>
      <c r="E77" s="240" t="s">
        <v>1421</v>
      </c>
      <c r="F77" s="240" t="s">
        <v>1421</v>
      </c>
      <c r="G77" s="255"/>
      <c r="H77" s="256"/>
      <c r="I77" s="255"/>
      <c r="J77" s="234" t="s">
        <v>146</v>
      </c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238">
        <v>39.0</v>
      </c>
      <c r="C78" s="255"/>
      <c r="D78" s="240" t="s">
        <v>1434</v>
      </c>
      <c r="E78" s="240" t="s">
        <v>1421</v>
      </c>
      <c r="F78" s="240" t="s">
        <v>1421</v>
      </c>
      <c r="G78" s="255"/>
      <c r="H78" s="256"/>
      <c r="I78" s="255"/>
      <c r="J78" s="234" t="s">
        <v>146</v>
      </c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238">
        <v>40.0</v>
      </c>
      <c r="C79" s="255"/>
      <c r="D79" s="240" t="s">
        <v>1435</v>
      </c>
      <c r="E79" s="240" t="s">
        <v>1421</v>
      </c>
      <c r="F79" s="240" t="s">
        <v>1421</v>
      </c>
      <c r="G79" s="255"/>
      <c r="H79" s="256"/>
      <c r="I79" s="255"/>
      <c r="J79" s="234" t="s">
        <v>146</v>
      </c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238">
        <v>41.0</v>
      </c>
      <c r="C80" s="255"/>
      <c r="D80" s="240" t="s">
        <v>1436</v>
      </c>
      <c r="E80" s="240" t="s">
        <v>1421</v>
      </c>
      <c r="F80" s="240" t="s">
        <v>1421</v>
      </c>
      <c r="G80" s="255"/>
      <c r="H80" s="256"/>
      <c r="I80" s="255"/>
      <c r="J80" s="234" t="s">
        <v>146</v>
      </c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238">
        <v>42.0</v>
      </c>
      <c r="C81" s="255"/>
      <c r="D81" s="240" t="s">
        <v>1437</v>
      </c>
      <c r="E81" s="240" t="s">
        <v>1421</v>
      </c>
      <c r="F81" s="240" t="s">
        <v>1421</v>
      </c>
      <c r="G81" s="255"/>
      <c r="H81" s="256"/>
      <c r="I81" s="255"/>
      <c r="J81" s="234" t="s">
        <v>146</v>
      </c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238">
        <v>43.0</v>
      </c>
      <c r="C82" s="255"/>
      <c r="D82" s="240" t="s">
        <v>1438</v>
      </c>
      <c r="E82" s="240" t="s">
        <v>1421</v>
      </c>
      <c r="F82" s="240" t="s">
        <v>1421</v>
      </c>
      <c r="G82" s="255"/>
      <c r="H82" s="256"/>
      <c r="I82" s="255"/>
      <c r="J82" s="234" t="s">
        <v>146</v>
      </c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238">
        <v>44.0</v>
      </c>
      <c r="C83" s="255"/>
      <c r="D83" s="240" t="s">
        <v>1439</v>
      </c>
      <c r="E83" s="240" t="s">
        <v>1421</v>
      </c>
      <c r="F83" s="240" t="s">
        <v>1421</v>
      </c>
      <c r="G83" s="255"/>
      <c r="H83" s="256"/>
      <c r="I83" s="255"/>
      <c r="J83" s="234" t="s">
        <v>146</v>
      </c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238">
        <v>45.0</v>
      </c>
      <c r="C84" s="255"/>
      <c r="D84" s="240" t="s">
        <v>1440</v>
      </c>
      <c r="E84" s="240" t="s">
        <v>1421</v>
      </c>
      <c r="F84" s="240" t="s">
        <v>1421</v>
      </c>
      <c r="G84" s="255"/>
      <c r="H84" s="256"/>
      <c r="I84" s="255"/>
      <c r="J84" s="234" t="s">
        <v>146</v>
      </c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238">
        <v>46.0</v>
      </c>
      <c r="C85" s="255"/>
      <c r="D85" s="240" t="s">
        <v>1441</v>
      </c>
      <c r="E85" s="240" t="s">
        <v>1421</v>
      </c>
      <c r="F85" s="240" t="s">
        <v>1442</v>
      </c>
      <c r="G85" s="255"/>
      <c r="H85" s="256"/>
      <c r="I85" s="255"/>
      <c r="J85" s="234" t="s">
        <v>146</v>
      </c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238">
        <v>47.0</v>
      </c>
      <c r="C86" s="255"/>
      <c r="D86" s="240" t="s">
        <v>1443</v>
      </c>
      <c r="E86" s="240" t="s">
        <v>1421</v>
      </c>
      <c r="F86" s="240" t="s">
        <v>1442</v>
      </c>
      <c r="G86" s="255"/>
      <c r="H86" s="256"/>
      <c r="I86" s="255"/>
      <c r="J86" s="234" t="s">
        <v>146</v>
      </c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238">
        <v>48.0</v>
      </c>
      <c r="C87" s="255"/>
      <c r="D87" s="240" t="s">
        <v>1444</v>
      </c>
      <c r="E87" s="240" t="s">
        <v>1421</v>
      </c>
      <c r="F87" s="240" t="s">
        <v>1442</v>
      </c>
      <c r="G87" s="255"/>
      <c r="H87" s="256"/>
      <c r="I87" s="255"/>
      <c r="J87" s="234" t="s">
        <v>146</v>
      </c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238">
        <v>49.0</v>
      </c>
      <c r="C88" s="255"/>
      <c r="D88" s="240" t="s">
        <v>1445</v>
      </c>
      <c r="E88" s="240" t="s">
        <v>1421</v>
      </c>
      <c r="F88" s="240" t="s">
        <v>1442</v>
      </c>
      <c r="G88" s="255"/>
      <c r="H88" s="256"/>
      <c r="I88" s="255"/>
      <c r="J88" s="234" t="s">
        <v>146</v>
      </c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238">
        <v>50.0</v>
      </c>
      <c r="C89" s="255"/>
      <c r="D89" s="240" t="s">
        <v>1446</v>
      </c>
      <c r="E89" s="240" t="s">
        <v>1421</v>
      </c>
      <c r="F89" s="240" t="s">
        <v>1442</v>
      </c>
      <c r="G89" s="255"/>
      <c r="H89" s="256"/>
      <c r="I89" s="255"/>
      <c r="J89" s="234" t="s">
        <v>146</v>
      </c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238">
        <v>51.0</v>
      </c>
      <c r="C90" s="255"/>
      <c r="D90" s="240" t="s">
        <v>1447</v>
      </c>
      <c r="E90" s="240" t="s">
        <v>1421</v>
      </c>
      <c r="F90" s="240" t="s">
        <v>1442</v>
      </c>
      <c r="G90" s="255"/>
      <c r="H90" s="256"/>
      <c r="I90" s="255"/>
      <c r="J90" s="234" t="s">
        <v>146</v>
      </c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238">
        <v>52.0</v>
      </c>
      <c r="C91" s="255"/>
      <c r="D91" s="240" t="s">
        <v>1448</v>
      </c>
      <c r="E91" s="240" t="s">
        <v>1421</v>
      </c>
      <c r="F91" s="240" t="s">
        <v>1449</v>
      </c>
      <c r="G91" s="255"/>
      <c r="H91" s="256"/>
      <c r="I91" s="255"/>
      <c r="J91" s="234" t="s">
        <v>146</v>
      </c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238">
        <v>53.0</v>
      </c>
      <c r="C92" s="255"/>
      <c r="D92" s="240" t="s">
        <v>1450</v>
      </c>
      <c r="E92" s="240" t="s">
        <v>1421</v>
      </c>
      <c r="F92" s="240" t="s">
        <v>1449</v>
      </c>
      <c r="G92" s="255"/>
      <c r="H92" s="256"/>
      <c r="I92" s="255"/>
      <c r="J92" s="234" t="s">
        <v>146</v>
      </c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238">
        <v>54.0</v>
      </c>
      <c r="C93" s="255"/>
      <c r="D93" s="240" t="s">
        <v>1451</v>
      </c>
      <c r="E93" s="240" t="s">
        <v>1442</v>
      </c>
      <c r="F93" s="240" t="s">
        <v>1449</v>
      </c>
      <c r="G93" s="255"/>
      <c r="H93" s="256"/>
      <c r="I93" s="255"/>
      <c r="J93" s="234" t="s">
        <v>146</v>
      </c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238">
        <v>55.0</v>
      </c>
      <c r="C94" s="255"/>
      <c r="D94" s="240" t="s">
        <v>1452</v>
      </c>
      <c r="E94" s="240" t="s">
        <v>1442</v>
      </c>
      <c r="F94" s="240" t="s">
        <v>1449</v>
      </c>
      <c r="G94" s="255"/>
      <c r="H94" s="256"/>
      <c r="I94" s="255"/>
      <c r="J94" s="234" t="s">
        <v>146</v>
      </c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238">
        <v>56.0</v>
      </c>
      <c r="C95" s="255"/>
      <c r="D95" s="240" t="s">
        <v>1453</v>
      </c>
      <c r="E95" s="240" t="s">
        <v>1442</v>
      </c>
      <c r="F95" s="240" t="s">
        <v>1449</v>
      </c>
      <c r="G95" s="255"/>
      <c r="H95" s="256"/>
      <c r="I95" s="255"/>
      <c r="J95" s="234" t="s">
        <v>146</v>
      </c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238">
        <v>57.0</v>
      </c>
      <c r="C96" s="255"/>
      <c r="D96" s="240" t="s">
        <v>1454</v>
      </c>
      <c r="E96" s="240" t="s">
        <v>1442</v>
      </c>
      <c r="F96" s="240" t="s">
        <v>1449</v>
      </c>
      <c r="G96" s="255"/>
      <c r="H96" s="256"/>
      <c r="I96" s="255"/>
      <c r="J96" s="234" t="s">
        <v>146</v>
      </c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238">
        <v>58.0</v>
      </c>
      <c r="C97" s="255"/>
      <c r="D97" s="240" t="s">
        <v>1455</v>
      </c>
      <c r="E97" s="240" t="s">
        <v>1442</v>
      </c>
      <c r="F97" s="240" t="s">
        <v>1449</v>
      </c>
      <c r="G97" s="255"/>
      <c r="H97" s="256"/>
      <c r="I97" s="255"/>
      <c r="J97" s="234" t="s">
        <v>146</v>
      </c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238">
        <v>59.0</v>
      </c>
      <c r="C98" s="255"/>
      <c r="D98" s="240" t="s">
        <v>1456</v>
      </c>
      <c r="E98" s="240" t="s">
        <v>1442</v>
      </c>
      <c r="F98" s="240" t="s">
        <v>1289</v>
      </c>
      <c r="G98" s="255"/>
      <c r="H98" s="256"/>
      <c r="I98" s="255"/>
      <c r="J98" s="234" t="s">
        <v>146</v>
      </c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238">
        <v>60.0</v>
      </c>
      <c r="C99" s="255"/>
      <c r="D99" s="240" t="s">
        <v>1457</v>
      </c>
      <c r="E99" s="240" t="s">
        <v>1449</v>
      </c>
      <c r="F99" s="240" t="s">
        <v>1289</v>
      </c>
      <c r="G99" s="255"/>
      <c r="H99" s="256"/>
      <c r="I99" s="255"/>
      <c r="J99" s="234" t="s">
        <v>146</v>
      </c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238">
        <v>61.0</v>
      </c>
      <c r="C100" s="255"/>
      <c r="D100" s="240" t="s">
        <v>1458</v>
      </c>
      <c r="E100" s="240" t="s">
        <v>1449</v>
      </c>
      <c r="F100" s="240" t="s">
        <v>1459</v>
      </c>
      <c r="G100" s="255"/>
      <c r="H100" s="256"/>
      <c r="I100" s="255"/>
      <c r="J100" s="234" t="s">
        <v>146</v>
      </c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238">
        <v>62.0</v>
      </c>
      <c r="C101" s="255"/>
      <c r="D101" s="240" t="s">
        <v>1460</v>
      </c>
      <c r="E101" s="240" t="s">
        <v>1449</v>
      </c>
      <c r="F101" s="240" t="s">
        <v>1459</v>
      </c>
      <c r="G101" s="255"/>
      <c r="H101" s="256"/>
      <c r="I101" s="255"/>
      <c r="J101" s="234" t="s">
        <v>146</v>
      </c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238">
        <v>63.0</v>
      </c>
      <c r="C102" s="255"/>
      <c r="D102" s="240" t="s">
        <v>1461</v>
      </c>
      <c r="E102" s="240" t="s">
        <v>1449</v>
      </c>
      <c r="F102" s="240" t="s">
        <v>1459</v>
      </c>
      <c r="G102" s="255"/>
      <c r="H102" s="256"/>
      <c r="I102" s="255"/>
      <c r="J102" s="234" t="s">
        <v>146</v>
      </c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238">
        <v>64.0</v>
      </c>
      <c r="C103" s="255"/>
      <c r="D103" s="240" t="s">
        <v>1462</v>
      </c>
      <c r="E103" s="240" t="s">
        <v>1449</v>
      </c>
      <c r="F103" s="240" t="s">
        <v>1463</v>
      </c>
      <c r="G103" s="255"/>
      <c r="H103" s="256"/>
      <c r="I103" s="255"/>
      <c r="J103" s="234" t="s">
        <v>146</v>
      </c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238">
        <v>65.0</v>
      </c>
      <c r="C104" s="255"/>
      <c r="D104" s="240" t="s">
        <v>1464</v>
      </c>
      <c r="E104" s="240" t="s">
        <v>1449</v>
      </c>
      <c r="F104" s="240" t="s">
        <v>1463</v>
      </c>
      <c r="G104" s="255"/>
      <c r="H104" s="256"/>
      <c r="I104" s="255"/>
      <c r="J104" s="234" t="s">
        <v>146</v>
      </c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238">
        <v>66.0</v>
      </c>
      <c r="C105" s="255"/>
      <c r="D105" s="240" t="s">
        <v>1465</v>
      </c>
      <c r="E105" s="240" t="s">
        <v>1449</v>
      </c>
      <c r="F105" s="240" t="s">
        <v>1463</v>
      </c>
      <c r="G105" s="255"/>
      <c r="H105" s="256"/>
      <c r="I105" s="255"/>
      <c r="J105" s="234" t="s">
        <v>146</v>
      </c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238">
        <v>67.0</v>
      </c>
      <c r="C106" s="255"/>
      <c r="D106" s="240" t="s">
        <v>1466</v>
      </c>
      <c r="E106" s="240" t="s">
        <v>1289</v>
      </c>
      <c r="F106" s="240" t="s">
        <v>1467</v>
      </c>
      <c r="G106" s="255"/>
      <c r="H106" s="256"/>
      <c r="I106" s="255"/>
      <c r="J106" s="234" t="s">
        <v>146</v>
      </c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238">
        <v>68.0</v>
      </c>
      <c r="C107" s="255"/>
      <c r="D107" s="240" t="s">
        <v>1468</v>
      </c>
      <c r="E107" s="240" t="s">
        <v>1289</v>
      </c>
      <c r="F107" s="240" t="s">
        <v>54</v>
      </c>
      <c r="G107" s="255"/>
      <c r="H107" s="256"/>
      <c r="I107" s="255"/>
      <c r="J107" s="234" t="s">
        <v>146</v>
      </c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238">
        <v>69.0</v>
      </c>
      <c r="C108" s="255"/>
      <c r="D108" s="240" t="s">
        <v>1469</v>
      </c>
      <c r="E108" s="240" t="s">
        <v>1459</v>
      </c>
      <c r="F108" s="240" t="s">
        <v>54</v>
      </c>
      <c r="G108" s="255"/>
      <c r="H108" s="256"/>
      <c r="I108" s="255"/>
      <c r="J108" s="234" t="s">
        <v>146</v>
      </c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238">
        <v>70.0</v>
      </c>
      <c r="C109" s="255"/>
      <c r="D109" s="240" t="s">
        <v>1470</v>
      </c>
      <c r="E109" s="240" t="s">
        <v>1459</v>
      </c>
      <c r="F109" s="240" t="s">
        <v>54</v>
      </c>
      <c r="G109" s="255"/>
      <c r="H109" s="256"/>
      <c r="I109" s="255"/>
      <c r="J109" s="234" t="s">
        <v>146</v>
      </c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238">
        <v>71.0</v>
      </c>
      <c r="C110" s="255"/>
      <c r="D110" s="240" t="s">
        <v>1471</v>
      </c>
      <c r="E110" s="240" t="s">
        <v>1459</v>
      </c>
      <c r="F110" s="240" t="s">
        <v>1472</v>
      </c>
      <c r="G110" s="255"/>
      <c r="H110" s="256"/>
      <c r="I110" s="255"/>
      <c r="J110" s="234" t="s">
        <v>146</v>
      </c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238">
        <v>72.0</v>
      </c>
      <c r="C111" s="255"/>
      <c r="D111" s="240" t="s">
        <v>1473</v>
      </c>
      <c r="E111" s="240" t="s">
        <v>1474</v>
      </c>
      <c r="F111" s="240" t="s">
        <v>1472</v>
      </c>
      <c r="G111" s="255"/>
      <c r="H111" s="256"/>
      <c r="I111" s="255"/>
      <c r="J111" s="234" t="s">
        <v>146</v>
      </c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238">
        <v>73.0</v>
      </c>
      <c r="C112" s="255"/>
      <c r="D112" s="240" t="s">
        <v>1475</v>
      </c>
      <c r="E112" s="240" t="s">
        <v>1474</v>
      </c>
      <c r="F112" s="240" t="s">
        <v>289</v>
      </c>
      <c r="G112" s="255"/>
      <c r="H112" s="256"/>
      <c r="I112" s="255"/>
      <c r="J112" s="234" t="s">
        <v>146</v>
      </c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238">
        <v>74.0</v>
      </c>
      <c r="C113" s="255"/>
      <c r="D113" s="240" t="s">
        <v>1476</v>
      </c>
      <c r="E113" s="240" t="s">
        <v>1463</v>
      </c>
      <c r="F113" s="240" t="s">
        <v>1477</v>
      </c>
      <c r="G113" s="255"/>
      <c r="H113" s="256"/>
      <c r="I113" s="255"/>
      <c r="J113" s="234" t="s">
        <v>146</v>
      </c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238">
        <v>75.0</v>
      </c>
      <c r="C114" s="255"/>
      <c r="D114" s="240" t="s">
        <v>1478</v>
      </c>
      <c r="E114" s="240" t="s">
        <v>1463</v>
      </c>
      <c r="F114" s="240" t="s">
        <v>546</v>
      </c>
      <c r="G114" s="255"/>
      <c r="H114" s="256"/>
      <c r="I114" s="255"/>
      <c r="J114" s="234" t="s">
        <v>146</v>
      </c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238">
        <v>76.0</v>
      </c>
      <c r="C115" s="255"/>
      <c r="D115" s="240" t="s">
        <v>1365</v>
      </c>
      <c r="E115" s="240" t="s">
        <v>1463</v>
      </c>
      <c r="F115" s="240" t="s">
        <v>546</v>
      </c>
      <c r="G115" s="255"/>
      <c r="H115" s="256"/>
      <c r="I115" s="255"/>
      <c r="J115" s="234" t="s">
        <v>146</v>
      </c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238">
        <v>77.0</v>
      </c>
      <c r="C116" s="255"/>
      <c r="D116" s="240" t="s">
        <v>1366</v>
      </c>
      <c r="E116" s="240" t="s">
        <v>1467</v>
      </c>
      <c r="F116" s="240" t="s">
        <v>546</v>
      </c>
      <c r="G116" s="255"/>
      <c r="H116" s="256"/>
      <c r="I116" s="255"/>
      <c r="J116" s="234" t="s">
        <v>146</v>
      </c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238">
        <v>78.0</v>
      </c>
      <c r="C117" s="255"/>
      <c r="D117" s="240" t="s">
        <v>1479</v>
      </c>
      <c r="E117" s="240" t="s">
        <v>54</v>
      </c>
      <c r="F117" s="240" t="s">
        <v>1480</v>
      </c>
      <c r="G117" s="255"/>
      <c r="H117" s="256"/>
      <c r="I117" s="255"/>
      <c r="J117" s="234" t="s">
        <v>146</v>
      </c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238">
        <v>79.0</v>
      </c>
      <c r="C118" s="255"/>
      <c r="D118" s="240" t="s">
        <v>1481</v>
      </c>
      <c r="E118" s="240" t="s">
        <v>54</v>
      </c>
      <c r="F118" s="240" t="s">
        <v>1482</v>
      </c>
      <c r="G118" s="255"/>
      <c r="H118" s="256"/>
      <c r="I118" s="255"/>
      <c r="J118" s="234" t="s">
        <v>146</v>
      </c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238">
        <v>80.0</v>
      </c>
      <c r="C119" s="255"/>
      <c r="D119" s="240" t="s">
        <v>1483</v>
      </c>
      <c r="E119" s="240" t="s">
        <v>54</v>
      </c>
      <c r="F119" s="240" t="s">
        <v>1484</v>
      </c>
      <c r="G119" s="255"/>
      <c r="H119" s="256"/>
      <c r="I119" s="255"/>
      <c r="J119" s="234" t="s">
        <v>146</v>
      </c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238">
        <v>81.0</v>
      </c>
      <c r="C120" s="255"/>
      <c r="D120" s="240" t="s">
        <v>1485</v>
      </c>
      <c r="E120" s="240" t="s">
        <v>1472</v>
      </c>
      <c r="F120" s="240" t="s">
        <v>1368</v>
      </c>
      <c r="G120" s="255"/>
      <c r="H120" s="256"/>
      <c r="I120" s="255"/>
      <c r="J120" s="234" t="s">
        <v>146</v>
      </c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238">
        <v>82.0</v>
      </c>
      <c r="C121" s="255"/>
      <c r="D121" s="240" t="s">
        <v>1486</v>
      </c>
      <c r="E121" s="240" t="s">
        <v>1472</v>
      </c>
      <c r="F121" s="240" t="s">
        <v>518</v>
      </c>
      <c r="G121" s="255"/>
      <c r="H121" s="256"/>
      <c r="I121" s="255"/>
      <c r="J121" s="234" t="s">
        <v>146</v>
      </c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238">
        <v>83.0</v>
      </c>
      <c r="C122" s="255"/>
      <c r="D122" s="240" t="s">
        <v>1487</v>
      </c>
      <c r="E122" s="240" t="s">
        <v>289</v>
      </c>
      <c r="F122" s="240" t="s">
        <v>518</v>
      </c>
      <c r="G122" s="255"/>
      <c r="H122" s="256"/>
      <c r="I122" s="255"/>
      <c r="J122" s="234" t="s">
        <v>146</v>
      </c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238">
        <v>84.0</v>
      </c>
      <c r="C123" s="255"/>
      <c r="D123" s="240" t="s">
        <v>1488</v>
      </c>
      <c r="E123" s="240" t="s">
        <v>1477</v>
      </c>
      <c r="F123" s="240" t="s">
        <v>518</v>
      </c>
      <c r="G123" s="255"/>
      <c r="H123" s="256"/>
      <c r="I123" s="255"/>
      <c r="J123" s="234" t="s">
        <v>146</v>
      </c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238">
        <v>85.0</v>
      </c>
      <c r="C124" s="255"/>
      <c r="D124" s="240" t="s">
        <v>1489</v>
      </c>
      <c r="E124" s="240" t="s">
        <v>546</v>
      </c>
      <c r="F124" s="240" t="s">
        <v>518</v>
      </c>
      <c r="G124" s="255"/>
      <c r="H124" s="256"/>
      <c r="I124" s="255"/>
      <c r="J124" s="234" t="s">
        <v>146</v>
      </c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B125" s="238">
        <v>86.0</v>
      </c>
      <c r="C125" s="96"/>
      <c r="D125" s="96" t="s">
        <v>1490</v>
      </c>
      <c r="E125" s="96"/>
      <c r="F125" s="96" t="s">
        <v>1412</v>
      </c>
      <c r="G125" s="96"/>
      <c r="H125" s="245"/>
      <c r="I125" s="96"/>
      <c r="J125" s="234" t="s">
        <v>146</v>
      </c>
    </row>
    <row r="126" ht="15.75" customHeight="1">
      <c r="B126" s="238">
        <v>87.0</v>
      </c>
      <c r="C126" s="96"/>
      <c r="D126" s="96" t="s">
        <v>1491</v>
      </c>
      <c r="E126" s="96"/>
      <c r="F126" s="96" t="s">
        <v>1414</v>
      </c>
      <c r="G126" s="96"/>
      <c r="H126" s="245"/>
      <c r="I126" s="96"/>
      <c r="J126" s="234" t="s">
        <v>146</v>
      </c>
    </row>
    <row r="127" ht="15.75" customHeight="1">
      <c r="A127" s="100"/>
      <c r="B127" s="238">
        <v>88.0</v>
      </c>
      <c r="C127" s="255"/>
      <c r="D127" s="258" t="s">
        <v>1492</v>
      </c>
      <c r="E127" s="258"/>
      <c r="F127" s="259" t="s">
        <v>1493</v>
      </c>
      <c r="G127" s="255"/>
      <c r="H127" s="256"/>
      <c r="I127" s="255"/>
      <c r="J127" s="234" t="s">
        <v>146</v>
      </c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238">
        <v>89.0</v>
      </c>
      <c r="C128" s="255"/>
      <c r="D128" s="96" t="s">
        <v>1494</v>
      </c>
      <c r="E128" s="96"/>
      <c r="F128" s="96" t="s">
        <v>1414</v>
      </c>
      <c r="G128" s="96"/>
      <c r="H128" s="245"/>
      <c r="I128" s="96"/>
      <c r="J128" s="234" t="s">
        <v>146</v>
      </c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238">
        <v>90.0</v>
      </c>
      <c r="C129" s="255"/>
      <c r="D129" s="96" t="s">
        <v>1495</v>
      </c>
      <c r="E129" s="96"/>
      <c r="F129" s="96" t="s">
        <v>1414</v>
      </c>
      <c r="G129" s="96"/>
      <c r="H129" s="245"/>
      <c r="I129" s="96"/>
      <c r="J129" s="234" t="s">
        <v>146</v>
      </c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238">
        <v>91.0</v>
      </c>
      <c r="C130" s="255"/>
      <c r="D130" s="96" t="s">
        <v>1496</v>
      </c>
      <c r="E130" s="96"/>
      <c r="F130" s="96" t="s">
        <v>1414</v>
      </c>
      <c r="G130" s="96"/>
      <c r="H130" s="245"/>
      <c r="I130" s="96"/>
      <c r="J130" s="234" t="s">
        <v>146</v>
      </c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238">
        <v>92.0</v>
      </c>
      <c r="C131" s="255"/>
      <c r="D131" s="96" t="s">
        <v>1497</v>
      </c>
      <c r="E131" s="96"/>
      <c r="F131" s="96" t="s">
        <v>1414</v>
      </c>
      <c r="G131" s="96"/>
      <c r="H131" s="245"/>
      <c r="I131" s="96"/>
      <c r="J131" s="234" t="s">
        <v>146</v>
      </c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238">
        <v>93.0</v>
      </c>
      <c r="C132" s="255"/>
      <c r="D132" s="96" t="s">
        <v>1498</v>
      </c>
      <c r="E132" s="96"/>
      <c r="F132" s="96" t="s">
        <v>1499</v>
      </c>
      <c r="G132" s="96"/>
      <c r="H132" s="245"/>
      <c r="I132" s="96"/>
      <c r="J132" s="234" t="s">
        <v>146</v>
      </c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238">
        <v>94.0</v>
      </c>
      <c r="C133" s="255"/>
      <c r="D133" s="96" t="s">
        <v>1500</v>
      </c>
      <c r="E133" s="96"/>
      <c r="F133" s="96" t="s">
        <v>1414</v>
      </c>
      <c r="G133" s="96"/>
      <c r="H133" s="245"/>
      <c r="I133" s="96"/>
      <c r="J133" s="234" t="s">
        <v>146</v>
      </c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B134" s="238">
        <v>95.0</v>
      </c>
      <c r="C134" s="96"/>
      <c r="D134" s="96" t="s">
        <v>1501</v>
      </c>
      <c r="E134" s="96"/>
      <c r="F134" s="96" t="s">
        <v>1499</v>
      </c>
      <c r="G134" s="96"/>
      <c r="H134" s="245"/>
      <c r="I134" s="96"/>
      <c r="J134" s="234" t="s">
        <v>146</v>
      </c>
    </row>
    <row r="135" ht="15.75" customHeight="1">
      <c r="B135" s="238">
        <v>96.0</v>
      </c>
      <c r="C135" s="96"/>
      <c r="D135" s="96" t="s">
        <v>1502</v>
      </c>
      <c r="E135" s="96"/>
      <c r="F135" s="96" t="s">
        <v>1474</v>
      </c>
      <c r="G135" s="96"/>
      <c r="H135" s="245"/>
      <c r="I135" s="96"/>
      <c r="J135" s="234" t="s">
        <v>146</v>
      </c>
    </row>
    <row r="136" ht="15.75" customHeight="1">
      <c r="B136" s="238">
        <v>97.0</v>
      </c>
      <c r="C136" s="96"/>
      <c r="D136" s="96" t="s">
        <v>1503</v>
      </c>
      <c r="E136" s="96"/>
      <c r="F136" s="96" t="s">
        <v>1474</v>
      </c>
      <c r="G136" s="96"/>
      <c r="H136" s="245"/>
      <c r="I136" s="96"/>
      <c r="J136" s="234" t="s">
        <v>146</v>
      </c>
    </row>
    <row r="137" ht="15.75" customHeight="1">
      <c r="A137" s="100"/>
      <c r="B137" s="238">
        <v>98.0</v>
      </c>
      <c r="C137" s="255"/>
      <c r="D137" s="258" t="s">
        <v>1504</v>
      </c>
      <c r="E137" s="258"/>
      <c r="F137" s="240" t="s">
        <v>1384</v>
      </c>
      <c r="G137" s="255"/>
      <c r="H137" s="256"/>
      <c r="I137" s="255"/>
      <c r="J137" s="234" t="s">
        <v>146</v>
      </c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238">
        <v>99.0</v>
      </c>
      <c r="C138" s="255"/>
      <c r="D138" s="258" t="s">
        <v>1505</v>
      </c>
      <c r="E138" s="258"/>
      <c r="F138" s="240" t="s">
        <v>1384</v>
      </c>
      <c r="G138" s="255"/>
      <c r="H138" s="256"/>
      <c r="I138" s="255"/>
      <c r="J138" s="234" t="s">
        <v>146</v>
      </c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253"/>
      <c r="C139" s="100"/>
      <c r="D139" s="100"/>
      <c r="E139" s="100"/>
      <c r="F139" s="254"/>
      <c r="G139" s="100"/>
      <c r="H139" s="254"/>
      <c r="I139" s="100"/>
      <c r="J139" s="253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253"/>
      <c r="C140" s="100"/>
      <c r="D140" s="100"/>
      <c r="E140" s="100"/>
      <c r="F140" s="254"/>
      <c r="G140" s="100"/>
      <c r="H140" s="254"/>
      <c r="I140" s="100"/>
      <c r="J140" s="253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253"/>
      <c r="C141" s="100"/>
      <c r="D141" s="100"/>
      <c r="E141" s="100"/>
      <c r="F141" s="254"/>
      <c r="G141" s="100"/>
      <c r="H141" s="254"/>
      <c r="I141" s="100"/>
      <c r="J141" s="253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253"/>
      <c r="C142" s="100"/>
      <c r="D142" s="100"/>
      <c r="E142" s="100"/>
      <c r="F142" s="254"/>
      <c r="G142" s="100"/>
      <c r="H142" s="254"/>
      <c r="I142" s="100"/>
      <c r="J142" s="253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253"/>
      <c r="C143" s="100"/>
      <c r="D143" s="96" t="s">
        <v>1250</v>
      </c>
      <c r="E143" s="96" t="s">
        <v>211</v>
      </c>
      <c r="F143" s="245" t="s">
        <v>211</v>
      </c>
      <c r="G143" s="96"/>
      <c r="H143" s="245"/>
      <c r="I143" s="96"/>
      <c r="J143" s="113" t="s">
        <v>856</v>
      </c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253"/>
      <c r="C144" s="100"/>
      <c r="D144" s="96" t="s">
        <v>1251</v>
      </c>
      <c r="E144" s="96">
        <v>3.0</v>
      </c>
      <c r="F144" s="245">
        <v>1.0</v>
      </c>
      <c r="G144" s="96"/>
      <c r="H144" s="245"/>
      <c r="I144" s="96"/>
      <c r="J144" s="266">
        <f>F144/F148</f>
        <v>0.007518796992</v>
      </c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253"/>
      <c r="C145" s="100"/>
      <c r="D145" s="96" t="s">
        <v>1252</v>
      </c>
      <c r="E145" s="96">
        <v>18.0</v>
      </c>
      <c r="F145" s="245">
        <v>14.0</v>
      </c>
      <c r="G145" s="96"/>
      <c r="H145" s="245"/>
      <c r="I145" s="96"/>
      <c r="J145" s="266">
        <f>F145/F148</f>
        <v>0.1052631579</v>
      </c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253"/>
      <c r="C146" s="100"/>
      <c r="D146" s="96" t="s">
        <v>1253</v>
      </c>
      <c r="E146" s="96">
        <v>10.0</v>
      </c>
      <c r="F146" s="245">
        <v>19.0</v>
      </c>
      <c r="G146" s="96"/>
      <c r="H146" s="245"/>
      <c r="I146" s="96"/>
      <c r="J146" s="266">
        <f>F146/F148</f>
        <v>0.1428571429</v>
      </c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253"/>
      <c r="C147" s="100"/>
      <c r="D147" s="96" t="s">
        <v>1102</v>
      </c>
      <c r="E147" s="96">
        <v>103.0</v>
      </c>
      <c r="F147" s="245">
        <v>99.0</v>
      </c>
      <c r="G147" s="96"/>
      <c r="H147" s="245"/>
      <c r="I147" s="96"/>
      <c r="J147" s="266">
        <f>F147/F148</f>
        <v>0.7443609023</v>
      </c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253"/>
      <c r="C148" s="100"/>
      <c r="D148" s="96" t="s">
        <v>110</v>
      </c>
      <c r="E148" s="96">
        <v>134.0</v>
      </c>
      <c r="F148" s="245">
        <f>SUM(F144:F147)</f>
        <v>133</v>
      </c>
      <c r="G148" s="96"/>
      <c r="H148" s="245"/>
      <c r="I148" s="96"/>
      <c r="J148" s="268">
        <f>SUM(J144:J147)</f>
        <v>1</v>
      </c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253"/>
      <c r="C149" s="100"/>
      <c r="D149" s="100"/>
      <c r="E149" s="100"/>
      <c r="F149" s="254"/>
      <c r="G149" s="100"/>
      <c r="H149" s="254"/>
      <c r="I149" s="100"/>
      <c r="J149" s="253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253"/>
      <c r="C150" s="100"/>
      <c r="D150" s="100"/>
      <c r="E150" s="100"/>
      <c r="F150" s="254"/>
      <c r="G150" s="100"/>
      <c r="H150" s="254"/>
      <c r="I150" s="100"/>
      <c r="J150" s="253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253"/>
      <c r="C151" s="100"/>
      <c r="D151" s="100"/>
      <c r="E151" s="100"/>
      <c r="F151" s="254"/>
      <c r="G151" s="100"/>
      <c r="H151" s="254"/>
      <c r="I151" s="100"/>
      <c r="J151" s="253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253"/>
      <c r="C152" s="100"/>
      <c r="D152" s="100"/>
      <c r="E152" s="100"/>
      <c r="F152" s="254"/>
      <c r="G152" s="100"/>
      <c r="H152" s="254"/>
      <c r="I152" s="100"/>
      <c r="J152" s="253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253"/>
      <c r="C153" s="100"/>
      <c r="D153" s="100"/>
      <c r="E153" s="100"/>
      <c r="F153" s="254"/>
      <c r="G153" s="100"/>
      <c r="H153" s="254"/>
      <c r="I153" s="100"/>
      <c r="J153" s="253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253"/>
      <c r="C154" s="100"/>
      <c r="D154" s="100"/>
      <c r="E154" s="100"/>
      <c r="F154" s="254"/>
      <c r="G154" s="100"/>
      <c r="H154" s="254"/>
      <c r="I154" s="100"/>
      <c r="J154" s="253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253"/>
      <c r="C155" s="100"/>
      <c r="D155" s="100"/>
      <c r="E155" s="100"/>
      <c r="F155" s="254"/>
      <c r="G155" s="100"/>
      <c r="H155" s="254"/>
      <c r="I155" s="100"/>
      <c r="J155" s="253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253"/>
      <c r="C156" s="100"/>
      <c r="D156" s="100"/>
      <c r="E156" s="100"/>
      <c r="F156" s="254"/>
      <c r="G156" s="100"/>
      <c r="H156" s="254"/>
      <c r="I156" s="100"/>
      <c r="J156" s="253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253"/>
      <c r="C157" s="100"/>
      <c r="D157" s="100"/>
      <c r="E157" s="100"/>
      <c r="F157" s="254"/>
      <c r="G157" s="100"/>
      <c r="H157" s="254"/>
      <c r="I157" s="100"/>
      <c r="J157" s="253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253"/>
      <c r="C158" s="100"/>
      <c r="D158" s="100"/>
      <c r="E158" s="100"/>
      <c r="F158" s="254"/>
      <c r="G158" s="100"/>
      <c r="H158" s="254"/>
      <c r="I158" s="100"/>
      <c r="J158" s="253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253"/>
      <c r="C159" s="100"/>
      <c r="D159" s="100"/>
      <c r="E159" s="100"/>
      <c r="F159" s="254"/>
      <c r="G159" s="100"/>
      <c r="H159" s="254"/>
      <c r="I159" s="100"/>
      <c r="J159" s="253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253"/>
      <c r="C160" s="100"/>
      <c r="D160" s="100"/>
      <c r="E160" s="100"/>
      <c r="F160" s="254"/>
      <c r="G160" s="100"/>
      <c r="H160" s="254"/>
      <c r="I160" s="100"/>
      <c r="J160" s="253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253"/>
      <c r="C161" s="100"/>
      <c r="D161" s="100"/>
      <c r="E161" s="100"/>
      <c r="F161" s="254"/>
      <c r="G161" s="100"/>
      <c r="H161" s="254"/>
      <c r="I161" s="100"/>
      <c r="J161" s="253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253"/>
      <c r="C162" s="100"/>
      <c r="D162" s="100"/>
      <c r="E162" s="100"/>
      <c r="F162" s="254"/>
      <c r="G162" s="100"/>
      <c r="H162" s="254"/>
      <c r="I162" s="100"/>
      <c r="J162" s="253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253"/>
      <c r="C163" s="100"/>
      <c r="D163" s="100"/>
      <c r="E163" s="100"/>
      <c r="F163" s="254"/>
      <c r="G163" s="100"/>
      <c r="H163" s="254"/>
      <c r="I163" s="100"/>
      <c r="J163" s="253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253"/>
      <c r="C164" s="100"/>
      <c r="D164" s="100"/>
      <c r="E164" s="100"/>
      <c r="F164" s="254"/>
      <c r="G164" s="100"/>
      <c r="H164" s="254"/>
      <c r="I164" s="100"/>
      <c r="J164" s="253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253"/>
      <c r="C165" s="100"/>
      <c r="D165" s="100"/>
      <c r="E165" s="100"/>
      <c r="F165" s="254"/>
      <c r="G165" s="100"/>
      <c r="H165" s="254"/>
      <c r="I165" s="100"/>
      <c r="J165" s="253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253"/>
      <c r="C166" s="100"/>
      <c r="D166" s="100"/>
      <c r="E166" s="100"/>
      <c r="F166" s="254"/>
      <c r="G166" s="100"/>
      <c r="H166" s="254"/>
      <c r="I166" s="100"/>
      <c r="J166" s="253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253"/>
      <c r="C167" s="100"/>
      <c r="D167" s="100"/>
      <c r="E167" s="100"/>
      <c r="F167" s="254"/>
      <c r="G167" s="100"/>
      <c r="H167" s="254"/>
      <c r="I167" s="100"/>
      <c r="J167" s="253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253"/>
      <c r="C168" s="100"/>
      <c r="D168" s="100"/>
      <c r="E168" s="100"/>
      <c r="F168" s="254"/>
      <c r="G168" s="100"/>
      <c r="H168" s="254"/>
      <c r="I168" s="100"/>
      <c r="J168" s="253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253"/>
      <c r="C169" s="100"/>
      <c r="D169" s="100"/>
      <c r="E169" s="100"/>
      <c r="F169" s="254"/>
      <c r="G169" s="100"/>
      <c r="H169" s="254"/>
      <c r="I169" s="100"/>
      <c r="J169" s="253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253"/>
      <c r="C170" s="100"/>
      <c r="D170" s="100"/>
      <c r="E170" s="100"/>
      <c r="F170" s="254"/>
      <c r="G170" s="100"/>
      <c r="H170" s="254"/>
      <c r="I170" s="100"/>
      <c r="J170" s="253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253"/>
      <c r="C171" s="100"/>
      <c r="D171" s="100"/>
      <c r="E171" s="100"/>
      <c r="F171" s="254"/>
      <c r="G171" s="100"/>
      <c r="H171" s="254"/>
      <c r="I171" s="100"/>
      <c r="J171" s="253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253"/>
      <c r="C172" s="100"/>
      <c r="D172" s="100"/>
      <c r="E172" s="100"/>
      <c r="F172" s="254"/>
      <c r="G172" s="100"/>
      <c r="H172" s="254"/>
      <c r="I172" s="100"/>
      <c r="J172" s="253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253"/>
      <c r="C173" s="100"/>
      <c r="D173" s="100"/>
      <c r="E173" s="100"/>
      <c r="F173" s="254"/>
      <c r="G173" s="100"/>
      <c r="H173" s="254"/>
      <c r="I173" s="100"/>
      <c r="J173" s="253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253"/>
      <c r="C174" s="100"/>
      <c r="D174" s="100"/>
      <c r="E174" s="100"/>
      <c r="F174" s="254"/>
      <c r="G174" s="100"/>
      <c r="H174" s="254"/>
      <c r="I174" s="100"/>
      <c r="J174" s="253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253"/>
      <c r="C175" s="100"/>
      <c r="D175" s="100"/>
      <c r="E175" s="100"/>
      <c r="F175" s="254"/>
      <c r="G175" s="100"/>
      <c r="H175" s="254"/>
      <c r="I175" s="100"/>
      <c r="J175" s="253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253"/>
      <c r="C176" s="100"/>
      <c r="D176" s="100"/>
      <c r="E176" s="100"/>
      <c r="F176" s="254"/>
      <c r="G176" s="100"/>
      <c r="H176" s="254"/>
      <c r="I176" s="100"/>
      <c r="J176" s="253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253"/>
      <c r="C177" s="100"/>
      <c r="D177" s="100"/>
      <c r="E177" s="100"/>
      <c r="F177" s="254"/>
      <c r="G177" s="100"/>
      <c r="H177" s="254"/>
      <c r="I177" s="100"/>
      <c r="J177" s="253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253"/>
      <c r="C178" s="100"/>
      <c r="D178" s="100"/>
      <c r="E178" s="100"/>
      <c r="F178" s="254"/>
      <c r="G178" s="100"/>
      <c r="H178" s="254"/>
      <c r="I178" s="100"/>
      <c r="J178" s="253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253"/>
      <c r="C179" s="100"/>
      <c r="D179" s="100"/>
      <c r="E179" s="100"/>
      <c r="F179" s="254"/>
      <c r="G179" s="100"/>
      <c r="H179" s="254"/>
      <c r="I179" s="100"/>
      <c r="J179" s="253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253"/>
      <c r="C180" s="100"/>
      <c r="D180" s="100"/>
      <c r="E180" s="100"/>
      <c r="F180" s="254"/>
      <c r="G180" s="100"/>
      <c r="H180" s="254"/>
      <c r="I180" s="100"/>
      <c r="J180" s="253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253"/>
      <c r="C181" s="100"/>
      <c r="D181" s="100"/>
      <c r="E181" s="100"/>
      <c r="F181" s="254"/>
      <c r="G181" s="100"/>
      <c r="H181" s="254"/>
      <c r="I181" s="100"/>
      <c r="J181" s="253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253"/>
      <c r="C182" s="100"/>
      <c r="D182" s="100"/>
      <c r="E182" s="100"/>
      <c r="F182" s="254"/>
      <c r="G182" s="100"/>
      <c r="H182" s="254"/>
      <c r="I182" s="100"/>
      <c r="J182" s="253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253"/>
      <c r="C183" s="100"/>
      <c r="D183" s="100"/>
      <c r="E183" s="100"/>
      <c r="F183" s="254"/>
      <c r="G183" s="100"/>
      <c r="H183" s="254"/>
      <c r="I183" s="100"/>
      <c r="J183" s="253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253"/>
      <c r="C184" s="100"/>
      <c r="D184" s="100"/>
      <c r="E184" s="100"/>
      <c r="F184" s="254"/>
      <c r="G184" s="100"/>
      <c r="H184" s="254"/>
      <c r="I184" s="100"/>
      <c r="J184" s="253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253"/>
      <c r="C185" s="100"/>
      <c r="D185" s="100"/>
      <c r="E185" s="100"/>
      <c r="F185" s="254"/>
      <c r="G185" s="100"/>
      <c r="H185" s="254"/>
      <c r="I185" s="100"/>
      <c r="J185" s="253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253"/>
      <c r="C186" s="100"/>
      <c r="D186" s="100"/>
      <c r="E186" s="100"/>
      <c r="F186" s="254"/>
      <c r="G186" s="100"/>
      <c r="H186" s="254"/>
      <c r="I186" s="100"/>
      <c r="J186" s="253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253"/>
      <c r="C187" s="100"/>
      <c r="D187" s="100"/>
      <c r="E187" s="100"/>
      <c r="F187" s="254"/>
      <c r="G187" s="100"/>
      <c r="H187" s="254"/>
      <c r="I187" s="100"/>
      <c r="J187" s="253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253"/>
      <c r="C188" s="100"/>
      <c r="D188" s="100"/>
      <c r="E188" s="100"/>
      <c r="F188" s="254"/>
      <c r="G188" s="100"/>
      <c r="H188" s="254"/>
      <c r="I188" s="100"/>
      <c r="J188" s="253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253"/>
      <c r="C189" s="100"/>
      <c r="D189" s="100"/>
      <c r="E189" s="100"/>
      <c r="F189" s="254"/>
      <c r="G189" s="100"/>
      <c r="H189" s="254"/>
      <c r="I189" s="100"/>
      <c r="J189" s="253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253"/>
      <c r="C190" s="100"/>
      <c r="D190" s="100"/>
      <c r="E190" s="100"/>
      <c r="F190" s="254"/>
      <c r="G190" s="100"/>
      <c r="H190" s="254"/>
      <c r="I190" s="100"/>
      <c r="J190" s="253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253"/>
      <c r="C191" s="100"/>
      <c r="D191" s="100"/>
      <c r="E191" s="100"/>
      <c r="F191" s="254"/>
      <c r="G191" s="100"/>
      <c r="H191" s="254"/>
      <c r="I191" s="100"/>
      <c r="J191" s="253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253"/>
      <c r="C192" s="100"/>
      <c r="D192" s="100"/>
      <c r="E192" s="100"/>
      <c r="F192" s="254"/>
      <c r="G192" s="100"/>
      <c r="H192" s="254"/>
      <c r="I192" s="100"/>
      <c r="J192" s="253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253"/>
      <c r="C193" s="100"/>
      <c r="D193" s="100"/>
      <c r="E193" s="100"/>
      <c r="F193" s="254"/>
      <c r="G193" s="100"/>
      <c r="H193" s="254"/>
      <c r="I193" s="100"/>
      <c r="J193" s="253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253"/>
      <c r="C194" s="100"/>
      <c r="D194" s="100"/>
      <c r="E194" s="100"/>
      <c r="F194" s="254"/>
      <c r="G194" s="100"/>
      <c r="H194" s="254"/>
      <c r="I194" s="100"/>
      <c r="J194" s="253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253"/>
      <c r="C195" s="100"/>
      <c r="D195" s="100"/>
      <c r="E195" s="100"/>
      <c r="F195" s="254"/>
      <c r="G195" s="100"/>
      <c r="H195" s="254"/>
      <c r="I195" s="100"/>
      <c r="J195" s="253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253"/>
      <c r="C196" s="100"/>
      <c r="D196" s="100"/>
      <c r="E196" s="100"/>
      <c r="F196" s="254"/>
      <c r="G196" s="100"/>
      <c r="H196" s="254"/>
      <c r="I196" s="100"/>
      <c r="J196" s="253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253"/>
      <c r="C197" s="100"/>
      <c r="D197" s="100"/>
      <c r="E197" s="100"/>
      <c r="F197" s="254"/>
      <c r="G197" s="100"/>
      <c r="H197" s="254"/>
      <c r="I197" s="100"/>
      <c r="J197" s="253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253"/>
      <c r="C198" s="100"/>
      <c r="D198" s="100"/>
      <c r="E198" s="100"/>
      <c r="F198" s="254"/>
      <c r="G198" s="100"/>
      <c r="H198" s="254"/>
      <c r="I198" s="100"/>
      <c r="J198" s="253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253"/>
      <c r="C199" s="100"/>
      <c r="D199" s="100"/>
      <c r="E199" s="100"/>
      <c r="F199" s="254"/>
      <c r="G199" s="100"/>
      <c r="H199" s="254"/>
      <c r="I199" s="100"/>
      <c r="J199" s="253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253"/>
      <c r="C200" s="100"/>
      <c r="D200" s="100"/>
      <c r="E200" s="100"/>
      <c r="F200" s="254"/>
      <c r="G200" s="100"/>
      <c r="H200" s="254"/>
      <c r="I200" s="100"/>
      <c r="J200" s="253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253"/>
      <c r="C201" s="100"/>
      <c r="D201" s="100"/>
      <c r="E201" s="100"/>
      <c r="F201" s="254"/>
      <c r="G201" s="100"/>
      <c r="H201" s="254"/>
      <c r="I201" s="100"/>
      <c r="J201" s="253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253"/>
      <c r="C202" s="100"/>
      <c r="D202" s="100"/>
      <c r="E202" s="100"/>
      <c r="F202" s="254"/>
      <c r="G202" s="100"/>
      <c r="H202" s="254"/>
      <c r="I202" s="100"/>
      <c r="J202" s="253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253"/>
      <c r="C203" s="100"/>
      <c r="D203" s="100"/>
      <c r="E203" s="100"/>
      <c r="F203" s="254"/>
      <c r="G203" s="100"/>
      <c r="H203" s="254"/>
      <c r="I203" s="100"/>
      <c r="J203" s="253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253"/>
      <c r="C204" s="100"/>
      <c r="D204" s="100"/>
      <c r="E204" s="100"/>
      <c r="F204" s="254"/>
      <c r="G204" s="100"/>
      <c r="H204" s="254"/>
      <c r="I204" s="100"/>
      <c r="J204" s="253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253"/>
      <c r="C205" s="100"/>
      <c r="D205" s="100"/>
      <c r="E205" s="100"/>
      <c r="F205" s="254"/>
      <c r="G205" s="100"/>
      <c r="H205" s="254"/>
      <c r="I205" s="100"/>
      <c r="J205" s="253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253"/>
      <c r="C206" s="100"/>
      <c r="D206" s="100"/>
      <c r="E206" s="100"/>
      <c r="F206" s="254"/>
      <c r="G206" s="100"/>
      <c r="H206" s="254"/>
      <c r="I206" s="100"/>
      <c r="J206" s="253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253"/>
      <c r="C207" s="100"/>
      <c r="D207" s="100"/>
      <c r="E207" s="100"/>
      <c r="F207" s="254"/>
      <c r="G207" s="100"/>
      <c r="H207" s="254"/>
      <c r="I207" s="100"/>
      <c r="J207" s="253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253"/>
      <c r="C208" s="100"/>
      <c r="D208" s="100"/>
      <c r="E208" s="100"/>
      <c r="F208" s="254"/>
      <c r="G208" s="100"/>
      <c r="H208" s="254"/>
      <c r="I208" s="100"/>
      <c r="J208" s="253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253"/>
      <c r="C209" s="100"/>
      <c r="D209" s="100"/>
      <c r="E209" s="100"/>
      <c r="F209" s="254"/>
      <c r="G209" s="100"/>
      <c r="H209" s="254"/>
      <c r="I209" s="100"/>
      <c r="J209" s="253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253"/>
      <c r="C210" s="100"/>
      <c r="D210" s="100"/>
      <c r="E210" s="100"/>
      <c r="F210" s="254"/>
      <c r="G210" s="100"/>
      <c r="H210" s="254"/>
      <c r="I210" s="100"/>
      <c r="J210" s="253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253"/>
      <c r="C211" s="100"/>
      <c r="D211" s="100"/>
      <c r="E211" s="100"/>
      <c r="F211" s="254"/>
      <c r="G211" s="100"/>
      <c r="H211" s="254"/>
      <c r="I211" s="100"/>
      <c r="J211" s="253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253"/>
      <c r="C212" s="100"/>
      <c r="D212" s="100"/>
      <c r="E212" s="100"/>
      <c r="F212" s="254"/>
      <c r="G212" s="100"/>
      <c r="H212" s="254"/>
      <c r="I212" s="100"/>
      <c r="J212" s="253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253"/>
      <c r="C213" s="100"/>
      <c r="D213" s="100"/>
      <c r="E213" s="100"/>
      <c r="F213" s="254"/>
      <c r="G213" s="100"/>
      <c r="H213" s="254"/>
      <c r="I213" s="100"/>
      <c r="J213" s="253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253"/>
      <c r="C214" s="100"/>
      <c r="D214" s="100"/>
      <c r="E214" s="100"/>
      <c r="F214" s="254"/>
      <c r="G214" s="100"/>
      <c r="H214" s="254"/>
      <c r="I214" s="100"/>
      <c r="J214" s="253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253"/>
      <c r="C215" s="100"/>
      <c r="D215" s="100"/>
      <c r="E215" s="100"/>
      <c r="F215" s="254"/>
      <c r="G215" s="100"/>
      <c r="H215" s="254"/>
      <c r="I215" s="100"/>
      <c r="J215" s="253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253"/>
      <c r="C216" s="100"/>
      <c r="D216" s="100"/>
      <c r="E216" s="100"/>
      <c r="F216" s="254"/>
      <c r="G216" s="100"/>
      <c r="H216" s="254"/>
      <c r="I216" s="100"/>
      <c r="J216" s="253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253"/>
      <c r="C217" s="100"/>
      <c r="D217" s="100"/>
      <c r="E217" s="100"/>
      <c r="F217" s="254"/>
      <c r="G217" s="100"/>
      <c r="H217" s="254"/>
      <c r="I217" s="100"/>
      <c r="J217" s="253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253"/>
      <c r="C218" s="100"/>
      <c r="D218" s="100"/>
      <c r="E218" s="100"/>
      <c r="F218" s="254"/>
      <c r="G218" s="100"/>
      <c r="H218" s="254"/>
      <c r="I218" s="100"/>
      <c r="J218" s="253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253"/>
      <c r="C219" s="100"/>
      <c r="D219" s="100"/>
      <c r="E219" s="100"/>
      <c r="F219" s="254"/>
      <c r="G219" s="100"/>
      <c r="H219" s="254"/>
      <c r="I219" s="100"/>
      <c r="J219" s="253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253"/>
      <c r="C220" s="100"/>
      <c r="D220" s="100"/>
      <c r="E220" s="100"/>
      <c r="F220" s="254"/>
      <c r="G220" s="100"/>
      <c r="H220" s="254"/>
      <c r="I220" s="100"/>
      <c r="J220" s="253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253"/>
      <c r="C221" s="100"/>
      <c r="D221" s="100"/>
      <c r="E221" s="100"/>
      <c r="F221" s="254"/>
      <c r="G221" s="100"/>
      <c r="H221" s="254"/>
      <c r="I221" s="100"/>
      <c r="J221" s="253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253"/>
      <c r="C222" s="100"/>
      <c r="D222" s="100"/>
      <c r="E222" s="100"/>
      <c r="F222" s="254"/>
      <c r="G222" s="100"/>
      <c r="H222" s="254"/>
      <c r="I222" s="100"/>
      <c r="J222" s="253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253"/>
      <c r="C223" s="100"/>
      <c r="D223" s="100"/>
      <c r="E223" s="100"/>
      <c r="F223" s="254"/>
      <c r="G223" s="100"/>
      <c r="H223" s="254"/>
      <c r="I223" s="100"/>
      <c r="J223" s="253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253"/>
      <c r="C224" s="100"/>
      <c r="D224" s="100"/>
      <c r="E224" s="100"/>
      <c r="F224" s="254"/>
      <c r="G224" s="100"/>
      <c r="H224" s="254"/>
      <c r="I224" s="100"/>
      <c r="J224" s="253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253"/>
      <c r="C225" s="100"/>
      <c r="D225" s="100"/>
      <c r="E225" s="100"/>
      <c r="F225" s="254"/>
      <c r="G225" s="100"/>
      <c r="H225" s="254"/>
      <c r="I225" s="100"/>
      <c r="J225" s="253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253"/>
      <c r="C226" s="100"/>
      <c r="D226" s="100"/>
      <c r="E226" s="100"/>
      <c r="F226" s="254"/>
      <c r="G226" s="100"/>
      <c r="H226" s="254"/>
      <c r="I226" s="100"/>
      <c r="J226" s="253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253"/>
      <c r="C227" s="100"/>
      <c r="D227" s="100"/>
      <c r="E227" s="100"/>
      <c r="F227" s="254"/>
      <c r="G227" s="100"/>
      <c r="H227" s="254"/>
      <c r="I227" s="100"/>
      <c r="J227" s="253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253"/>
      <c r="C228" s="100"/>
      <c r="D228" s="100"/>
      <c r="E228" s="100"/>
      <c r="F228" s="254"/>
      <c r="G228" s="100"/>
      <c r="H228" s="254"/>
      <c r="I228" s="100"/>
      <c r="J228" s="253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253"/>
      <c r="C229" s="100"/>
      <c r="D229" s="100"/>
      <c r="E229" s="100"/>
      <c r="F229" s="254"/>
      <c r="G229" s="100"/>
      <c r="H229" s="254"/>
      <c r="I229" s="100"/>
      <c r="J229" s="253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253"/>
      <c r="C230" s="100"/>
      <c r="D230" s="100"/>
      <c r="E230" s="100"/>
      <c r="F230" s="254"/>
      <c r="G230" s="100"/>
      <c r="H230" s="254"/>
      <c r="I230" s="100"/>
      <c r="J230" s="253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253"/>
      <c r="C231" s="100"/>
      <c r="D231" s="100"/>
      <c r="E231" s="100"/>
      <c r="F231" s="254"/>
      <c r="G231" s="100"/>
      <c r="H231" s="254"/>
      <c r="I231" s="100"/>
      <c r="J231" s="253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253"/>
      <c r="C232" s="100"/>
      <c r="D232" s="100"/>
      <c r="E232" s="100"/>
      <c r="F232" s="254"/>
      <c r="G232" s="100"/>
      <c r="H232" s="254"/>
      <c r="I232" s="100"/>
      <c r="J232" s="253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253"/>
      <c r="C233" s="100"/>
      <c r="D233" s="100"/>
      <c r="E233" s="100"/>
      <c r="F233" s="254"/>
      <c r="G233" s="100"/>
      <c r="H233" s="254"/>
      <c r="I233" s="100"/>
      <c r="J233" s="253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253"/>
      <c r="C234" s="100"/>
      <c r="D234" s="100"/>
      <c r="E234" s="100"/>
      <c r="F234" s="254"/>
      <c r="G234" s="100"/>
      <c r="H234" s="254"/>
      <c r="I234" s="100"/>
      <c r="J234" s="253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253"/>
      <c r="C235" s="100"/>
      <c r="D235" s="100"/>
      <c r="E235" s="100"/>
      <c r="F235" s="254"/>
      <c r="G235" s="100"/>
      <c r="H235" s="254"/>
      <c r="I235" s="100"/>
      <c r="J235" s="253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253"/>
      <c r="C236" s="100"/>
      <c r="D236" s="100"/>
      <c r="E236" s="100"/>
      <c r="F236" s="254"/>
      <c r="G236" s="100"/>
      <c r="H236" s="254"/>
      <c r="I236" s="100"/>
      <c r="J236" s="253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253"/>
      <c r="C237" s="100"/>
      <c r="D237" s="100"/>
      <c r="E237" s="100"/>
      <c r="F237" s="254"/>
      <c r="G237" s="100"/>
      <c r="H237" s="254"/>
      <c r="I237" s="100"/>
      <c r="J237" s="253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253"/>
      <c r="C238" s="100"/>
      <c r="D238" s="100"/>
      <c r="E238" s="100"/>
      <c r="F238" s="254"/>
      <c r="G238" s="100"/>
      <c r="H238" s="254"/>
      <c r="I238" s="100"/>
      <c r="J238" s="253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253"/>
      <c r="C239" s="100"/>
      <c r="D239" s="100"/>
      <c r="E239" s="100"/>
      <c r="F239" s="254"/>
      <c r="G239" s="100"/>
      <c r="H239" s="254"/>
      <c r="I239" s="100"/>
      <c r="J239" s="253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253"/>
      <c r="C240" s="100"/>
      <c r="D240" s="100"/>
      <c r="E240" s="100"/>
      <c r="F240" s="254"/>
      <c r="G240" s="100"/>
      <c r="H240" s="254"/>
      <c r="I240" s="100"/>
      <c r="J240" s="253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253"/>
      <c r="C241" s="100"/>
      <c r="D241" s="100"/>
      <c r="E241" s="100"/>
      <c r="F241" s="254"/>
      <c r="G241" s="100"/>
      <c r="H241" s="254"/>
      <c r="I241" s="100"/>
      <c r="J241" s="253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253"/>
      <c r="C242" s="100"/>
      <c r="D242" s="100"/>
      <c r="E242" s="100"/>
      <c r="F242" s="254"/>
      <c r="G242" s="100"/>
      <c r="H242" s="254"/>
      <c r="I242" s="100"/>
      <c r="J242" s="253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253"/>
      <c r="C243" s="100"/>
      <c r="D243" s="100"/>
      <c r="E243" s="100"/>
      <c r="F243" s="254"/>
      <c r="G243" s="100"/>
      <c r="H243" s="254"/>
      <c r="I243" s="100"/>
      <c r="J243" s="253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253"/>
      <c r="C244" s="100"/>
      <c r="D244" s="100"/>
      <c r="E244" s="100"/>
      <c r="F244" s="254"/>
      <c r="G244" s="100"/>
      <c r="H244" s="254"/>
      <c r="I244" s="100"/>
      <c r="J244" s="253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253"/>
      <c r="C245" s="100"/>
      <c r="D245" s="100"/>
      <c r="E245" s="100"/>
      <c r="F245" s="254"/>
      <c r="G245" s="100"/>
      <c r="H245" s="254"/>
      <c r="I245" s="100"/>
      <c r="J245" s="253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253"/>
      <c r="C246" s="100"/>
      <c r="D246" s="100"/>
      <c r="E246" s="100"/>
      <c r="F246" s="254"/>
      <c r="G246" s="100"/>
      <c r="H246" s="254"/>
      <c r="I246" s="100"/>
      <c r="J246" s="253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253"/>
      <c r="C247" s="100"/>
      <c r="D247" s="100"/>
      <c r="E247" s="100"/>
      <c r="F247" s="254"/>
      <c r="G247" s="100"/>
      <c r="H247" s="254"/>
      <c r="I247" s="100"/>
      <c r="J247" s="253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253"/>
      <c r="C248" s="100"/>
      <c r="D248" s="100"/>
      <c r="E248" s="100"/>
      <c r="F248" s="254"/>
      <c r="G248" s="100"/>
      <c r="H248" s="254"/>
      <c r="I248" s="100"/>
      <c r="J248" s="253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253"/>
      <c r="C249" s="100"/>
      <c r="D249" s="100"/>
      <c r="E249" s="100"/>
      <c r="F249" s="254"/>
      <c r="G249" s="100"/>
      <c r="H249" s="254"/>
      <c r="I249" s="100"/>
      <c r="J249" s="253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253"/>
      <c r="C250" s="100"/>
      <c r="D250" s="100"/>
      <c r="E250" s="100"/>
      <c r="F250" s="254"/>
      <c r="G250" s="100"/>
      <c r="H250" s="254"/>
      <c r="I250" s="100"/>
      <c r="J250" s="253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253"/>
      <c r="C251" s="100"/>
      <c r="D251" s="100"/>
      <c r="E251" s="100"/>
      <c r="F251" s="254"/>
      <c r="G251" s="100"/>
      <c r="H251" s="254"/>
      <c r="I251" s="100"/>
      <c r="J251" s="253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253"/>
      <c r="C252" s="100"/>
      <c r="D252" s="100"/>
      <c r="E252" s="100"/>
      <c r="F252" s="254"/>
      <c r="G252" s="100"/>
      <c r="H252" s="254"/>
      <c r="I252" s="100"/>
      <c r="J252" s="253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253"/>
      <c r="C253" s="100"/>
      <c r="D253" s="100"/>
      <c r="E253" s="100"/>
      <c r="F253" s="254"/>
      <c r="G253" s="100"/>
      <c r="H253" s="254"/>
      <c r="I253" s="100"/>
      <c r="J253" s="253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253"/>
      <c r="C254" s="100"/>
      <c r="D254" s="100"/>
      <c r="E254" s="100"/>
      <c r="F254" s="254"/>
      <c r="G254" s="100"/>
      <c r="H254" s="254"/>
      <c r="I254" s="100"/>
      <c r="J254" s="253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253"/>
      <c r="C255" s="100"/>
      <c r="D255" s="100"/>
      <c r="E255" s="100"/>
      <c r="F255" s="254"/>
      <c r="G255" s="100"/>
      <c r="H255" s="254"/>
      <c r="I255" s="100"/>
      <c r="J255" s="253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253"/>
      <c r="C256" s="100"/>
      <c r="D256" s="100"/>
      <c r="E256" s="100"/>
      <c r="F256" s="254"/>
      <c r="G256" s="100"/>
      <c r="H256" s="254"/>
      <c r="I256" s="100"/>
      <c r="J256" s="253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253"/>
      <c r="C257" s="100"/>
      <c r="D257" s="100"/>
      <c r="E257" s="100"/>
      <c r="F257" s="254"/>
      <c r="G257" s="100"/>
      <c r="H257" s="254"/>
      <c r="I257" s="100"/>
      <c r="J257" s="253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253"/>
      <c r="C258" s="100"/>
      <c r="D258" s="100"/>
      <c r="E258" s="100"/>
      <c r="F258" s="254"/>
      <c r="G258" s="100"/>
      <c r="H258" s="254"/>
      <c r="I258" s="100"/>
      <c r="J258" s="253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253"/>
      <c r="C259" s="100"/>
      <c r="D259" s="100"/>
      <c r="E259" s="100"/>
      <c r="F259" s="254"/>
      <c r="G259" s="100"/>
      <c r="H259" s="254"/>
      <c r="I259" s="100"/>
      <c r="J259" s="253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253"/>
      <c r="C260" s="100"/>
      <c r="D260" s="100"/>
      <c r="E260" s="100"/>
      <c r="F260" s="254"/>
      <c r="G260" s="100"/>
      <c r="H260" s="254"/>
      <c r="I260" s="100"/>
      <c r="J260" s="253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253"/>
      <c r="C261" s="100"/>
      <c r="D261" s="100"/>
      <c r="E261" s="100"/>
      <c r="F261" s="254"/>
      <c r="G261" s="100"/>
      <c r="H261" s="254"/>
      <c r="I261" s="100"/>
      <c r="J261" s="253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253"/>
      <c r="C262" s="100"/>
      <c r="D262" s="100"/>
      <c r="E262" s="100"/>
      <c r="F262" s="254"/>
      <c r="G262" s="100"/>
      <c r="H262" s="254"/>
      <c r="I262" s="100"/>
      <c r="J262" s="253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253"/>
      <c r="C263" s="100"/>
      <c r="D263" s="100"/>
      <c r="E263" s="100"/>
      <c r="F263" s="254"/>
      <c r="G263" s="100"/>
      <c r="H263" s="254"/>
      <c r="I263" s="100"/>
      <c r="J263" s="253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253"/>
      <c r="C264" s="100"/>
      <c r="D264" s="100"/>
      <c r="E264" s="100"/>
      <c r="F264" s="254"/>
      <c r="G264" s="100"/>
      <c r="H264" s="254"/>
      <c r="I264" s="100"/>
      <c r="J264" s="253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253"/>
      <c r="C265" s="100"/>
      <c r="D265" s="100"/>
      <c r="E265" s="100"/>
      <c r="F265" s="254"/>
      <c r="G265" s="100"/>
      <c r="H265" s="254"/>
      <c r="I265" s="100"/>
      <c r="J265" s="253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253"/>
      <c r="C266" s="100"/>
      <c r="D266" s="100"/>
      <c r="E266" s="100"/>
      <c r="F266" s="254"/>
      <c r="G266" s="100"/>
      <c r="H266" s="254"/>
      <c r="I266" s="100"/>
      <c r="J266" s="253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253"/>
      <c r="C267" s="100"/>
      <c r="D267" s="100"/>
      <c r="E267" s="100"/>
      <c r="F267" s="254"/>
      <c r="G267" s="100"/>
      <c r="H267" s="254"/>
      <c r="I267" s="100"/>
      <c r="J267" s="253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253"/>
      <c r="C268" s="100"/>
      <c r="D268" s="100"/>
      <c r="E268" s="100"/>
      <c r="F268" s="254"/>
      <c r="G268" s="100"/>
      <c r="H268" s="254"/>
      <c r="I268" s="100"/>
      <c r="J268" s="253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253"/>
      <c r="C269" s="100"/>
      <c r="D269" s="100"/>
      <c r="E269" s="100"/>
      <c r="F269" s="254"/>
      <c r="G269" s="100"/>
      <c r="H269" s="254"/>
      <c r="I269" s="100"/>
      <c r="J269" s="253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253"/>
      <c r="C270" s="100"/>
      <c r="D270" s="100"/>
      <c r="E270" s="100"/>
      <c r="F270" s="254"/>
      <c r="G270" s="100"/>
      <c r="H270" s="254"/>
      <c r="I270" s="100"/>
      <c r="J270" s="253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253"/>
      <c r="C271" s="100"/>
      <c r="D271" s="100"/>
      <c r="E271" s="100"/>
      <c r="F271" s="254"/>
      <c r="G271" s="100"/>
      <c r="H271" s="254"/>
      <c r="I271" s="100"/>
      <c r="J271" s="253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253"/>
      <c r="C272" s="100"/>
      <c r="D272" s="100"/>
      <c r="E272" s="100"/>
      <c r="F272" s="254"/>
      <c r="G272" s="100"/>
      <c r="H272" s="254"/>
      <c r="I272" s="100"/>
      <c r="J272" s="253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253"/>
      <c r="C273" s="100"/>
      <c r="D273" s="100"/>
      <c r="E273" s="100"/>
      <c r="F273" s="254"/>
      <c r="G273" s="100"/>
      <c r="H273" s="254"/>
      <c r="I273" s="100"/>
      <c r="J273" s="253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253"/>
      <c r="C274" s="100"/>
      <c r="D274" s="100"/>
      <c r="E274" s="100"/>
      <c r="F274" s="254"/>
      <c r="G274" s="100"/>
      <c r="H274" s="254"/>
      <c r="I274" s="100"/>
      <c r="J274" s="253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253"/>
      <c r="C275" s="100"/>
      <c r="D275" s="100"/>
      <c r="E275" s="100"/>
      <c r="F275" s="254"/>
      <c r="G275" s="100"/>
      <c r="H275" s="254"/>
      <c r="I275" s="100"/>
      <c r="J275" s="253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253"/>
      <c r="C276" s="100"/>
      <c r="D276" s="100"/>
      <c r="E276" s="100"/>
      <c r="F276" s="254"/>
      <c r="G276" s="100"/>
      <c r="H276" s="254"/>
      <c r="I276" s="100"/>
      <c r="J276" s="253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253"/>
      <c r="C277" s="100"/>
      <c r="D277" s="100"/>
      <c r="E277" s="100"/>
      <c r="F277" s="254"/>
      <c r="G277" s="100"/>
      <c r="H277" s="254"/>
      <c r="I277" s="100"/>
      <c r="J277" s="253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253"/>
      <c r="C278" s="100"/>
      <c r="D278" s="100"/>
      <c r="E278" s="100"/>
      <c r="F278" s="254"/>
      <c r="G278" s="100"/>
      <c r="H278" s="254"/>
      <c r="I278" s="100"/>
      <c r="J278" s="253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253"/>
      <c r="C279" s="100"/>
      <c r="D279" s="100"/>
      <c r="E279" s="100"/>
      <c r="F279" s="254"/>
      <c r="G279" s="100"/>
      <c r="H279" s="254"/>
      <c r="I279" s="100"/>
      <c r="J279" s="253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253"/>
      <c r="C280" s="100"/>
      <c r="D280" s="100"/>
      <c r="E280" s="100"/>
      <c r="F280" s="254"/>
      <c r="G280" s="100"/>
      <c r="H280" s="254"/>
      <c r="I280" s="100"/>
      <c r="J280" s="253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253"/>
      <c r="C281" s="100"/>
      <c r="D281" s="100"/>
      <c r="E281" s="100"/>
      <c r="F281" s="254"/>
      <c r="G281" s="100"/>
      <c r="H281" s="254"/>
      <c r="I281" s="100"/>
      <c r="J281" s="253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253"/>
      <c r="C282" s="100"/>
      <c r="D282" s="100"/>
      <c r="E282" s="100"/>
      <c r="F282" s="254"/>
      <c r="G282" s="100"/>
      <c r="H282" s="254"/>
      <c r="I282" s="100"/>
      <c r="J282" s="253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253"/>
      <c r="C283" s="100"/>
      <c r="D283" s="100"/>
      <c r="E283" s="100"/>
      <c r="F283" s="254"/>
      <c r="G283" s="100"/>
      <c r="H283" s="254"/>
      <c r="I283" s="100"/>
      <c r="J283" s="253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253"/>
      <c r="C284" s="100"/>
      <c r="D284" s="100"/>
      <c r="E284" s="100"/>
      <c r="F284" s="254"/>
      <c r="G284" s="100"/>
      <c r="H284" s="254"/>
      <c r="I284" s="100"/>
      <c r="J284" s="253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253"/>
      <c r="C285" s="100"/>
      <c r="D285" s="100"/>
      <c r="E285" s="100"/>
      <c r="F285" s="254"/>
      <c r="G285" s="100"/>
      <c r="H285" s="254"/>
      <c r="I285" s="100"/>
      <c r="J285" s="253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253"/>
      <c r="C286" s="100"/>
      <c r="D286" s="100"/>
      <c r="E286" s="100"/>
      <c r="F286" s="254"/>
      <c r="G286" s="100"/>
      <c r="H286" s="254"/>
      <c r="I286" s="100"/>
      <c r="J286" s="253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253"/>
      <c r="C287" s="100"/>
      <c r="D287" s="100"/>
      <c r="E287" s="100"/>
      <c r="F287" s="254"/>
      <c r="G287" s="100"/>
      <c r="H287" s="254"/>
      <c r="I287" s="100"/>
      <c r="J287" s="253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253"/>
      <c r="C288" s="100"/>
      <c r="D288" s="100"/>
      <c r="E288" s="100"/>
      <c r="F288" s="254"/>
      <c r="G288" s="100"/>
      <c r="H288" s="254"/>
      <c r="I288" s="100"/>
      <c r="J288" s="253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253"/>
      <c r="C289" s="100"/>
      <c r="D289" s="100"/>
      <c r="E289" s="100"/>
      <c r="F289" s="254"/>
      <c r="G289" s="100"/>
      <c r="H289" s="254"/>
      <c r="I289" s="100"/>
      <c r="J289" s="253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253"/>
      <c r="C290" s="100"/>
      <c r="D290" s="100"/>
      <c r="E290" s="100"/>
      <c r="F290" s="254"/>
      <c r="G290" s="100"/>
      <c r="H290" s="254"/>
      <c r="I290" s="100"/>
      <c r="J290" s="253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253"/>
      <c r="C291" s="100"/>
      <c r="D291" s="100"/>
      <c r="E291" s="100"/>
      <c r="F291" s="254"/>
      <c r="G291" s="100"/>
      <c r="H291" s="254"/>
      <c r="I291" s="100"/>
      <c r="J291" s="253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253"/>
      <c r="C292" s="100"/>
      <c r="D292" s="100"/>
      <c r="E292" s="100"/>
      <c r="F292" s="254"/>
      <c r="G292" s="100"/>
      <c r="H292" s="254"/>
      <c r="I292" s="100"/>
      <c r="J292" s="253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253"/>
      <c r="C293" s="100"/>
      <c r="D293" s="100"/>
      <c r="E293" s="100"/>
      <c r="F293" s="254"/>
      <c r="G293" s="100"/>
      <c r="H293" s="254"/>
      <c r="I293" s="100"/>
      <c r="J293" s="253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253"/>
      <c r="C294" s="100"/>
      <c r="D294" s="100"/>
      <c r="E294" s="100"/>
      <c r="F294" s="254"/>
      <c r="G294" s="100"/>
      <c r="H294" s="254"/>
      <c r="I294" s="100"/>
      <c r="J294" s="253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253"/>
      <c r="C295" s="100"/>
      <c r="D295" s="100"/>
      <c r="E295" s="100"/>
      <c r="F295" s="254"/>
      <c r="G295" s="100"/>
      <c r="H295" s="254"/>
      <c r="I295" s="100"/>
      <c r="J295" s="253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253"/>
      <c r="C296" s="100"/>
      <c r="D296" s="100"/>
      <c r="E296" s="100"/>
      <c r="F296" s="254"/>
      <c r="G296" s="100"/>
      <c r="H296" s="254"/>
      <c r="I296" s="100"/>
      <c r="J296" s="253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253"/>
      <c r="C297" s="100"/>
      <c r="D297" s="100"/>
      <c r="E297" s="100"/>
      <c r="F297" s="254"/>
      <c r="G297" s="100"/>
      <c r="H297" s="254"/>
      <c r="I297" s="100"/>
      <c r="J297" s="253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253"/>
      <c r="C298" s="100"/>
      <c r="D298" s="100"/>
      <c r="E298" s="100"/>
      <c r="F298" s="254"/>
      <c r="G298" s="100"/>
      <c r="H298" s="254"/>
      <c r="I298" s="100"/>
      <c r="J298" s="253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253"/>
      <c r="C299" s="100"/>
      <c r="D299" s="100"/>
      <c r="E299" s="100"/>
      <c r="F299" s="254"/>
      <c r="G299" s="100"/>
      <c r="H299" s="254"/>
      <c r="I299" s="100"/>
      <c r="J299" s="253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253"/>
      <c r="C300" s="100"/>
      <c r="D300" s="100"/>
      <c r="E300" s="100"/>
      <c r="F300" s="254"/>
      <c r="G300" s="100"/>
      <c r="H300" s="254"/>
      <c r="I300" s="100"/>
      <c r="J300" s="253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253"/>
      <c r="C301" s="100"/>
      <c r="D301" s="100"/>
      <c r="E301" s="100"/>
      <c r="F301" s="254"/>
      <c r="G301" s="100"/>
      <c r="H301" s="254"/>
      <c r="I301" s="100"/>
      <c r="J301" s="253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253"/>
      <c r="C302" s="100"/>
      <c r="D302" s="100"/>
      <c r="E302" s="100"/>
      <c r="F302" s="254"/>
      <c r="G302" s="100"/>
      <c r="H302" s="254"/>
      <c r="I302" s="100"/>
      <c r="J302" s="253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253"/>
      <c r="C303" s="100"/>
      <c r="D303" s="100"/>
      <c r="E303" s="100"/>
      <c r="F303" s="254"/>
      <c r="G303" s="100"/>
      <c r="H303" s="254"/>
      <c r="I303" s="100"/>
      <c r="J303" s="253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253"/>
      <c r="C304" s="100"/>
      <c r="D304" s="100"/>
      <c r="E304" s="100"/>
      <c r="F304" s="254"/>
      <c r="G304" s="100"/>
      <c r="H304" s="254"/>
      <c r="I304" s="100"/>
      <c r="J304" s="253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253"/>
      <c r="C305" s="100"/>
      <c r="D305" s="100"/>
      <c r="E305" s="100"/>
      <c r="F305" s="254"/>
      <c r="G305" s="100"/>
      <c r="H305" s="254"/>
      <c r="I305" s="100"/>
      <c r="J305" s="253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253"/>
      <c r="C306" s="100"/>
      <c r="D306" s="100"/>
      <c r="E306" s="100"/>
      <c r="F306" s="254"/>
      <c r="G306" s="100"/>
      <c r="H306" s="254"/>
      <c r="I306" s="100"/>
      <c r="J306" s="253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253"/>
      <c r="C307" s="100"/>
      <c r="D307" s="100"/>
      <c r="E307" s="100"/>
      <c r="F307" s="254"/>
      <c r="G307" s="100"/>
      <c r="H307" s="254"/>
      <c r="I307" s="100"/>
      <c r="J307" s="253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253"/>
      <c r="C308" s="100"/>
      <c r="D308" s="100"/>
      <c r="E308" s="100"/>
      <c r="F308" s="254"/>
      <c r="G308" s="100"/>
      <c r="H308" s="254"/>
      <c r="I308" s="100"/>
      <c r="J308" s="253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253"/>
      <c r="C309" s="100"/>
      <c r="D309" s="100"/>
      <c r="E309" s="100"/>
      <c r="F309" s="254"/>
      <c r="G309" s="100"/>
      <c r="H309" s="254"/>
      <c r="I309" s="100"/>
      <c r="J309" s="253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253"/>
      <c r="C310" s="100"/>
      <c r="D310" s="100"/>
      <c r="E310" s="100"/>
      <c r="F310" s="254"/>
      <c r="G310" s="100"/>
      <c r="H310" s="254"/>
      <c r="I310" s="100"/>
      <c r="J310" s="253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253"/>
      <c r="C311" s="100"/>
      <c r="D311" s="100"/>
      <c r="E311" s="100"/>
      <c r="F311" s="254"/>
      <c r="G311" s="100"/>
      <c r="H311" s="254"/>
      <c r="I311" s="100"/>
      <c r="J311" s="253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253"/>
      <c r="C312" s="100"/>
      <c r="D312" s="100"/>
      <c r="E312" s="100"/>
      <c r="F312" s="254"/>
      <c r="G312" s="100"/>
      <c r="H312" s="254"/>
      <c r="I312" s="100"/>
      <c r="J312" s="253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253"/>
      <c r="C313" s="100"/>
      <c r="D313" s="100"/>
      <c r="E313" s="100"/>
      <c r="F313" s="254"/>
      <c r="G313" s="100"/>
      <c r="H313" s="254"/>
      <c r="I313" s="100"/>
      <c r="J313" s="253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253"/>
      <c r="C314" s="100"/>
      <c r="D314" s="100"/>
      <c r="E314" s="100"/>
      <c r="F314" s="254"/>
      <c r="G314" s="100"/>
      <c r="H314" s="254"/>
      <c r="I314" s="100"/>
      <c r="J314" s="253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253"/>
      <c r="C315" s="100"/>
      <c r="D315" s="100"/>
      <c r="E315" s="100"/>
      <c r="F315" s="254"/>
      <c r="G315" s="100"/>
      <c r="H315" s="254"/>
      <c r="I315" s="100"/>
      <c r="J315" s="253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253"/>
      <c r="C316" s="100"/>
      <c r="D316" s="100"/>
      <c r="E316" s="100"/>
      <c r="F316" s="254"/>
      <c r="G316" s="100"/>
      <c r="H316" s="254"/>
      <c r="I316" s="100"/>
      <c r="J316" s="253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253"/>
      <c r="C317" s="100"/>
      <c r="D317" s="100"/>
      <c r="E317" s="100"/>
      <c r="F317" s="254"/>
      <c r="G317" s="100"/>
      <c r="H317" s="254"/>
      <c r="I317" s="100"/>
      <c r="J317" s="253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253"/>
      <c r="C318" s="100"/>
      <c r="D318" s="100"/>
      <c r="E318" s="100"/>
      <c r="F318" s="254"/>
      <c r="G318" s="100"/>
      <c r="H318" s="254"/>
      <c r="I318" s="100"/>
      <c r="J318" s="253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253"/>
      <c r="C319" s="100"/>
      <c r="D319" s="100"/>
      <c r="E319" s="100"/>
      <c r="F319" s="254"/>
      <c r="G319" s="100"/>
      <c r="H319" s="254"/>
      <c r="I319" s="100"/>
      <c r="J319" s="253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253"/>
      <c r="C320" s="100"/>
      <c r="D320" s="100"/>
      <c r="E320" s="100"/>
      <c r="F320" s="254"/>
      <c r="G320" s="100"/>
      <c r="H320" s="254"/>
      <c r="I320" s="100"/>
      <c r="J320" s="253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253"/>
      <c r="C321" s="100"/>
      <c r="D321" s="100"/>
      <c r="E321" s="100"/>
      <c r="F321" s="254"/>
      <c r="G321" s="100"/>
      <c r="H321" s="254"/>
      <c r="I321" s="100"/>
      <c r="J321" s="253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253"/>
      <c r="C322" s="100"/>
      <c r="D322" s="100"/>
      <c r="E322" s="100"/>
      <c r="F322" s="254"/>
      <c r="G322" s="100"/>
      <c r="H322" s="254"/>
      <c r="I322" s="100"/>
      <c r="J322" s="253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253"/>
      <c r="C323" s="100"/>
      <c r="D323" s="100"/>
      <c r="E323" s="100"/>
      <c r="F323" s="254"/>
      <c r="G323" s="100"/>
      <c r="H323" s="254"/>
      <c r="I323" s="100"/>
      <c r="J323" s="253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253"/>
      <c r="C324" s="100"/>
      <c r="D324" s="100"/>
      <c r="E324" s="100"/>
      <c r="F324" s="254"/>
      <c r="G324" s="100"/>
      <c r="H324" s="254"/>
      <c r="I324" s="100"/>
      <c r="J324" s="253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253"/>
      <c r="C325" s="100"/>
      <c r="D325" s="100"/>
      <c r="E325" s="100"/>
      <c r="F325" s="254"/>
      <c r="G325" s="100"/>
      <c r="H325" s="254"/>
      <c r="I325" s="100"/>
      <c r="J325" s="253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253"/>
      <c r="C326" s="100"/>
      <c r="D326" s="100"/>
      <c r="E326" s="100"/>
      <c r="F326" s="254"/>
      <c r="G326" s="100"/>
      <c r="H326" s="254"/>
      <c r="I326" s="100"/>
      <c r="J326" s="253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253"/>
      <c r="C327" s="100"/>
      <c r="D327" s="100"/>
      <c r="E327" s="100"/>
      <c r="F327" s="254"/>
      <c r="G327" s="100"/>
      <c r="H327" s="254"/>
      <c r="I327" s="100"/>
      <c r="J327" s="253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253"/>
      <c r="C328" s="100"/>
      <c r="D328" s="100"/>
      <c r="E328" s="100"/>
      <c r="F328" s="254"/>
      <c r="G328" s="100"/>
      <c r="H328" s="254"/>
      <c r="I328" s="100"/>
      <c r="J328" s="253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253"/>
      <c r="C329" s="100"/>
      <c r="D329" s="100"/>
      <c r="E329" s="100"/>
      <c r="F329" s="254"/>
      <c r="G329" s="100"/>
      <c r="H329" s="254"/>
      <c r="I329" s="100"/>
      <c r="J329" s="253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253"/>
      <c r="C330" s="100"/>
      <c r="D330" s="100"/>
      <c r="E330" s="100"/>
      <c r="F330" s="254"/>
      <c r="G330" s="100"/>
      <c r="H330" s="254"/>
      <c r="I330" s="100"/>
      <c r="J330" s="253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253"/>
      <c r="C331" s="100"/>
      <c r="D331" s="100"/>
      <c r="E331" s="100"/>
      <c r="F331" s="254"/>
      <c r="G331" s="100"/>
      <c r="H331" s="254"/>
      <c r="I331" s="100"/>
      <c r="J331" s="253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253"/>
      <c r="C332" s="100"/>
      <c r="D332" s="100"/>
      <c r="E332" s="100"/>
      <c r="F332" s="254"/>
      <c r="G332" s="100"/>
      <c r="H332" s="254"/>
      <c r="I332" s="100"/>
      <c r="J332" s="253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253"/>
      <c r="C333" s="100"/>
      <c r="D333" s="100"/>
      <c r="E333" s="100"/>
      <c r="F333" s="254"/>
      <c r="G333" s="100"/>
      <c r="H333" s="254"/>
      <c r="I333" s="100"/>
      <c r="J333" s="253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253"/>
      <c r="C334" s="100"/>
      <c r="D334" s="100"/>
      <c r="E334" s="100"/>
      <c r="F334" s="254"/>
      <c r="G334" s="100"/>
      <c r="H334" s="254"/>
      <c r="I334" s="100"/>
      <c r="J334" s="253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253"/>
      <c r="C335" s="100"/>
      <c r="D335" s="100"/>
      <c r="E335" s="100"/>
      <c r="F335" s="254"/>
      <c r="G335" s="100"/>
      <c r="H335" s="254"/>
      <c r="I335" s="100"/>
      <c r="J335" s="253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253"/>
      <c r="C336" s="100"/>
      <c r="D336" s="100"/>
      <c r="E336" s="100"/>
      <c r="F336" s="254"/>
      <c r="G336" s="100"/>
      <c r="H336" s="254"/>
      <c r="I336" s="100"/>
      <c r="J336" s="253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253"/>
      <c r="C337" s="100"/>
      <c r="D337" s="100"/>
      <c r="E337" s="100"/>
      <c r="F337" s="254"/>
      <c r="G337" s="100"/>
      <c r="H337" s="254"/>
      <c r="I337" s="100"/>
      <c r="J337" s="253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253"/>
      <c r="C338" s="100"/>
      <c r="D338" s="100"/>
      <c r="E338" s="100"/>
      <c r="F338" s="254"/>
      <c r="G338" s="100"/>
      <c r="H338" s="254"/>
      <c r="I338" s="100"/>
      <c r="J338" s="253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253"/>
      <c r="C339" s="100"/>
      <c r="D339" s="100"/>
      <c r="E339" s="100"/>
      <c r="F339" s="254"/>
      <c r="G339" s="100"/>
      <c r="H339" s="254"/>
      <c r="I339" s="100"/>
      <c r="J339" s="253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253"/>
      <c r="C340" s="100"/>
      <c r="D340" s="100"/>
      <c r="E340" s="100"/>
      <c r="F340" s="254"/>
      <c r="G340" s="100"/>
      <c r="H340" s="254"/>
      <c r="I340" s="100"/>
      <c r="J340" s="253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253"/>
      <c r="C341" s="100"/>
      <c r="D341" s="100"/>
      <c r="E341" s="100"/>
      <c r="F341" s="254"/>
      <c r="G341" s="100"/>
      <c r="H341" s="254"/>
      <c r="I341" s="100"/>
      <c r="J341" s="253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253"/>
      <c r="C342" s="100"/>
      <c r="D342" s="100"/>
      <c r="E342" s="100"/>
      <c r="F342" s="254"/>
      <c r="G342" s="100"/>
      <c r="H342" s="254"/>
      <c r="I342" s="100"/>
      <c r="J342" s="253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253"/>
      <c r="C343" s="100"/>
      <c r="D343" s="100"/>
      <c r="E343" s="100"/>
      <c r="F343" s="254"/>
      <c r="G343" s="100"/>
      <c r="H343" s="254"/>
      <c r="I343" s="100"/>
      <c r="J343" s="253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253"/>
      <c r="C344" s="100"/>
      <c r="D344" s="100"/>
      <c r="E344" s="100"/>
      <c r="F344" s="254"/>
      <c r="G344" s="100"/>
      <c r="H344" s="254"/>
      <c r="I344" s="100"/>
      <c r="J344" s="253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253"/>
      <c r="C345" s="100"/>
      <c r="D345" s="100"/>
      <c r="E345" s="100"/>
      <c r="F345" s="254"/>
      <c r="G345" s="100"/>
      <c r="H345" s="254"/>
      <c r="I345" s="100"/>
      <c r="J345" s="253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253"/>
      <c r="C346" s="100"/>
      <c r="D346" s="100"/>
      <c r="E346" s="100"/>
      <c r="F346" s="254"/>
      <c r="G346" s="100"/>
      <c r="H346" s="254"/>
      <c r="I346" s="100"/>
      <c r="J346" s="253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253"/>
      <c r="C347" s="100"/>
      <c r="D347" s="100"/>
      <c r="E347" s="100"/>
      <c r="F347" s="254"/>
      <c r="G347" s="100"/>
      <c r="H347" s="254"/>
      <c r="I347" s="100"/>
      <c r="J347" s="253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253"/>
      <c r="C348" s="100"/>
      <c r="D348" s="100"/>
      <c r="E348" s="100"/>
      <c r="F348" s="254"/>
      <c r="G348" s="100"/>
      <c r="H348" s="254"/>
      <c r="I348" s="100"/>
      <c r="J348" s="253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S1"/>
    <mergeCell ref="J2:J3"/>
    <mergeCell ref="K2:K3"/>
    <mergeCell ref="L2:L3"/>
    <mergeCell ref="M2:M3"/>
    <mergeCell ref="N2:N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Col="2"/>
  <cols>
    <col customWidth="1" hidden="1" min="1" max="1" width="14.43"/>
    <col customWidth="1" min="2" max="2" width="14.43"/>
    <col customWidth="1" hidden="1" min="3" max="3" width="14.43"/>
    <col customWidth="1" min="4" max="4" width="27.43"/>
    <col customWidth="1" hidden="1" min="5" max="5" width="14.43"/>
    <col customWidth="1" min="6" max="6" width="17.29"/>
    <col customWidth="1" hidden="1" min="7" max="9" width="14.43"/>
    <col customWidth="1" hidden="1" min="11" max="19" width="14.43"/>
  </cols>
  <sheetData>
    <row r="1" ht="15.75" customHeight="1">
      <c r="A1" s="97" t="s">
        <v>666</v>
      </c>
      <c r="B1" s="99" t="s">
        <v>667</v>
      </c>
      <c r="T1" s="100"/>
      <c r="U1" s="100"/>
      <c r="V1" s="100"/>
      <c r="W1" s="100"/>
      <c r="X1" s="100"/>
      <c r="Y1" s="100"/>
      <c r="Z1" s="100"/>
    </row>
    <row r="2" ht="15.75" customHeight="1">
      <c r="A2" s="100"/>
      <c r="B2" s="234"/>
      <c r="C2" s="235"/>
      <c r="D2" s="235"/>
      <c r="E2" s="235"/>
      <c r="F2" s="235"/>
      <c r="G2" s="235"/>
      <c r="H2" s="235"/>
      <c r="I2" s="235"/>
      <c r="J2" s="246" t="s">
        <v>216</v>
      </c>
      <c r="K2" s="99" t="s">
        <v>217</v>
      </c>
      <c r="L2" s="99" t="s">
        <v>218</v>
      </c>
      <c r="M2" s="99" t="s">
        <v>219</v>
      </c>
      <c r="N2" s="99" t="s">
        <v>220</v>
      </c>
      <c r="O2" s="101"/>
      <c r="P2" s="101"/>
      <c r="Q2" s="101"/>
      <c r="R2" s="101"/>
      <c r="S2" s="101"/>
      <c r="T2" s="100"/>
      <c r="U2" s="100"/>
      <c r="V2" s="100"/>
      <c r="W2" s="100"/>
      <c r="X2" s="100"/>
      <c r="Y2" s="100"/>
      <c r="Z2" s="100"/>
    </row>
    <row r="3" ht="15.75" customHeight="1">
      <c r="A3" s="100"/>
      <c r="B3" s="234" t="s">
        <v>230</v>
      </c>
      <c r="C3" s="235"/>
      <c r="D3" s="234" t="s">
        <v>222</v>
      </c>
      <c r="E3" s="234" t="s">
        <v>223</v>
      </c>
      <c r="F3" s="234" t="s">
        <v>224</v>
      </c>
      <c r="G3" s="234" t="s">
        <v>225</v>
      </c>
      <c r="H3" s="234" t="s">
        <v>226</v>
      </c>
      <c r="I3" s="234" t="s">
        <v>227</v>
      </c>
      <c r="J3" s="23"/>
      <c r="O3" s="99" t="s">
        <v>228</v>
      </c>
      <c r="P3" s="101"/>
      <c r="Q3" s="101"/>
      <c r="R3" s="101"/>
      <c r="S3" s="99" t="s">
        <v>229</v>
      </c>
      <c r="T3" s="100"/>
      <c r="U3" s="100"/>
      <c r="V3" s="100"/>
      <c r="W3" s="100"/>
      <c r="X3" s="100"/>
      <c r="Y3" s="100"/>
      <c r="Z3" s="100"/>
    </row>
    <row r="4" ht="15.75" customHeight="1">
      <c r="A4" s="100"/>
      <c r="B4" s="255"/>
      <c r="C4" s="234" t="s">
        <v>231</v>
      </c>
      <c r="D4" s="235"/>
      <c r="E4" s="235"/>
      <c r="F4" s="235"/>
      <c r="G4" s="235"/>
      <c r="H4" s="235"/>
      <c r="I4" s="235"/>
      <c r="J4" s="235"/>
      <c r="K4" s="101"/>
      <c r="L4" s="101"/>
      <c r="M4" s="101"/>
      <c r="N4" s="101"/>
      <c r="O4" s="101"/>
      <c r="P4" s="99" t="s">
        <v>232</v>
      </c>
      <c r="Q4" s="99" t="s">
        <v>233</v>
      </c>
      <c r="R4" s="99" t="s">
        <v>234</v>
      </c>
      <c r="S4" s="101"/>
      <c r="T4" s="100"/>
      <c r="U4" s="100"/>
      <c r="V4" s="100"/>
      <c r="W4" s="100"/>
      <c r="X4" s="100"/>
      <c r="Y4" s="100"/>
      <c r="Z4" s="100"/>
    </row>
    <row r="5" ht="15.75" customHeight="1">
      <c r="A5" s="100"/>
      <c r="B5" s="239">
        <v>1.0</v>
      </c>
      <c r="C5" s="239">
        <v>1401199.0</v>
      </c>
      <c r="D5" s="240" t="s">
        <v>673</v>
      </c>
      <c r="E5" s="234" t="s">
        <v>674</v>
      </c>
      <c r="F5" s="234" t="s">
        <v>238</v>
      </c>
      <c r="G5" s="240" t="s">
        <v>239</v>
      </c>
      <c r="H5" s="234" t="s">
        <v>240</v>
      </c>
      <c r="I5" s="234" t="s">
        <v>676</v>
      </c>
      <c r="J5" s="234" t="s">
        <v>242</v>
      </c>
      <c r="K5" s="99" t="s">
        <v>677</v>
      </c>
      <c r="L5" s="99" t="s">
        <v>540</v>
      </c>
      <c r="M5" s="101"/>
      <c r="N5" s="99" t="s">
        <v>540</v>
      </c>
      <c r="O5" s="105">
        <v>2016.0</v>
      </c>
      <c r="P5" s="99" t="s">
        <v>274</v>
      </c>
      <c r="Q5" s="99" t="s">
        <v>246</v>
      </c>
      <c r="R5" s="99" t="s">
        <v>247</v>
      </c>
      <c r="S5" s="99" t="s">
        <v>679</v>
      </c>
      <c r="T5" s="100"/>
      <c r="U5" s="100"/>
      <c r="V5" s="100"/>
      <c r="W5" s="100"/>
      <c r="X5" s="100"/>
      <c r="Y5" s="100"/>
      <c r="Z5" s="100"/>
    </row>
    <row r="6" ht="15.75" customHeight="1">
      <c r="A6" s="100"/>
      <c r="B6" s="239">
        <v>2.0</v>
      </c>
      <c r="C6" s="234" t="s">
        <v>681</v>
      </c>
      <c r="D6" s="240" t="s">
        <v>682</v>
      </c>
      <c r="E6" s="234" t="s">
        <v>683</v>
      </c>
      <c r="F6" s="234" t="s">
        <v>684</v>
      </c>
      <c r="G6" s="240" t="s">
        <v>252</v>
      </c>
      <c r="H6" s="234" t="s">
        <v>240</v>
      </c>
      <c r="I6" s="234" t="s">
        <v>676</v>
      </c>
      <c r="J6" s="234" t="s">
        <v>242</v>
      </c>
      <c r="K6" s="99" t="s">
        <v>686</v>
      </c>
      <c r="L6" s="99" t="s">
        <v>360</v>
      </c>
      <c r="M6" s="101"/>
      <c r="N6" s="99" t="s">
        <v>360</v>
      </c>
      <c r="O6" s="105">
        <v>2011.0</v>
      </c>
      <c r="P6" s="99" t="s">
        <v>245</v>
      </c>
      <c r="Q6" s="99" t="s">
        <v>246</v>
      </c>
      <c r="R6" s="99" t="s">
        <v>247</v>
      </c>
      <c r="S6" s="99" t="s">
        <v>687</v>
      </c>
      <c r="T6" s="100"/>
      <c r="U6" s="100"/>
      <c r="V6" s="100"/>
      <c r="W6" s="100"/>
      <c r="X6" s="100"/>
      <c r="Y6" s="100"/>
      <c r="Z6" s="100"/>
    </row>
    <row r="7" ht="15.75" customHeight="1">
      <c r="A7" s="100"/>
      <c r="B7" s="239">
        <v>5.0</v>
      </c>
      <c r="C7" s="234" t="s">
        <v>697</v>
      </c>
      <c r="D7" s="240" t="s">
        <v>698</v>
      </c>
      <c r="E7" s="234" t="s">
        <v>699</v>
      </c>
      <c r="F7" s="234" t="s">
        <v>700</v>
      </c>
      <c r="G7" s="240" t="s">
        <v>252</v>
      </c>
      <c r="H7" s="234" t="s">
        <v>271</v>
      </c>
      <c r="I7" s="234" t="s">
        <v>271</v>
      </c>
      <c r="J7" s="234" t="s">
        <v>242</v>
      </c>
      <c r="K7" s="99" t="s">
        <v>701</v>
      </c>
      <c r="L7" s="99" t="s">
        <v>360</v>
      </c>
      <c r="M7" s="101"/>
      <c r="N7" s="99" t="s">
        <v>360</v>
      </c>
      <c r="O7" s="105">
        <v>2011.0</v>
      </c>
      <c r="P7" s="99" t="s">
        <v>322</v>
      </c>
      <c r="Q7" s="99" t="s">
        <v>309</v>
      </c>
      <c r="R7" s="99" t="s">
        <v>257</v>
      </c>
      <c r="S7" s="99" t="s">
        <v>703</v>
      </c>
      <c r="T7" s="100"/>
      <c r="U7" s="100"/>
      <c r="V7" s="100"/>
      <c r="W7" s="100"/>
      <c r="X7" s="100"/>
      <c r="Y7" s="100"/>
      <c r="Z7" s="100"/>
    </row>
    <row r="8" ht="15.75" customHeight="1">
      <c r="A8" s="100"/>
      <c r="B8" s="239">
        <v>6.0</v>
      </c>
      <c r="C8" s="239">
        <v>1201127.0</v>
      </c>
      <c r="D8" s="240" t="s">
        <v>705</v>
      </c>
      <c r="E8" s="234" t="s">
        <v>706</v>
      </c>
      <c r="F8" s="234" t="s">
        <v>700</v>
      </c>
      <c r="G8" s="240" t="s">
        <v>252</v>
      </c>
      <c r="H8" s="234" t="s">
        <v>271</v>
      </c>
      <c r="I8" s="234" t="s">
        <v>271</v>
      </c>
      <c r="J8" s="234" t="s">
        <v>242</v>
      </c>
      <c r="K8" s="99" t="s">
        <v>708</v>
      </c>
      <c r="L8" s="99" t="s">
        <v>548</v>
      </c>
      <c r="M8" s="101"/>
      <c r="N8" s="99" t="s">
        <v>548</v>
      </c>
      <c r="O8" s="105">
        <v>2015.0</v>
      </c>
      <c r="P8" s="99" t="s">
        <v>265</v>
      </c>
      <c r="Q8" s="99" t="s">
        <v>323</v>
      </c>
      <c r="R8" s="99" t="s">
        <v>257</v>
      </c>
      <c r="S8" s="99" t="s">
        <v>709</v>
      </c>
      <c r="T8" s="100"/>
      <c r="U8" s="100"/>
      <c r="V8" s="100"/>
      <c r="W8" s="100"/>
      <c r="X8" s="100"/>
      <c r="Y8" s="100"/>
      <c r="Z8" s="100"/>
    </row>
    <row r="9" ht="15.75" customHeight="1">
      <c r="A9" s="100"/>
      <c r="B9" s="239">
        <v>8.0</v>
      </c>
      <c r="C9" s="239">
        <v>2114499.0</v>
      </c>
      <c r="D9" s="240" t="s">
        <v>715</v>
      </c>
      <c r="E9" s="234" t="s">
        <v>716</v>
      </c>
      <c r="F9" s="234" t="s">
        <v>700</v>
      </c>
      <c r="G9" s="240" t="s">
        <v>252</v>
      </c>
      <c r="H9" s="234" t="s">
        <v>271</v>
      </c>
      <c r="I9" s="234" t="s">
        <v>271</v>
      </c>
      <c r="J9" s="234" t="s">
        <v>463</v>
      </c>
      <c r="K9" s="99" t="s">
        <v>320</v>
      </c>
      <c r="L9" s="99" t="s">
        <v>321</v>
      </c>
      <c r="M9" s="99" t="s">
        <v>413</v>
      </c>
      <c r="N9" s="101"/>
      <c r="O9" s="101"/>
      <c r="P9" s="99" t="s">
        <v>508</v>
      </c>
      <c r="Q9" s="99" t="s">
        <v>275</v>
      </c>
      <c r="R9" s="99" t="s">
        <v>257</v>
      </c>
      <c r="S9" s="99" t="s">
        <v>717</v>
      </c>
      <c r="T9" s="100"/>
      <c r="U9" s="100"/>
      <c r="V9" s="100"/>
      <c r="W9" s="100"/>
      <c r="X9" s="100"/>
      <c r="Y9" s="100"/>
      <c r="Z9" s="100"/>
    </row>
    <row r="10">
      <c r="A10" s="100"/>
      <c r="B10" s="253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>
      <c r="A11" s="100"/>
      <c r="B11" s="253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>
      <c r="A12" s="100"/>
      <c r="B12" s="253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>
      <c r="A13" s="100"/>
      <c r="B13" s="253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>
      <c r="A14" s="100"/>
      <c r="B14" s="253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>
      <c r="A15" s="100"/>
      <c r="B15" s="253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>
      <c r="A16" s="100"/>
      <c r="B16" s="253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>
      <c r="A17" s="100"/>
      <c r="B17" s="253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>
      <c r="A18" s="100"/>
      <c r="B18" s="253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>
      <c r="A19" s="100"/>
      <c r="B19" s="253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>
      <c r="A20" s="100"/>
      <c r="B20" s="253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00"/>
      <c r="B21" s="253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100"/>
      <c r="B22" s="253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00"/>
      <c r="B23" s="253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100"/>
      <c r="B24" s="253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100"/>
      <c r="B25" s="253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100"/>
      <c r="B26" s="253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100"/>
      <c r="B27" s="253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100"/>
      <c r="B28" s="253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100"/>
      <c r="B29" s="253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100"/>
      <c r="B30" s="253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100"/>
      <c r="B31" s="253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100"/>
      <c r="B32" s="253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100"/>
      <c r="B33" s="253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100"/>
      <c r="B34" s="253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100"/>
      <c r="B35" s="253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100"/>
      <c r="B36" s="253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00"/>
      <c r="B37" s="253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00"/>
      <c r="B38" s="253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00"/>
      <c r="B39" s="253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0"/>
      <c r="B40" s="253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00"/>
      <c r="B41" s="253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253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253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253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253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253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253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253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253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253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253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253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253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253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253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253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253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253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253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253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253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253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253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253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253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253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253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253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253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253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253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253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253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253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253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253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253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253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253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253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253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253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253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253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253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253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253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253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253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253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253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253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253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253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253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253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253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253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253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253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253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253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253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253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253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253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253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253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253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253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253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253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253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253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253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253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253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253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253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253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253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253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253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253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253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253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253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253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253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253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253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253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253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253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253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253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253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253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253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253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253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253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253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253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253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253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253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253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253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253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253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253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253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253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253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253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253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253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253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253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253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253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253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253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253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253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253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253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253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253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253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253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253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253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253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253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253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253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253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253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253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253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253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253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253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253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253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253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253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253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253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253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253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253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253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253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253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253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253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253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253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253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253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253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253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253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253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253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253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253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253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253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253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253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253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253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253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253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253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253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S1"/>
    <mergeCell ref="J2:J3"/>
    <mergeCell ref="K2:K3"/>
    <mergeCell ref="L2:L3"/>
    <mergeCell ref="M2:M3"/>
    <mergeCell ref="N2:N3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 outlineLevelCol="2"/>
  <cols>
    <col customWidth="1" min="1" max="1" width="8.71"/>
    <col customWidth="1" min="2" max="2" width="4.86"/>
    <col customWidth="1" hidden="1" min="3" max="3" width="8.71"/>
    <col customWidth="1" min="4" max="4" width="37.29"/>
    <col customWidth="1" hidden="1" min="5" max="5" width="8.71"/>
    <col customWidth="1" min="6" max="6" width="24.14"/>
    <col customWidth="1" hidden="1" min="7" max="7" width="25.57"/>
    <col customWidth="1" hidden="1" min="8" max="8" width="15.57"/>
    <col customWidth="1" hidden="1" min="9" max="9" width="8.71"/>
    <col customWidth="1" min="10" max="10" width="18.43"/>
    <col customWidth="1" hidden="1" min="11" max="19" width="8.71"/>
    <col customWidth="1" min="20" max="26" width="8.71"/>
  </cols>
  <sheetData>
    <row r="1">
      <c r="A1" s="97" t="s">
        <v>900</v>
      </c>
      <c r="B1" s="260" t="s">
        <v>901</v>
      </c>
      <c r="T1" s="100"/>
      <c r="U1" s="100"/>
      <c r="V1" s="100"/>
      <c r="W1" s="100"/>
      <c r="X1" s="100"/>
      <c r="Y1" s="100"/>
      <c r="Z1" s="100"/>
    </row>
    <row r="2" hidden="1">
      <c r="A2" s="100"/>
      <c r="B2" s="99"/>
      <c r="C2" s="101"/>
      <c r="D2" s="261"/>
      <c r="E2" s="261"/>
      <c r="F2" s="262"/>
      <c r="G2" s="261"/>
      <c r="H2" s="261"/>
      <c r="I2" s="261"/>
      <c r="J2" s="263"/>
      <c r="K2" s="99" t="s">
        <v>217</v>
      </c>
      <c r="L2" s="99" t="s">
        <v>218</v>
      </c>
      <c r="M2" s="99" t="s">
        <v>219</v>
      </c>
      <c r="N2" s="99" t="s">
        <v>220</v>
      </c>
      <c r="O2" s="101"/>
      <c r="P2" s="101"/>
      <c r="Q2" s="101"/>
      <c r="R2" s="101"/>
      <c r="S2" s="101"/>
      <c r="T2" s="100"/>
      <c r="U2" s="100"/>
      <c r="V2" s="100"/>
      <c r="W2" s="100"/>
      <c r="X2" s="100"/>
      <c r="Y2" s="100"/>
      <c r="Z2" s="100"/>
    </row>
    <row r="3">
      <c r="A3" s="100"/>
      <c r="B3" s="99"/>
      <c r="C3" s="101"/>
      <c r="D3" s="261"/>
      <c r="E3" s="264" t="s">
        <v>223</v>
      </c>
      <c r="F3" s="262"/>
      <c r="G3" s="264" t="s">
        <v>225</v>
      </c>
      <c r="H3" s="264" t="s">
        <v>226</v>
      </c>
      <c r="I3" s="264" t="s">
        <v>227</v>
      </c>
      <c r="J3" s="203"/>
      <c r="O3" s="99" t="s">
        <v>228</v>
      </c>
      <c r="P3" s="101"/>
      <c r="Q3" s="101"/>
      <c r="R3" s="101"/>
      <c r="S3" s="99" t="s">
        <v>229</v>
      </c>
      <c r="T3" s="100"/>
      <c r="U3" s="100"/>
      <c r="V3" s="100"/>
      <c r="W3" s="100"/>
      <c r="X3" s="100"/>
      <c r="Y3" s="100"/>
      <c r="Z3" s="100"/>
    </row>
    <row r="4">
      <c r="A4" s="100"/>
      <c r="B4" s="234" t="s">
        <v>230</v>
      </c>
      <c r="C4" s="234" t="s">
        <v>231</v>
      </c>
      <c r="D4" s="265" t="s">
        <v>222</v>
      </c>
      <c r="E4" s="265"/>
      <c r="F4" s="265" t="s">
        <v>224</v>
      </c>
      <c r="G4" s="265"/>
      <c r="H4" s="265"/>
      <c r="I4" s="265"/>
      <c r="J4" s="265" t="s">
        <v>216</v>
      </c>
      <c r="K4" s="101"/>
      <c r="L4" s="101"/>
      <c r="M4" s="101"/>
      <c r="N4" s="101"/>
      <c r="O4" s="101"/>
      <c r="P4" s="99" t="s">
        <v>232</v>
      </c>
      <c r="Q4" s="99" t="s">
        <v>233</v>
      </c>
      <c r="R4" s="99" t="s">
        <v>234</v>
      </c>
      <c r="S4" s="101"/>
      <c r="T4" s="100"/>
      <c r="U4" s="100"/>
      <c r="V4" s="100"/>
      <c r="W4" s="100"/>
      <c r="X4" s="100"/>
      <c r="Y4" s="100"/>
      <c r="Z4" s="100"/>
    </row>
    <row r="5">
      <c r="A5" s="100"/>
      <c r="B5" s="239">
        <v>1.0</v>
      </c>
      <c r="C5" s="239">
        <v>1401209.0</v>
      </c>
      <c r="D5" s="267" t="s">
        <v>909</v>
      </c>
      <c r="E5" s="265" t="s">
        <v>910</v>
      </c>
      <c r="F5" s="267" t="s">
        <v>911</v>
      </c>
      <c r="G5" s="267" t="s">
        <v>239</v>
      </c>
      <c r="H5" s="265" t="s">
        <v>240</v>
      </c>
      <c r="I5" s="265" t="s">
        <v>676</v>
      </c>
      <c r="J5" s="265" t="s">
        <v>242</v>
      </c>
      <c r="K5" s="99" t="s">
        <v>912</v>
      </c>
      <c r="L5" s="99" t="s">
        <v>913</v>
      </c>
      <c r="M5" s="101"/>
      <c r="N5" s="99" t="s">
        <v>913</v>
      </c>
      <c r="O5" s="105">
        <v>2017.0</v>
      </c>
      <c r="P5" s="99" t="s">
        <v>245</v>
      </c>
      <c r="Q5" s="99" t="s">
        <v>246</v>
      </c>
      <c r="R5" s="99" t="s">
        <v>247</v>
      </c>
      <c r="S5" s="99" t="s">
        <v>914</v>
      </c>
      <c r="T5" s="100"/>
      <c r="U5" s="100"/>
      <c r="V5" s="100"/>
      <c r="W5" s="100"/>
      <c r="X5" s="100"/>
      <c r="Y5" s="100"/>
      <c r="Z5" s="100"/>
    </row>
    <row r="6">
      <c r="A6" s="100"/>
      <c r="B6" s="239">
        <v>2.0</v>
      </c>
      <c r="C6" s="239">
        <v>1301232.0</v>
      </c>
      <c r="D6" s="267" t="s">
        <v>915</v>
      </c>
      <c r="E6" s="265" t="s">
        <v>916</v>
      </c>
      <c r="F6" s="267" t="s">
        <v>917</v>
      </c>
      <c r="G6" s="267" t="s">
        <v>344</v>
      </c>
      <c r="H6" s="265" t="s">
        <v>240</v>
      </c>
      <c r="I6" s="265" t="s">
        <v>919</v>
      </c>
      <c r="J6" s="265" t="s">
        <v>242</v>
      </c>
      <c r="K6" s="99" t="s">
        <v>920</v>
      </c>
      <c r="L6" s="99" t="s">
        <v>913</v>
      </c>
      <c r="M6" s="101"/>
      <c r="N6" s="99" t="s">
        <v>913</v>
      </c>
      <c r="O6" s="105">
        <v>2017.0</v>
      </c>
      <c r="P6" s="99" t="s">
        <v>245</v>
      </c>
      <c r="Q6" s="99" t="s">
        <v>323</v>
      </c>
      <c r="R6" s="99" t="s">
        <v>247</v>
      </c>
      <c r="S6" s="99" t="s">
        <v>921</v>
      </c>
      <c r="T6" s="100"/>
      <c r="U6" s="100"/>
      <c r="V6" s="100"/>
      <c r="W6" s="100"/>
      <c r="X6" s="100"/>
      <c r="Y6" s="100"/>
      <c r="Z6" s="100"/>
    </row>
    <row r="7">
      <c r="A7" s="100"/>
      <c r="B7" s="239">
        <v>3.0</v>
      </c>
      <c r="C7" s="239">
        <v>1101067.0</v>
      </c>
      <c r="D7" s="267" t="s">
        <v>923</v>
      </c>
      <c r="E7" s="265" t="s">
        <v>924</v>
      </c>
      <c r="F7" s="267" t="s">
        <v>925</v>
      </c>
      <c r="G7" s="267" t="s">
        <v>252</v>
      </c>
      <c r="H7" s="265" t="s">
        <v>240</v>
      </c>
      <c r="I7" s="265" t="s">
        <v>676</v>
      </c>
      <c r="J7" s="265" t="s">
        <v>242</v>
      </c>
      <c r="K7" s="99" t="s">
        <v>926</v>
      </c>
      <c r="L7" s="99" t="s">
        <v>403</v>
      </c>
      <c r="M7" s="101"/>
      <c r="N7" s="99" t="s">
        <v>403</v>
      </c>
      <c r="O7" s="105">
        <v>2014.0</v>
      </c>
      <c r="P7" s="99" t="s">
        <v>274</v>
      </c>
      <c r="Q7" s="99" t="s">
        <v>275</v>
      </c>
      <c r="R7" s="99" t="s">
        <v>247</v>
      </c>
      <c r="S7" s="99" t="s">
        <v>927</v>
      </c>
      <c r="T7" s="100"/>
      <c r="U7" s="100"/>
      <c r="V7" s="100"/>
      <c r="W7" s="100"/>
      <c r="X7" s="100"/>
      <c r="Y7" s="100"/>
      <c r="Z7" s="100"/>
    </row>
    <row r="8">
      <c r="A8" s="100"/>
      <c r="B8" s="239">
        <v>4.0</v>
      </c>
      <c r="C8" s="239">
        <v>2214721.0</v>
      </c>
      <c r="D8" s="267" t="s">
        <v>928</v>
      </c>
      <c r="E8" s="265" t="s">
        <v>929</v>
      </c>
      <c r="F8" s="267" t="s">
        <v>930</v>
      </c>
      <c r="G8" s="267" t="s">
        <v>931</v>
      </c>
      <c r="H8" s="265" t="s">
        <v>931</v>
      </c>
      <c r="I8" s="265" t="s">
        <v>931</v>
      </c>
      <c r="J8" s="265" t="s">
        <v>242</v>
      </c>
      <c r="K8" s="99" t="s">
        <v>285</v>
      </c>
      <c r="L8" s="99" t="s">
        <v>299</v>
      </c>
      <c r="M8" s="101"/>
      <c r="N8" s="99" t="s">
        <v>299</v>
      </c>
      <c r="O8" s="105">
        <v>2023.0</v>
      </c>
      <c r="P8" s="99" t="s">
        <v>265</v>
      </c>
      <c r="Q8" s="99" t="s">
        <v>309</v>
      </c>
      <c r="R8" s="99" t="s">
        <v>257</v>
      </c>
      <c r="S8" s="99" t="s">
        <v>932</v>
      </c>
      <c r="T8" s="100"/>
      <c r="U8" s="100"/>
      <c r="V8" s="100"/>
      <c r="W8" s="100"/>
      <c r="X8" s="100"/>
      <c r="Y8" s="100"/>
      <c r="Z8" s="100"/>
    </row>
    <row r="9">
      <c r="A9" s="100"/>
      <c r="B9" s="239">
        <v>5.0</v>
      </c>
      <c r="C9" s="239">
        <v>1914270.0</v>
      </c>
      <c r="D9" s="267" t="s">
        <v>933</v>
      </c>
      <c r="E9" s="265" t="s">
        <v>934</v>
      </c>
      <c r="F9" s="267" t="s">
        <v>935</v>
      </c>
      <c r="G9" s="267" t="s">
        <v>344</v>
      </c>
      <c r="H9" s="265" t="s">
        <v>253</v>
      </c>
      <c r="I9" s="265" t="s">
        <v>254</v>
      </c>
      <c r="J9" s="265" t="s">
        <v>242</v>
      </c>
      <c r="K9" s="99" t="s">
        <v>255</v>
      </c>
      <c r="L9" s="99" t="s">
        <v>320</v>
      </c>
      <c r="M9" s="101"/>
      <c r="N9" s="99" t="s">
        <v>320</v>
      </c>
      <c r="O9" s="105">
        <v>2021.0</v>
      </c>
      <c r="P9" s="99" t="s">
        <v>256</v>
      </c>
      <c r="Q9" s="99" t="s">
        <v>246</v>
      </c>
      <c r="R9" s="99" t="s">
        <v>247</v>
      </c>
      <c r="S9" s="99" t="s">
        <v>936</v>
      </c>
      <c r="T9" s="100"/>
      <c r="U9" s="100"/>
      <c r="V9" s="100"/>
      <c r="W9" s="100"/>
      <c r="X9" s="100"/>
      <c r="Y9" s="100"/>
      <c r="Z9" s="100"/>
    </row>
    <row r="10">
      <c r="A10" s="100"/>
      <c r="B10" s="239">
        <v>6.0</v>
      </c>
      <c r="C10" s="234" t="s">
        <v>937</v>
      </c>
      <c r="D10" s="267" t="s">
        <v>938</v>
      </c>
      <c r="E10" s="265" t="s">
        <v>939</v>
      </c>
      <c r="F10" s="267" t="s">
        <v>940</v>
      </c>
      <c r="G10" s="267" t="s">
        <v>344</v>
      </c>
      <c r="H10" s="265" t="s">
        <v>253</v>
      </c>
      <c r="I10" s="265" t="s">
        <v>518</v>
      </c>
      <c r="J10" s="265" t="s">
        <v>242</v>
      </c>
      <c r="K10" s="99" t="s">
        <v>941</v>
      </c>
      <c r="L10" s="99" t="s">
        <v>942</v>
      </c>
      <c r="M10" s="101"/>
      <c r="N10" s="99" t="s">
        <v>942</v>
      </c>
      <c r="O10" s="105">
        <v>2013.0</v>
      </c>
      <c r="P10" s="99" t="s">
        <v>265</v>
      </c>
      <c r="Q10" s="99" t="s">
        <v>361</v>
      </c>
      <c r="R10" s="99" t="s">
        <v>257</v>
      </c>
      <c r="S10" s="99" t="s">
        <v>943</v>
      </c>
      <c r="T10" s="100"/>
      <c r="U10" s="100"/>
      <c r="V10" s="100"/>
      <c r="W10" s="100"/>
      <c r="X10" s="100"/>
      <c r="Y10" s="100"/>
      <c r="Z10" s="100"/>
    </row>
    <row r="11">
      <c r="A11" s="100"/>
      <c r="B11" s="239">
        <v>7.0</v>
      </c>
      <c r="C11" s="239">
        <v>2114590.0</v>
      </c>
      <c r="D11" s="267" t="s">
        <v>944</v>
      </c>
      <c r="E11" s="265" t="s">
        <v>945</v>
      </c>
      <c r="F11" s="267" t="s">
        <v>946</v>
      </c>
      <c r="G11" s="267" t="s">
        <v>239</v>
      </c>
      <c r="H11" s="265" t="s">
        <v>271</v>
      </c>
      <c r="I11" s="265" t="s">
        <v>271</v>
      </c>
      <c r="J11" s="265" t="s">
        <v>242</v>
      </c>
      <c r="K11" s="99" t="s">
        <v>393</v>
      </c>
      <c r="L11" s="99" t="s">
        <v>299</v>
      </c>
      <c r="M11" s="101"/>
      <c r="N11" s="99" t="s">
        <v>299</v>
      </c>
      <c r="O11" s="105">
        <v>2023.0</v>
      </c>
      <c r="P11" s="99" t="s">
        <v>300</v>
      </c>
      <c r="Q11" s="99" t="s">
        <v>309</v>
      </c>
      <c r="R11" s="99" t="s">
        <v>257</v>
      </c>
      <c r="S11" s="99" t="s">
        <v>947</v>
      </c>
      <c r="T11" s="100"/>
      <c r="U11" s="100"/>
      <c r="V11" s="100"/>
      <c r="W11" s="100"/>
      <c r="X11" s="100"/>
      <c r="Y11" s="100"/>
      <c r="Z11" s="100"/>
    </row>
    <row r="12">
      <c r="A12" s="100"/>
      <c r="B12" s="239">
        <v>8.0</v>
      </c>
      <c r="C12" s="239">
        <v>1101229.0</v>
      </c>
      <c r="D12" s="267" t="s">
        <v>948</v>
      </c>
      <c r="E12" s="265" t="s">
        <v>949</v>
      </c>
      <c r="F12" s="267" t="s">
        <v>950</v>
      </c>
      <c r="G12" s="267" t="s">
        <v>252</v>
      </c>
      <c r="H12" s="265" t="s">
        <v>271</v>
      </c>
      <c r="I12" s="265" t="s">
        <v>271</v>
      </c>
      <c r="J12" s="265" t="s">
        <v>242</v>
      </c>
      <c r="K12" s="99" t="s">
        <v>360</v>
      </c>
      <c r="L12" s="99" t="s">
        <v>548</v>
      </c>
      <c r="M12" s="101"/>
      <c r="N12" s="99" t="s">
        <v>548</v>
      </c>
      <c r="O12" s="105">
        <v>2015.0</v>
      </c>
      <c r="P12" s="99" t="s">
        <v>265</v>
      </c>
      <c r="Q12" s="99" t="s">
        <v>309</v>
      </c>
      <c r="R12" s="99" t="s">
        <v>257</v>
      </c>
      <c r="S12" s="99" t="s">
        <v>951</v>
      </c>
      <c r="T12" s="100"/>
      <c r="U12" s="100"/>
      <c r="V12" s="100"/>
      <c r="W12" s="100"/>
      <c r="X12" s="100"/>
      <c r="Y12" s="100"/>
      <c r="Z12" s="100"/>
    </row>
    <row r="13">
      <c r="A13" s="100"/>
      <c r="B13" s="239">
        <v>9.0</v>
      </c>
      <c r="C13" s="239">
        <v>1201239.0</v>
      </c>
      <c r="D13" s="267" t="s">
        <v>952</v>
      </c>
      <c r="E13" s="265" t="s">
        <v>953</v>
      </c>
      <c r="F13" s="267" t="s">
        <v>950</v>
      </c>
      <c r="G13" s="267" t="s">
        <v>252</v>
      </c>
      <c r="H13" s="265" t="s">
        <v>271</v>
      </c>
      <c r="I13" s="265" t="s">
        <v>271</v>
      </c>
      <c r="J13" s="265" t="s">
        <v>242</v>
      </c>
      <c r="K13" s="99" t="s">
        <v>954</v>
      </c>
      <c r="L13" s="99" t="s">
        <v>955</v>
      </c>
      <c r="M13" s="101"/>
      <c r="N13" s="99" t="s">
        <v>955</v>
      </c>
      <c r="O13" s="105">
        <v>2018.0</v>
      </c>
      <c r="P13" s="99" t="s">
        <v>274</v>
      </c>
      <c r="Q13" s="99" t="s">
        <v>309</v>
      </c>
      <c r="R13" s="99" t="s">
        <v>257</v>
      </c>
      <c r="S13" s="99" t="s">
        <v>956</v>
      </c>
      <c r="T13" s="100"/>
      <c r="U13" s="100"/>
      <c r="V13" s="100"/>
      <c r="W13" s="100"/>
      <c r="X13" s="100"/>
      <c r="Y13" s="100"/>
      <c r="Z13" s="100"/>
    </row>
    <row r="14">
      <c r="A14" s="100"/>
      <c r="B14" s="239">
        <v>10.0</v>
      </c>
      <c r="C14" s="239">
        <v>1101230.0</v>
      </c>
      <c r="D14" s="267" t="s">
        <v>957</v>
      </c>
      <c r="E14" s="265" t="s">
        <v>958</v>
      </c>
      <c r="F14" s="267" t="s">
        <v>950</v>
      </c>
      <c r="G14" s="267" t="s">
        <v>252</v>
      </c>
      <c r="H14" s="265" t="s">
        <v>271</v>
      </c>
      <c r="I14" s="265" t="s">
        <v>271</v>
      </c>
      <c r="J14" s="265" t="s">
        <v>242</v>
      </c>
      <c r="K14" s="99" t="s">
        <v>961</v>
      </c>
      <c r="L14" s="99" t="s">
        <v>955</v>
      </c>
      <c r="M14" s="101"/>
      <c r="N14" s="99" t="s">
        <v>955</v>
      </c>
      <c r="O14" s="105">
        <v>2018.0</v>
      </c>
      <c r="P14" s="99" t="s">
        <v>508</v>
      </c>
      <c r="Q14" s="99" t="s">
        <v>323</v>
      </c>
      <c r="R14" s="99" t="s">
        <v>257</v>
      </c>
      <c r="S14" s="99" t="s">
        <v>962</v>
      </c>
      <c r="T14" s="100"/>
      <c r="U14" s="100"/>
      <c r="V14" s="100"/>
      <c r="W14" s="100"/>
      <c r="X14" s="100"/>
      <c r="Y14" s="100"/>
      <c r="Z14" s="100"/>
    </row>
    <row r="15">
      <c r="A15" s="100"/>
      <c r="B15" s="239">
        <v>11.0</v>
      </c>
      <c r="C15" s="239">
        <v>1001228.0</v>
      </c>
      <c r="D15" s="267" t="s">
        <v>963</v>
      </c>
      <c r="E15" s="265" t="s">
        <v>964</v>
      </c>
      <c r="F15" s="267" t="s">
        <v>950</v>
      </c>
      <c r="G15" s="267" t="s">
        <v>252</v>
      </c>
      <c r="H15" s="265" t="s">
        <v>271</v>
      </c>
      <c r="I15" s="265" t="s">
        <v>271</v>
      </c>
      <c r="J15" s="265" t="s">
        <v>242</v>
      </c>
      <c r="K15" s="99" t="s">
        <v>966</v>
      </c>
      <c r="L15" s="99" t="s">
        <v>540</v>
      </c>
      <c r="M15" s="101"/>
      <c r="N15" s="99" t="s">
        <v>540</v>
      </c>
      <c r="O15" s="105">
        <v>2016.0</v>
      </c>
      <c r="P15" s="99" t="s">
        <v>274</v>
      </c>
      <c r="Q15" s="99" t="s">
        <v>323</v>
      </c>
      <c r="R15" s="99" t="s">
        <v>257</v>
      </c>
      <c r="S15" s="99" t="s">
        <v>968</v>
      </c>
      <c r="T15" s="100"/>
      <c r="U15" s="100"/>
      <c r="V15" s="100"/>
      <c r="W15" s="100"/>
      <c r="X15" s="100"/>
      <c r="Y15" s="100"/>
      <c r="Z15" s="100"/>
    </row>
    <row r="16">
      <c r="A16" s="100"/>
      <c r="B16" s="239">
        <v>12.0</v>
      </c>
      <c r="C16" s="234" t="s">
        <v>969</v>
      </c>
      <c r="D16" s="267" t="s">
        <v>970</v>
      </c>
      <c r="E16" s="269">
        <v>1106279.0</v>
      </c>
      <c r="F16" s="267" t="s">
        <v>971</v>
      </c>
      <c r="G16" s="267" t="s">
        <v>344</v>
      </c>
      <c r="H16" s="265" t="s">
        <v>290</v>
      </c>
      <c r="I16" s="265" t="s">
        <v>291</v>
      </c>
      <c r="J16" s="265" t="s">
        <v>242</v>
      </c>
      <c r="K16" s="99" t="s">
        <v>972</v>
      </c>
      <c r="L16" s="99" t="s">
        <v>812</v>
      </c>
      <c r="M16" s="101"/>
      <c r="N16" s="99" t="s">
        <v>812</v>
      </c>
      <c r="O16" s="105">
        <v>2005.0</v>
      </c>
      <c r="P16" s="99" t="s">
        <v>265</v>
      </c>
      <c r="Q16" s="99" t="s">
        <v>309</v>
      </c>
      <c r="R16" s="99" t="s">
        <v>257</v>
      </c>
      <c r="S16" s="99" t="s">
        <v>974</v>
      </c>
      <c r="T16" s="100"/>
      <c r="U16" s="100"/>
      <c r="V16" s="100"/>
      <c r="W16" s="100"/>
      <c r="X16" s="100"/>
      <c r="Y16" s="100"/>
      <c r="Z16" s="100"/>
    </row>
    <row r="17">
      <c r="A17" s="100"/>
      <c r="B17" s="239">
        <v>13.0</v>
      </c>
      <c r="C17" s="234" t="s">
        <v>975</v>
      </c>
      <c r="D17" s="267" t="s">
        <v>976</v>
      </c>
      <c r="E17" s="265" t="s">
        <v>977</v>
      </c>
      <c r="F17" s="267" t="s">
        <v>978</v>
      </c>
      <c r="G17" s="267" t="s">
        <v>344</v>
      </c>
      <c r="H17" s="265" t="s">
        <v>290</v>
      </c>
      <c r="I17" s="265" t="s">
        <v>37</v>
      </c>
      <c r="J17" s="265" t="s">
        <v>242</v>
      </c>
      <c r="K17" s="99" t="s">
        <v>979</v>
      </c>
      <c r="L17" s="99" t="s">
        <v>255</v>
      </c>
      <c r="M17" s="101"/>
      <c r="N17" s="99" t="s">
        <v>255</v>
      </c>
      <c r="O17" s="105">
        <v>2019.0</v>
      </c>
      <c r="P17" s="99" t="s">
        <v>256</v>
      </c>
      <c r="Q17" s="99" t="s">
        <v>246</v>
      </c>
      <c r="R17" s="99" t="s">
        <v>257</v>
      </c>
      <c r="S17" s="99" t="s">
        <v>980</v>
      </c>
      <c r="T17" s="100"/>
      <c r="U17" s="100"/>
      <c r="V17" s="100"/>
      <c r="W17" s="100"/>
      <c r="X17" s="100"/>
      <c r="Y17" s="100"/>
      <c r="Z17" s="100"/>
    </row>
    <row r="18">
      <c r="A18" s="100"/>
      <c r="B18" s="239">
        <v>14.0</v>
      </c>
      <c r="C18" s="234" t="s">
        <v>981</v>
      </c>
      <c r="D18" s="267" t="s">
        <v>982</v>
      </c>
      <c r="E18" s="265" t="s">
        <v>983</v>
      </c>
      <c r="F18" s="267" t="s">
        <v>985</v>
      </c>
      <c r="G18" s="267" t="s">
        <v>252</v>
      </c>
      <c r="H18" s="265" t="s">
        <v>290</v>
      </c>
      <c r="I18" s="265" t="s">
        <v>291</v>
      </c>
      <c r="J18" s="265" t="s">
        <v>242</v>
      </c>
      <c r="K18" s="99" t="s">
        <v>987</v>
      </c>
      <c r="L18" s="99" t="s">
        <v>255</v>
      </c>
      <c r="M18" s="101"/>
      <c r="N18" s="99" t="s">
        <v>255</v>
      </c>
      <c r="O18" s="105">
        <v>2019.0</v>
      </c>
      <c r="P18" s="99" t="s">
        <v>265</v>
      </c>
      <c r="Q18" s="99" t="s">
        <v>323</v>
      </c>
      <c r="R18" s="99" t="s">
        <v>257</v>
      </c>
      <c r="S18" s="99" t="s">
        <v>988</v>
      </c>
      <c r="T18" s="100"/>
      <c r="U18" s="100"/>
      <c r="V18" s="100"/>
      <c r="W18" s="100"/>
      <c r="X18" s="100"/>
      <c r="Y18" s="100"/>
      <c r="Z18" s="100"/>
    </row>
    <row r="19">
      <c r="A19" s="100"/>
      <c r="B19" s="239">
        <v>15.0</v>
      </c>
      <c r="C19" s="239">
        <v>2114503.0</v>
      </c>
      <c r="D19" s="267" t="s">
        <v>989</v>
      </c>
      <c r="E19" s="265" t="s">
        <v>990</v>
      </c>
      <c r="F19" s="267" t="s">
        <v>991</v>
      </c>
      <c r="G19" s="267" t="s">
        <v>252</v>
      </c>
      <c r="H19" s="265" t="s">
        <v>314</v>
      </c>
      <c r="I19" s="265" t="s">
        <v>546</v>
      </c>
      <c r="J19" s="265" t="s">
        <v>242</v>
      </c>
      <c r="K19" s="99" t="s">
        <v>320</v>
      </c>
      <c r="L19" s="99" t="s">
        <v>299</v>
      </c>
      <c r="M19" s="101"/>
      <c r="N19" s="99" t="s">
        <v>299</v>
      </c>
      <c r="O19" s="105">
        <v>2023.0</v>
      </c>
      <c r="P19" s="99" t="s">
        <v>274</v>
      </c>
      <c r="Q19" s="99" t="s">
        <v>323</v>
      </c>
      <c r="R19" s="99" t="s">
        <v>247</v>
      </c>
      <c r="S19" s="99" t="s">
        <v>992</v>
      </c>
      <c r="T19" s="100"/>
      <c r="U19" s="100"/>
      <c r="V19" s="100"/>
      <c r="W19" s="100"/>
      <c r="X19" s="100"/>
      <c r="Y19" s="100"/>
      <c r="Z19" s="100"/>
    </row>
    <row r="20">
      <c r="A20" s="100"/>
      <c r="B20" s="239">
        <v>16.0</v>
      </c>
      <c r="C20" s="234" t="s">
        <v>993</v>
      </c>
      <c r="D20" s="267" t="s">
        <v>995</v>
      </c>
      <c r="E20" s="265" t="s">
        <v>996</v>
      </c>
      <c r="F20" s="267" t="s">
        <v>997</v>
      </c>
      <c r="G20" s="267" t="s">
        <v>344</v>
      </c>
      <c r="H20" s="265" t="s">
        <v>314</v>
      </c>
      <c r="I20" s="265" t="s">
        <v>998</v>
      </c>
      <c r="J20" s="265" t="s">
        <v>242</v>
      </c>
      <c r="K20" s="99" t="s">
        <v>961</v>
      </c>
      <c r="L20" s="99" t="s">
        <v>955</v>
      </c>
      <c r="M20" s="101"/>
      <c r="N20" s="99" t="s">
        <v>955</v>
      </c>
      <c r="O20" s="105">
        <v>2018.0</v>
      </c>
      <c r="P20" s="99" t="s">
        <v>322</v>
      </c>
      <c r="Q20" s="99" t="s">
        <v>323</v>
      </c>
      <c r="R20" s="99" t="s">
        <v>257</v>
      </c>
      <c r="S20" s="99" t="s">
        <v>1001</v>
      </c>
      <c r="T20" s="100"/>
      <c r="U20" s="100"/>
      <c r="V20" s="100"/>
      <c r="W20" s="100"/>
      <c r="X20" s="100"/>
      <c r="Y20" s="100"/>
      <c r="Z20" s="100"/>
    </row>
    <row r="21" ht="15.75" customHeight="1">
      <c r="A21" s="100"/>
      <c r="B21" s="239">
        <v>17.0</v>
      </c>
      <c r="C21" s="239">
        <v>1301234.0</v>
      </c>
      <c r="D21" s="267" t="s">
        <v>1007</v>
      </c>
      <c r="E21" s="265" t="s">
        <v>1008</v>
      </c>
      <c r="F21" s="267" t="s">
        <v>997</v>
      </c>
      <c r="G21" s="267" t="s">
        <v>344</v>
      </c>
      <c r="H21" s="265" t="s">
        <v>314</v>
      </c>
      <c r="I21" s="265" t="s">
        <v>998</v>
      </c>
      <c r="J21" s="265" t="s">
        <v>242</v>
      </c>
      <c r="K21" s="99" t="s">
        <v>1009</v>
      </c>
      <c r="L21" s="99" t="s">
        <v>955</v>
      </c>
      <c r="M21" s="101"/>
      <c r="N21" s="99" t="s">
        <v>955</v>
      </c>
      <c r="O21" s="105">
        <v>2018.0</v>
      </c>
      <c r="P21" s="99" t="s">
        <v>508</v>
      </c>
      <c r="Q21" s="99" t="s">
        <v>309</v>
      </c>
      <c r="R21" s="99" t="s">
        <v>257</v>
      </c>
      <c r="S21" s="99" t="s">
        <v>1010</v>
      </c>
      <c r="T21" s="100"/>
      <c r="U21" s="100"/>
      <c r="V21" s="100"/>
      <c r="W21" s="100"/>
      <c r="X21" s="100"/>
      <c r="Y21" s="100"/>
      <c r="Z21" s="100"/>
    </row>
    <row r="22" ht="15.75" customHeight="1">
      <c r="A22" s="100"/>
      <c r="B22" s="239">
        <v>18.0</v>
      </c>
      <c r="C22" s="239">
        <v>1101233.0</v>
      </c>
      <c r="D22" s="267" t="s">
        <v>1011</v>
      </c>
      <c r="E22" s="265" t="s">
        <v>1012</v>
      </c>
      <c r="F22" s="267" t="s">
        <v>1013</v>
      </c>
      <c r="G22" s="267" t="s">
        <v>252</v>
      </c>
      <c r="H22" s="265" t="s">
        <v>314</v>
      </c>
      <c r="I22" s="265" t="s">
        <v>319</v>
      </c>
      <c r="J22" s="265" t="s">
        <v>242</v>
      </c>
      <c r="K22" s="99" t="s">
        <v>979</v>
      </c>
      <c r="L22" s="99" t="s">
        <v>255</v>
      </c>
      <c r="M22" s="101"/>
      <c r="N22" s="99" t="s">
        <v>255</v>
      </c>
      <c r="O22" s="105">
        <v>2019.0</v>
      </c>
      <c r="P22" s="99" t="s">
        <v>322</v>
      </c>
      <c r="Q22" s="99" t="s">
        <v>323</v>
      </c>
      <c r="R22" s="99" t="s">
        <v>257</v>
      </c>
      <c r="S22" s="99" t="s">
        <v>1016</v>
      </c>
      <c r="T22" s="100"/>
      <c r="U22" s="100"/>
      <c r="V22" s="100"/>
      <c r="W22" s="100"/>
      <c r="X22" s="100"/>
      <c r="Y22" s="100"/>
      <c r="Z22" s="100"/>
    </row>
    <row r="23" ht="15.75" customHeight="1">
      <c r="A23" s="100"/>
      <c r="B23" s="239">
        <v>19.0</v>
      </c>
      <c r="C23" s="234" t="s">
        <v>1017</v>
      </c>
      <c r="D23" s="267" t="s">
        <v>1018</v>
      </c>
      <c r="E23" s="265" t="s">
        <v>1019</v>
      </c>
      <c r="F23" s="267" t="s">
        <v>1020</v>
      </c>
      <c r="G23" s="267" t="s">
        <v>252</v>
      </c>
      <c r="H23" s="265" t="s">
        <v>314</v>
      </c>
      <c r="I23" s="265" t="s">
        <v>319</v>
      </c>
      <c r="J23" s="265" t="s">
        <v>242</v>
      </c>
      <c r="K23" s="99" t="s">
        <v>1021</v>
      </c>
      <c r="L23" s="99" t="s">
        <v>255</v>
      </c>
      <c r="M23" s="101"/>
      <c r="N23" s="99" t="s">
        <v>255</v>
      </c>
      <c r="O23" s="105">
        <v>2019.0</v>
      </c>
      <c r="P23" s="99" t="s">
        <v>322</v>
      </c>
      <c r="Q23" s="99" t="s">
        <v>361</v>
      </c>
      <c r="R23" s="99" t="s">
        <v>257</v>
      </c>
      <c r="S23" s="99" t="s">
        <v>1022</v>
      </c>
      <c r="T23" s="100"/>
      <c r="U23" s="100"/>
      <c r="V23" s="100"/>
      <c r="W23" s="100"/>
      <c r="X23" s="100"/>
      <c r="Y23" s="100"/>
      <c r="Z23" s="100"/>
    </row>
    <row r="24" ht="15.75" customHeight="1">
      <c r="A24" s="100"/>
      <c r="B24" s="239">
        <v>20.0</v>
      </c>
      <c r="C24" s="234" t="s">
        <v>1023</v>
      </c>
      <c r="D24" s="267" t="s">
        <v>1024</v>
      </c>
      <c r="E24" s="265" t="s">
        <v>1025</v>
      </c>
      <c r="F24" s="267" t="s">
        <v>1026</v>
      </c>
      <c r="G24" s="267" t="s">
        <v>344</v>
      </c>
      <c r="H24" s="265" t="s">
        <v>314</v>
      </c>
      <c r="I24" s="265" t="s">
        <v>998</v>
      </c>
      <c r="J24" s="265" t="s">
        <v>242</v>
      </c>
      <c r="K24" s="99" t="s">
        <v>1009</v>
      </c>
      <c r="L24" s="99" t="s">
        <v>955</v>
      </c>
      <c r="M24" s="101"/>
      <c r="N24" s="99" t="s">
        <v>955</v>
      </c>
      <c r="O24" s="105">
        <v>2018.0</v>
      </c>
      <c r="P24" s="99" t="s">
        <v>322</v>
      </c>
      <c r="Q24" s="99" t="s">
        <v>309</v>
      </c>
      <c r="R24" s="99" t="s">
        <v>257</v>
      </c>
      <c r="S24" s="99" t="s">
        <v>1027</v>
      </c>
      <c r="T24" s="100"/>
      <c r="U24" s="100"/>
      <c r="V24" s="100"/>
      <c r="W24" s="100"/>
      <c r="X24" s="100"/>
      <c r="Y24" s="100"/>
      <c r="Z24" s="100"/>
    </row>
    <row r="25" ht="15.75" customHeight="1">
      <c r="A25" s="100"/>
      <c r="B25" s="239">
        <v>21.0</v>
      </c>
      <c r="C25" s="239">
        <v>1301235.0</v>
      </c>
      <c r="D25" s="267" t="s">
        <v>1028</v>
      </c>
      <c r="E25" s="265" t="s">
        <v>1029</v>
      </c>
      <c r="F25" s="267" t="s">
        <v>1026</v>
      </c>
      <c r="G25" s="267" t="s">
        <v>344</v>
      </c>
      <c r="H25" s="265" t="s">
        <v>314</v>
      </c>
      <c r="I25" s="265" t="s">
        <v>998</v>
      </c>
      <c r="J25" s="265" t="s">
        <v>242</v>
      </c>
      <c r="K25" s="99" t="s">
        <v>1009</v>
      </c>
      <c r="L25" s="99" t="s">
        <v>955</v>
      </c>
      <c r="M25" s="101"/>
      <c r="N25" s="99" t="s">
        <v>955</v>
      </c>
      <c r="O25" s="105">
        <v>2018.0</v>
      </c>
      <c r="P25" s="99" t="s">
        <v>508</v>
      </c>
      <c r="Q25" s="99" t="s">
        <v>309</v>
      </c>
      <c r="R25" s="99" t="s">
        <v>257</v>
      </c>
      <c r="S25" s="99" t="s">
        <v>1030</v>
      </c>
      <c r="T25" s="100"/>
      <c r="U25" s="100"/>
      <c r="V25" s="100"/>
      <c r="W25" s="100"/>
      <c r="X25" s="100"/>
      <c r="Y25" s="100"/>
      <c r="Z25" s="100"/>
    </row>
    <row r="26" ht="15.75" customHeight="1">
      <c r="A26" s="100"/>
      <c r="B26" s="239">
        <v>22.0</v>
      </c>
      <c r="C26" s="234" t="s">
        <v>1031</v>
      </c>
      <c r="D26" s="267" t="s">
        <v>1032</v>
      </c>
      <c r="E26" s="265" t="s">
        <v>1033</v>
      </c>
      <c r="F26" s="267" t="s">
        <v>1034</v>
      </c>
      <c r="G26" s="267" t="s">
        <v>252</v>
      </c>
      <c r="H26" s="265" t="s">
        <v>376</v>
      </c>
      <c r="I26" s="265" t="s">
        <v>54</v>
      </c>
      <c r="J26" s="265" t="s">
        <v>242</v>
      </c>
      <c r="K26" s="99" t="s">
        <v>1035</v>
      </c>
      <c r="L26" s="99" t="s">
        <v>548</v>
      </c>
      <c r="M26" s="101"/>
      <c r="N26" s="99" t="s">
        <v>548</v>
      </c>
      <c r="O26" s="105">
        <v>2015.0</v>
      </c>
      <c r="P26" s="99" t="s">
        <v>265</v>
      </c>
      <c r="Q26" s="99" t="s">
        <v>361</v>
      </c>
      <c r="R26" s="99" t="s">
        <v>257</v>
      </c>
      <c r="S26" s="99" t="s">
        <v>1036</v>
      </c>
      <c r="T26" s="100"/>
      <c r="U26" s="100"/>
      <c r="V26" s="100"/>
      <c r="W26" s="100"/>
      <c r="X26" s="100"/>
      <c r="Y26" s="100"/>
      <c r="Z26" s="100"/>
    </row>
    <row r="27" ht="15.75" customHeight="1">
      <c r="A27" s="100"/>
      <c r="B27" s="239">
        <v>23.0</v>
      </c>
      <c r="C27" s="234" t="s">
        <v>1037</v>
      </c>
      <c r="D27" s="267" t="s">
        <v>1038</v>
      </c>
      <c r="E27" s="265" t="s">
        <v>1039</v>
      </c>
      <c r="F27" s="267" t="s">
        <v>1040</v>
      </c>
      <c r="G27" s="267" t="s">
        <v>344</v>
      </c>
      <c r="H27" s="265" t="s">
        <v>388</v>
      </c>
      <c r="I27" s="265" t="s">
        <v>387</v>
      </c>
      <c r="J27" s="265" t="s">
        <v>242</v>
      </c>
      <c r="K27" s="99" t="s">
        <v>1041</v>
      </c>
      <c r="L27" s="99" t="s">
        <v>942</v>
      </c>
      <c r="M27" s="101"/>
      <c r="N27" s="99" t="s">
        <v>942</v>
      </c>
      <c r="O27" s="105">
        <v>2013.0</v>
      </c>
      <c r="P27" s="99" t="s">
        <v>265</v>
      </c>
      <c r="Q27" s="99" t="s">
        <v>323</v>
      </c>
      <c r="R27" s="99" t="s">
        <v>257</v>
      </c>
      <c r="S27" s="99" t="s">
        <v>1042</v>
      </c>
      <c r="T27" s="100"/>
      <c r="U27" s="100"/>
      <c r="V27" s="100"/>
      <c r="W27" s="100"/>
      <c r="X27" s="100"/>
      <c r="Y27" s="100"/>
      <c r="Z27" s="100"/>
    </row>
    <row r="28" ht="15.75" customHeight="1">
      <c r="A28" s="100"/>
      <c r="B28" s="239">
        <v>24.0</v>
      </c>
      <c r="C28" s="239">
        <v>1101237.0</v>
      </c>
      <c r="D28" s="267" t="s">
        <v>1043</v>
      </c>
      <c r="E28" s="265" t="s">
        <v>1044</v>
      </c>
      <c r="F28" s="267" t="s">
        <v>1045</v>
      </c>
      <c r="G28" s="267" t="s">
        <v>252</v>
      </c>
      <c r="H28" s="265" t="s">
        <v>388</v>
      </c>
      <c r="I28" s="265" t="s">
        <v>398</v>
      </c>
      <c r="J28" s="265" t="s">
        <v>242</v>
      </c>
      <c r="K28" s="99" t="s">
        <v>961</v>
      </c>
      <c r="L28" s="99" t="s">
        <v>913</v>
      </c>
      <c r="M28" s="101"/>
      <c r="N28" s="99" t="s">
        <v>913</v>
      </c>
      <c r="O28" s="105">
        <v>2017.0</v>
      </c>
      <c r="P28" s="99" t="s">
        <v>265</v>
      </c>
      <c r="Q28" s="99" t="s">
        <v>323</v>
      </c>
      <c r="R28" s="99" t="s">
        <v>257</v>
      </c>
      <c r="S28" s="99" t="s">
        <v>1046</v>
      </c>
      <c r="T28" s="100"/>
      <c r="U28" s="100"/>
      <c r="V28" s="100"/>
      <c r="W28" s="100"/>
      <c r="X28" s="100"/>
      <c r="Y28" s="100"/>
      <c r="Z28" s="100"/>
    </row>
    <row r="29" ht="15.75" customHeight="1">
      <c r="A29" s="100"/>
      <c r="B29" s="239">
        <v>25.0</v>
      </c>
      <c r="C29" s="239">
        <v>2214769.0</v>
      </c>
      <c r="D29" s="267" t="s">
        <v>1048</v>
      </c>
      <c r="E29" s="265" t="s">
        <v>1049</v>
      </c>
      <c r="F29" s="267" t="s">
        <v>1050</v>
      </c>
      <c r="G29" s="267" t="s">
        <v>252</v>
      </c>
      <c r="H29" s="265" t="s">
        <v>1051</v>
      </c>
      <c r="I29" s="265" t="s">
        <v>34</v>
      </c>
      <c r="J29" s="265" t="s">
        <v>451</v>
      </c>
      <c r="K29" s="99" t="s">
        <v>1052</v>
      </c>
      <c r="L29" s="99" t="s">
        <v>321</v>
      </c>
      <c r="M29" s="99" t="s">
        <v>413</v>
      </c>
      <c r="N29" s="101"/>
      <c r="O29" s="101"/>
      <c r="P29" s="99" t="s">
        <v>256</v>
      </c>
      <c r="Q29" s="99" t="s">
        <v>246</v>
      </c>
      <c r="R29" s="99" t="s">
        <v>257</v>
      </c>
      <c r="S29" s="99" t="s">
        <v>1053</v>
      </c>
      <c r="T29" s="100"/>
      <c r="U29" s="100"/>
      <c r="V29" s="100"/>
      <c r="W29" s="100"/>
      <c r="X29" s="100"/>
      <c r="Y29" s="100"/>
      <c r="Z29" s="100"/>
    </row>
    <row r="30" ht="15.75" customHeight="1">
      <c r="A30" s="100"/>
      <c r="B30" s="239">
        <v>26.0</v>
      </c>
      <c r="C30" s="239">
        <v>2114592.0</v>
      </c>
      <c r="D30" s="267" t="s">
        <v>1054</v>
      </c>
      <c r="E30" s="265" t="s">
        <v>1055</v>
      </c>
      <c r="F30" s="267" t="s">
        <v>1056</v>
      </c>
      <c r="G30" s="267" t="s">
        <v>239</v>
      </c>
      <c r="H30" s="265" t="s">
        <v>314</v>
      </c>
      <c r="I30" s="265" t="s">
        <v>998</v>
      </c>
      <c r="J30" s="265" t="s">
        <v>412</v>
      </c>
      <c r="K30" s="99" t="s">
        <v>393</v>
      </c>
      <c r="L30" s="99" t="s">
        <v>321</v>
      </c>
      <c r="M30" s="99" t="s">
        <v>413</v>
      </c>
      <c r="N30" s="101"/>
      <c r="O30" s="101"/>
      <c r="P30" s="99" t="s">
        <v>265</v>
      </c>
      <c r="Q30" s="99" t="s">
        <v>246</v>
      </c>
      <c r="R30" s="99" t="s">
        <v>257</v>
      </c>
      <c r="S30" s="99" t="s">
        <v>1057</v>
      </c>
      <c r="T30" s="100"/>
      <c r="U30" s="100"/>
      <c r="V30" s="100"/>
      <c r="W30" s="100"/>
      <c r="X30" s="100"/>
      <c r="Y30" s="100"/>
      <c r="Z30" s="100"/>
    </row>
    <row r="31" ht="15.75" customHeight="1">
      <c r="A31" s="100"/>
      <c r="B31" s="239">
        <v>27.0</v>
      </c>
      <c r="C31" s="239">
        <v>2314779.0</v>
      </c>
      <c r="D31" s="267" t="s">
        <v>1058</v>
      </c>
      <c r="E31" s="265" t="s">
        <v>1059</v>
      </c>
      <c r="F31" s="267" t="s">
        <v>1060</v>
      </c>
      <c r="G31" s="267" t="s">
        <v>252</v>
      </c>
      <c r="H31" s="265" t="s">
        <v>314</v>
      </c>
      <c r="I31" s="265" t="s">
        <v>319</v>
      </c>
      <c r="J31" s="265" t="s">
        <v>426</v>
      </c>
      <c r="K31" s="99" t="s">
        <v>299</v>
      </c>
      <c r="L31" s="99" t="s">
        <v>321</v>
      </c>
      <c r="M31" s="99" t="s">
        <v>413</v>
      </c>
      <c r="N31" s="101"/>
      <c r="O31" s="101"/>
      <c r="P31" s="99" t="s">
        <v>508</v>
      </c>
      <c r="Q31" s="99" t="s">
        <v>541</v>
      </c>
      <c r="R31" s="99" t="s">
        <v>257</v>
      </c>
      <c r="S31" s="99" t="s">
        <v>1061</v>
      </c>
      <c r="T31" s="100"/>
      <c r="U31" s="100"/>
      <c r="V31" s="100"/>
      <c r="W31" s="100"/>
      <c r="X31" s="100"/>
      <c r="Y31" s="100"/>
      <c r="Z31" s="100"/>
    </row>
    <row r="32" ht="15.75" customHeight="1">
      <c r="A32" s="100"/>
      <c r="B32" s="239">
        <v>28.0</v>
      </c>
      <c r="C32" s="239">
        <v>2414864.0</v>
      </c>
      <c r="D32" s="267" t="s">
        <v>1062</v>
      </c>
      <c r="E32" s="265" t="s">
        <v>1063</v>
      </c>
      <c r="F32" s="267" t="s">
        <v>1045</v>
      </c>
      <c r="G32" s="267" t="s">
        <v>252</v>
      </c>
      <c r="H32" s="265" t="s">
        <v>388</v>
      </c>
      <c r="I32" s="265" t="s">
        <v>398</v>
      </c>
      <c r="J32" s="265" t="s">
        <v>418</v>
      </c>
      <c r="K32" s="99" t="s">
        <v>321</v>
      </c>
      <c r="L32" s="99" t="s">
        <v>321</v>
      </c>
      <c r="M32" s="99" t="s">
        <v>413</v>
      </c>
      <c r="N32" s="101"/>
      <c r="O32" s="101"/>
      <c r="P32" s="99" t="s">
        <v>508</v>
      </c>
      <c r="Q32" s="99" t="s">
        <v>323</v>
      </c>
      <c r="R32" s="99" t="s">
        <v>257</v>
      </c>
      <c r="S32" s="99" t="s">
        <v>1064</v>
      </c>
      <c r="T32" s="100"/>
      <c r="U32" s="100"/>
      <c r="V32" s="100"/>
      <c r="W32" s="100"/>
      <c r="X32" s="100"/>
      <c r="Y32" s="100"/>
      <c r="Z32" s="100"/>
    </row>
    <row r="33" ht="15.75" customHeight="1">
      <c r="A33" s="100"/>
      <c r="B33" s="239">
        <v>29.0</v>
      </c>
      <c r="C33" s="235"/>
      <c r="D33" s="271" t="s">
        <v>1506</v>
      </c>
      <c r="E33" s="272"/>
      <c r="F33" s="273" t="s">
        <v>1507</v>
      </c>
      <c r="G33" s="272"/>
      <c r="H33" s="272"/>
      <c r="I33" s="272"/>
      <c r="J33" s="265" t="s">
        <v>146</v>
      </c>
      <c r="K33" s="101" t="s">
        <v>1065</v>
      </c>
      <c r="M33" s="101"/>
      <c r="N33" s="101"/>
      <c r="O33" s="101"/>
      <c r="P33" s="101"/>
      <c r="Q33" s="101"/>
      <c r="R33" s="101"/>
      <c r="S33" s="101"/>
      <c r="T33" s="100"/>
      <c r="U33" s="100"/>
      <c r="V33" s="100"/>
      <c r="W33" s="100"/>
      <c r="X33" s="100"/>
      <c r="Y33" s="100"/>
      <c r="Z33" s="100"/>
    </row>
    <row r="34" ht="15.75" customHeight="1">
      <c r="A34" s="100"/>
      <c r="B34" s="239">
        <v>30.0</v>
      </c>
      <c r="C34" s="255"/>
      <c r="D34" s="274" t="s">
        <v>1508</v>
      </c>
      <c r="E34" s="272"/>
      <c r="F34" s="273" t="s">
        <v>1507</v>
      </c>
      <c r="G34" s="272"/>
      <c r="H34" s="272"/>
      <c r="I34" s="272"/>
      <c r="J34" s="265" t="s">
        <v>146</v>
      </c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100"/>
      <c r="B35" s="239">
        <v>31.0</v>
      </c>
      <c r="C35" s="255"/>
      <c r="D35" s="274" t="s">
        <v>1509</v>
      </c>
      <c r="E35" s="272"/>
      <c r="F35" s="273" t="s">
        <v>1507</v>
      </c>
      <c r="G35" s="272"/>
      <c r="H35" s="272"/>
      <c r="I35" s="272"/>
      <c r="J35" s="265" t="s">
        <v>146</v>
      </c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100"/>
      <c r="B36" s="239">
        <v>32.0</v>
      </c>
      <c r="C36" s="255"/>
      <c r="D36" s="274" t="s">
        <v>1510</v>
      </c>
      <c r="E36" s="272"/>
      <c r="F36" s="273" t="s">
        <v>1507</v>
      </c>
      <c r="G36" s="272"/>
      <c r="H36" s="272"/>
      <c r="I36" s="272"/>
      <c r="J36" s="265" t="s">
        <v>146</v>
      </c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00"/>
      <c r="B37" s="239">
        <v>33.0</v>
      </c>
      <c r="C37" s="255"/>
      <c r="D37" s="274" t="s">
        <v>1511</v>
      </c>
      <c r="E37" s="272"/>
      <c r="F37" s="273" t="s">
        <v>1512</v>
      </c>
      <c r="G37" s="272"/>
      <c r="H37" s="272"/>
      <c r="I37" s="272"/>
      <c r="J37" s="265" t="s">
        <v>146</v>
      </c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00"/>
      <c r="B38" s="239">
        <v>34.0</v>
      </c>
      <c r="C38" s="255"/>
      <c r="D38" s="274" t="s">
        <v>1513</v>
      </c>
      <c r="E38" s="272"/>
      <c r="F38" s="273" t="s">
        <v>1512</v>
      </c>
      <c r="G38" s="272"/>
      <c r="H38" s="272"/>
      <c r="I38" s="272"/>
      <c r="J38" s="265" t="s">
        <v>146</v>
      </c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00"/>
      <c r="B39" s="239">
        <v>35.0</v>
      </c>
      <c r="C39" s="255"/>
      <c r="D39" s="274" t="s">
        <v>1514</v>
      </c>
      <c r="E39" s="272"/>
      <c r="F39" s="273" t="s">
        <v>1512</v>
      </c>
      <c r="G39" s="272"/>
      <c r="H39" s="272"/>
      <c r="I39" s="272"/>
      <c r="J39" s="265" t="s">
        <v>146</v>
      </c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0"/>
      <c r="B40" s="239">
        <v>36.0</v>
      </c>
      <c r="C40" s="255"/>
      <c r="D40" s="274" t="s">
        <v>1515</v>
      </c>
      <c r="E40" s="272"/>
      <c r="F40" s="273" t="s">
        <v>1516</v>
      </c>
      <c r="G40" s="272"/>
      <c r="H40" s="272"/>
      <c r="I40" s="272"/>
      <c r="J40" s="265" t="s">
        <v>146</v>
      </c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00"/>
      <c r="B41" s="239">
        <v>37.0</v>
      </c>
      <c r="C41" s="255"/>
      <c r="D41" s="274" t="s">
        <v>1517</v>
      </c>
      <c r="E41" s="272"/>
      <c r="F41" s="273" t="s">
        <v>1516</v>
      </c>
      <c r="G41" s="272"/>
      <c r="H41" s="272"/>
      <c r="I41" s="272"/>
      <c r="J41" s="265" t="s">
        <v>146</v>
      </c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239">
        <v>38.0</v>
      </c>
      <c r="C42" s="255"/>
      <c r="D42" s="274" t="s">
        <v>1518</v>
      </c>
      <c r="E42" s="272"/>
      <c r="F42" s="273" t="s">
        <v>1516</v>
      </c>
      <c r="G42" s="272"/>
      <c r="H42" s="272"/>
      <c r="I42" s="272"/>
      <c r="J42" s="265" t="s">
        <v>146</v>
      </c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239">
        <v>39.0</v>
      </c>
      <c r="C43" s="255"/>
      <c r="D43" s="274" t="s">
        <v>1519</v>
      </c>
      <c r="E43" s="272"/>
      <c r="F43" s="273" t="s">
        <v>1516</v>
      </c>
      <c r="G43" s="272"/>
      <c r="H43" s="272"/>
      <c r="I43" s="272"/>
      <c r="J43" s="265" t="s">
        <v>146</v>
      </c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239">
        <v>40.0</v>
      </c>
      <c r="C44" s="255"/>
      <c r="D44" s="274" t="s">
        <v>1520</v>
      </c>
      <c r="E44" s="272"/>
      <c r="F44" s="273" t="s">
        <v>1516</v>
      </c>
      <c r="G44" s="272"/>
      <c r="H44" s="272"/>
      <c r="I44" s="272"/>
      <c r="J44" s="265" t="s">
        <v>146</v>
      </c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239">
        <v>41.0</v>
      </c>
      <c r="C45" s="255"/>
      <c r="D45" s="274" t="s">
        <v>1521</v>
      </c>
      <c r="E45" s="272"/>
      <c r="F45" s="273" t="s">
        <v>1522</v>
      </c>
      <c r="G45" s="272"/>
      <c r="H45" s="272"/>
      <c r="I45" s="272"/>
      <c r="J45" s="265" t="s">
        <v>146</v>
      </c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239">
        <v>42.0</v>
      </c>
      <c r="C46" s="255"/>
      <c r="D46" s="274" t="s">
        <v>1523</v>
      </c>
      <c r="E46" s="272"/>
      <c r="F46" s="273" t="s">
        <v>1522</v>
      </c>
      <c r="G46" s="272"/>
      <c r="H46" s="272"/>
      <c r="I46" s="272"/>
      <c r="J46" s="265" t="s">
        <v>146</v>
      </c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239">
        <v>43.0</v>
      </c>
      <c r="C47" s="255"/>
      <c r="D47" s="274" t="s">
        <v>1524</v>
      </c>
      <c r="E47" s="272"/>
      <c r="F47" s="273" t="s">
        <v>1522</v>
      </c>
      <c r="G47" s="272"/>
      <c r="H47" s="272"/>
      <c r="I47" s="272"/>
      <c r="J47" s="265" t="s">
        <v>146</v>
      </c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239">
        <v>44.0</v>
      </c>
      <c r="C48" s="255"/>
      <c r="D48" s="274" t="s">
        <v>1525</v>
      </c>
      <c r="E48" s="272"/>
      <c r="F48" s="273" t="s">
        <v>1522</v>
      </c>
      <c r="G48" s="272"/>
      <c r="H48" s="272"/>
      <c r="I48" s="272"/>
      <c r="J48" s="265" t="s">
        <v>146</v>
      </c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239">
        <v>45.0</v>
      </c>
      <c r="C49" s="255"/>
      <c r="D49" s="274" t="s">
        <v>1526</v>
      </c>
      <c r="E49" s="272"/>
      <c r="F49" s="273" t="s">
        <v>1522</v>
      </c>
      <c r="G49" s="272"/>
      <c r="H49" s="272"/>
      <c r="I49" s="272"/>
      <c r="J49" s="265" t="s">
        <v>146</v>
      </c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239">
        <v>46.0</v>
      </c>
      <c r="C50" s="255"/>
      <c r="D50" s="274" t="s">
        <v>1527</v>
      </c>
      <c r="E50" s="272"/>
      <c r="F50" s="273" t="s">
        <v>1522</v>
      </c>
      <c r="G50" s="272"/>
      <c r="H50" s="272"/>
      <c r="I50" s="272"/>
      <c r="J50" s="265" t="s">
        <v>146</v>
      </c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239">
        <v>47.0</v>
      </c>
      <c r="C51" s="255"/>
      <c r="D51" s="274" t="s">
        <v>1528</v>
      </c>
      <c r="E51" s="272"/>
      <c r="F51" s="273" t="s">
        <v>1522</v>
      </c>
      <c r="G51" s="272"/>
      <c r="H51" s="272"/>
      <c r="I51" s="272"/>
      <c r="J51" s="265" t="s">
        <v>146</v>
      </c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239">
        <v>48.0</v>
      </c>
      <c r="C52" s="255"/>
      <c r="D52" s="274" t="s">
        <v>1529</v>
      </c>
      <c r="E52" s="272"/>
      <c r="F52" s="273" t="s">
        <v>151</v>
      </c>
      <c r="G52" s="272"/>
      <c r="H52" s="272"/>
      <c r="I52" s="272"/>
      <c r="J52" s="265" t="s">
        <v>146</v>
      </c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239">
        <v>49.0</v>
      </c>
      <c r="C53" s="255"/>
      <c r="D53" s="274" t="s">
        <v>1530</v>
      </c>
      <c r="E53" s="272"/>
      <c r="F53" s="273" t="s">
        <v>151</v>
      </c>
      <c r="G53" s="272"/>
      <c r="H53" s="272"/>
      <c r="I53" s="272"/>
      <c r="J53" s="265" t="s">
        <v>146</v>
      </c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239">
        <v>50.0</v>
      </c>
      <c r="C54" s="255"/>
      <c r="D54" s="274" t="s">
        <v>1531</v>
      </c>
      <c r="E54" s="272"/>
      <c r="F54" s="273" t="s">
        <v>151</v>
      </c>
      <c r="G54" s="272"/>
      <c r="H54" s="272"/>
      <c r="I54" s="272"/>
      <c r="J54" s="265" t="s">
        <v>146</v>
      </c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239">
        <v>51.0</v>
      </c>
      <c r="C55" s="255"/>
      <c r="D55" s="274" t="s">
        <v>1532</v>
      </c>
      <c r="E55" s="272"/>
      <c r="F55" s="273" t="s">
        <v>1533</v>
      </c>
      <c r="G55" s="272"/>
      <c r="H55" s="272"/>
      <c r="I55" s="272"/>
      <c r="J55" s="265" t="s">
        <v>146</v>
      </c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239">
        <v>52.0</v>
      </c>
      <c r="C56" s="255"/>
      <c r="D56" s="274" t="s">
        <v>1534</v>
      </c>
      <c r="E56" s="272"/>
      <c r="F56" s="273" t="s">
        <v>1535</v>
      </c>
      <c r="G56" s="272"/>
      <c r="H56" s="272"/>
      <c r="I56" s="272"/>
      <c r="J56" s="265" t="s">
        <v>146</v>
      </c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239">
        <v>53.0</v>
      </c>
      <c r="C57" s="255"/>
      <c r="D57" s="274" t="s">
        <v>1536</v>
      </c>
      <c r="E57" s="272"/>
      <c r="F57" s="273" t="s">
        <v>1537</v>
      </c>
      <c r="G57" s="272"/>
      <c r="H57" s="272"/>
      <c r="I57" s="272"/>
      <c r="J57" s="265" t="s">
        <v>146</v>
      </c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239">
        <v>54.0</v>
      </c>
      <c r="C58" s="255"/>
      <c r="D58" s="274" t="s">
        <v>1538</v>
      </c>
      <c r="E58" s="272"/>
      <c r="F58" s="273" t="s">
        <v>1539</v>
      </c>
      <c r="G58" s="272"/>
      <c r="H58" s="272"/>
      <c r="I58" s="272"/>
      <c r="J58" s="265" t="s">
        <v>146</v>
      </c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239">
        <v>55.0</v>
      </c>
      <c r="C59" s="255"/>
      <c r="D59" s="274" t="s">
        <v>1540</v>
      </c>
      <c r="E59" s="272"/>
      <c r="F59" s="273" t="s">
        <v>1535</v>
      </c>
      <c r="G59" s="272"/>
      <c r="H59" s="272"/>
      <c r="I59" s="272"/>
      <c r="J59" s="265" t="s">
        <v>146</v>
      </c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239">
        <v>56.0</v>
      </c>
      <c r="C60" s="255"/>
      <c r="D60" s="274" t="s">
        <v>1541</v>
      </c>
      <c r="E60" s="272"/>
      <c r="F60" s="273" t="s">
        <v>1535</v>
      </c>
      <c r="G60" s="272"/>
      <c r="H60" s="272"/>
      <c r="I60" s="272"/>
      <c r="J60" s="265" t="s">
        <v>146</v>
      </c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239">
        <v>57.0</v>
      </c>
      <c r="C61" s="255"/>
      <c r="D61" s="274" t="s">
        <v>1542</v>
      </c>
      <c r="E61" s="272"/>
      <c r="F61" s="273" t="s">
        <v>1533</v>
      </c>
      <c r="G61" s="272"/>
      <c r="H61" s="272"/>
      <c r="I61" s="272"/>
      <c r="J61" s="265" t="s">
        <v>146</v>
      </c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239">
        <v>58.0</v>
      </c>
      <c r="C62" s="255"/>
      <c r="D62" s="274" t="s">
        <v>1543</v>
      </c>
      <c r="E62" s="272"/>
      <c r="F62" s="273" t="s">
        <v>1544</v>
      </c>
      <c r="G62" s="272"/>
      <c r="H62" s="272"/>
      <c r="I62" s="272"/>
      <c r="J62" s="265" t="s">
        <v>146</v>
      </c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239">
        <v>59.0</v>
      </c>
      <c r="C63" s="255"/>
      <c r="D63" s="274" t="s">
        <v>1545</v>
      </c>
      <c r="E63" s="272"/>
      <c r="F63" s="273" t="s">
        <v>1537</v>
      </c>
      <c r="G63" s="272"/>
      <c r="H63" s="272"/>
      <c r="I63" s="272"/>
      <c r="J63" s="265" t="s">
        <v>146</v>
      </c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239">
        <v>60.0</v>
      </c>
      <c r="C64" s="255"/>
      <c r="D64" s="275" t="s">
        <v>1546</v>
      </c>
      <c r="E64" s="272"/>
      <c r="F64" s="273" t="s">
        <v>1547</v>
      </c>
      <c r="G64" s="272"/>
      <c r="H64" s="272"/>
      <c r="I64" s="272"/>
      <c r="J64" s="265" t="s">
        <v>146</v>
      </c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239">
        <v>61.0</v>
      </c>
      <c r="C65" s="255"/>
      <c r="D65" s="274" t="s">
        <v>1548</v>
      </c>
      <c r="E65" s="272"/>
      <c r="F65" s="273" t="s">
        <v>1547</v>
      </c>
      <c r="G65" s="272"/>
      <c r="H65" s="272"/>
      <c r="I65" s="272"/>
      <c r="J65" s="265" t="s">
        <v>146</v>
      </c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239">
        <v>62.0</v>
      </c>
      <c r="C66" s="255"/>
      <c r="D66" s="274" t="s">
        <v>1549</v>
      </c>
      <c r="E66" s="272"/>
      <c r="F66" s="273" t="s">
        <v>1550</v>
      </c>
      <c r="G66" s="272"/>
      <c r="H66" s="272"/>
      <c r="I66" s="272"/>
      <c r="J66" s="265" t="s">
        <v>146</v>
      </c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239">
        <v>63.0</v>
      </c>
      <c r="C67" s="255"/>
      <c r="D67" s="274" t="s">
        <v>1551</v>
      </c>
      <c r="E67" s="272"/>
      <c r="F67" s="273" t="s">
        <v>1533</v>
      </c>
      <c r="G67" s="272"/>
      <c r="H67" s="272"/>
      <c r="I67" s="272"/>
      <c r="J67" s="265" t="s">
        <v>146</v>
      </c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239">
        <v>64.0</v>
      </c>
      <c r="C68" s="255"/>
      <c r="D68" s="274" t="s">
        <v>1552</v>
      </c>
      <c r="E68" s="272"/>
      <c r="F68" s="273" t="s">
        <v>1553</v>
      </c>
      <c r="G68" s="272"/>
      <c r="H68" s="272"/>
      <c r="I68" s="272"/>
      <c r="J68" s="265" t="s">
        <v>146</v>
      </c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239">
        <v>65.0</v>
      </c>
      <c r="C69" s="255"/>
      <c r="D69" s="274" t="s">
        <v>1554</v>
      </c>
      <c r="E69" s="272"/>
      <c r="F69" s="273" t="s">
        <v>1537</v>
      </c>
      <c r="G69" s="272"/>
      <c r="H69" s="272"/>
      <c r="I69" s="272"/>
      <c r="J69" s="265" t="s">
        <v>146</v>
      </c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239">
        <v>66.0</v>
      </c>
      <c r="C70" s="255"/>
      <c r="D70" s="274" t="s">
        <v>1555</v>
      </c>
      <c r="E70" s="272"/>
      <c r="F70" s="273" t="s">
        <v>1535</v>
      </c>
      <c r="G70" s="272"/>
      <c r="H70" s="272"/>
      <c r="I70" s="272"/>
      <c r="J70" s="265" t="s">
        <v>146</v>
      </c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239">
        <v>67.0</v>
      </c>
      <c r="C71" s="255"/>
      <c r="D71" s="274" t="s">
        <v>1556</v>
      </c>
      <c r="E71" s="272"/>
      <c r="F71" s="273" t="s">
        <v>1547</v>
      </c>
      <c r="G71" s="272"/>
      <c r="H71" s="272"/>
      <c r="I71" s="272"/>
      <c r="J71" s="265" t="s">
        <v>146</v>
      </c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239">
        <v>68.0</v>
      </c>
      <c r="C72" s="255"/>
      <c r="D72" s="274" t="s">
        <v>1557</v>
      </c>
      <c r="E72" s="272"/>
      <c r="F72" s="273" t="s">
        <v>1547</v>
      </c>
      <c r="G72" s="272"/>
      <c r="H72" s="272"/>
      <c r="I72" s="272"/>
      <c r="J72" s="265" t="s">
        <v>146</v>
      </c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239">
        <v>69.0</v>
      </c>
      <c r="C73" s="255"/>
      <c r="D73" s="274" t="s">
        <v>1558</v>
      </c>
      <c r="E73" s="272"/>
      <c r="F73" s="273" t="s">
        <v>1553</v>
      </c>
      <c r="G73" s="272"/>
      <c r="H73" s="272"/>
      <c r="I73" s="272"/>
      <c r="J73" s="265" t="s">
        <v>146</v>
      </c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239">
        <v>70.0</v>
      </c>
      <c r="C74" s="255"/>
      <c r="D74" s="274" t="s">
        <v>1559</v>
      </c>
      <c r="E74" s="272"/>
      <c r="F74" s="273" t="s">
        <v>1560</v>
      </c>
      <c r="G74" s="272"/>
      <c r="H74" s="272"/>
      <c r="I74" s="272"/>
      <c r="J74" s="265" t="s">
        <v>146</v>
      </c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239">
        <v>71.0</v>
      </c>
      <c r="C75" s="255"/>
      <c r="D75" s="274" t="s">
        <v>1561</v>
      </c>
      <c r="E75" s="272"/>
      <c r="F75" s="273" t="s">
        <v>139</v>
      </c>
      <c r="G75" s="272"/>
      <c r="H75" s="272"/>
      <c r="I75" s="272"/>
      <c r="J75" s="265" t="s">
        <v>146</v>
      </c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239">
        <v>72.0</v>
      </c>
      <c r="C76" s="255"/>
      <c r="D76" s="274" t="s">
        <v>1562</v>
      </c>
      <c r="E76" s="272"/>
      <c r="F76" s="273" t="s">
        <v>1550</v>
      </c>
      <c r="G76" s="272"/>
      <c r="H76" s="272"/>
      <c r="I76" s="272"/>
      <c r="J76" s="265" t="s">
        <v>146</v>
      </c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239">
        <v>73.0</v>
      </c>
      <c r="C77" s="255"/>
      <c r="D77" s="274" t="s">
        <v>1563</v>
      </c>
      <c r="E77" s="272"/>
      <c r="F77" s="273" t="s">
        <v>1537</v>
      </c>
      <c r="G77" s="272"/>
      <c r="H77" s="272"/>
      <c r="I77" s="272"/>
      <c r="J77" s="265" t="s">
        <v>146</v>
      </c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239">
        <v>74.0</v>
      </c>
      <c r="C78" s="255"/>
      <c r="D78" s="274" t="s">
        <v>1564</v>
      </c>
      <c r="E78" s="272"/>
      <c r="F78" s="273" t="s">
        <v>1560</v>
      </c>
      <c r="G78" s="272"/>
      <c r="H78" s="272"/>
      <c r="I78" s="272"/>
      <c r="J78" s="265" t="s">
        <v>146</v>
      </c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239">
        <v>75.0</v>
      </c>
      <c r="C79" s="255"/>
      <c r="D79" s="274" t="s">
        <v>1565</v>
      </c>
      <c r="E79" s="272"/>
      <c r="F79" s="273" t="s">
        <v>1547</v>
      </c>
      <c r="G79" s="272"/>
      <c r="H79" s="272"/>
      <c r="I79" s="272"/>
      <c r="J79" s="265" t="s">
        <v>146</v>
      </c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239">
        <v>76.0</v>
      </c>
      <c r="C80" s="255"/>
      <c r="D80" s="274" t="s">
        <v>1566</v>
      </c>
      <c r="E80" s="272"/>
      <c r="F80" s="273" t="s">
        <v>1535</v>
      </c>
      <c r="G80" s="272"/>
      <c r="H80" s="272"/>
      <c r="I80" s="272"/>
      <c r="J80" s="265" t="s">
        <v>146</v>
      </c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239">
        <v>77.0</v>
      </c>
      <c r="C81" s="255"/>
      <c r="D81" s="276" t="s">
        <v>1567</v>
      </c>
      <c r="E81" s="272"/>
      <c r="F81" s="273" t="s">
        <v>1547</v>
      </c>
      <c r="G81" s="272"/>
      <c r="H81" s="272"/>
      <c r="I81" s="272"/>
      <c r="J81" s="265" t="s">
        <v>146</v>
      </c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239">
        <v>78.0</v>
      </c>
      <c r="C82" s="255"/>
      <c r="D82" s="274" t="s">
        <v>1568</v>
      </c>
      <c r="E82" s="272"/>
      <c r="F82" s="273" t="s">
        <v>1535</v>
      </c>
      <c r="G82" s="272"/>
      <c r="H82" s="272"/>
      <c r="I82" s="272"/>
      <c r="J82" s="265" t="s">
        <v>146</v>
      </c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239">
        <v>79.0</v>
      </c>
      <c r="C83" s="255"/>
      <c r="D83" s="274" t="s">
        <v>1569</v>
      </c>
      <c r="E83" s="272"/>
      <c r="F83" s="273" t="s">
        <v>1547</v>
      </c>
      <c r="G83" s="272"/>
      <c r="H83" s="272"/>
      <c r="I83" s="272"/>
      <c r="J83" s="265" t="s">
        <v>146</v>
      </c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239">
        <v>80.0</v>
      </c>
      <c r="C84" s="255"/>
      <c r="D84" s="274" t="s">
        <v>1570</v>
      </c>
      <c r="E84" s="272"/>
      <c r="F84" s="273" t="s">
        <v>1533</v>
      </c>
      <c r="G84" s="272"/>
      <c r="H84" s="272"/>
      <c r="I84" s="272"/>
      <c r="J84" s="265" t="s">
        <v>146</v>
      </c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239">
        <v>81.0</v>
      </c>
      <c r="C85" s="255"/>
      <c r="D85" s="274" t="s">
        <v>1571</v>
      </c>
      <c r="E85" s="272"/>
      <c r="F85" s="273" t="s">
        <v>1553</v>
      </c>
      <c r="G85" s="272"/>
      <c r="H85" s="272"/>
      <c r="I85" s="272"/>
      <c r="J85" s="265" t="s">
        <v>146</v>
      </c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239">
        <v>82.0</v>
      </c>
      <c r="C86" s="255"/>
      <c r="D86" s="274" t="s">
        <v>1572</v>
      </c>
      <c r="E86" s="272"/>
      <c r="F86" s="273" t="s">
        <v>1537</v>
      </c>
      <c r="G86" s="272"/>
      <c r="H86" s="272"/>
      <c r="I86" s="272"/>
      <c r="J86" s="265" t="s">
        <v>146</v>
      </c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239">
        <v>83.0</v>
      </c>
      <c r="C87" s="255"/>
      <c r="D87" s="274" t="s">
        <v>1573</v>
      </c>
      <c r="E87" s="272"/>
      <c r="F87" s="273" t="s">
        <v>1535</v>
      </c>
      <c r="G87" s="272"/>
      <c r="H87" s="272"/>
      <c r="I87" s="272"/>
      <c r="J87" s="265" t="s">
        <v>146</v>
      </c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239">
        <v>84.0</v>
      </c>
      <c r="C88" s="255"/>
      <c r="D88" s="274" t="s">
        <v>1574</v>
      </c>
      <c r="E88" s="272"/>
      <c r="F88" s="273" t="s">
        <v>1550</v>
      </c>
      <c r="G88" s="272"/>
      <c r="H88" s="272"/>
      <c r="I88" s="272"/>
      <c r="J88" s="265" t="s">
        <v>146</v>
      </c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239">
        <v>85.0</v>
      </c>
      <c r="C89" s="255"/>
      <c r="D89" s="274" t="s">
        <v>1575</v>
      </c>
      <c r="E89" s="272"/>
      <c r="F89" s="273" t="s">
        <v>1539</v>
      </c>
      <c r="G89" s="272"/>
      <c r="H89" s="272"/>
      <c r="I89" s="272"/>
      <c r="J89" s="265" t="s">
        <v>146</v>
      </c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239">
        <v>86.0</v>
      </c>
      <c r="C90" s="255"/>
      <c r="D90" s="276" t="s">
        <v>1576</v>
      </c>
      <c r="E90" s="272"/>
      <c r="F90" s="273" t="s">
        <v>1547</v>
      </c>
      <c r="G90" s="272"/>
      <c r="H90" s="272"/>
      <c r="I90" s="272"/>
      <c r="J90" s="265" t="s">
        <v>146</v>
      </c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239">
        <v>87.0</v>
      </c>
      <c r="C91" s="255"/>
      <c r="D91" s="275" t="s">
        <v>1577</v>
      </c>
      <c r="E91" s="272"/>
      <c r="F91" s="273" t="s">
        <v>1535</v>
      </c>
      <c r="G91" s="272"/>
      <c r="H91" s="272"/>
      <c r="I91" s="272"/>
      <c r="J91" s="265" t="s">
        <v>146</v>
      </c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239">
        <v>88.0</v>
      </c>
      <c r="C92" s="255"/>
      <c r="D92" s="274" t="s">
        <v>1578</v>
      </c>
      <c r="E92" s="272"/>
      <c r="F92" s="273" t="s">
        <v>1537</v>
      </c>
      <c r="G92" s="272"/>
      <c r="H92" s="272"/>
      <c r="I92" s="272"/>
      <c r="J92" s="265" t="s">
        <v>146</v>
      </c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239">
        <v>89.0</v>
      </c>
      <c r="C93" s="255"/>
      <c r="D93" s="276" t="s">
        <v>1579</v>
      </c>
      <c r="E93" s="272"/>
      <c r="F93" s="273" t="s">
        <v>1560</v>
      </c>
      <c r="G93" s="272"/>
      <c r="H93" s="272"/>
      <c r="I93" s="272"/>
      <c r="J93" s="265" t="s">
        <v>146</v>
      </c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239">
        <v>90.0</v>
      </c>
      <c r="C94" s="255"/>
      <c r="D94" s="271" t="s">
        <v>1580</v>
      </c>
      <c r="E94" s="272"/>
      <c r="F94" s="273" t="s">
        <v>1553</v>
      </c>
      <c r="G94" s="272"/>
      <c r="H94" s="272"/>
      <c r="I94" s="272"/>
      <c r="J94" s="265" t="s">
        <v>146</v>
      </c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239">
        <v>91.0</v>
      </c>
      <c r="C95" s="255"/>
      <c r="D95" s="274" t="s">
        <v>1581</v>
      </c>
      <c r="E95" s="272"/>
      <c r="F95" s="273" t="s">
        <v>1547</v>
      </c>
      <c r="G95" s="272"/>
      <c r="H95" s="272"/>
      <c r="I95" s="272"/>
      <c r="J95" s="265" t="s">
        <v>146</v>
      </c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239">
        <v>92.0</v>
      </c>
      <c r="C96" s="255"/>
      <c r="D96" s="274" t="s">
        <v>1582</v>
      </c>
      <c r="E96" s="272"/>
      <c r="F96" s="273" t="s">
        <v>1544</v>
      </c>
      <c r="G96" s="272"/>
      <c r="H96" s="272"/>
      <c r="I96" s="272"/>
      <c r="J96" s="265" t="s">
        <v>146</v>
      </c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239">
        <v>93.0</v>
      </c>
      <c r="C97" s="255"/>
      <c r="D97" s="274" t="s">
        <v>1583</v>
      </c>
      <c r="E97" s="272"/>
      <c r="F97" s="273" t="s">
        <v>1535</v>
      </c>
      <c r="G97" s="272"/>
      <c r="H97" s="272"/>
      <c r="I97" s="272"/>
      <c r="J97" s="265" t="s">
        <v>146</v>
      </c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239">
        <v>94.0</v>
      </c>
      <c r="C98" s="255"/>
      <c r="D98" s="275" t="s">
        <v>1584</v>
      </c>
      <c r="E98" s="272"/>
      <c r="F98" s="273" t="s">
        <v>1547</v>
      </c>
      <c r="G98" s="272"/>
      <c r="H98" s="272"/>
      <c r="I98" s="272"/>
      <c r="J98" s="265" t="s">
        <v>146</v>
      </c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239">
        <v>95.0</v>
      </c>
      <c r="C99" s="255"/>
      <c r="D99" s="274" t="s">
        <v>1585</v>
      </c>
      <c r="E99" s="272"/>
      <c r="F99" s="273" t="s">
        <v>1547</v>
      </c>
      <c r="G99" s="272"/>
      <c r="H99" s="272"/>
      <c r="I99" s="272"/>
      <c r="J99" s="265" t="s">
        <v>146</v>
      </c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239">
        <v>96.0</v>
      </c>
      <c r="C100" s="255"/>
      <c r="D100" s="274" t="s">
        <v>1586</v>
      </c>
      <c r="E100" s="272"/>
      <c r="F100" s="273" t="s">
        <v>139</v>
      </c>
      <c r="G100" s="272"/>
      <c r="H100" s="272"/>
      <c r="I100" s="272"/>
      <c r="J100" s="265" t="s">
        <v>146</v>
      </c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239">
        <v>97.0</v>
      </c>
      <c r="C101" s="255"/>
      <c r="D101" s="275" t="s">
        <v>1587</v>
      </c>
      <c r="E101" s="272"/>
      <c r="F101" s="273" t="s">
        <v>1535</v>
      </c>
      <c r="G101" s="272"/>
      <c r="H101" s="272"/>
      <c r="I101" s="272"/>
      <c r="J101" s="265" t="s">
        <v>146</v>
      </c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239">
        <v>98.0</v>
      </c>
      <c r="C102" s="255"/>
      <c r="D102" s="274" t="s">
        <v>1588</v>
      </c>
      <c r="E102" s="272"/>
      <c r="F102" s="273" t="s">
        <v>1550</v>
      </c>
      <c r="G102" s="272"/>
      <c r="H102" s="272"/>
      <c r="I102" s="272"/>
      <c r="J102" s="265" t="s">
        <v>146</v>
      </c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239">
        <v>99.0</v>
      </c>
      <c r="C103" s="255"/>
      <c r="D103" s="274" t="s">
        <v>1589</v>
      </c>
      <c r="E103" s="272"/>
      <c r="F103" s="273" t="s">
        <v>1539</v>
      </c>
      <c r="G103" s="272"/>
      <c r="H103" s="272"/>
      <c r="I103" s="272"/>
      <c r="J103" s="265" t="s">
        <v>146</v>
      </c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239">
        <v>100.0</v>
      </c>
      <c r="C104" s="255"/>
      <c r="D104" s="274" t="s">
        <v>1590</v>
      </c>
      <c r="E104" s="272"/>
      <c r="F104" s="273" t="s">
        <v>1535</v>
      </c>
      <c r="G104" s="272"/>
      <c r="H104" s="272"/>
      <c r="I104" s="272"/>
      <c r="J104" s="265" t="s">
        <v>146</v>
      </c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239">
        <v>101.0</v>
      </c>
      <c r="C105" s="255"/>
      <c r="D105" s="274" t="s">
        <v>1591</v>
      </c>
      <c r="E105" s="272"/>
      <c r="F105" s="273" t="s">
        <v>1539</v>
      </c>
      <c r="G105" s="272"/>
      <c r="H105" s="272"/>
      <c r="I105" s="272"/>
      <c r="J105" s="265" t="s">
        <v>146</v>
      </c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239">
        <v>102.0</v>
      </c>
      <c r="C106" s="255"/>
      <c r="D106" s="274" t="s">
        <v>1592</v>
      </c>
      <c r="E106" s="272"/>
      <c r="F106" s="273" t="s">
        <v>1547</v>
      </c>
      <c r="G106" s="272"/>
      <c r="H106" s="272"/>
      <c r="I106" s="272"/>
      <c r="J106" s="265" t="s">
        <v>146</v>
      </c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239">
        <v>103.0</v>
      </c>
      <c r="C107" s="255"/>
      <c r="D107" s="274" t="s">
        <v>1593</v>
      </c>
      <c r="E107" s="272"/>
      <c r="F107" s="273" t="s">
        <v>1537</v>
      </c>
      <c r="G107" s="272"/>
      <c r="H107" s="272"/>
      <c r="I107" s="272"/>
      <c r="J107" s="265" t="s">
        <v>146</v>
      </c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239">
        <v>104.0</v>
      </c>
      <c r="C108" s="255"/>
      <c r="D108" s="274" t="s">
        <v>1594</v>
      </c>
      <c r="E108" s="272"/>
      <c r="F108" s="273" t="s">
        <v>1535</v>
      </c>
      <c r="G108" s="272"/>
      <c r="H108" s="272"/>
      <c r="I108" s="272"/>
      <c r="J108" s="265" t="s">
        <v>146</v>
      </c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239">
        <v>105.0</v>
      </c>
      <c r="C109" s="255"/>
      <c r="D109" s="274" t="s">
        <v>1595</v>
      </c>
      <c r="E109" s="272"/>
      <c r="F109" s="273" t="s">
        <v>1544</v>
      </c>
      <c r="G109" s="272"/>
      <c r="H109" s="272"/>
      <c r="I109" s="272"/>
      <c r="J109" s="265" t="s">
        <v>146</v>
      </c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239">
        <v>106.0</v>
      </c>
      <c r="C110" s="255"/>
      <c r="D110" s="275" t="s">
        <v>1596</v>
      </c>
      <c r="E110" s="272"/>
      <c r="F110" s="273" t="s">
        <v>1553</v>
      </c>
      <c r="G110" s="272"/>
      <c r="H110" s="272"/>
      <c r="I110" s="272"/>
      <c r="J110" s="265" t="s">
        <v>146</v>
      </c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239">
        <v>107.0</v>
      </c>
      <c r="C111" s="255"/>
      <c r="D111" s="274" t="s">
        <v>1597</v>
      </c>
      <c r="E111" s="272"/>
      <c r="F111" s="273" t="s">
        <v>1553</v>
      </c>
      <c r="G111" s="272"/>
      <c r="H111" s="272"/>
      <c r="I111" s="272"/>
      <c r="J111" s="265" t="s">
        <v>146</v>
      </c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239">
        <v>108.0</v>
      </c>
      <c r="C112" s="255"/>
      <c r="D112" s="274" t="s">
        <v>1598</v>
      </c>
      <c r="E112" s="272"/>
      <c r="F112" s="273" t="s">
        <v>1547</v>
      </c>
      <c r="G112" s="272"/>
      <c r="H112" s="272"/>
      <c r="I112" s="272"/>
      <c r="J112" s="265" t="s">
        <v>146</v>
      </c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239">
        <v>109.0</v>
      </c>
      <c r="C113" s="255"/>
      <c r="D113" s="274" t="s">
        <v>1599</v>
      </c>
      <c r="E113" s="272"/>
      <c r="F113" s="273" t="s">
        <v>1533</v>
      </c>
      <c r="G113" s="272"/>
      <c r="H113" s="272"/>
      <c r="I113" s="272"/>
      <c r="J113" s="265" t="s">
        <v>146</v>
      </c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239">
        <v>110.0</v>
      </c>
      <c r="C114" s="255"/>
      <c r="D114" s="274" t="s">
        <v>1600</v>
      </c>
      <c r="E114" s="272"/>
      <c r="F114" s="273" t="s">
        <v>1544</v>
      </c>
      <c r="G114" s="272"/>
      <c r="H114" s="272"/>
      <c r="I114" s="272"/>
      <c r="J114" s="265" t="s">
        <v>146</v>
      </c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239">
        <v>111.0</v>
      </c>
      <c r="C115" s="255"/>
      <c r="D115" s="274" t="s">
        <v>1601</v>
      </c>
      <c r="E115" s="272"/>
      <c r="F115" s="273" t="s">
        <v>1537</v>
      </c>
      <c r="G115" s="272"/>
      <c r="H115" s="272"/>
      <c r="I115" s="272"/>
      <c r="J115" s="265" t="s">
        <v>146</v>
      </c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239">
        <v>112.0</v>
      </c>
      <c r="C116" s="255"/>
      <c r="D116" s="274" t="s">
        <v>1602</v>
      </c>
      <c r="E116" s="272"/>
      <c r="F116" s="273" t="s">
        <v>1560</v>
      </c>
      <c r="G116" s="272"/>
      <c r="H116" s="272"/>
      <c r="I116" s="272"/>
      <c r="J116" s="265" t="s">
        <v>146</v>
      </c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239">
        <v>113.0</v>
      </c>
      <c r="C117" s="255"/>
      <c r="D117" s="274" t="s">
        <v>1603</v>
      </c>
      <c r="E117" s="272"/>
      <c r="F117" s="273" t="s">
        <v>1550</v>
      </c>
      <c r="G117" s="272"/>
      <c r="H117" s="272"/>
      <c r="I117" s="272"/>
      <c r="J117" s="265" t="s">
        <v>146</v>
      </c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239">
        <v>114.0</v>
      </c>
      <c r="C118" s="255"/>
      <c r="D118" s="274" t="s">
        <v>1604</v>
      </c>
      <c r="E118" s="272"/>
      <c r="F118" s="273" t="s">
        <v>1550</v>
      </c>
      <c r="G118" s="272"/>
      <c r="H118" s="272"/>
      <c r="I118" s="272"/>
      <c r="J118" s="265" t="s">
        <v>146</v>
      </c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239">
        <v>115.0</v>
      </c>
      <c r="C119" s="255"/>
      <c r="D119" s="274" t="s">
        <v>1605</v>
      </c>
      <c r="E119" s="272"/>
      <c r="F119" s="273" t="s">
        <v>1553</v>
      </c>
      <c r="G119" s="272"/>
      <c r="H119" s="272"/>
      <c r="I119" s="272"/>
      <c r="J119" s="265" t="s">
        <v>146</v>
      </c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239">
        <v>116.0</v>
      </c>
      <c r="C120" s="255"/>
      <c r="D120" s="274" t="s">
        <v>1606</v>
      </c>
      <c r="E120" s="272"/>
      <c r="F120" s="273" t="s">
        <v>1539</v>
      </c>
      <c r="G120" s="272"/>
      <c r="H120" s="272"/>
      <c r="I120" s="272"/>
      <c r="J120" s="265" t="s">
        <v>146</v>
      </c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239">
        <v>117.0</v>
      </c>
      <c r="C121" s="255"/>
      <c r="D121" s="274" t="s">
        <v>1607</v>
      </c>
      <c r="E121" s="272"/>
      <c r="F121" s="273" t="s">
        <v>1553</v>
      </c>
      <c r="G121" s="272"/>
      <c r="H121" s="272"/>
      <c r="I121" s="272"/>
      <c r="J121" s="265" t="s">
        <v>146</v>
      </c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239">
        <v>118.0</v>
      </c>
      <c r="C122" s="255"/>
      <c r="D122" s="274" t="s">
        <v>1608</v>
      </c>
      <c r="E122" s="272"/>
      <c r="F122" s="273" t="s">
        <v>1553</v>
      </c>
      <c r="G122" s="272"/>
      <c r="H122" s="272"/>
      <c r="I122" s="272"/>
      <c r="J122" s="265" t="s">
        <v>146</v>
      </c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239">
        <v>119.0</v>
      </c>
      <c r="C123" s="255"/>
      <c r="D123" s="274" t="s">
        <v>1609</v>
      </c>
      <c r="E123" s="272"/>
      <c r="F123" s="273" t="s">
        <v>1553</v>
      </c>
      <c r="G123" s="272"/>
      <c r="H123" s="272"/>
      <c r="I123" s="272"/>
      <c r="J123" s="265" t="s">
        <v>146</v>
      </c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239">
        <v>120.0</v>
      </c>
      <c r="C124" s="255"/>
      <c r="D124" s="274" t="s">
        <v>1610</v>
      </c>
      <c r="E124" s="272"/>
      <c r="F124" s="273" t="s">
        <v>1535</v>
      </c>
      <c r="G124" s="272"/>
      <c r="H124" s="272"/>
      <c r="I124" s="272"/>
      <c r="J124" s="265" t="s">
        <v>146</v>
      </c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239">
        <v>121.0</v>
      </c>
      <c r="C125" s="255"/>
      <c r="D125" s="274" t="s">
        <v>1611</v>
      </c>
      <c r="E125" s="272"/>
      <c r="F125" s="273" t="s">
        <v>1553</v>
      </c>
      <c r="G125" s="272"/>
      <c r="H125" s="272"/>
      <c r="I125" s="272"/>
      <c r="J125" s="265" t="s">
        <v>146</v>
      </c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239">
        <v>122.0</v>
      </c>
      <c r="C126" s="255"/>
      <c r="D126" s="274" t="s">
        <v>1612</v>
      </c>
      <c r="E126" s="272"/>
      <c r="F126" s="273" t="s">
        <v>1553</v>
      </c>
      <c r="G126" s="272"/>
      <c r="H126" s="272"/>
      <c r="I126" s="272"/>
      <c r="J126" s="265" t="s">
        <v>146</v>
      </c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239">
        <v>123.0</v>
      </c>
      <c r="C127" s="255"/>
      <c r="D127" s="276" t="s">
        <v>1613</v>
      </c>
      <c r="E127" s="272"/>
      <c r="F127" s="273" t="s">
        <v>1547</v>
      </c>
      <c r="G127" s="272"/>
      <c r="H127" s="272"/>
      <c r="I127" s="272"/>
      <c r="J127" s="265" t="s">
        <v>146</v>
      </c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239">
        <v>124.0</v>
      </c>
      <c r="C128" s="255"/>
      <c r="D128" s="274" t="s">
        <v>1614</v>
      </c>
      <c r="E128" s="272"/>
      <c r="F128" s="273" t="s">
        <v>1560</v>
      </c>
      <c r="G128" s="272"/>
      <c r="H128" s="272"/>
      <c r="I128" s="272"/>
      <c r="J128" s="265" t="s">
        <v>146</v>
      </c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239">
        <v>125.0</v>
      </c>
      <c r="C129" s="255"/>
      <c r="D129" s="274" t="s">
        <v>1615</v>
      </c>
      <c r="E129" s="272"/>
      <c r="F129" s="273" t="s">
        <v>1535</v>
      </c>
      <c r="G129" s="272"/>
      <c r="H129" s="272"/>
      <c r="I129" s="272"/>
      <c r="J129" s="265" t="s">
        <v>146</v>
      </c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239">
        <v>126.0</v>
      </c>
      <c r="C130" s="255"/>
      <c r="D130" s="274" t="s">
        <v>1615</v>
      </c>
      <c r="E130" s="272"/>
      <c r="F130" s="273" t="s">
        <v>1535</v>
      </c>
      <c r="G130" s="272"/>
      <c r="H130" s="272"/>
      <c r="I130" s="272"/>
      <c r="J130" s="265" t="s">
        <v>146</v>
      </c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253"/>
      <c r="C131" s="100"/>
      <c r="D131" s="261"/>
      <c r="E131" s="261"/>
      <c r="F131" s="262"/>
      <c r="G131" s="261"/>
      <c r="H131" s="261"/>
      <c r="I131" s="261"/>
      <c r="J131" s="261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253"/>
      <c r="C132" s="100"/>
      <c r="D132" s="277" t="s">
        <v>1250</v>
      </c>
      <c r="E132" s="277" t="s">
        <v>211</v>
      </c>
      <c r="F132" s="278" t="s">
        <v>211</v>
      </c>
      <c r="G132" s="278"/>
      <c r="H132" s="278"/>
      <c r="I132" s="278"/>
      <c r="J132" s="278" t="s">
        <v>856</v>
      </c>
      <c r="K132" s="278"/>
      <c r="L132" s="278"/>
      <c r="M132" s="278"/>
      <c r="N132" s="278"/>
      <c r="O132" s="278"/>
      <c r="P132" s="278"/>
      <c r="Q132" s="278"/>
      <c r="R132" s="278"/>
      <c r="S132" s="279" t="s">
        <v>856</v>
      </c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253"/>
      <c r="C133" s="100"/>
      <c r="D133" s="280" t="s">
        <v>1616</v>
      </c>
      <c r="E133" s="238">
        <v>2.0</v>
      </c>
      <c r="F133" s="238">
        <v>1.0</v>
      </c>
      <c r="G133" s="238"/>
      <c r="H133" s="238"/>
      <c r="I133" s="238"/>
      <c r="J133" s="281">
        <f t="shared" ref="J133:J136" si="1">F133/$F$137</f>
        <v>0.007936507937</v>
      </c>
      <c r="K133" s="238"/>
      <c r="L133" s="238"/>
      <c r="M133" s="238"/>
      <c r="N133" s="238"/>
      <c r="O133" s="238"/>
      <c r="P133" s="238"/>
      <c r="Q133" s="238"/>
      <c r="R133" s="238"/>
      <c r="S133" s="281">
        <f>E133/E137</f>
        <v>0.01739130435</v>
      </c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253"/>
      <c r="C134" s="100"/>
      <c r="D134" s="280" t="s">
        <v>1617</v>
      </c>
      <c r="E134" s="238">
        <v>24.0</v>
      </c>
      <c r="F134" s="238">
        <v>24.0</v>
      </c>
      <c r="G134" s="238"/>
      <c r="H134" s="238"/>
      <c r="I134" s="238"/>
      <c r="J134" s="281">
        <f t="shared" si="1"/>
        <v>0.1904761905</v>
      </c>
      <c r="K134" s="238"/>
      <c r="L134" s="238"/>
      <c r="M134" s="238"/>
      <c r="N134" s="238"/>
      <c r="O134" s="238"/>
      <c r="P134" s="238"/>
      <c r="Q134" s="238"/>
      <c r="R134" s="238"/>
      <c r="S134" s="281">
        <f>E134/E137</f>
        <v>0.2086956522</v>
      </c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253"/>
      <c r="C135" s="100"/>
      <c r="D135" s="280" t="s">
        <v>1618</v>
      </c>
      <c r="E135" s="238">
        <v>2.0</v>
      </c>
      <c r="F135" s="238">
        <v>3.0</v>
      </c>
      <c r="G135" s="238"/>
      <c r="H135" s="238"/>
      <c r="I135" s="238"/>
      <c r="J135" s="281">
        <f t="shared" si="1"/>
        <v>0.02380952381</v>
      </c>
      <c r="K135" s="238"/>
      <c r="L135" s="238"/>
      <c r="M135" s="238"/>
      <c r="N135" s="238"/>
      <c r="O135" s="238"/>
      <c r="P135" s="238"/>
      <c r="Q135" s="238"/>
      <c r="R135" s="238"/>
      <c r="S135" s="281">
        <f>E135/E137</f>
        <v>0.01739130435</v>
      </c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253"/>
      <c r="C136" s="100"/>
      <c r="D136" s="280" t="s">
        <v>1619</v>
      </c>
      <c r="E136" s="238">
        <v>87.0</v>
      </c>
      <c r="F136" s="238">
        <v>98.0</v>
      </c>
      <c r="G136" s="238"/>
      <c r="H136" s="238"/>
      <c r="I136" s="238"/>
      <c r="J136" s="281">
        <f t="shared" si="1"/>
        <v>0.7777777778</v>
      </c>
      <c r="K136" s="238"/>
      <c r="L136" s="238"/>
      <c r="M136" s="238"/>
      <c r="N136" s="238"/>
      <c r="O136" s="238"/>
      <c r="P136" s="238"/>
      <c r="Q136" s="238"/>
      <c r="R136" s="238"/>
      <c r="S136" s="281">
        <f>E136/E137</f>
        <v>0.7565217391</v>
      </c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253"/>
      <c r="C137" s="100"/>
      <c r="D137" s="282" t="s">
        <v>110</v>
      </c>
      <c r="E137" s="278">
        <f t="shared" ref="E137:F137" si="2">SUM(E133:E136)</f>
        <v>115</v>
      </c>
      <c r="F137" s="238">
        <f t="shared" si="2"/>
        <v>126</v>
      </c>
      <c r="G137" s="238"/>
      <c r="H137" s="238"/>
      <c r="I137" s="238"/>
      <c r="J137" s="238"/>
      <c r="K137" s="238"/>
      <c r="L137" s="238"/>
      <c r="M137" s="238"/>
      <c r="N137" s="238"/>
      <c r="O137" s="238"/>
      <c r="P137" s="238"/>
      <c r="Q137" s="238"/>
      <c r="R137" s="238"/>
      <c r="S137" s="238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253"/>
      <c r="C138" s="100"/>
      <c r="D138" s="261"/>
      <c r="E138" s="261"/>
      <c r="F138" s="262"/>
      <c r="G138" s="261"/>
      <c r="H138" s="261"/>
      <c r="I138" s="261"/>
      <c r="J138" s="261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253"/>
      <c r="C139" s="100"/>
      <c r="D139" s="261"/>
      <c r="E139" s="261"/>
      <c r="F139" s="262"/>
      <c r="G139" s="261"/>
      <c r="H139" s="261"/>
      <c r="I139" s="261"/>
      <c r="J139" s="261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253"/>
      <c r="C140" s="100"/>
      <c r="D140" s="261"/>
      <c r="E140" s="261"/>
      <c r="F140" s="262"/>
      <c r="G140" s="261"/>
      <c r="H140" s="261"/>
      <c r="I140" s="261"/>
      <c r="J140" s="261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253"/>
      <c r="C141" s="100"/>
      <c r="D141" s="261"/>
      <c r="E141" s="261"/>
      <c r="F141" s="262"/>
      <c r="G141" s="261"/>
      <c r="H141" s="261"/>
      <c r="I141" s="261"/>
      <c r="J141" s="261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253"/>
      <c r="C142" s="100"/>
      <c r="D142" s="261"/>
      <c r="E142" s="261"/>
      <c r="F142" s="262"/>
      <c r="G142" s="261"/>
      <c r="H142" s="261"/>
      <c r="I142" s="261"/>
      <c r="J142" s="261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253"/>
      <c r="C143" s="100"/>
      <c r="D143" s="261"/>
      <c r="E143" s="261"/>
      <c r="F143" s="262"/>
      <c r="G143" s="261"/>
      <c r="H143" s="261"/>
      <c r="I143" s="261"/>
      <c r="J143" s="261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253"/>
      <c r="C144" s="100"/>
      <c r="D144" s="261"/>
      <c r="E144" s="261"/>
      <c r="F144" s="262"/>
      <c r="G144" s="261"/>
      <c r="H144" s="261"/>
      <c r="I144" s="261"/>
      <c r="J144" s="261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253"/>
      <c r="C145" s="100"/>
      <c r="D145" s="261"/>
      <c r="E145" s="261"/>
      <c r="F145" s="262"/>
      <c r="G145" s="261"/>
      <c r="H145" s="261"/>
      <c r="I145" s="261"/>
      <c r="J145" s="261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253"/>
      <c r="C146" s="100"/>
      <c r="D146" s="261"/>
      <c r="E146" s="261"/>
      <c r="F146" s="262"/>
      <c r="G146" s="261"/>
      <c r="H146" s="261"/>
      <c r="I146" s="261"/>
      <c r="J146" s="261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253"/>
      <c r="C147" s="100"/>
      <c r="D147" s="261"/>
      <c r="E147" s="261"/>
      <c r="F147" s="262"/>
      <c r="G147" s="261"/>
      <c r="H147" s="261"/>
      <c r="I147" s="261"/>
      <c r="J147" s="261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253"/>
      <c r="C148" s="100"/>
      <c r="D148" s="261"/>
      <c r="E148" s="261"/>
      <c r="F148" s="262"/>
      <c r="G148" s="261"/>
      <c r="H148" s="261"/>
      <c r="I148" s="261"/>
      <c r="J148" s="261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253"/>
      <c r="C149" s="100"/>
      <c r="D149" s="261"/>
      <c r="E149" s="261"/>
      <c r="F149" s="262"/>
      <c r="G149" s="261"/>
      <c r="H149" s="261"/>
      <c r="I149" s="261"/>
      <c r="J149" s="261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253"/>
      <c r="C150" s="100"/>
      <c r="D150" s="261"/>
      <c r="E150" s="261"/>
      <c r="F150" s="262"/>
      <c r="G150" s="261"/>
      <c r="H150" s="261"/>
      <c r="I150" s="261"/>
      <c r="J150" s="261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253"/>
      <c r="C151" s="100"/>
      <c r="D151" s="261"/>
      <c r="E151" s="261"/>
      <c r="F151" s="262"/>
      <c r="G151" s="261"/>
      <c r="H151" s="261"/>
      <c r="I151" s="261"/>
      <c r="J151" s="261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253"/>
      <c r="C152" s="100"/>
      <c r="D152" s="261"/>
      <c r="E152" s="261"/>
      <c r="F152" s="262"/>
      <c r="G152" s="261"/>
      <c r="H152" s="261"/>
      <c r="I152" s="261"/>
      <c r="J152" s="261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253"/>
      <c r="C153" s="100"/>
      <c r="D153" s="261"/>
      <c r="E153" s="261"/>
      <c r="F153" s="262"/>
      <c r="G153" s="261"/>
      <c r="H153" s="261"/>
      <c r="I153" s="261"/>
      <c r="J153" s="261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253"/>
      <c r="C154" s="100"/>
      <c r="D154" s="261"/>
      <c r="E154" s="261"/>
      <c r="F154" s="262"/>
      <c r="G154" s="261"/>
      <c r="H154" s="261"/>
      <c r="I154" s="261"/>
      <c r="J154" s="261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253"/>
      <c r="C155" s="100"/>
      <c r="D155" s="261"/>
      <c r="E155" s="261"/>
      <c r="F155" s="262"/>
      <c r="G155" s="261"/>
      <c r="H155" s="261"/>
      <c r="I155" s="261"/>
      <c r="J155" s="261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253"/>
      <c r="C156" s="100"/>
      <c r="D156" s="261"/>
      <c r="E156" s="261"/>
      <c r="F156" s="262"/>
      <c r="G156" s="261"/>
      <c r="H156" s="261"/>
      <c r="I156" s="261"/>
      <c r="J156" s="261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253"/>
      <c r="C157" s="100"/>
      <c r="D157" s="261"/>
      <c r="E157" s="261"/>
      <c r="F157" s="262"/>
      <c r="G157" s="261"/>
      <c r="H157" s="261"/>
      <c r="I157" s="261"/>
      <c r="J157" s="261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253"/>
      <c r="C158" s="100"/>
      <c r="D158" s="261"/>
      <c r="E158" s="261"/>
      <c r="F158" s="262"/>
      <c r="G158" s="261"/>
      <c r="H158" s="261"/>
      <c r="I158" s="261"/>
      <c r="J158" s="261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253"/>
      <c r="C159" s="100"/>
      <c r="D159" s="261"/>
      <c r="E159" s="261"/>
      <c r="F159" s="262"/>
      <c r="G159" s="261"/>
      <c r="H159" s="261"/>
      <c r="I159" s="261"/>
      <c r="J159" s="261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253"/>
      <c r="C160" s="100"/>
      <c r="D160" s="261"/>
      <c r="E160" s="261"/>
      <c r="F160" s="262"/>
      <c r="G160" s="261"/>
      <c r="H160" s="261"/>
      <c r="I160" s="261"/>
      <c r="J160" s="261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253"/>
      <c r="C161" s="100"/>
      <c r="D161" s="261"/>
      <c r="E161" s="261"/>
      <c r="F161" s="262"/>
      <c r="G161" s="261"/>
      <c r="H161" s="261"/>
      <c r="I161" s="261"/>
      <c r="J161" s="261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253"/>
      <c r="C162" s="100"/>
      <c r="D162" s="261"/>
      <c r="E162" s="261"/>
      <c r="F162" s="262"/>
      <c r="G162" s="261"/>
      <c r="H162" s="261"/>
      <c r="I162" s="261"/>
      <c r="J162" s="261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253"/>
      <c r="C163" s="100"/>
      <c r="D163" s="261"/>
      <c r="E163" s="261"/>
      <c r="F163" s="262"/>
      <c r="G163" s="261"/>
      <c r="H163" s="261"/>
      <c r="I163" s="261"/>
      <c r="J163" s="261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253"/>
      <c r="C164" s="100"/>
      <c r="D164" s="261"/>
      <c r="E164" s="261"/>
      <c r="F164" s="262"/>
      <c r="G164" s="261"/>
      <c r="H164" s="261"/>
      <c r="I164" s="261"/>
      <c r="J164" s="261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253"/>
      <c r="C165" s="100"/>
      <c r="D165" s="261"/>
      <c r="E165" s="261"/>
      <c r="F165" s="262"/>
      <c r="G165" s="261"/>
      <c r="H165" s="261"/>
      <c r="I165" s="261"/>
      <c r="J165" s="261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253"/>
      <c r="C166" s="100"/>
      <c r="D166" s="261"/>
      <c r="E166" s="261"/>
      <c r="F166" s="262"/>
      <c r="G166" s="261"/>
      <c r="H166" s="261"/>
      <c r="I166" s="261"/>
      <c r="J166" s="261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253"/>
      <c r="C167" s="100"/>
      <c r="D167" s="261"/>
      <c r="E167" s="261"/>
      <c r="F167" s="262"/>
      <c r="G167" s="261"/>
      <c r="H167" s="261"/>
      <c r="I167" s="261"/>
      <c r="J167" s="261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253"/>
      <c r="C168" s="100"/>
      <c r="D168" s="261"/>
      <c r="E168" s="261"/>
      <c r="F168" s="262"/>
      <c r="G168" s="261"/>
      <c r="H168" s="261"/>
      <c r="I168" s="261"/>
      <c r="J168" s="261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253"/>
      <c r="C169" s="100"/>
      <c r="D169" s="261"/>
      <c r="E169" s="261"/>
      <c r="F169" s="262"/>
      <c r="G169" s="261"/>
      <c r="H169" s="261"/>
      <c r="I169" s="261"/>
      <c r="J169" s="261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253"/>
      <c r="C170" s="100"/>
      <c r="D170" s="261"/>
      <c r="E170" s="261"/>
      <c r="F170" s="262"/>
      <c r="G170" s="261"/>
      <c r="H170" s="261"/>
      <c r="I170" s="261"/>
      <c r="J170" s="261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253"/>
      <c r="C171" s="100"/>
      <c r="D171" s="261"/>
      <c r="E171" s="261"/>
      <c r="F171" s="262"/>
      <c r="G171" s="261"/>
      <c r="H171" s="261"/>
      <c r="I171" s="261"/>
      <c r="J171" s="261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253"/>
      <c r="C172" s="100"/>
      <c r="D172" s="261"/>
      <c r="E172" s="261"/>
      <c r="F172" s="262"/>
      <c r="G172" s="261"/>
      <c r="H172" s="261"/>
      <c r="I172" s="261"/>
      <c r="J172" s="261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253"/>
      <c r="C173" s="100"/>
      <c r="D173" s="261"/>
      <c r="E173" s="261"/>
      <c r="F173" s="262"/>
      <c r="G173" s="261"/>
      <c r="H173" s="261"/>
      <c r="I173" s="261"/>
      <c r="J173" s="261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253"/>
      <c r="C174" s="100"/>
      <c r="D174" s="261"/>
      <c r="E174" s="261"/>
      <c r="F174" s="262"/>
      <c r="G174" s="261"/>
      <c r="H174" s="261"/>
      <c r="I174" s="261"/>
      <c r="J174" s="261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253"/>
      <c r="C175" s="100"/>
      <c r="D175" s="261"/>
      <c r="E175" s="261"/>
      <c r="F175" s="262"/>
      <c r="G175" s="261"/>
      <c r="H175" s="261"/>
      <c r="I175" s="261"/>
      <c r="J175" s="261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253"/>
      <c r="C176" s="100"/>
      <c r="D176" s="261"/>
      <c r="E176" s="261"/>
      <c r="F176" s="262"/>
      <c r="G176" s="261"/>
      <c r="H176" s="261"/>
      <c r="I176" s="261"/>
      <c r="J176" s="261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253"/>
      <c r="C177" s="100"/>
      <c r="D177" s="261"/>
      <c r="E177" s="261"/>
      <c r="F177" s="262"/>
      <c r="G177" s="261"/>
      <c r="H177" s="261"/>
      <c r="I177" s="261"/>
      <c r="J177" s="261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253"/>
      <c r="C178" s="100"/>
      <c r="D178" s="261"/>
      <c r="E178" s="261"/>
      <c r="F178" s="262"/>
      <c r="G178" s="261"/>
      <c r="H178" s="261"/>
      <c r="I178" s="261"/>
      <c r="J178" s="261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253"/>
      <c r="C179" s="100"/>
      <c r="D179" s="261"/>
      <c r="E179" s="261"/>
      <c r="F179" s="262"/>
      <c r="G179" s="261"/>
      <c r="H179" s="261"/>
      <c r="I179" s="261"/>
      <c r="J179" s="261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253"/>
      <c r="C180" s="100"/>
      <c r="D180" s="261"/>
      <c r="E180" s="261"/>
      <c r="F180" s="262"/>
      <c r="G180" s="261"/>
      <c r="H180" s="261"/>
      <c r="I180" s="261"/>
      <c r="J180" s="261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253"/>
      <c r="C181" s="100"/>
      <c r="D181" s="261"/>
      <c r="E181" s="261"/>
      <c r="F181" s="262"/>
      <c r="G181" s="261"/>
      <c r="H181" s="261"/>
      <c r="I181" s="261"/>
      <c r="J181" s="261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253"/>
      <c r="C182" s="100"/>
      <c r="D182" s="261"/>
      <c r="E182" s="261"/>
      <c r="F182" s="262"/>
      <c r="G182" s="261"/>
      <c r="H182" s="261"/>
      <c r="I182" s="261"/>
      <c r="J182" s="261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253"/>
      <c r="C183" s="100"/>
      <c r="D183" s="261"/>
      <c r="E183" s="261"/>
      <c r="F183" s="262"/>
      <c r="G183" s="261"/>
      <c r="H183" s="261"/>
      <c r="I183" s="261"/>
      <c r="J183" s="261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253"/>
      <c r="C184" s="100"/>
      <c r="D184" s="261"/>
      <c r="E184" s="261"/>
      <c r="F184" s="262"/>
      <c r="G184" s="261"/>
      <c r="H184" s="261"/>
      <c r="I184" s="261"/>
      <c r="J184" s="261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253"/>
      <c r="C185" s="100"/>
      <c r="D185" s="261"/>
      <c r="E185" s="261"/>
      <c r="F185" s="262"/>
      <c r="G185" s="261"/>
      <c r="H185" s="261"/>
      <c r="I185" s="261"/>
      <c r="J185" s="261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253"/>
      <c r="C186" s="100"/>
      <c r="D186" s="261"/>
      <c r="E186" s="261"/>
      <c r="F186" s="262"/>
      <c r="G186" s="261"/>
      <c r="H186" s="261"/>
      <c r="I186" s="261"/>
      <c r="J186" s="261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253"/>
      <c r="C187" s="100"/>
      <c r="D187" s="261"/>
      <c r="E187" s="261"/>
      <c r="F187" s="262"/>
      <c r="G187" s="261"/>
      <c r="H187" s="261"/>
      <c r="I187" s="261"/>
      <c r="J187" s="261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253"/>
      <c r="C188" s="100"/>
      <c r="D188" s="261"/>
      <c r="E188" s="261"/>
      <c r="F188" s="262"/>
      <c r="G188" s="261"/>
      <c r="H188" s="261"/>
      <c r="I188" s="261"/>
      <c r="J188" s="261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253"/>
      <c r="C189" s="100"/>
      <c r="D189" s="261"/>
      <c r="E189" s="261"/>
      <c r="F189" s="262"/>
      <c r="G189" s="261"/>
      <c r="H189" s="261"/>
      <c r="I189" s="261"/>
      <c r="J189" s="261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253"/>
      <c r="C190" s="100"/>
      <c r="D190" s="261"/>
      <c r="E190" s="261"/>
      <c r="F190" s="262"/>
      <c r="G190" s="261"/>
      <c r="H190" s="261"/>
      <c r="I190" s="261"/>
      <c r="J190" s="261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253"/>
      <c r="C191" s="100"/>
      <c r="D191" s="261"/>
      <c r="E191" s="261"/>
      <c r="F191" s="262"/>
      <c r="G191" s="261"/>
      <c r="H191" s="261"/>
      <c r="I191" s="261"/>
      <c r="J191" s="261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253"/>
      <c r="C192" s="100"/>
      <c r="D192" s="261"/>
      <c r="E192" s="261"/>
      <c r="F192" s="262"/>
      <c r="G192" s="261"/>
      <c r="H192" s="261"/>
      <c r="I192" s="261"/>
      <c r="J192" s="261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253"/>
      <c r="C193" s="100"/>
      <c r="D193" s="261"/>
      <c r="E193" s="261"/>
      <c r="F193" s="262"/>
      <c r="G193" s="261"/>
      <c r="H193" s="261"/>
      <c r="I193" s="261"/>
      <c r="J193" s="261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253"/>
      <c r="C194" s="100"/>
      <c r="D194" s="261"/>
      <c r="E194" s="261"/>
      <c r="F194" s="262"/>
      <c r="G194" s="261"/>
      <c r="H194" s="261"/>
      <c r="I194" s="261"/>
      <c r="J194" s="261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253"/>
      <c r="C195" s="100"/>
      <c r="D195" s="261"/>
      <c r="E195" s="261"/>
      <c r="F195" s="262"/>
      <c r="G195" s="261"/>
      <c r="H195" s="261"/>
      <c r="I195" s="261"/>
      <c r="J195" s="261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253"/>
      <c r="C196" s="100"/>
      <c r="D196" s="261"/>
      <c r="E196" s="261"/>
      <c r="F196" s="262"/>
      <c r="G196" s="261"/>
      <c r="H196" s="261"/>
      <c r="I196" s="261"/>
      <c r="J196" s="261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253"/>
      <c r="C197" s="100"/>
      <c r="D197" s="261"/>
      <c r="E197" s="261"/>
      <c r="F197" s="262"/>
      <c r="G197" s="261"/>
      <c r="H197" s="261"/>
      <c r="I197" s="261"/>
      <c r="J197" s="261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253"/>
      <c r="C198" s="100"/>
      <c r="D198" s="261"/>
      <c r="E198" s="261"/>
      <c r="F198" s="262"/>
      <c r="G198" s="261"/>
      <c r="H198" s="261"/>
      <c r="I198" s="261"/>
      <c r="J198" s="261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253"/>
      <c r="C199" s="100"/>
      <c r="D199" s="261"/>
      <c r="E199" s="261"/>
      <c r="F199" s="262"/>
      <c r="G199" s="261"/>
      <c r="H199" s="261"/>
      <c r="I199" s="261"/>
      <c r="J199" s="261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253"/>
      <c r="C200" s="100"/>
      <c r="D200" s="261"/>
      <c r="E200" s="261"/>
      <c r="F200" s="262"/>
      <c r="G200" s="261"/>
      <c r="H200" s="261"/>
      <c r="I200" s="261"/>
      <c r="J200" s="261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253"/>
      <c r="C201" s="100"/>
      <c r="D201" s="261"/>
      <c r="E201" s="261"/>
      <c r="F201" s="262"/>
      <c r="G201" s="261"/>
      <c r="H201" s="261"/>
      <c r="I201" s="261"/>
      <c r="J201" s="261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253"/>
      <c r="C202" s="100"/>
      <c r="D202" s="261"/>
      <c r="E202" s="261"/>
      <c r="F202" s="262"/>
      <c r="G202" s="261"/>
      <c r="H202" s="261"/>
      <c r="I202" s="261"/>
      <c r="J202" s="261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253"/>
      <c r="C203" s="100"/>
      <c r="D203" s="261"/>
      <c r="E203" s="261"/>
      <c r="F203" s="262"/>
      <c r="G203" s="261"/>
      <c r="H203" s="261"/>
      <c r="I203" s="261"/>
      <c r="J203" s="261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253"/>
      <c r="C204" s="100"/>
      <c r="D204" s="261"/>
      <c r="E204" s="261"/>
      <c r="F204" s="262"/>
      <c r="G204" s="261"/>
      <c r="H204" s="261"/>
      <c r="I204" s="261"/>
      <c r="J204" s="261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253"/>
      <c r="C205" s="100"/>
      <c r="D205" s="261"/>
      <c r="E205" s="261"/>
      <c r="F205" s="262"/>
      <c r="G205" s="261"/>
      <c r="H205" s="261"/>
      <c r="I205" s="261"/>
      <c r="J205" s="261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253"/>
      <c r="C206" s="100"/>
      <c r="D206" s="261"/>
      <c r="E206" s="261"/>
      <c r="F206" s="262"/>
      <c r="G206" s="261"/>
      <c r="H206" s="261"/>
      <c r="I206" s="261"/>
      <c r="J206" s="261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253"/>
      <c r="C207" s="100"/>
      <c r="D207" s="261"/>
      <c r="E207" s="261"/>
      <c r="F207" s="262"/>
      <c r="G207" s="261"/>
      <c r="H207" s="261"/>
      <c r="I207" s="261"/>
      <c r="J207" s="261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253"/>
      <c r="C208" s="100"/>
      <c r="D208" s="261"/>
      <c r="E208" s="261"/>
      <c r="F208" s="262"/>
      <c r="G208" s="261"/>
      <c r="H208" s="261"/>
      <c r="I208" s="261"/>
      <c r="J208" s="261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253"/>
      <c r="C209" s="100"/>
      <c r="D209" s="261"/>
      <c r="E209" s="261"/>
      <c r="F209" s="262"/>
      <c r="G209" s="261"/>
      <c r="H209" s="261"/>
      <c r="I209" s="261"/>
      <c r="J209" s="261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253"/>
      <c r="C210" s="100"/>
      <c r="D210" s="261"/>
      <c r="E210" s="261"/>
      <c r="F210" s="262"/>
      <c r="G210" s="261"/>
      <c r="H210" s="261"/>
      <c r="I210" s="261"/>
      <c r="J210" s="261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253"/>
      <c r="C211" s="100"/>
      <c r="D211" s="261"/>
      <c r="E211" s="261"/>
      <c r="F211" s="262"/>
      <c r="G211" s="261"/>
      <c r="H211" s="261"/>
      <c r="I211" s="261"/>
      <c r="J211" s="261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253"/>
      <c r="C212" s="100"/>
      <c r="D212" s="261"/>
      <c r="E212" s="261"/>
      <c r="F212" s="262"/>
      <c r="G212" s="261"/>
      <c r="H212" s="261"/>
      <c r="I212" s="261"/>
      <c r="J212" s="261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253"/>
      <c r="C213" s="100"/>
      <c r="D213" s="261"/>
      <c r="E213" s="261"/>
      <c r="F213" s="262"/>
      <c r="G213" s="261"/>
      <c r="H213" s="261"/>
      <c r="I213" s="261"/>
      <c r="J213" s="261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253"/>
      <c r="C214" s="100"/>
      <c r="D214" s="261"/>
      <c r="E214" s="261"/>
      <c r="F214" s="262"/>
      <c r="G214" s="261"/>
      <c r="H214" s="261"/>
      <c r="I214" s="261"/>
      <c r="J214" s="261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253"/>
      <c r="C215" s="100"/>
      <c r="D215" s="261"/>
      <c r="E215" s="261"/>
      <c r="F215" s="262"/>
      <c r="G215" s="261"/>
      <c r="H215" s="261"/>
      <c r="I215" s="261"/>
      <c r="J215" s="261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253"/>
      <c r="C216" s="100"/>
      <c r="D216" s="261"/>
      <c r="E216" s="261"/>
      <c r="F216" s="262"/>
      <c r="G216" s="261"/>
      <c r="H216" s="261"/>
      <c r="I216" s="261"/>
      <c r="J216" s="261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253"/>
      <c r="C217" s="100"/>
      <c r="D217" s="261"/>
      <c r="E217" s="261"/>
      <c r="F217" s="262"/>
      <c r="G217" s="261"/>
      <c r="H217" s="261"/>
      <c r="I217" s="261"/>
      <c r="J217" s="261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253"/>
      <c r="C218" s="100"/>
      <c r="D218" s="261"/>
      <c r="E218" s="261"/>
      <c r="F218" s="262"/>
      <c r="G218" s="261"/>
      <c r="H218" s="261"/>
      <c r="I218" s="261"/>
      <c r="J218" s="261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253"/>
      <c r="C219" s="100"/>
      <c r="D219" s="261"/>
      <c r="E219" s="261"/>
      <c r="F219" s="262"/>
      <c r="G219" s="261"/>
      <c r="H219" s="261"/>
      <c r="I219" s="261"/>
      <c r="J219" s="261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253"/>
      <c r="C220" s="100"/>
      <c r="D220" s="261"/>
      <c r="E220" s="261"/>
      <c r="F220" s="262"/>
      <c r="G220" s="261"/>
      <c r="H220" s="261"/>
      <c r="I220" s="261"/>
      <c r="J220" s="261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253"/>
      <c r="C221" s="100"/>
      <c r="D221" s="261"/>
      <c r="E221" s="261"/>
      <c r="F221" s="262"/>
      <c r="G221" s="261"/>
      <c r="H221" s="261"/>
      <c r="I221" s="261"/>
      <c r="J221" s="261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253"/>
      <c r="C222" s="100"/>
      <c r="D222" s="261"/>
      <c r="E222" s="261"/>
      <c r="F222" s="262"/>
      <c r="G222" s="261"/>
      <c r="H222" s="261"/>
      <c r="I222" s="261"/>
      <c r="J222" s="261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253"/>
      <c r="C223" s="100"/>
      <c r="D223" s="261"/>
      <c r="E223" s="261"/>
      <c r="F223" s="262"/>
      <c r="G223" s="261"/>
      <c r="H223" s="261"/>
      <c r="I223" s="261"/>
      <c r="J223" s="261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253"/>
      <c r="C224" s="100"/>
      <c r="D224" s="261"/>
      <c r="E224" s="261"/>
      <c r="F224" s="262"/>
      <c r="G224" s="261"/>
      <c r="H224" s="261"/>
      <c r="I224" s="261"/>
      <c r="J224" s="261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253"/>
      <c r="C225" s="100"/>
      <c r="D225" s="261"/>
      <c r="E225" s="261"/>
      <c r="F225" s="262"/>
      <c r="G225" s="261"/>
      <c r="H225" s="261"/>
      <c r="I225" s="261"/>
      <c r="J225" s="261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253"/>
      <c r="C226" s="100"/>
      <c r="D226" s="261"/>
      <c r="E226" s="261"/>
      <c r="F226" s="262"/>
      <c r="G226" s="261"/>
      <c r="H226" s="261"/>
      <c r="I226" s="261"/>
      <c r="J226" s="261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253"/>
      <c r="C227" s="100"/>
      <c r="D227" s="261"/>
      <c r="E227" s="261"/>
      <c r="F227" s="262"/>
      <c r="G227" s="261"/>
      <c r="H227" s="261"/>
      <c r="I227" s="261"/>
      <c r="J227" s="261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253"/>
      <c r="C228" s="100"/>
      <c r="D228" s="261"/>
      <c r="E228" s="261"/>
      <c r="F228" s="262"/>
      <c r="G228" s="261"/>
      <c r="H228" s="261"/>
      <c r="I228" s="261"/>
      <c r="J228" s="261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253"/>
      <c r="C229" s="100"/>
      <c r="D229" s="261"/>
      <c r="E229" s="261"/>
      <c r="F229" s="262"/>
      <c r="G229" s="261"/>
      <c r="H229" s="261"/>
      <c r="I229" s="261"/>
      <c r="J229" s="261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253"/>
      <c r="C230" s="100"/>
      <c r="D230" s="261"/>
      <c r="E230" s="261"/>
      <c r="F230" s="262"/>
      <c r="G230" s="261"/>
      <c r="H230" s="261"/>
      <c r="I230" s="261"/>
      <c r="J230" s="261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253"/>
      <c r="C231" s="100"/>
      <c r="D231" s="261"/>
      <c r="E231" s="261"/>
      <c r="F231" s="262"/>
      <c r="G231" s="261"/>
      <c r="H231" s="261"/>
      <c r="I231" s="261"/>
      <c r="J231" s="261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253"/>
      <c r="C232" s="100"/>
      <c r="D232" s="261"/>
      <c r="E232" s="261"/>
      <c r="F232" s="262"/>
      <c r="G232" s="261"/>
      <c r="H232" s="261"/>
      <c r="I232" s="261"/>
      <c r="J232" s="261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253"/>
      <c r="C233" s="100"/>
      <c r="D233" s="261"/>
      <c r="E233" s="261"/>
      <c r="F233" s="262"/>
      <c r="G233" s="261"/>
      <c r="H233" s="261"/>
      <c r="I233" s="261"/>
      <c r="J233" s="261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253"/>
      <c r="C234" s="100"/>
      <c r="D234" s="261"/>
      <c r="E234" s="261"/>
      <c r="F234" s="262"/>
      <c r="G234" s="261"/>
      <c r="H234" s="261"/>
      <c r="I234" s="261"/>
      <c r="J234" s="261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253"/>
      <c r="C235" s="100"/>
      <c r="D235" s="261"/>
      <c r="E235" s="261"/>
      <c r="F235" s="262"/>
      <c r="G235" s="261"/>
      <c r="H235" s="261"/>
      <c r="I235" s="261"/>
      <c r="J235" s="261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253"/>
      <c r="C236" s="100"/>
      <c r="D236" s="261"/>
      <c r="E236" s="261"/>
      <c r="F236" s="262"/>
      <c r="G236" s="261"/>
      <c r="H236" s="261"/>
      <c r="I236" s="261"/>
      <c r="J236" s="261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253"/>
      <c r="C237" s="100"/>
      <c r="D237" s="261"/>
      <c r="E237" s="261"/>
      <c r="F237" s="262"/>
      <c r="G237" s="261"/>
      <c r="H237" s="261"/>
      <c r="I237" s="261"/>
      <c r="J237" s="261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253"/>
      <c r="C238" s="100"/>
      <c r="D238" s="261"/>
      <c r="E238" s="261"/>
      <c r="F238" s="262"/>
      <c r="G238" s="261"/>
      <c r="H238" s="261"/>
      <c r="I238" s="261"/>
      <c r="J238" s="261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253"/>
      <c r="C239" s="100"/>
      <c r="D239" s="261"/>
      <c r="E239" s="261"/>
      <c r="F239" s="262"/>
      <c r="G239" s="261"/>
      <c r="H239" s="261"/>
      <c r="I239" s="261"/>
      <c r="J239" s="261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253"/>
      <c r="C240" s="100"/>
      <c r="D240" s="261"/>
      <c r="E240" s="261"/>
      <c r="F240" s="262"/>
      <c r="G240" s="261"/>
      <c r="H240" s="261"/>
      <c r="I240" s="261"/>
      <c r="J240" s="261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253"/>
      <c r="C241" s="100"/>
      <c r="D241" s="261"/>
      <c r="E241" s="261"/>
      <c r="F241" s="262"/>
      <c r="G241" s="261"/>
      <c r="H241" s="261"/>
      <c r="I241" s="261"/>
      <c r="J241" s="261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253"/>
      <c r="C242" s="100"/>
      <c r="D242" s="261"/>
      <c r="E242" s="261"/>
      <c r="F242" s="262"/>
      <c r="G242" s="261"/>
      <c r="H242" s="261"/>
      <c r="I242" s="261"/>
      <c r="J242" s="261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253"/>
      <c r="C243" s="100"/>
      <c r="D243" s="261"/>
      <c r="E243" s="261"/>
      <c r="F243" s="262"/>
      <c r="G243" s="261"/>
      <c r="H243" s="261"/>
      <c r="I243" s="261"/>
      <c r="J243" s="261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253"/>
      <c r="C244" s="100"/>
      <c r="D244" s="261"/>
      <c r="E244" s="261"/>
      <c r="F244" s="262"/>
      <c r="G244" s="261"/>
      <c r="H244" s="261"/>
      <c r="I244" s="261"/>
      <c r="J244" s="261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253"/>
      <c r="C245" s="100"/>
      <c r="D245" s="261"/>
      <c r="E245" s="261"/>
      <c r="F245" s="262"/>
      <c r="G245" s="261"/>
      <c r="H245" s="261"/>
      <c r="I245" s="261"/>
      <c r="J245" s="261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253"/>
      <c r="C246" s="100"/>
      <c r="D246" s="261"/>
      <c r="E246" s="261"/>
      <c r="F246" s="262"/>
      <c r="G246" s="261"/>
      <c r="H246" s="261"/>
      <c r="I246" s="261"/>
      <c r="J246" s="261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253"/>
      <c r="C247" s="100"/>
      <c r="D247" s="261"/>
      <c r="E247" s="261"/>
      <c r="F247" s="262"/>
      <c r="G247" s="261"/>
      <c r="H247" s="261"/>
      <c r="I247" s="261"/>
      <c r="J247" s="261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253"/>
      <c r="C248" s="100"/>
      <c r="D248" s="261"/>
      <c r="E248" s="261"/>
      <c r="F248" s="262"/>
      <c r="G248" s="261"/>
      <c r="H248" s="261"/>
      <c r="I248" s="261"/>
      <c r="J248" s="261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253"/>
      <c r="C249" s="100"/>
      <c r="D249" s="261"/>
      <c r="E249" s="261"/>
      <c r="F249" s="262"/>
      <c r="G249" s="261"/>
      <c r="H249" s="261"/>
      <c r="I249" s="261"/>
      <c r="J249" s="261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253"/>
      <c r="C250" s="100"/>
      <c r="D250" s="261"/>
      <c r="E250" s="261"/>
      <c r="F250" s="262"/>
      <c r="G250" s="261"/>
      <c r="H250" s="261"/>
      <c r="I250" s="261"/>
      <c r="J250" s="261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253"/>
      <c r="C251" s="100"/>
      <c r="D251" s="261"/>
      <c r="E251" s="261"/>
      <c r="F251" s="262"/>
      <c r="G251" s="261"/>
      <c r="H251" s="261"/>
      <c r="I251" s="261"/>
      <c r="J251" s="261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253"/>
      <c r="C252" s="100"/>
      <c r="D252" s="261"/>
      <c r="E252" s="261"/>
      <c r="F252" s="262"/>
      <c r="G252" s="261"/>
      <c r="H252" s="261"/>
      <c r="I252" s="261"/>
      <c r="J252" s="261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253"/>
      <c r="C253" s="100"/>
      <c r="D253" s="261"/>
      <c r="E253" s="261"/>
      <c r="F253" s="262"/>
      <c r="G253" s="261"/>
      <c r="H253" s="261"/>
      <c r="I253" s="261"/>
      <c r="J253" s="261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253"/>
      <c r="C254" s="100"/>
      <c r="D254" s="261"/>
      <c r="E254" s="261"/>
      <c r="F254" s="262"/>
      <c r="G254" s="261"/>
      <c r="H254" s="261"/>
      <c r="I254" s="261"/>
      <c r="J254" s="261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253"/>
      <c r="C255" s="100"/>
      <c r="D255" s="261"/>
      <c r="E255" s="261"/>
      <c r="F255" s="262"/>
      <c r="G255" s="261"/>
      <c r="H255" s="261"/>
      <c r="I255" s="261"/>
      <c r="J255" s="261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253"/>
      <c r="C256" s="100"/>
      <c r="D256" s="261"/>
      <c r="E256" s="261"/>
      <c r="F256" s="262"/>
      <c r="G256" s="261"/>
      <c r="H256" s="261"/>
      <c r="I256" s="261"/>
      <c r="J256" s="261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253"/>
      <c r="C257" s="100"/>
      <c r="D257" s="261"/>
      <c r="E257" s="261"/>
      <c r="F257" s="262"/>
      <c r="G257" s="261"/>
      <c r="H257" s="261"/>
      <c r="I257" s="261"/>
      <c r="J257" s="261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253"/>
      <c r="C258" s="100"/>
      <c r="D258" s="261"/>
      <c r="E258" s="261"/>
      <c r="F258" s="262"/>
      <c r="G258" s="261"/>
      <c r="H258" s="261"/>
      <c r="I258" s="261"/>
      <c r="J258" s="261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253"/>
      <c r="C259" s="100"/>
      <c r="D259" s="261"/>
      <c r="E259" s="261"/>
      <c r="F259" s="262"/>
      <c r="G259" s="261"/>
      <c r="H259" s="261"/>
      <c r="I259" s="261"/>
      <c r="J259" s="261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253"/>
      <c r="C260" s="100"/>
      <c r="D260" s="261"/>
      <c r="E260" s="261"/>
      <c r="F260" s="262"/>
      <c r="G260" s="261"/>
      <c r="H260" s="261"/>
      <c r="I260" s="261"/>
      <c r="J260" s="261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253"/>
      <c r="C261" s="100"/>
      <c r="D261" s="261"/>
      <c r="E261" s="261"/>
      <c r="F261" s="262"/>
      <c r="G261" s="261"/>
      <c r="H261" s="261"/>
      <c r="I261" s="261"/>
      <c r="J261" s="261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253"/>
      <c r="C262" s="100"/>
      <c r="D262" s="261"/>
      <c r="E262" s="261"/>
      <c r="F262" s="262"/>
      <c r="G262" s="261"/>
      <c r="H262" s="261"/>
      <c r="I262" s="261"/>
      <c r="J262" s="261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253"/>
      <c r="C263" s="100"/>
      <c r="D263" s="261"/>
      <c r="E263" s="261"/>
      <c r="F263" s="262"/>
      <c r="G263" s="261"/>
      <c r="H263" s="261"/>
      <c r="I263" s="261"/>
      <c r="J263" s="261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253"/>
      <c r="C264" s="100"/>
      <c r="D264" s="261"/>
      <c r="E264" s="261"/>
      <c r="F264" s="262"/>
      <c r="G264" s="261"/>
      <c r="H264" s="261"/>
      <c r="I264" s="261"/>
      <c r="J264" s="261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253"/>
      <c r="C265" s="100"/>
      <c r="D265" s="261"/>
      <c r="E265" s="261"/>
      <c r="F265" s="262"/>
      <c r="G265" s="261"/>
      <c r="H265" s="261"/>
      <c r="I265" s="261"/>
      <c r="J265" s="261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253"/>
      <c r="C266" s="100"/>
      <c r="D266" s="261"/>
      <c r="E266" s="261"/>
      <c r="F266" s="262"/>
      <c r="G266" s="261"/>
      <c r="H266" s="261"/>
      <c r="I266" s="261"/>
      <c r="J266" s="261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253"/>
      <c r="C267" s="100"/>
      <c r="D267" s="261"/>
      <c r="E267" s="261"/>
      <c r="F267" s="262"/>
      <c r="G267" s="261"/>
      <c r="H267" s="261"/>
      <c r="I267" s="261"/>
      <c r="J267" s="261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253"/>
      <c r="C268" s="100"/>
      <c r="D268" s="261"/>
      <c r="E268" s="261"/>
      <c r="F268" s="262"/>
      <c r="G268" s="261"/>
      <c r="H268" s="261"/>
      <c r="I268" s="261"/>
      <c r="J268" s="261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253"/>
      <c r="C269" s="100"/>
      <c r="D269" s="261"/>
      <c r="E269" s="261"/>
      <c r="F269" s="262"/>
      <c r="G269" s="261"/>
      <c r="H269" s="261"/>
      <c r="I269" s="261"/>
      <c r="J269" s="261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253"/>
      <c r="C270" s="100"/>
      <c r="D270" s="261"/>
      <c r="E270" s="261"/>
      <c r="F270" s="262"/>
      <c r="G270" s="261"/>
      <c r="H270" s="261"/>
      <c r="I270" s="261"/>
      <c r="J270" s="261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253"/>
      <c r="C271" s="100"/>
      <c r="D271" s="261"/>
      <c r="E271" s="261"/>
      <c r="F271" s="262"/>
      <c r="G271" s="261"/>
      <c r="H271" s="261"/>
      <c r="I271" s="261"/>
      <c r="J271" s="261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253"/>
      <c r="C272" s="100"/>
      <c r="D272" s="261"/>
      <c r="E272" s="261"/>
      <c r="F272" s="262"/>
      <c r="G272" s="261"/>
      <c r="H272" s="261"/>
      <c r="I272" s="261"/>
      <c r="J272" s="261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253"/>
      <c r="C273" s="100"/>
      <c r="D273" s="261"/>
      <c r="E273" s="261"/>
      <c r="F273" s="262"/>
      <c r="G273" s="261"/>
      <c r="H273" s="261"/>
      <c r="I273" s="261"/>
      <c r="J273" s="261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253"/>
      <c r="C274" s="100"/>
      <c r="D274" s="261"/>
      <c r="E274" s="261"/>
      <c r="F274" s="262"/>
      <c r="G274" s="261"/>
      <c r="H274" s="261"/>
      <c r="I274" s="261"/>
      <c r="J274" s="261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253"/>
      <c r="C275" s="100"/>
      <c r="D275" s="261"/>
      <c r="E275" s="261"/>
      <c r="F275" s="262"/>
      <c r="G275" s="261"/>
      <c r="H275" s="261"/>
      <c r="I275" s="261"/>
      <c r="J275" s="261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253"/>
      <c r="C276" s="100"/>
      <c r="D276" s="261"/>
      <c r="E276" s="261"/>
      <c r="F276" s="262"/>
      <c r="G276" s="261"/>
      <c r="H276" s="261"/>
      <c r="I276" s="261"/>
      <c r="J276" s="261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253"/>
      <c r="C277" s="100"/>
      <c r="D277" s="261"/>
      <c r="E277" s="261"/>
      <c r="F277" s="262"/>
      <c r="G277" s="261"/>
      <c r="H277" s="261"/>
      <c r="I277" s="261"/>
      <c r="J277" s="261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253"/>
      <c r="C278" s="100"/>
      <c r="D278" s="261"/>
      <c r="E278" s="261"/>
      <c r="F278" s="262"/>
      <c r="G278" s="261"/>
      <c r="H278" s="261"/>
      <c r="I278" s="261"/>
      <c r="J278" s="261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253"/>
      <c r="C279" s="100"/>
      <c r="D279" s="261"/>
      <c r="E279" s="261"/>
      <c r="F279" s="262"/>
      <c r="G279" s="261"/>
      <c r="H279" s="261"/>
      <c r="I279" s="261"/>
      <c r="J279" s="261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253"/>
      <c r="C280" s="100"/>
      <c r="D280" s="261"/>
      <c r="E280" s="261"/>
      <c r="F280" s="262"/>
      <c r="G280" s="261"/>
      <c r="H280" s="261"/>
      <c r="I280" s="261"/>
      <c r="J280" s="261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253"/>
      <c r="C281" s="100"/>
      <c r="D281" s="261"/>
      <c r="E281" s="261"/>
      <c r="F281" s="262"/>
      <c r="G281" s="261"/>
      <c r="H281" s="261"/>
      <c r="I281" s="261"/>
      <c r="J281" s="261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253"/>
      <c r="C282" s="100"/>
      <c r="D282" s="261"/>
      <c r="E282" s="261"/>
      <c r="F282" s="262"/>
      <c r="G282" s="261"/>
      <c r="H282" s="261"/>
      <c r="I282" s="261"/>
      <c r="J282" s="261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253"/>
      <c r="C283" s="100"/>
      <c r="D283" s="261"/>
      <c r="E283" s="261"/>
      <c r="F283" s="262"/>
      <c r="G283" s="261"/>
      <c r="H283" s="261"/>
      <c r="I283" s="261"/>
      <c r="J283" s="261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253"/>
      <c r="C284" s="100"/>
      <c r="D284" s="261"/>
      <c r="E284" s="261"/>
      <c r="F284" s="262"/>
      <c r="G284" s="261"/>
      <c r="H284" s="261"/>
      <c r="I284" s="261"/>
      <c r="J284" s="261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253"/>
      <c r="C285" s="100"/>
      <c r="D285" s="261"/>
      <c r="E285" s="261"/>
      <c r="F285" s="262"/>
      <c r="G285" s="261"/>
      <c r="H285" s="261"/>
      <c r="I285" s="261"/>
      <c r="J285" s="261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253"/>
      <c r="C286" s="100"/>
      <c r="D286" s="261"/>
      <c r="E286" s="261"/>
      <c r="F286" s="262"/>
      <c r="G286" s="261"/>
      <c r="H286" s="261"/>
      <c r="I286" s="261"/>
      <c r="J286" s="261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253"/>
      <c r="C287" s="100"/>
      <c r="D287" s="261"/>
      <c r="E287" s="261"/>
      <c r="F287" s="262"/>
      <c r="G287" s="261"/>
      <c r="H287" s="261"/>
      <c r="I287" s="261"/>
      <c r="J287" s="261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253"/>
      <c r="C288" s="100"/>
      <c r="D288" s="261"/>
      <c r="E288" s="261"/>
      <c r="F288" s="262"/>
      <c r="G288" s="261"/>
      <c r="H288" s="261"/>
      <c r="I288" s="261"/>
      <c r="J288" s="261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253"/>
      <c r="C289" s="100"/>
      <c r="D289" s="261"/>
      <c r="E289" s="261"/>
      <c r="F289" s="262"/>
      <c r="G289" s="261"/>
      <c r="H289" s="261"/>
      <c r="I289" s="261"/>
      <c r="J289" s="261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253"/>
      <c r="C290" s="100"/>
      <c r="D290" s="261"/>
      <c r="E290" s="261"/>
      <c r="F290" s="262"/>
      <c r="G290" s="261"/>
      <c r="H290" s="261"/>
      <c r="I290" s="261"/>
      <c r="J290" s="261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253"/>
      <c r="C291" s="100"/>
      <c r="D291" s="261"/>
      <c r="E291" s="261"/>
      <c r="F291" s="262"/>
      <c r="G291" s="261"/>
      <c r="H291" s="261"/>
      <c r="I291" s="261"/>
      <c r="J291" s="261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253"/>
      <c r="C292" s="100"/>
      <c r="D292" s="261"/>
      <c r="E292" s="261"/>
      <c r="F292" s="262"/>
      <c r="G292" s="261"/>
      <c r="H292" s="261"/>
      <c r="I292" s="261"/>
      <c r="J292" s="261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253"/>
      <c r="C293" s="100"/>
      <c r="D293" s="261"/>
      <c r="E293" s="261"/>
      <c r="F293" s="262"/>
      <c r="G293" s="261"/>
      <c r="H293" s="261"/>
      <c r="I293" s="261"/>
      <c r="J293" s="261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253"/>
      <c r="C294" s="100"/>
      <c r="D294" s="261"/>
      <c r="E294" s="261"/>
      <c r="F294" s="262"/>
      <c r="G294" s="261"/>
      <c r="H294" s="261"/>
      <c r="I294" s="261"/>
      <c r="J294" s="261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253"/>
      <c r="C295" s="100"/>
      <c r="D295" s="261"/>
      <c r="E295" s="261"/>
      <c r="F295" s="262"/>
      <c r="G295" s="261"/>
      <c r="H295" s="261"/>
      <c r="I295" s="261"/>
      <c r="J295" s="261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253"/>
      <c r="C296" s="100"/>
      <c r="D296" s="261"/>
      <c r="E296" s="261"/>
      <c r="F296" s="262"/>
      <c r="G296" s="261"/>
      <c r="H296" s="261"/>
      <c r="I296" s="261"/>
      <c r="J296" s="261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253"/>
      <c r="C297" s="100"/>
      <c r="D297" s="261"/>
      <c r="E297" s="261"/>
      <c r="F297" s="262"/>
      <c r="G297" s="261"/>
      <c r="H297" s="261"/>
      <c r="I297" s="261"/>
      <c r="J297" s="261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253"/>
      <c r="C298" s="100"/>
      <c r="D298" s="261"/>
      <c r="E298" s="261"/>
      <c r="F298" s="262"/>
      <c r="G298" s="261"/>
      <c r="H298" s="261"/>
      <c r="I298" s="261"/>
      <c r="J298" s="261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253"/>
      <c r="C299" s="100"/>
      <c r="D299" s="261"/>
      <c r="E299" s="261"/>
      <c r="F299" s="262"/>
      <c r="G299" s="261"/>
      <c r="H299" s="261"/>
      <c r="I299" s="261"/>
      <c r="J299" s="261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253"/>
      <c r="C300" s="100"/>
      <c r="D300" s="261"/>
      <c r="E300" s="261"/>
      <c r="F300" s="262"/>
      <c r="G300" s="261"/>
      <c r="H300" s="261"/>
      <c r="I300" s="261"/>
      <c r="J300" s="261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253"/>
      <c r="C301" s="100"/>
      <c r="D301" s="261"/>
      <c r="E301" s="261"/>
      <c r="F301" s="262"/>
      <c r="G301" s="261"/>
      <c r="H301" s="261"/>
      <c r="I301" s="261"/>
      <c r="J301" s="261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253"/>
      <c r="C302" s="100"/>
      <c r="D302" s="261"/>
      <c r="E302" s="261"/>
      <c r="F302" s="262"/>
      <c r="G302" s="261"/>
      <c r="H302" s="261"/>
      <c r="I302" s="261"/>
      <c r="J302" s="261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253"/>
      <c r="C303" s="100"/>
      <c r="D303" s="261"/>
      <c r="E303" s="261"/>
      <c r="F303" s="262"/>
      <c r="G303" s="261"/>
      <c r="H303" s="261"/>
      <c r="I303" s="261"/>
      <c r="J303" s="261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253"/>
      <c r="C304" s="100"/>
      <c r="D304" s="261"/>
      <c r="E304" s="261"/>
      <c r="F304" s="262"/>
      <c r="G304" s="261"/>
      <c r="H304" s="261"/>
      <c r="I304" s="261"/>
      <c r="J304" s="261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253"/>
      <c r="C305" s="100"/>
      <c r="D305" s="261"/>
      <c r="E305" s="261"/>
      <c r="F305" s="262"/>
      <c r="G305" s="261"/>
      <c r="H305" s="261"/>
      <c r="I305" s="261"/>
      <c r="J305" s="261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253"/>
      <c r="C306" s="100"/>
      <c r="D306" s="261"/>
      <c r="E306" s="261"/>
      <c r="F306" s="262"/>
      <c r="G306" s="261"/>
      <c r="H306" s="261"/>
      <c r="I306" s="261"/>
      <c r="J306" s="261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253"/>
      <c r="C307" s="100"/>
      <c r="D307" s="261"/>
      <c r="E307" s="261"/>
      <c r="F307" s="262"/>
      <c r="G307" s="261"/>
      <c r="H307" s="261"/>
      <c r="I307" s="261"/>
      <c r="J307" s="261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253"/>
      <c r="C308" s="100"/>
      <c r="D308" s="261"/>
      <c r="E308" s="261"/>
      <c r="F308" s="262"/>
      <c r="G308" s="261"/>
      <c r="H308" s="261"/>
      <c r="I308" s="261"/>
      <c r="J308" s="261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253"/>
      <c r="C309" s="100"/>
      <c r="D309" s="261"/>
      <c r="E309" s="261"/>
      <c r="F309" s="262"/>
      <c r="G309" s="261"/>
      <c r="H309" s="261"/>
      <c r="I309" s="261"/>
      <c r="J309" s="261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253"/>
      <c r="C310" s="100"/>
      <c r="D310" s="261"/>
      <c r="E310" s="261"/>
      <c r="F310" s="262"/>
      <c r="G310" s="261"/>
      <c r="H310" s="261"/>
      <c r="I310" s="261"/>
      <c r="J310" s="261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253"/>
      <c r="C311" s="100"/>
      <c r="D311" s="261"/>
      <c r="E311" s="261"/>
      <c r="F311" s="262"/>
      <c r="G311" s="261"/>
      <c r="H311" s="261"/>
      <c r="I311" s="261"/>
      <c r="J311" s="261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253"/>
      <c r="C312" s="100"/>
      <c r="D312" s="261"/>
      <c r="E312" s="261"/>
      <c r="F312" s="262"/>
      <c r="G312" s="261"/>
      <c r="H312" s="261"/>
      <c r="I312" s="261"/>
      <c r="J312" s="261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253"/>
      <c r="C313" s="100"/>
      <c r="D313" s="261"/>
      <c r="E313" s="261"/>
      <c r="F313" s="262"/>
      <c r="G313" s="261"/>
      <c r="H313" s="261"/>
      <c r="I313" s="261"/>
      <c r="J313" s="261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253"/>
      <c r="C314" s="100"/>
      <c r="D314" s="261"/>
      <c r="E314" s="261"/>
      <c r="F314" s="262"/>
      <c r="G314" s="261"/>
      <c r="H314" s="261"/>
      <c r="I314" s="261"/>
      <c r="J314" s="261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253"/>
      <c r="C315" s="100"/>
      <c r="D315" s="261"/>
      <c r="E315" s="261"/>
      <c r="F315" s="262"/>
      <c r="G315" s="261"/>
      <c r="H315" s="261"/>
      <c r="I315" s="261"/>
      <c r="J315" s="261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253"/>
      <c r="C316" s="100"/>
      <c r="D316" s="261"/>
      <c r="E316" s="261"/>
      <c r="F316" s="262"/>
      <c r="G316" s="261"/>
      <c r="H316" s="261"/>
      <c r="I316" s="261"/>
      <c r="J316" s="261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253"/>
      <c r="C317" s="100"/>
      <c r="D317" s="261"/>
      <c r="E317" s="261"/>
      <c r="F317" s="262"/>
      <c r="G317" s="261"/>
      <c r="H317" s="261"/>
      <c r="I317" s="261"/>
      <c r="J317" s="261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253"/>
      <c r="C318" s="100"/>
      <c r="D318" s="261"/>
      <c r="E318" s="261"/>
      <c r="F318" s="262"/>
      <c r="G318" s="261"/>
      <c r="H318" s="261"/>
      <c r="I318" s="261"/>
      <c r="J318" s="261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253"/>
      <c r="C319" s="100"/>
      <c r="D319" s="261"/>
      <c r="E319" s="261"/>
      <c r="F319" s="262"/>
      <c r="G319" s="261"/>
      <c r="H319" s="261"/>
      <c r="I319" s="261"/>
      <c r="J319" s="261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253"/>
      <c r="C320" s="100"/>
      <c r="D320" s="261"/>
      <c r="E320" s="261"/>
      <c r="F320" s="262"/>
      <c r="G320" s="261"/>
      <c r="H320" s="261"/>
      <c r="I320" s="261"/>
      <c r="J320" s="261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253"/>
      <c r="C321" s="100"/>
      <c r="D321" s="261"/>
      <c r="E321" s="261"/>
      <c r="F321" s="262"/>
      <c r="G321" s="261"/>
      <c r="H321" s="261"/>
      <c r="I321" s="261"/>
      <c r="J321" s="261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253"/>
      <c r="C322" s="100"/>
      <c r="D322" s="261"/>
      <c r="E322" s="261"/>
      <c r="F322" s="262"/>
      <c r="G322" s="261"/>
      <c r="H322" s="261"/>
      <c r="I322" s="261"/>
      <c r="J322" s="261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253"/>
      <c r="C323" s="100"/>
      <c r="D323" s="261"/>
      <c r="E323" s="261"/>
      <c r="F323" s="262"/>
      <c r="G323" s="261"/>
      <c r="H323" s="261"/>
      <c r="I323" s="261"/>
      <c r="J323" s="261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253"/>
      <c r="C324" s="100"/>
      <c r="D324" s="261"/>
      <c r="E324" s="261"/>
      <c r="F324" s="262"/>
      <c r="G324" s="261"/>
      <c r="H324" s="261"/>
      <c r="I324" s="261"/>
      <c r="J324" s="261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253"/>
      <c r="C325" s="100"/>
      <c r="D325" s="261"/>
      <c r="E325" s="261"/>
      <c r="F325" s="262"/>
      <c r="G325" s="261"/>
      <c r="H325" s="261"/>
      <c r="I325" s="261"/>
      <c r="J325" s="261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253"/>
      <c r="C326" s="100"/>
      <c r="D326" s="261"/>
      <c r="E326" s="261"/>
      <c r="F326" s="262"/>
      <c r="G326" s="261"/>
      <c r="H326" s="261"/>
      <c r="I326" s="261"/>
      <c r="J326" s="261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253"/>
      <c r="C327" s="100"/>
      <c r="D327" s="261"/>
      <c r="E327" s="261"/>
      <c r="F327" s="262"/>
      <c r="G327" s="261"/>
      <c r="H327" s="261"/>
      <c r="I327" s="261"/>
      <c r="J327" s="261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253"/>
      <c r="C328" s="100"/>
      <c r="D328" s="261"/>
      <c r="E328" s="261"/>
      <c r="F328" s="262"/>
      <c r="G328" s="261"/>
      <c r="H328" s="261"/>
      <c r="I328" s="261"/>
      <c r="J328" s="261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253"/>
      <c r="C329" s="100"/>
      <c r="D329" s="261"/>
      <c r="E329" s="261"/>
      <c r="F329" s="262"/>
      <c r="G329" s="261"/>
      <c r="H329" s="261"/>
      <c r="I329" s="261"/>
      <c r="J329" s="261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253"/>
      <c r="C330" s="100"/>
      <c r="D330" s="261"/>
      <c r="E330" s="261"/>
      <c r="F330" s="262"/>
      <c r="G330" s="261"/>
      <c r="H330" s="261"/>
      <c r="I330" s="261"/>
      <c r="J330" s="261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253"/>
      <c r="C331" s="100"/>
      <c r="D331" s="261"/>
      <c r="E331" s="261"/>
      <c r="F331" s="262"/>
      <c r="G331" s="261"/>
      <c r="H331" s="261"/>
      <c r="I331" s="261"/>
      <c r="J331" s="261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253"/>
      <c r="C332" s="100"/>
      <c r="D332" s="261"/>
      <c r="E332" s="261"/>
      <c r="F332" s="262"/>
      <c r="G332" s="261"/>
      <c r="H332" s="261"/>
      <c r="I332" s="261"/>
      <c r="J332" s="261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253"/>
      <c r="C333" s="100"/>
      <c r="D333" s="261"/>
      <c r="E333" s="261"/>
      <c r="F333" s="262"/>
      <c r="G333" s="261"/>
      <c r="H333" s="261"/>
      <c r="I333" s="261"/>
      <c r="J333" s="261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253"/>
      <c r="C334" s="100"/>
      <c r="D334" s="261"/>
      <c r="E334" s="261"/>
      <c r="F334" s="262"/>
      <c r="G334" s="261"/>
      <c r="H334" s="261"/>
      <c r="I334" s="261"/>
      <c r="J334" s="261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253"/>
      <c r="C335" s="100"/>
      <c r="D335" s="261"/>
      <c r="E335" s="261"/>
      <c r="F335" s="262"/>
      <c r="G335" s="261"/>
      <c r="H335" s="261"/>
      <c r="I335" s="261"/>
      <c r="J335" s="261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253"/>
      <c r="C336" s="100"/>
      <c r="D336" s="261"/>
      <c r="E336" s="261"/>
      <c r="F336" s="262"/>
      <c r="G336" s="261"/>
      <c r="H336" s="261"/>
      <c r="I336" s="261"/>
      <c r="J336" s="261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253"/>
      <c r="C337" s="100"/>
      <c r="D337" s="261"/>
      <c r="E337" s="261"/>
      <c r="F337" s="262"/>
      <c r="G337" s="261"/>
      <c r="H337" s="261"/>
      <c r="I337" s="261"/>
      <c r="J337" s="261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S1"/>
    <mergeCell ref="J2:J3"/>
    <mergeCell ref="K2:K3"/>
    <mergeCell ref="L2:L3"/>
    <mergeCell ref="M2:M3"/>
    <mergeCell ref="N2:N3"/>
    <mergeCell ref="K33:L33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Col="2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/>
  </sheetPr>
  <sheetViews>
    <sheetView workbookViewId="0"/>
  </sheetViews>
  <sheetFormatPr customHeight="1" defaultColWidth="14.43" defaultRowHeight="15.0" outlineLevelCol="2"/>
  <cols>
    <col customWidth="1" min="1" max="1" width="7.29"/>
    <col customWidth="1" min="2" max="2" width="8.71"/>
    <col customWidth="1" min="3" max="3" width="7.0"/>
    <col customWidth="1" min="4" max="9" width="8.71"/>
    <col customWidth="1" min="10" max="10" width="8.57"/>
    <col customWidth="1" min="11" max="12" width="8.71"/>
    <col customWidth="1" min="13" max="13" width="4.71"/>
    <col customWidth="1" min="14" max="14" width="8.0"/>
    <col customWidth="1" min="15" max="16" width="8.71"/>
  </cols>
  <sheetData>
    <row r="2">
      <c r="I2" s="283" t="s">
        <v>1620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H32" s="284"/>
      <c r="I32" s="284"/>
      <c r="J32" s="284"/>
      <c r="K32" s="284"/>
      <c r="L32" s="284"/>
      <c r="M32" s="284"/>
      <c r="N32" s="284"/>
      <c r="O32" s="284"/>
      <c r="P32" s="284"/>
    </row>
    <row r="33" ht="15.75" customHeight="1">
      <c r="H33" s="284"/>
      <c r="I33" s="284"/>
      <c r="J33" s="284"/>
      <c r="K33" s="284"/>
      <c r="L33" s="284"/>
      <c r="M33" s="284"/>
      <c r="N33" s="284"/>
      <c r="O33" s="284"/>
      <c r="P33" s="284"/>
    </row>
    <row r="34" ht="15.75" customHeight="1">
      <c r="H34" s="284"/>
      <c r="I34" s="284"/>
      <c r="J34" s="284"/>
      <c r="K34" s="284"/>
      <c r="L34" s="284"/>
      <c r="M34" s="284"/>
      <c r="N34" s="284"/>
      <c r="O34" s="284"/>
      <c r="P34" s="284"/>
    </row>
    <row r="35" ht="15.75" customHeight="1">
      <c r="H35" s="284"/>
      <c r="I35" s="284"/>
      <c r="J35" s="284"/>
      <c r="K35" s="284"/>
      <c r="L35" s="284"/>
      <c r="M35" s="284"/>
      <c r="N35" s="284"/>
      <c r="O35" s="284"/>
      <c r="P35" s="28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B47" s="285" t="s">
        <v>1621</v>
      </c>
      <c r="C47" s="284"/>
      <c r="D47" s="284"/>
      <c r="E47" s="284"/>
      <c r="F47" s="284"/>
      <c r="G47" s="284"/>
    </row>
    <row r="48" ht="15.75" customHeight="1">
      <c r="B48" s="286"/>
      <c r="C48" s="284" t="s">
        <v>1622</v>
      </c>
      <c r="D48" s="284"/>
      <c r="E48" s="284"/>
      <c r="F48" s="284"/>
      <c r="G48" s="284"/>
    </row>
    <row r="49" ht="15.75" customHeight="1">
      <c r="B49" s="287"/>
      <c r="C49" s="284" t="s">
        <v>1623</v>
      </c>
      <c r="D49" s="284"/>
      <c r="E49" s="284"/>
      <c r="F49" s="284"/>
      <c r="G49" s="284"/>
    </row>
    <row r="50" ht="15.75" customHeight="1">
      <c r="B50" s="288"/>
      <c r="C50" s="284" t="s">
        <v>1624</v>
      </c>
      <c r="D50" s="284"/>
      <c r="E50" s="284"/>
      <c r="F50" s="284"/>
      <c r="G50" s="284"/>
    </row>
    <row r="51" ht="15.75" customHeight="1">
      <c r="B51" s="289"/>
      <c r="C51" s="284" t="s">
        <v>1625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2:O2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Col="2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Col="2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Col="2"/>
  <cols>
    <col customWidth="1" min="1" max="6" width="14.43"/>
  </cols>
  <sheetData>
    <row r="2" ht="15.0" customHeight="1">
      <c r="A2" s="290"/>
      <c r="B2" s="290"/>
      <c r="C2" s="290"/>
      <c r="D2" s="290"/>
      <c r="E2" s="290"/>
      <c r="F2" s="290"/>
      <c r="G2" s="290"/>
      <c r="H2" s="290"/>
      <c r="I2" s="291"/>
      <c r="O2" s="290"/>
      <c r="P2" s="290"/>
      <c r="Q2" s="290"/>
      <c r="R2" s="290"/>
      <c r="S2" s="290"/>
      <c r="T2" s="290"/>
      <c r="U2" s="290"/>
      <c r="V2" s="290"/>
    </row>
    <row r="3">
      <c r="A3" s="290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</row>
    <row r="4">
      <c r="A4" s="292"/>
      <c r="B4" s="292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</row>
    <row r="5">
      <c r="A5" s="290"/>
      <c r="B5" s="290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/>
      <c r="V5" s="290"/>
    </row>
    <row r="6">
      <c r="A6" s="290"/>
      <c r="B6" s="290"/>
      <c r="C6" s="290"/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</row>
    <row r="7">
      <c r="A7" s="290"/>
      <c r="B7" s="290"/>
      <c r="C7" s="290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</row>
    <row r="8">
      <c r="A8" s="290"/>
      <c r="B8" s="290"/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</row>
    <row r="9">
      <c r="A9" s="290"/>
      <c r="B9" s="290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</row>
    <row r="10">
      <c r="A10" s="290"/>
      <c r="B10" s="290"/>
      <c r="C10" s="290"/>
      <c r="D10" s="290"/>
      <c r="E10" s="290"/>
      <c r="F10" s="290"/>
      <c r="G10" s="290"/>
      <c r="H10" s="290"/>
      <c r="I10" s="290"/>
      <c r="J10" s="290"/>
      <c r="K10" s="290"/>
      <c r="L10" s="290"/>
      <c r="M10" s="290"/>
      <c r="N10" s="290"/>
      <c r="O10" s="290"/>
      <c r="P10" s="290"/>
      <c r="Q10" s="290"/>
      <c r="R10" s="290"/>
      <c r="S10" s="290"/>
      <c r="T10" s="290"/>
      <c r="U10" s="290"/>
      <c r="V10" s="290"/>
    </row>
    <row r="11">
      <c r="A11" s="290"/>
      <c r="B11" s="290"/>
      <c r="C11" s="290"/>
      <c r="D11" s="290"/>
      <c r="E11" s="290"/>
      <c r="F11" s="290"/>
      <c r="G11" s="290"/>
      <c r="H11" s="290"/>
      <c r="I11" s="290"/>
      <c r="J11" s="290"/>
      <c r="K11" s="290"/>
      <c r="L11" s="290"/>
      <c r="M11" s="290"/>
      <c r="N11" s="290"/>
      <c r="O11" s="290"/>
      <c r="P11" s="290"/>
      <c r="Q11" s="290"/>
      <c r="R11" s="290"/>
      <c r="S11" s="290"/>
      <c r="T11" s="290"/>
      <c r="U11" s="290"/>
      <c r="V11" s="290"/>
    </row>
    <row r="12">
      <c r="A12" s="290"/>
      <c r="B12" s="290"/>
      <c r="C12" s="290"/>
      <c r="D12" s="290"/>
      <c r="E12" s="290"/>
      <c r="F12" s="290"/>
      <c r="G12" s="290"/>
      <c r="H12" s="290"/>
      <c r="I12" s="29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</row>
    <row r="13">
      <c r="A13" s="290"/>
      <c r="B13" s="290"/>
      <c r="C13" s="290"/>
      <c r="D13" s="290"/>
      <c r="E13" s="290"/>
      <c r="F13" s="290"/>
      <c r="G13" s="290"/>
      <c r="H13" s="290"/>
      <c r="I13" s="290"/>
      <c r="J13" s="290"/>
      <c r="K13" s="290"/>
      <c r="L13" s="290"/>
      <c r="M13" s="290"/>
      <c r="N13" s="290"/>
      <c r="O13" s="290"/>
      <c r="P13" s="290"/>
      <c r="Q13" s="290"/>
      <c r="R13" s="290"/>
      <c r="S13" s="290"/>
      <c r="T13" s="290"/>
      <c r="U13" s="290"/>
      <c r="V13" s="290"/>
    </row>
    <row r="14">
      <c r="A14" s="290"/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  <c r="N14" s="290"/>
      <c r="O14" s="290"/>
      <c r="P14" s="290"/>
      <c r="Q14" s="290"/>
      <c r="R14" s="290"/>
      <c r="S14" s="290"/>
      <c r="T14" s="290"/>
      <c r="U14" s="290"/>
      <c r="V14" s="290"/>
    </row>
    <row r="15">
      <c r="A15" s="290"/>
      <c r="B15" s="290"/>
      <c r="C15" s="290"/>
      <c r="D15" s="290"/>
      <c r="E15" s="290"/>
      <c r="F15" s="290"/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</row>
    <row r="16">
      <c r="A16" s="290"/>
      <c r="B16" s="290"/>
      <c r="C16" s="290"/>
      <c r="D16" s="290"/>
      <c r="E16" s="290"/>
      <c r="F16" s="290"/>
      <c r="G16" s="290"/>
      <c r="H16" s="290"/>
      <c r="I16" s="290"/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</row>
    <row r="17">
      <c r="A17" s="290"/>
      <c r="B17" s="290"/>
      <c r="C17" s="290"/>
      <c r="D17" s="290"/>
      <c r="E17" s="290"/>
      <c r="F17" s="290"/>
      <c r="G17" s="290"/>
      <c r="H17" s="290"/>
      <c r="I17" s="290"/>
      <c r="J17" s="290"/>
      <c r="K17" s="290"/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0"/>
    </row>
    <row r="18">
      <c r="A18" s="290"/>
      <c r="B18" s="290"/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</row>
    <row r="19">
      <c r="A19" s="290"/>
      <c r="B19" s="290"/>
      <c r="C19" s="290"/>
      <c r="D19" s="290"/>
      <c r="E19" s="290"/>
      <c r="F19" s="290"/>
      <c r="G19" s="290"/>
      <c r="H19" s="290"/>
      <c r="I19" s="290"/>
      <c r="J19" s="290"/>
      <c r="K19" s="290"/>
      <c r="L19" s="290"/>
      <c r="M19" s="290"/>
      <c r="N19" s="290"/>
      <c r="O19" s="290"/>
      <c r="P19" s="290"/>
      <c r="Q19" s="290"/>
      <c r="R19" s="290"/>
      <c r="S19" s="290"/>
      <c r="T19" s="290"/>
      <c r="U19" s="290"/>
      <c r="V19" s="290"/>
    </row>
    <row r="20">
      <c r="A20" s="290"/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</row>
    <row r="21" ht="15.75" customHeight="1">
      <c r="A21" s="290"/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</row>
    <row r="22" ht="15.75" customHeight="1">
      <c r="A22" s="290"/>
      <c r="B22" s="290"/>
      <c r="C22" s="290"/>
      <c r="D22" s="290"/>
      <c r="E22" s="290"/>
      <c r="F22" s="290"/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</row>
    <row r="23" ht="15.75" customHeight="1">
      <c r="A23" s="290"/>
      <c r="B23" s="290"/>
      <c r="C23" s="290"/>
      <c r="D23" s="290"/>
      <c r="E23" s="290"/>
      <c r="F23" s="290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</row>
    <row r="24" ht="15.75" customHeight="1">
      <c r="A24" s="290"/>
      <c r="B24" s="290"/>
      <c r="C24" s="290"/>
      <c r="D24" s="290"/>
      <c r="E24" s="290"/>
      <c r="F24" s="290"/>
      <c r="G24" s="290"/>
      <c r="H24" s="290"/>
      <c r="I24" s="290"/>
      <c r="J24" s="290"/>
      <c r="K24" s="290"/>
      <c r="L24" s="290"/>
      <c r="M24" s="290"/>
      <c r="N24" s="290"/>
      <c r="O24" s="290"/>
      <c r="P24" s="290"/>
      <c r="Q24" s="290"/>
      <c r="R24" s="290"/>
      <c r="S24" s="290"/>
      <c r="T24" s="290"/>
      <c r="U24" s="290"/>
      <c r="V24" s="290"/>
    </row>
    <row r="25" ht="15.75" customHeight="1">
      <c r="A25" s="290"/>
      <c r="B25" s="290"/>
      <c r="C25" s="290"/>
      <c r="D25" s="290"/>
      <c r="E25" s="290"/>
      <c r="F25" s="290"/>
      <c r="G25" s="290"/>
      <c r="H25" s="290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</row>
    <row r="26" ht="15.75" customHeight="1">
      <c r="A26" s="290"/>
      <c r="B26" s="290"/>
      <c r="C26" s="290"/>
      <c r="D26" s="290"/>
      <c r="E26" s="290"/>
      <c r="F26" s="290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</row>
    <row r="27" ht="15.75" customHeight="1">
      <c r="A27" s="290"/>
      <c r="B27" s="290"/>
      <c r="C27" s="290"/>
      <c r="D27" s="290"/>
      <c r="E27" s="290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0"/>
    </row>
    <row r="28" ht="15.75" customHeight="1">
      <c r="A28" s="290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</row>
    <row r="29" ht="15.75" customHeight="1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</row>
    <row r="30" ht="15.75" customHeight="1">
      <c r="A30" s="290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</row>
    <row r="31" ht="15.75" customHeight="1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</row>
    <row r="32" ht="15.75" customHeight="1">
      <c r="A32" s="290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</row>
    <row r="33" ht="15.75" customHeight="1">
      <c r="A33" s="290"/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</row>
    <row r="34" ht="15.75" customHeight="1">
      <c r="A34" s="290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0"/>
      <c r="P34" s="290"/>
      <c r="Q34" s="290"/>
      <c r="R34" s="290"/>
      <c r="S34" s="290"/>
      <c r="T34" s="290"/>
      <c r="U34" s="290"/>
      <c r="V34" s="290"/>
    </row>
    <row r="35" ht="15.75" customHeight="1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</row>
    <row r="36" ht="15.75" customHeight="1">
      <c r="A36" s="290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0"/>
      <c r="P36" s="290"/>
      <c r="Q36" s="290"/>
      <c r="R36" s="290"/>
      <c r="S36" s="290"/>
      <c r="T36" s="290"/>
      <c r="U36" s="290"/>
      <c r="V36" s="290"/>
    </row>
    <row r="37" ht="15.75" customHeight="1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</row>
    <row r="38" ht="15.75" customHeight="1">
      <c r="A38" s="290"/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</row>
    <row r="39" ht="15.75" customHeight="1">
      <c r="A39" s="290"/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</row>
    <row r="40" ht="15.75" customHeight="1">
      <c r="A40" s="290"/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</row>
    <row r="41" ht="15.75" customHeight="1">
      <c r="A41" s="290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0"/>
      <c r="R41" s="290"/>
      <c r="S41" s="290"/>
      <c r="T41" s="290"/>
      <c r="U41" s="290"/>
      <c r="V41" s="290"/>
    </row>
    <row r="42" ht="15.75" customHeight="1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>
      <c r="B61" s="293" t="s">
        <v>212</v>
      </c>
      <c r="D61" s="290"/>
      <c r="E61" s="290"/>
      <c r="F61" s="290"/>
      <c r="G61" s="290"/>
      <c r="H61" s="290"/>
    </row>
    <row r="62" ht="15.75" customHeight="1">
      <c r="B62" s="294" t="s">
        <v>1251</v>
      </c>
      <c r="C62" s="294" t="s">
        <v>1626</v>
      </c>
      <c r="F62" s="295">
        <v>1.0</v>
      </c>
      <c r="G62" s="290"/>
      <c r="H62" s="290"/>
    </row>
    <row r="63" ht="15.75" customHeight="1">
      <c r="B63" s="294" t="s">
        <v>1252</v>
      </c>
      <c r="C63" s="294" t="s">
        <v>143</v>
      </c>
      <c r="D63" s="294"/>
      <c r="E63" s="294"/>
      <c r="F63" s="295">
        <v>24.0</v>
      </c>
      <c r="G63" s="290"/>
      <c r="H63" s="290"/>
    </row>
    <row r="64" ht="15.75" customHeight="1">
      <c r="B64" s="294" t="s">
        <v>1253</v>
      </c>
      <c r="C64" s="294" t="s">
        <v>145</v>
      </c>
      <c r="E64" s="294"/>
      <c r="F64" s="295">
        <v>3.0</v>
      </c>
      <c r="G64" s="290"/>
      <c r="H64" s="290"/>
    </row>
    <row r="65" ht="15.75" customHeight="1">
      <c r="B65" s="296" t="s">
        <v>1627</v>
      </c>
      <c r="F65" s="295">
        <v>28.0</v>
      </c>
      <c r="G65" s="290"/>
      <c r="H65" s="290"/>
    </row>
    <row r="66" ht="15.75" customHeight="1">
      <c r="B66" s="294" t="s">
        <v>146</v>
      </c>
      <c r="C66" s="294" t="s">
        <v>1628</v>
      </c>
      <c r="F66" s="295">
        <v>98.0</v>
      </c>
      <c r="G66" s="290"/>
      <c r="H66" s="290"/>
    </row>
    <row r="67" ht="15.75" customHeight="1">
      <c r="B67" s="294"/>
      <c r="C67" s="294" t="s">
        <v>1629</v>
      </c>
      <c r="F67" s="295">
        <v>126.0</v>
      </c>
      <c r="G67" s="290"/>
      <c r="H67" s="290"/>
    </row>
    <row r="68" ht="15.75" customHeight="1">
      <c r="B68" s="294"/>
      <c r="C68" s="294"/>
      <c r="D68" s="290"/>
      <c r="E68" s="290"/>
      <c r="F68" s="294"/>
      <c r="G68" s="290"/>
      <c r="H68" s="290"/>
    </row>
    <row r="69" ht="15.75" customHeight="1">
      <c r="B69" s="297" t="s">
        <v>1621</v>
      </c>
      <c r="D69" s="298"/>
      <c r="E69" s="298"/>
      <c r="F69" s="298"/>
      <c r="G69" s="298"/>
      <c r="H69" s="298"/>
    </row>
    <row r="70" ht="15.75" customHeight="1">
      <c r="B70" s="299"/>
      <c r="C70" s="298" t="s">
        <v>1622</v>
      </c>
      <c r="H70" s="298"/>
    </row>
    <row r="71" ht="15.75" customHeight="1">
      <c r="B71" s="300"/>
      <c r="C71" s="298" t="s">
        <v>1623</v>
      </c>
      <c r="F71" s="298"/>
      <c r="G71" s="298"/>
      <c r="H71" s="298"/>
    </row>
    <row r="72" ht="15.75" customHeight="1">
      <c r="B72" s="301"/>
      <c r="C72" s="298" t="s">
        <v>1624</v>
      </c>
      <c r="F72" s="298"/>
      <c r="G72" s="298"/>
      <c r="H72" s="298"/>
    </row>
    <row r="73" ht="15.75" customHeight="1">
      <c r="B73" s="302"/>
      <c r="C73" s="298" t="s">
        <v>1630</v>
      </c>
      <c r="G73" s="290"/>
      <c r="H73" s="290"/>
    </row>
    <row r="74" ht="15.75" customHeight="1">
      <c r="B74" s="303"/>
      <c r="C74" s="298" t="s">
        <v>146</v>
      </c>
      <c r="D74" s="290"/>
      <c r="E74" s="290"/>
      <c r="F74" s="290"/>
      <c r="G74" s="290"/>
      <c r="H74" s="290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69:C69"/>
    <mergeCell ref="C70:G70"/>
    <mergeCell ref="C71:E71"/>
    <mergeCell ref="C72:E72"/>
    <mergeCell ref="C73:F73"/>
    <mergeCell ref="I2:N2"/>
    <mergeCell ref="B61:C61"/>
    <mergeCell ref="C62:E62"/>
    <mergeCell ref="C64:D64"/>
    <mergeCell ref="B65:E65"/>
    <mergeCell ref="C66:E66"/>
    <mergeCell ref="C67:E67"/>
  </mergeCells>
  <printOptions/>
  <pageMargins bottom="0.75" footer="0.0" header="0.0" left="0.7" right="0.7" top="0.75"/>
  <pageSetup orientation="landscape"/>
  <drawing r:id="rId1"/>
</worksheet>
</file>