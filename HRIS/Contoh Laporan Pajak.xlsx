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>
    <definedName hidden="1" localSheetId="0" name="_xlnm._FilterDatabase">Sheet1!$A$10:$U$578</definedName>
  </definedNames>
  <calcPr/>
</workbook>
</file>

<file path=xl/sharedStrings.xml><?xml version="1.0" encoding="utf-8"?>
<sst xmlns="http://schemas.openxmlformats.org/spreadsheetml/2006/main" count="1037" uniqueCount="83">
  <si>
    <t>GAJI KARYAWAN</t>
  </si>
  <si>
    <t>Gaji Bulan : 01-2024</t>
  </si>
  <si>
    <t>Printed</t>
  </si>
  <si>
    <t>Wednesday, 07-02-2024 22:30</t>
  </si>
  <si>
    <t>SEMUA KARYAWAN</t>
  </si>
  <si>
    <t>Page</t>
  </si>
  <si>
    <t>of</t>
  </si>
  <si>
    <t>Jumlah</t>
  </si>
  <si>
    <t>THP Final</t>
  </si>
  <si>
    <t>Gaji Pokok</t>
  </si>
  <si>
    <t>Bonus</t>
  </si>
  <si>
    <t>Lembur</t>
  </si>
  <si>
    <t>Sanksi</t>
  </si>
  <si>
    <t>Lain</t>
  </si>
  <si>
    <t>Askes</t>
  </si>
  <si>
    <t>Askes Raaat Inap</t>
  </si>
  <si>
    <t>PremiBPJS Kesehatan</t>
  </si>
  <si>
    <t>JKK (0,89%/0,24%)</t>
  </si>
  <si>
    <t>JKM (0,3%)</t>
  </si>
  <si>
    <t>Perdin</t>
  </si>
  <si>
    <t>BPJSPensiun</t>
  </si>
  <si>
    <t>Iuran JHT 2%</t>
  </si>
  <si>
    <t>T. Jabatan</t>
  </si>
  <si>
    <t>T. fungsional</t>
  </si>
  <si>
    <t>T. PPH</t>
  </si>
  <si>
    <t>PPH21</t>
  </si>
  <si>
    <t>BRUTO</t>
  </si>
  <si>
    <t>TIDAK FINAL</t>
  </si>
  <si>
    <t>Total</t>
  </si>
  <si>
    <t>Cabang Semarang</t>
  </si>
  <si>
    <t>Status Karyawan Kontrak</t>
  </si>
  <si>
    <t>Tenaga Kerja   Langsung</t>
  </si>
  <si>
    <t>Cost Center Produksi</t>
  </si>
  <si>
    <t>Tenaga Kerja   Tidak Langsung</t>
  </si>
  <si>
    <t>Tenaga Kerja</t>
  </si>
  <si>
    <t>Cost Center Pemasaran</t>
  </si>
  <si>
    <t>Cost Center Umum</t>
  </si>
  <si>
    <t>Total Status Karyawan Kontrak</t>
  </si>
  <si>
    <t>Status Karyawan Tetap</t>
  </si>
  <si>
    <t>Total Status Karyawan Tetap</t>
  </si>
  <si>
    <t>Total Cabang Semarang</t>
  </si>
  <si>
    <t>BPJS Kesehatan Selisih 215.478</t>
  </si>
  <si>
    <t>Dibuat,    (DISSY ARDJANI)</t>
  </si>
  <si>
    <t>Diketahui 1,    (LIBERT HUTAHAEAN)</t>
  </si>
  <si>
    <t>Diketahui 2,    (HORIYATUR RAHMAH)</t>
  </si>
  <si>
    <t>Cabang Nganjuk</t>
  </si>
  <si>
    <t>Total Cabang Nganjuk</t>
  </si>
  <si>
    <t>Cabang Denpasar</t>
  </si>
  <si>
    <t>Total Cabang Denpasar</t>
  </si>
  <si>
    <t>Cabang Cengkareng</t>
  </si>
  <si>
    <t>Temapack</t>
  </si>
  <si>
    <t>Total  Temapack</t>
  </si>
  <si>
    <t>Total Cabang Cengkareng</t>
  </si>
  <si>
    <t>BPJS Kesehatan Selisih 216.001</t>
  </si>
  <si>
    <t>PT. JP Book</t>
  </si>
  <si>
    <t>Total PT. JP Book</t>
  </si>
  <si>
    <t>Holding</t>
  </si>
  <si>
    <t>Total  Holding</t>
  </si>
  <si>
    <t>MpGs</t>
  </si>
  <si>
    <t>Total  MpGs</t>
  </si>
  <si>
    <t>Total Cabang Holding</t>
  </si>
  <si>
    <t>BPJS Kesehatan Selisih 430.956</t>
  </si>
  <si>
    <t>Total Cabang Packaging</t>
  </si>
  <si>
    <t>Cabang DCP Surabaya</t>
  </si>
  <si>
    <t>Total Cabang DCP Surabaya</t>
  </si>
  <si>
    <t>BPJS Kesehatan Selisih 197.969</t>
  </si>
  <si>
    <t>Cabang Packaging Bekasi</t>
  </si>
  <si>
    <t>Shp Bag</t>
  </si>
  <si>
    <t>Total  Shp Bag</t>
  </si>
  <si>
    <t>Total Cabang Packaging Bekasi</t>
  </si>
  <si>
    <t>PT. DCI</t>
  </si>
  <si>
    <t>Total PT. DCI</t>
  </si>
  <si>
    <t>Tema Wadah Lestari</t>
  </si>
  <si>
    <t>Total Tema Wadah Lestari</t>
  </si>
  <si>
    <t>PT. JPM</t>
  </si>
  <si>
    <t>Total PT. JPM</t>
  </si>
  <si>
    <t>PT. DIM</t>
  </si>
  <si>
    <t>Total PT. DIM</t>
  </si>
  <si>
    <t>Kantor Pusat-Sumengko</t>
  </si>
  <si>
    <t>Total Kantor Pusat-Sumengko</t>
  </si>
  <si>
    <t>BPJS Kesehatan Selisih 646.378</t>
  </si>
  <si>
    <t>Grant Total</t>
  </si>
  <si>
    <t>*********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</si>
</sst>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3">
    <font>
      <sz val="11.0"/>
      <color theme="1"/>
      <name val="Calibri"/>
      <scheme val="minor"/>
    </font>
    <font>
      <b/>
      <sz val="9.0"/>
      <color theme="1"/>
      <name val="Quattrocento Sans"/>
    </font>
    <font>
      <sz val="9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2" fontId="2" numFmtId="0" xfId="0" applyFill="1" applyFont="1"/>
    <xf borderId="0" fillId="0" fontId="2" numFmtId="164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0" fontId="2" numFmtId="164" xfId="0" applyFont="1" applyNumberFormat="1"/>
    <xf borderId="0" fillId="0" fontId="1" numFmtId="165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1" numFmtId="164" xfId="0" applyFont="1" applyNumberFormat="1"/>
    <xf borderId="0" fillId="0" fontId="1" numFmtId="165" xfId="0" applyFont="1" applyNumberFormat="1"/>
    <xf borderId="1" fillId="3" fontId="1" numFmtId="0" xfId="0" applyAlignment="1" applyBorder="1" applyFill="1" applyFont="1">
      <alignment horizontal="left"/>
    </xf>
    <xf borderId="1" fillId="4" fontId="1" numFmtId="165" xfId="0" applyAlignment="1" applyBorder="1" applyFill="1" applyFont="1" applyNumberFormat="1">
      <alignment horizontal="right"/>
    </xf>
    <xf borderId="1" fillId="4" fontId="1" numFmtId="165" xfId="0" applyBorder="1" applyFill="1" applyFont="1" applyNumberFormat="1"/>
    <xf borderId="0" fillId="0" fontId="2" numFmtId="165" xfId="0" applyFont="1" applyNumberFormat="1"/>
    <xf borderId="1" fillId="4" fontId="1" numFmtId="164" xfId="0" applyAlignment="1" applyBorder="1" applyFill="1" applyFont="1" applyNumberFormat="1">
      <alignment horizontal="righ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26.71"/>
    <col customWidth="1" min="2" max="2" width="5.57"/>
    <col customWidth="1" min="3" max="4" width="13.0"/>
    <col customWidth="1" min="5" max="6" width="12.71"/>
    <col customWidth="1" min="7" max="8" width="10.57"/>
    <col customWidth="1" min="9" max="9" width="11.71"/>
    <col customWidth="1" min="10" max="10" width="20.57"/>
    <col customWidth="1" min="11" max="11" width="25.29"/>
    <col customWidth="1" min="12" max="12" width="20.86"/>
    <col customWidth="1" min="13" max="13" width="15.14"/>
    <col customWidth="1" min="14" max="15" width="10.57"/>
    <col customWidth="1" min="16" max="16" width="14.71"/>
    <col customWidth="1" min="17" max="17" width="11.71"/>
    <col customWidth="1" min="18" max="18" width="9.57"/>
    <col customWidth="1" min="19" max="20" width="11.29"/>
    <col customWidth="1" min="21" max="21" width="12.71"/>
    <col customWidth="1" min="22" max="23" width="8.86"/>
    <col customWidth="1" min="24" max="24" width="11.14"/>
    <col customWidth="1" min="25" max="26" width="8.71"/>
  </cols>
  <sheetData>
    <row r="1" ht="1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2"/>
      <c r="P2" s="2" t="s">
        <v>3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1" t="s">
        <v>4</v>
      </c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 t="s">
        <v>5</v>
      </c>
      <c r="Q4" s="4">
        <v>1.0</v>
      </c>
      <c r="R4" s="3" t="s">
        <v>6</v>
      </c>
      <c r="S4" s="4">
        <v>2.0</v>
      </c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L5" s="5"/>
      <c r="M5" s="5"/>
      <c r="N5" s="2"/>
      <c r="P5" s="5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6" t="s">
        <v>7</v>
      </c>
      <c r="C6" s="6" t="s">
        <v>8</v>
      </c>
      <c r="D6" s="6" t="s">
        <v>9</v>
      </c>
      <c r="E6" s="7" t="s">
        <v>10</v>
      </c>
      <c r="F6" s="7" t="s">
        <v>11</v>
      </c>
      <c r="G6" s="6" t="s">
        <v>12</v>
      </c>
      <c r="H6" s="6" t="s">
        <v>13</v>
      </c>
      <c r="I6" s="7" t="s">
        <v>14</v>
      </c>
      <c r="J6" s="7" t="s">
        <v>15</v>
      </c>
      <c r="K6" s="6" t="s">
        <v>16</v>
      </c>
      <c r="L6" s="5" t="s">
        <v>17</v>
      </c>
      <c r="M6" s="5" t="s">
        <v>18</v>
      </c>
      <c r="N6" s="8" t="s">
        <v>19</v>
      </c>
      <c r="O6" s="6" t="s">
        <v>20</v>
      </c>
      <c r="P6" s="5" t="s">
        <v>21</v>
      </c>
      <c r="Q6" s="6" t="s">
        <v>22</v>
      </c>
      <c r="R6" s="6" t="s">
        <v>23</v>
      </c>
      <c r="S6" s="6" t="s">
        <v>24</v>
      </c>
      <c r="T6" s="6" t="s">
        <v>25</v>
      </c>
      <c r="U6" s="1" t="s">
        <v>26</v>
      </c>
      <c r="V6" s="2"/>
      <c r="W6" s="1" t="s">
        <v>27</v>
      </c>
      <c r="X6" s="1" t="s">
        <v>28</v>
      </c>
      <c r="Y6" s="2"/>
      <c r="Z6" s="2"/>
    </row>
    <row r="7" ht="12.75" customHeight="1">
      <c r="A7" s="1" t="s">
        <v>29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 t="s">
        <v>30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 t="s">
        <v>31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 t="s">
        <v>32</v>
      </c>
      <c r="B11" s="9">
        <v>3.0</v>
      </c>
      <c r="C11" s="10">
        <v>8810679.0</v>
      </c>
      <c r="D11" s="10">
        <v>8810679.0</v>
      </c>
      <c r="E11" s="10">
        <v>758478.0</v>
      </c>
      <c r="F11" s="10">
        <v>374152.0</v>
      </c>
      <c r="G11" s="10">
        <v>3793.0</v>
      </c>
      <c r="H11" s="9">
        <v>0.0</v>
      </c>
      <c r="I11" s="9">
        <v>0.0</v>
      </c>
      <c r="J11" s="9">
        <v>0.0</v>
      </c>
      <c r="K11" s="10">
        <f>215478*3</f>
        <v>646434</v>
      </c>
      <c r="L11" s="10">
        <v>78415.0</v>
      </c>
      <c r="M11" s="10">
        <v>26432.0</v>
      </c>
      <c r="N11" s="11">
        <v>0.0</v>
      </c>
      <c r="O11" s="10">
        <v>88106.0</v>
      </c>
      <c r="P11" s="11">
        <v>176212.0</v>
      </c>
      <c r="Q11" s="9">
        <v>0.0</v>
      </c>
      <c r="R11" s="9">
        <v>0.0</v>
      </c>
      <c r="S11" s="9">
        <v>0.0</v>
      </c>
      <c r="T11" s="9">
        <v>0.0</v>
      </c>
      <c r="U11" s="2"/>
      <c r="V11" s="2"/>
      <c r="W11" s="2"/>
      <c r="X11" s="2"/>
      <c r="Y11" s="2"/>
      <c r="Z11" s="2"/>
    </row>
    <row r="12" ht="12.75" customHeight="1">
      <c r="A12" s="2"/>
      <c r="B12" s="2"/>
      <c r="C12" s="12">
        <v>8810679.0</v>
      </c>
      <c r="D12" s="12">
        <v>8810679.0</v>
      </c>
      <c r="E12" s="12">
        <v>758478.0</v>
      </c>
      <c r="F12" s="12">
        <v>374152.0</v>
      </c>
      <c r="G12" s="12">
        <v>3793.0</v>
      </c>
      <c r="H12" s="13">
        <v>0.0</v>
      </c>
      <c r="I12" s="13">
        <v>0.0</v>
      </c>
      <c r="J12" s="13">
        <v>0.0</v>
      </c>
      <c r="K12" s="12"/>
      <c r="L12" s="12"/>
      <c r="M12" s="12"/>
      <c r="N12" s="14">
        <v>0.0</v>
      </c>
      <c r="O12" s="12">
        <v>88106.0</v>
      </c>
      <c r="P12" s="14"/>
      <c r="Q12" s="13">
        <v>0.0</v>
      </c>
      <c r="R12" s="13">
        <v>0.0</v>
      </c>
      <c r="S12" s="13"/>
      <c r="T12" s="13"/>
      <c r="U12" s="2"/>
      <c r="V12" s="2"/>
      <c r="W12" s="2"/>
      <c r="X12" s="2"/>
      <c r="Y12" s="2"/>
      <c r="Z12" s="2"/>
    </row>
    <row r="13" ht="12.75" customHeight="1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32</v>
      </c>
      <c r="B14" s="9">
        <v>1.0</v>
      </c>
      <c r="C14" s="10">
        <v>3282546.0</v>
      </c>
      <c r="D14" s="10">
        <v>3282546.0</v>
      </c>
      <c r="E14" s="10">
        <v>4493959.0</v>
      </c>
      <c r="F14" s="10">
        <v>4135132.0</v>
      </c>
      <c r="G14" s="10">
        <v>4697.0</v>
      </c>
      <c r="H14" s="9">
        <v>0.0</v>
      </c>
      <c r="I14" s="9">
        <v>0.0</v>
      </c>
      <c r="J14" s="9">
        <v>0.0</v>
      </c>
      <c r="K14" s="10">
        <f>215478*1</f>
        <v>215478</v>
      </c>
      <c r="L14" s="10">
        <v>29215.0</v>
      </c>
      <c r="M14" s="10">
        <v>9848.0</v>
      </c>
      <c r="N14" s="9">
        <v>0.0</v>
      </c>
      <c r="O14" s="10">
        <v>32825.0</v>
      </c>
      <c r="P14" s="2">
        <v>65650.0</v>
      </c>
      <c r="Q14" s="9">
        <v>0.0</v>
      </c>
      <c r="R14" s="9">
        <v>0.0</v>
      </c>
      <c r="S14" s="9">
        <v>640078.0</v>
      </c>
      <c r="T14" s="9">
        <v>640078.0</v>
      </c>
      <c r="U14" s="2"/>
      <c r="V14" s="2"/>
      <c r="W14" s="2"/>
      <c r="X14" s="2"/>
      <c r="Y14" s="2"/>
      <c r="Z14" s="2"/>
    </row>
    <row r="15" ht="12.75" customHeight="1">
      <c r="A15" s="2"/>
      <c r="B15" s="2"/>
      <c r="C15" s="12">
        <v>3282546.0</v>
      </c>
      <c r="D15" s="12">
        <v>3282546.0</v>
      </c>
      <c r="E15" s="12">
        <v>4493959.0</v>
      </c>
      <c r="F15" s="12">
        <v>4135132.0</v>
      </c>
      <c r="G15" s="12">
        <v>4697.0</v>
      </c>
      <c r="H15" s="13">
        <v>0.0</v>
      </c>
      <c r="I15" s="13">
        <v>0.0</v>
      </c>
      <c r="J15" s="13">
        <v>0.0</v>
      </c>
      <c r="K15" s="12"/>
      <c r="L15" s="12"/>
      <c r="M15" s="12"/>
      <c r="N15" s="14">
        <v>0.0</v>
      </c>
      <c r="O15" s="12">
        <v>32825.0</v>
      </c>
      <c r="P15" s="14"/>
      <c r="Q15" s="13">
        <v>0.0</v>
      </c>
      <c r="R15" s="13">
        <v>0.0</v>
      </c>
      <c r="S15" s="13"/>
      <c r="T15" s="13"/>
      <c r="U15" s="2"/>
      <c r="V15" s="2"/>
      <c r="W15" s="2"/>
      <c r="X15" s="2"/>
      <c r="Y15" s="2"/>
      <c r="Z15" s="2"/>
    </row>
    <row r="16" ht="12.75" customHeight="1">
      <c r="A16" s="2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 t="s">
        <v>35</v>
      </c>
      <c r="B17" s="9">
        <v>2.0</v>
      </c>
      <c r="C17" s="10">
        <v>1.5818655E7</v>
      </c>
      <c r="D17" s="10">
        <v>1.2318655E7</v>
      </c>
      <c r="E17" s="10">
        <v>525240.0</v>
      </c>
      <c r="F17" s="10">
        <v>842384.0</v>
      </c>
      <c r="G17" s="9">
        <v>0.0</v>
      </c>
      <c r="H17" s="9">
        <v>0.0</v>
      </c>
      <c r="I17" s="9">
        <v>0.0</v>
      </c>
      <c r="J17" s="10">
        <v>105942.0</v>
      </c>
      <c r="K17" s="10">
        <f>215478*2</f>
        <v>430956</v>
      </c>
      <c r="L17" s="10">
        <v>140786.0</v>
      </c>
      <c r="M17" s="10">
        <v>47456.0</v>
      </c>
      <c r="N17" s="11">
        <v>0.0</v>
      </c>
      <c r="O17" s="10">
        <v>140921.0</v>
      </c>
      <c r="P17" s="11">
        <v>281842.0</v>
      </c>
      <c r="Q17" s="10">
        <v>3500000.0</v>
      </c>
      <c r="R17" s="9">
        <v>0.0</v>
      </c>
      <c r="S17" s="9">
        <v>409771.0</v>
      </c>
      <c r="T17" s="9">
        <v>409771.0</v>
      </c>
      <c r="U17" s="2"/>
      <c r="V17" s="2"/>
      <c r="W17" s="2"/>
      <c r="X17" s="2"/>
      <c r="Y17" s="2"/>
      <c r="Z17" s="2"/>
    </row>
    <row r="18" ht="12.75" customHeight="1">
      <c r="A18" s="3" t="s">
        <v>36</v>
      </c>
      <c r="B18" s="9">
        <v>4.0</v>
      </c>
      <c r="C18" s="10">
        <v>4.2738652E7</v>
      </c>
      <c r="D18" s="10">
        <v>3.4238652E7</v>
      </c>
      <c r="E18" s="9">
        <v>0.0</v>
      </c>
      <c r="F18" s="9">
        <v>0.0</v>
      </c>
      <c r="G18" s="10">
        <v>45522.0</v>
      </c>
      <c r="H18" s="9">
        <v>0.0</v>
      </c>
      <c r="I18" s="9">
        <v>0.0</v>
      </c>
      <c r="J18" s="10">
        <v>260842.0</v>
      </c>
      <c r="K18" s="10">
        <f>215478*4</f>
        <v>861912</v>
      </c>
      <c r="L18" s="10">
        <v>380374.0</v>
      </c>
      <c r="M18" s="10">
        <v>128215.0</v>
      </c>
      <c r="N18" s="10">
        <v>890000.0</v>
      </c>
      <c r="O18" s="10">
        <v>267881.0</v>
      </c>
      <c r="P18" s="2">
        <v>535762.0</v>
      </c>
      <c r="Q18" s="10">
        <v>8500000.0</v>
      </c>
      <c r="R18" s="9">
        <v>0.0</v>
      </c>
      <c r="S18" s="9">
        <v>3642924.0</v>
      </c>
      <c r="T18" s="9">
        <v>3642924.0</v>
      </c>
      <c r="U18" s="2"/>
      <c r="V18" s="2"/>
      <c r="W18" s="2"/>
      <c r="X18" s="2"/>
      <c r="Y18" s="2"/>
      <c r="Z18" s="2"/>
    </row>
    <row r="19" ht="12.75" customHeight="1">
      <c r="A19" s="2"/>
      <c r="B19" s="2"/>
      <c r="C19" s="12">
        <v>5.8557307E7</v>
      </c>
      <c r="D19" s="12">
        <v>4.6557307E7</v>
      </c>
      <c r="E19" s="12">
        <v>525240.0</v>
      </c>
      <c r="F19" s="12">
        <v>842384.0</v>
      </c>
      <c r="G19" s="12">
        <v>45522.0</v>
      </c>
      <c r="H19" s="13">
        <v>0.0</v>
      </c>
      <c r="I19" s="13">
        <v>0.0</v>
      </c>
      <c r="J19" s="12">
        <v>366784.0</v>
      </c>
      <c r="K19" s="12"/>
      <c r="L19" s="12"/>
      <c r="M19" s="12"/>
      <c r="N19" s="15">
        <v>890000.0</v>
      </c>
      <c r="O19" s="12">
        <v>408802.0</v>
      </c>
      <c r="P19" s="15"/>
      <c r="Q19" s="12">
        <v>1.2E7</v>
      </c>
      <c r="R19" s="13">
        <v>0.0</v>
      </c>
      <c r="S19" s="13"/>
      <c r="T19" s="13"/>
      <c r="U19" s="2"/>
      <c r="V19" s="2"/>
      <c r="W19" s="2"/>
      <c r="X19" s="2"/>
      <c r="Y19" s="2"/>
      <c r="Z19" s="2"/>
    </row>
    <row r="20" ht="12.75" customHeight="1">
      <c r="A20" s="3" t="s">
        <v>37</v>
      </c>
      <c r="B20" s="9">
        <v>10.0</v>
      </c>
      <c r="C20" s="12">
        <v>7.0650532E7</v>
      </c>
      <c r="D20" s="12">
        <v>5.8650532E7</v>
      </c>
      <c r="E20" s="12">
        <v>5777677.0</v>
      </c>
      <c r="F20" s="12">
        <v>5351668.0</v>
      </c>
      <c r="G20" s="12">
        <v>54012.0</v>
      </c>
      <c r="H20" s="13">
        <v>0.0</v>
      </c>
      <c r="I20" s="13">
        <v>0.0</v>
      </c>
      <c r="J20" s="12">
        <v>366784.0</v>
      </c>
      <c r="K20" s="12">
        <f t="shared" ref="K20:M20" si="1">SUM(K11:K19)</f>
        <v>2154780</v>
      </c>
      <c r="L20" s="12">
        <f t="shared" si="1"/>
        <v>628790</v>
      </c>
      <c r="M20" s="12">
        <f t="shared" si="1"/>
        <v>211951</v>
      </c>
      <c r="N20" s="15">
        <v>890000.0</v>
      </c>
      <c r="O20" s="12">
        <v>529733.0</v>
      </c>
      <c r="P20" s="12">
        <f>SUM(P11:P19)</f>
        <v>1059466</v>
      </c>
      <c r="Q20" s="12">
        <v>1.2E7</v>
      </c>
      <c r="R20" s="13">
        <v>0.0</v>
      </c>
      <c r="S20" s="12">
        <f t="shared" ref="S20:T20" si="2">SUM(S11:S19)</f>
        <v>4692773</v>
      </c>
      <c r="T20" s="12">
        <f t="shared" si="2"/>
        <v>4692773</v>
      </c>
      <c r="U20" s="2"/>
      <c r="V20" s="2"/>
      <c r="W20" s="2"/>
      <c r="X20" s="2"/>
      <c r="Y20" s="2"/>
      <c r="Z20" s="2"/>
    </row>
    <row r="21" ht="12.75" customHeight="1">
      <c r="A21" s="3" t="s">
        <v>38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" t="s">
        <v>32</v>
      </c>
      <c r="B23" s="9">
        <v>11.0</v>
      </c>
      <c r="C23" s="10">
        <v>4.7367718E7</v>
      </c>
      <c r="D23" s="10">
        <v>4.7367718E7</v>
      </c>
      <c r="E23" s="10">
        <v>4.0434361E7</v>
      </c>
      <c r="F23" s="10">
        <v>3.1829726E7</v>
      </c>
      <c r="G23" s="10">
        <v>26213.0</v>
      </c>
      <c r="H23" s="9">
        <v>0.0</v>
      </c>
      <c r="I23" s="9">
        <v>0.0</v>
      </c>
      <c r="J23" s="10">
        <v>355893.0</v>
      </c>
      <c r="K23" s="10">
        <f>215478*11</f>
        <v>2370258</v>
      </c>
      <c r="L23" s="10">
        <v>421572.0</v>
      </c>
      <c r="M23" s="10">
        <v>142102.0</v>
      </c>
      <c r="N23" s="11">
        <v>0.0</v>
      </c>
      <c r="O23" s="10">
        <v>473674.0</v>
      </c>
      <c r="P23" s="11">
        <v>947348.0</v>
      </c>
      <c r="Q23" s="9">
        <v>0.0</v>
      </c>
      <c r="R23" s="9">
        <v>0.0</v>
      </c>
      <c r="S23" s="9">
        <v>4996966.0</v>
      </c>
      <c r="T23" s="9">
        <v>4996966.0</v>
      </c>
      <c r="U23" s="2"/>
      <c r="V23" s="2"/>
      <c r="W23" s="2"/>
      <c r="X23" s="2"/>
      <c r="Y23" s="2"/>
      <c r="Z23" s="2"/>
    </row>
    <row r="24" ht="12.75" customHeight="1">
      <c r="A24" s="2"/>
      <c r="B24" s="2"/>
      <c r="C24" s="12">
        <v>4.7367718E7</v>
      </c>
      <c r="D24" s="12">
        <v>4.7367718E7</v>
      </c>
      <c r="E24" s="12">
        <v>4.0434361E7</v>
      </c>
      <c r="F24" s="12">
        <v>3.1829726E7</v>
      </c>
      <c r="G24" s="12">
        <v>26213.0</v>
      </c>
      <c r="H24" s="13">
        <v>0.0</v>
      </c>
      <c r="I24" s="13">
        <v>0.0</v>
      </c>
      <c r="J24" s="12">
        <v>355893.0</v>
      </c>
      <c r="K24" s="12"/>
      <c r="L24" s="12"/>
      <c r="M24" s="12"/>
      <c r="N24" s="14">
        <v>0.0</v>
      </c>
      <c r="O24" s="12">
        <v>473674.0</v>
      </c>
      <c r="P24" s="14"/>
      <c r="Q24" s="13">
        <v>0.0</v>
      </c>
      <c r="R24" s="13">
        <v>0.0</v>
      </c>
      <c r="S24" s="13"/>
      <c r="T24" s="13"/>
      <c r="U24" s="2"/>
      <c r="V24" s="2"/>
      <c r="W24" s="2"/>
      <c r="X24" s="2"/>
      <c r="Y24" s="2"/>
      <c r="Z24" s="2"/>
    </row>
    <row r="25" ht="12.75" customHeight="1">
      <c r="A25" s="2" t="s">
        <v>33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 t="s">
        <v>32</v>
      </c>
      <c r="B26" s="9">
        <v>16.0</v>
      </c>
      <c r="C26" s="10">
        <v>8.5949742E7</v>
      </c>
      <c r="D26" s="10">
        <v>7.8699742E7</v>
      </c>
      <c r="E26" s="10">
        <v>4.5146575E7</v>
      </c>
      <c r="F26" s="10">
        <v>2.1942337E7</v>
      </c>
      <c r="G26" s="10">
        <v>118116.0</v>
      </c>
      <c r="H26" s="9">
        <v>0.0</v>
      </c>
      <c r="I26" s="9">
        <v>0.0</v>
      </c>
      <c r="J26" s="10">
        <v>546750.0</v>
      </c>
      <c r="K26" s="10">
        <f>215478*16</f>
        <v>3447648</v>
      </c>
      <c r="L26" s="10">
        <v>764953.0</v>
      </c>
      <c r="M26" s="10">
        <v>257851.0</v>
      </c>
      <c r="N26" s="9">
        <v>0.0</v>
      </c>
      <c r="O26" s="10">
        <v>859497.0</v>
      </c>
      <c r="P26" s="2">
        <v>1718994.0</v>
      </c>
      <c r="Q26" s="10">
        <v>7250000.0</v>
      </c>
      <c r="R26" s="9">
        <v>0.0</v>
      </c>
      <c r="S26" s="9">
        <v>5140154.0</v>
      </c>
      <c r="T26" s="9">
        <v>5140154.0</v>
      </c>
      <c r="U26" s="2"/>
      <c r="V26" s="2"/>
      <c r="W26" s="2"/>
      <c r="X26" s="2"/>
      <c r="Y26" s="2"/>
      <c r="Z26" s="2"/>
    </row>
    <row r="27" ht="12.75" customHeight="1">
      <c r="A27" s="2"/>
      <c r="B27" s="2"/>
      <c r="C27" s="12">
        <v>8.5949742E7</v>
      </c>
      <c r="D27" s="12">
        <v>7.8699742E7</v>
      </c>
      <c r="E27" s="12">
        <v>4.5146575E7</v>
      </c>
      <c r="F27" s="12">
        <v>2.1942337E7</v>
      </c>
      <c r="G27" s="12">
        <v>118116.0</v>
      </c>
      <c r="H27" s="13">
        <v>0.0</v>
      </c>
      <c r="I27" s="13">
        <v>0.0</v>
      </c>
      <c r="J27" s="12">
        <v>546750.0</v>
      </c>
      <c r="K27" s="12"/>
      <c r="L27" s="12"/>
      <c r="M27" s="12"/>
      <c r="N27" s="14">
        <v>0.0</v>
      </c>
      <c r="O27" s="12">
        <v>859497.0</v>
      </c>
      <c r="P27" s="14"/>
      <c r="Q27" s="12">
        <v>7250000.0</v>
      </c>
      <c r="R27" s="13">
        <v>0.0</v>
      </c>
      <c r="S27" s="13"/>
      <c r="T27" s="13"/>
      <c r="U27" s="2"/>
      <c r="V27" s="2"/>
      <c r="W27" s="2"/>
      <c r="X27" s="2"/>
      <c r="Y27" s="2"/>
      <c r="Z27" s="2"/>
    </row>
    <row r="28" ht="12.75" customHeight="1">
      <c r="A28" s="2" t="s">
        <v>34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 t="s">
        <v>35</v>
      </c>
      <c r="B29" s="9">
        <v>1.0</v>
      </c>
      <c r="C29" s="10">
        <v>3583911.0</v>
      </c>
      <c r="D29" s="10">
        <v>3583911.0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10">
        <v>30183.0</v>
      </c>
      <c r="K29" s="10">
        <f>215478*1</f>
        <v>215478</v>
      </c>
      <c r="L29" s="10">
        <v>31897.0</v>
      </c>
      <c r="M29" s="10">
        <v>10752.0</v>
      </c>
      <c r="N29" s="11">
        <v>0.0</v>
      </c>
      <c r="O29" s="10">
        <v>35839.0</v>
      </c>
      <c r="P29" s="11">
        <v>71678.0</v>
      </c>
      <c r="Q29" s="9">
        <v>0.0</v>
      </c>
      <c r="R29" s="9">
        <v>0.0</v>
      </c>
      <c r="S29" s="9">
        <v>0.0</v>
      </c>
      <c r="T29" s="9">
        <v>0.0</v>
      </c>
      <c r="U29" s="2"/>
      <c r="V29" s="2"/>
      <c r="W29" s="2"/>
      <c r="X29" s="2"/>
      <c r="Y29" s="2"/>
      <c r="Z29" s="2"/>
    </row>
    <row r="30" ht="12.75" customHeight="1">
      <c r="A30" s="3" t="s">
        <v>36</v>
      </c>
      <c r="B30" s="9">
        <v>2.0</v>
      </c>
      <c r="C30" s="10">
        <v>8450563.0</v>
      </c>
      <c r="D30" s="10">
        <v>7950563.0</v>
      </c>
      <c r="E30" s="10">
        <v>960000.0</v>
      </c>
      <c r="F30" s="9">
        <v>0.0</v>
      </c>
      <c r="G30" s="9">
        <v>0.0</v>
      </c>
      <c r="H30" s="9">
        <v>0.0</v>
      </c>
      <c r="I30" s="9">
        <v>0.0</v>
      </c>
      <c r="J30" s="10">
        <v>106175.0</v>
      </c>
      <c r="K30" s="10">
        <f>215478*2</f>
        <v>430956</v>
      </c>
      <c r="L30" s="10">
        <v>75210.0</v>
      </c>
      <c r="M30" s="10">
        <v>25352.0</v>
      </c>
      <c r="N30" s="9">
        <v>0.0</v>
      </c>
      <c r="O30" s="10">
        <v>84506.0</v>
      </c>
      <c r="P30" s="2">
        <v>169012.0</v>
      </c>
      <c r="Q30" s="10">
        <v>500000.0</v>
      </c>
      <c r="R30" s="9">
        <v>0.0</v>
      </c>
      <c r="S30" s="9">
        <v>29045.0</v>
      </c>
      <c r="T30" s="9">
        <v>29045.0</v>
      </c>
      <c r="U30" s="2"/>
      <c r="V30" s="2"/>
      <c r="W30" s="2"/>
      <c r="X30" s="2"/>
      <c r="Y30" s="2"/>
      <c r="Z30" s="2"/>
    </row>
    <row r="31" ht="12.75" customHeight="1">
      <c r="A31" s="2"/>
      <c r="B31" s="2"/>
      <c r="C31" s="12">
        <v>1.2034474E7</v>
      </c>
      <c r="D31" s="12">
        <v>1.1534474E7</v>
      </c>
      <c r="E31" s="12">
        <v>960000.0</v>
      </c>
      <c r="F31" s="13">
        <v>0.0</v>
      </c>
      <c r="G31" s="13">
        <v>0.0</v>
      </c>
      <c r="H31" s="13">
        <v>0.0</v>
      </c>
      <c r="I31" s="13">
        <v>0.0</v>
      </c>
      <c r="J31" s="12">
        <v>136358.0</v>
      </c>
      <c r="K31" s="12"/>
      <c r="L31" s="12"/>
      <c r="M31" s="12"/>
      <c r="N31" s="14">
        <v>0.0</v>
      </c>
      <c r="O31" s="12">
        <v>120345.0</v>
      </c>
      <c r="P31" s="14"/>
      <c r="Q31" s="12">
        <v>500000.0</v>
      </c>
      <c r="R31" s="13">
        <v>0.0</v>
      </c>
      <c r="S31" s="13"/>
      <c r="T31" s="13"/>
      <c r="U31" s="2"/>
      <c r="V31" s="2"/>
      <c r="W31" s="2"/>
      <c r="X31" s="2"/>
      <c r="Y31" s="2"/>
      <c r="Z31" s="2"/>
    </row>
    <row r="32" ht="12.75" customHeight="1">
      <c r="A32" s="3" t="s">
        <v>39</v>
      </c>
      <c r="B32" s="9">
        <v>30.0</v>
      </c>
      <c r="C32" s="12">
        <v>1.45351934E8</v>
      </c>
      <c r="D32" s="12">
        <v>1.37601934E8</v>
      </c>
      <c r="E32" s="12">
        <v>8.6540936E7</v>
      </c>
      <c r="F32" s="12">
        <v>5.3772063E7</v>
      </c>
      <c r="G32" s="12">
        <v>144329.0</v>
      </c>
      <c r="H32" s="13">
        <v>0.0</v>
      </c>
      <c r="I32" s="13">
        <v>0.0</v>
      </c>
      <c r="J32" s="12">
        <v>1039001.0</v>
      </c>
      <c r="K32" s="12">
        <f t="shared" ref="K32:M32" si="3">SUM(K23:K31)</f>
        <v>6464340</v>
      </c>
      <c r="L32" s="12">
        <f t="shared" si="3"/>
        <v>1293632</v>
      </c>
      <c r="M32" s="12">
        <f t="shared" si="3"/>
        <v>436057</v>
      </c>
      <c r="N32" s="14">
        <v>0.0</v>
      </c>
      <c r="O32" s="12">
        <v>1453516.0</v>
      </c>
      <c r="P32" s="12">
        <f>SUM(P23:P31)</f>
        <v>2907032</v>
      </c>
      <c r="Q32" s="12">
        <v>7750000.0</v>
      </c>
      <c r="R32" s="13">
        <v>0.0</v>
      </c>
      <c r="S32" s="12">
        <f t="shared" ref="S32:T32" si="4">SUM(S23:S31)</f>
        <v>10166165</v>
      </c>
      <c r="T32" s="12">
        <f t="shared" si="4"/>
        <v>10166165</v>
      </c>
      <c r="U32" s="15"/>
      <c r="V32" s="2"/>
      <c r="W32" s="2"/>
      <c r="X32" s="2"/>
      <c r="Y32" s="2"/>
      <c r="Z32" s="2"/>
    </row>
    <row r="33" ht="12.75" customHeight="1">
      <c r="A33" s="1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" t="s">
        <v>2</v>
      </c>
      <c r="O34" s="2"/>
      <c r="P34" s="2" t="s">
        <v>3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1" t="s">
        <v>4</v>
      </c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 t="s">
        <v>5</v>
      </c>
      <c r="Q36" s="4">
        <v>2.0</v>
      </c>
      <c r="R36" s="3" t="s">
        <v>6</v>
      </c>
      <c r="S36" s="4">
        <v>2.0</v>
      </c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6" t="s">
        <v>15</v>
      </c>
      <c r="K37" s="6" t="s">
        <v>16</v>
      </c>
      <c r="L37" s="6"/>
      <c r="M37" s="6"/>
      <c r="N37" s="2"/>
      <c r="O37" s="6" t="s">
        <v>20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6" t="s">
        <v>7</v>
      </c>
      <c r="C38" s="6" t="s">
        <v>8</v>
      </c>
      <c r="D38" s="6" t="s">
        <v>9</v>
      </c>
      <c r="E38" s="6" t="s">
        <v>10</v>
      </c>
      <c r="F38" s="6" t="s">
        <v>11</v>
      </c>
      <c r="G38" s="6" t="s">
        <v>12</v>
      </c>
      <c r="H38" s="6" t="s">
        <v>13</v>
      </c>
      <c r="I38" s="6" t="s">
        <v>14</v>
      </c>
      <c r="J38" s="2"/>
      <c r="K38" s="2"/>
      <c r="L38" s="5" t="s">
        <v>17</v>
      </c>
      <c r="M38" s="5" t="s">
        <v>18</v>
      </c>
      <c r="N38" s="2" t="s">
        <v>19</v>
      </c>
      <c r="O38" s="2"/>
      <c r="P38" s="5" t="s">
        <v>21</v>
      </c>
      <c r="Q38" s="6" t="s">
        <v>22</v>
      </c>
      <c r="R38" s="6" t="s">
        <v>23</v>
      </c>
      <c r="S38" s="6" t="s">
        <v>24</v>
      </c>
      <c r="T38" s="6" t="s">
        <v>25</v>
      </c>
      <c r="U38" s="2"/>
      <c r="V38" s="2"/>
      <c r="W38" s="2"/>
      <c r="X38" s="2"/>
      <c r="Y38" s="2"/>
      <c r="Z38" s="2"/>
    </row>
    <row r="39" ht="12.75" customHeight="1">
      <c r="A39" s="3" t="s">
        <v>28</v>
      </c>
      <c r="B39" s="13">
        <v>40.0</v>
      </c>
      <c r="C39" s="12">
        <v>2.16002466E8</v>
      </c>
      <c r="D39" s="12">
        <v>1.96252466E8</v>
      </c>
      <c r="E39" s="12">
        <v>9.2318613E7</v>
      </c>
      <c r="F39" s="12">
        <v>5.9123731E7</v>
      </c>
      <c r="G39" s="12">
        <v>198341.0</v>
      </c>
      <c r="H39" s="13">
        <v>0.0</v>
      </c>
      <c r="I39" s="13">
        <v>0.0</v>
      </c>
      <c r="J39" s="12">
        <v>1405785.0</v>
      </c>
      <c r="K39" s="12"/>
      <c r="L39" s="12"/>
      <c r="M39" s="12"/>
      <c r="N39" s="15">
        <v>890000.0</v>
      </c>
      <c r="O39" s="12">
        <v>1983249.0</v>
      </c>
      <c r="P39" s="15"/>
      <c r="Q39" s="12">
        <v>1.975E7</v>
      </c>
      <c r="R39" s="13">
        <v>0.0</v>
      </c>
      <c r="S39" s="13"/>
      <c r="T39" s="13"/>
      <c r="U39" s="2"/>
      <c r="V39" s="2"/>
      <c r="W39" s="2"/>
      <c r="X39" s="2"/>
      <c r="Y39" s="2"/>
      <c r="Z39" s="2"/>
    </row>
    <row r="40" ht="12.75" customHeight="1">
      <c r="A40" s="16" t="s">
        <v>40</v>
      </c>
      <c r="B40" s="9">
        <v>40.0</v>
      </c>
      <c r="C40" s="12">
        <v>2.16002466E8</v>
      </c>
      <c r="D40" s="12">
        <v>1.96252466E8</v>
      </c>
      <c r="E40" s="17">
        <v>9.2318613E7</v>
      </c>
      <c r="F40" s="17">
        <v>5.9123731E7</v>
      </c>
      <c r="G40" s="12">
        <v>198341.0</v>
      </c>
      <c r="H40" s="13">
        <v>0.0</v>
      </c>
      <c r="I40" s="13">
        <v>0.0</v>
      </c>
      <c r="J40" s="12">
        <v>1405785.0</v>
      </c>
      <c r="K40" s="12">
        <f t="shared" ref="K40:M40" si="5">SUM(K20,K32)</f>
        <v>8619120</v>
      </c>
      <c r="L40" s="12">
        <f t="shared" si="5"/>
        <v>1922422</v>
      </c>
      <c r="M40" s="12">
        <f t="shared" si="5"/>
        <v>648008</v>
      </c>
      <c r="N40" s="15">
        <v>890000.0</v>
      </c>
      <c r="O40" s="12">
        <v>1983249.0</v>
      </c>
      <c r="P40" s="12">
        <f>SUM(P20,P32)</f>
        <v>3966498</v>
      </c>
      <c r="Q40" s="12">
        <v>1.975E7</v>
      </c>
      <c r="R40" s="13">
        <v>0.0</v>
      </c>
      <c r="S40" s="12">
        <f t="shared" ref="S40:T40" si="6">SUM(S20,S32)</f>
        <v>14858938</v>
      </c>
      <c r="T40" s="12">
        <f t="shared" si="6"/>
        <v>14858938</v>
      </c>
      <c r="U40" s="18">
        <f>SUM(C40,E40,F40,I40,J40,K40,L40,M40,N40,S40)-SUM(G40,H40)</f>
        <v>395590742</v>
      </c>
      <c r="V40" s="2" t="s">
        <v>41</v>
      </c>
      <c r="W40" s="2">
        <v>2803804.0</v>
      </c>
      <c r="X40" s="19">
        <f>T40+W40</f>
        <v>17662742</v>
      </c>
      <c r="Y40" s="2"/>
      <c r="Z40" s="2"/>
    </row>
    <row r="41" ht="12.75" customHeight="1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 t="s">
        <v>43</v>
      </c>
      <c r="J42" s="2"/>
      <c r="K42" s="2"/>
      <c r="L42" s="2"/>
      <c r="M42" s="2"/>
      <c r="N42" s="2"/>
      <c r="O42" s="2"/>
      <c r="P42" s="2"/>
      <c r="Q42" s="2"/>
      <c r="R42" s="2" t="s">
        <v>44</v>
      </c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3" t="s">
        <v>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 t="s">
        <v>2</v>
      </c>
      <c r="O44" s="2"/>
      <c r="P44" s="2" t="s">
        <v>3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1" t="s">
        <v>4</v>
      </c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 t="s">
        <v>5</v>
      </c>
      <c r="Q46" s="4">
        <v>1.0</v>
      </c>
      <c r="R46" s="3" t="s">
        <v>6</v>
      </c>
      <c r="S46" s="4">
        <v>1.0</v>
      </c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6" t="s">
        <v>15</v>
      </c>
      <c r="K47" s="6" t="s">
        <v>16</v>
      </c>
      <c r="L47" s="6"/>
      <c r="M47" s="6"/>
      <c r="N47" s="2"/>
      <c r="O47" s="6" t="s">
        <v>20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6" t="s">
        <v>7</v>
      </c>
      <c r="C48" s="6" t="s">
        <v>8</v>
      </c>
      <c r="D48" s="6" t="s">
        <v>9</v>
      </c>
      <c r="E48" s="6" t="s">
        <v>10</v>
      </c>
      <c r="F48" s="6" t="s">
        <v>11</v>
      </c>
      <c r="G48" s="6" t="s">
        <v>12</v>
      </c>
      <c r="H48" s="6" t="s">
        <v>13</v>
      </c>
      <c r="I48" s="6" t="s">
        <v>14</v>
      </c>
      <c r="J48" s="2"/>
      <c r="K48" s="2"/>
      <c r="L48" s="5" t="s">
        <v>17</v>
      </c>
      <c r="M48" s="5" t="s">
        <v>18</v>
      </c>
      <c r="N48" s="2" t="s">
        <v>19</v>
      </c>
      <c r="O48" s="2"/>
      <c r="P48" s="5" t="s">
        <v>21</v>
      </c>
      <c r="Q48" s="6" t="s">
        <v>22</v>
      </c>
      <c r="R48" s="6" t="s">
        <v>23</v>
      </c>
      <c r="S48" s="6" t="s">
        <v>24</v>
      </c>
      <c r="T48" s="6" t="s">
        <v>25</v>
      </c>
      <c r="U48" s="2"/>
      <c r="V48" s="2"/>
      <c r="W48" s="2"/>
      <c r="X48" s="2"/>
      <c r="Y48" s="2"/>
      <c r="Z48" s="2"/>
    </row>
    <row r="49" ht="12.75" customHeight="1">
      <c r="A49" s="1" t="s">
        <v>45</v>
      </c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3" t="s">
        <v>30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 t="s">
        <v>34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3" t="s">
        <v>36</v>
      </c>
      <c r="B53" s="9">
        <v>1.0</v>
      </c>
      <c r="C53" s="10">
        <v>1.7105589E7</v>
      </c>
      <c r="D53" s="10">
        <v>1.2105589E7</v>
      </c>
      <c r="E53" s="9">
        <v>0.0</v>
      </c>
      <c r="F53" s="9">
        <v>0.0</v>
      </c>
      <c r="G53" s="9">
        <v>0.0</v>
      </c>
      <c r="H53" s="9">
        <v>0.0</v>
      </c>
      <c r="I53" s="9">
        <v>0.0</v>
      </c>
      <c r="J53" s="10">
        <v>157967.0</v>
      </c>
      <c r="K53" s="10">
        <f>215478*1</f>
        <v>215478</v>
      </c>
      <c r="L53" s="10">
        <v>152240.0</v>
      </c>
      <c r="M53" s="10">
        <v>51317.0</v>
      </c>
      <c r="N53" s="11">
        <v>0.0</v>
      </c>
      <c r="O53" s="10">
        <v>95596.0</v>
      </c>
      <c r="P53" s="11">
        <v>191192.0</v>
      </c>
      <c r="Q53" s="10">
        <v>5000000.0</v>
      </c>
      <c r="R53" s="9">
        <v>0.0</v>
      </c>
      <c r="S53" s="9">
        <v>1537617.0</v>
      </c>
      <c r="T53" s="9">
        <v>1537617.0</v>
      </c>
      <c r="U53" s="2"/>
      <c r="V53" s="2"/>
      <c r="W53" s="2"/>
      <c r="X53" s="2"/>
      <c r="Y53" s="2"/>
      <c r="Z53" s="2"/>
    </row>
    <row r="54" ht="12.75" customHeight="1">
      <c r="A54" s="2"/>
      <c r="B54" s="2"/>
      <c r="C54" s="12">
        <v>1.7105589E7</v>
      </c>
      <c r="D54" s="12">
        <v>1.2105589E7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2">
        <v>157967.0</v>
      </c>
      <c r="K54" s="12"/>
      <c r="L54" s="12"/>
      <c r="M54" s="12"/>
      <c r="N54" s="14">
        <v>0.0</v>
      </c>
      <c r="O54" s="12">
        <v>95596.0</v>
      </c>
      <c r="P54" s="14"/>
      <c r="Q54" s="12">
        <v>5000000.0</v>
      </c>
      <c r="R54" s="13">
        <v>0.0</v>
      </c>
      <c r="S54" s="13"/>
      <c r="T54" s="13"/>
      <c r="U54" s="2"/>
      <c r="V54" s="2"/>
      <c r="W54" s="2"/>
      <c r="X54" s="2"/>
      <c r="Y54" s="2"/>
      <c r="Z54" s="2"/>
    </row>
    <row r="55" ht="12.75" customHeight="1">
      <c r="A55" s="3" t="s">
        <v>37</v>
      </c>
      <c r="B55" s="9">
        <v>1.0</v>
      </c>
      <c r="C55" s="12">
        <v>1.7105589E7</v>
      </c>
      <c r="D55" s="12">
        <v>1.2105589E7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2">
        <v>157967.0</v>
      </c>
      <c r="K55" s="12">
        <f t="shared" ref="K55:M55" si="7">SUM(K53:K54)</f>
        <v>215478</v>
      </c>
      <c r="L55" s="12">
        <f t="shared" si="7"/>
        <v>152240</v>
      </c>
      <c r="M55" s="12">
        <f t="shared" si="7"/>
        <v>51317</v>
      </c>
      <c r="N55" s="14">
        <v>0.0</v>
      </c>
      <c r="O55" s="12">
        <v>95596.0</v>
      </c>
      <c r="P55" s="12">
        <f>SUM(P53:P54)</f>
        <v>191192</v>
      </c>
      <c r="Q55" s="12">
        <v>5000000.0</v>
      </c>
      <c r="R55" s="13">
        <v>0.0</v>
      </c>
      <c r="S55" s="12">
        <f t="shared" ref="S55:T55" si="8">SUM(S53:S54)</f>
        <v>1537617</v>
      </c>
      <c r="T55" s="12">
        <f t="shared" si="8"/>
        <v>1537617</v>
      </c>
      <c r="U55" s="2"/>
      <c r="V55" s="2"/>
      <c r="W55" s="2"/>
      <c r="X55" s="2"/>
      <c r="Y55" s="2"/>
      <c r="Z55" s="2"/>
    </row>
    <row r="56" ht="12.75" customHeight="1">
      <c r="A56" s="3" t="s">
        <v>38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 t="s">
        <v>31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3" t="s">
        <v>32</v>
      </c>
      <c r="B58" s="9">
        <v>5.0</v>
      </c>
      <c r="C58" s="10">
        <v>1.8797318E7</v>
      </c>
      <c r="D58" s="10">
        <v>1.8797318E7</v>
      </c>
      <c r="E58" s="10">
        <v>2.4080902E7</v>
      </c>
      <c r="F58" s="10">
        <v>1.1152729E7</v>
      </c>
      <c r="G58" s="10">
        <v>74030.0</v>
      </c>
      <c r="H58" s="9">
        <v>0.0</v>
      </c>
      <c r="I58" s="9">
        <v>0.0</v>
      </c>
      <c r="J58" s="10">
        <v>237392.0</v>
      </c>
      <c r="K58" s="10">
        <f>215478*5</f>
        <v>1077390</v>
      </c>
      <c r="L58" s="10">
        <v>167295.0</v>
      </c>
      <c r="M58" s="10">
        <v>56392.0</v>
      </c>
      <c r="N58" s="9">
        <v>0.0</v>
      </c>
      <c r="O58" s="10">
        <v>187974.0</v>
      </c>
      <c r="P58" s="2">
        <v>375948.0</v>
      </c>
      <c r="Q58" s="9">
        <v>0.0</v>
      </c>
      <c r="R58" s="9">
        <v>0.0</v>
      </c>
      <c r="S58" s="9">
        <v>2294073.0</v>
      </c>
      <c r="T58" s="9">
        <v>2294073.0</v>
      </c>
      <c r="U58" s="2"/>
      <c r="V58" s="2"/>
      <c r="W58" s="2"/>
      <c r="X58" s="2"/>
      <c r="Y58" s="2"/>
      <c r="Z58" s="2"/>
    </row>
    <row r="59" ht="12.75" customHeight="1">
      <c r="A59" s="2"/>
      <c r="B59" s="2"/>
      <c r="C59" s="12">
        <v>1.8797318E7</v>
      </c>
      <c r="D59" s="12">
        <v>1.8797318E7</v>
      </c>
      <c r="E59" s="12">
        <v>2.4080902E7</v>
      </c>
      <c r="F59" s="12">
        <v>1.1152729E7</v>
      </c>
      <c r="G59" s="12">
        <v>74030.0</v>
      </c>
      <c r="H59" s="13">
        <v>0.0</v>
      </c>
      <c r="I59" s="13">
        <v>0.0</v>
      </c>
      <c r="J59" s="12">
        <v>237392.0</v>
      </c>
      <c r="K59" s="12"/>
      <c r="L59" s="12"/>
      <c r="M59" s="12"/>
      <c r="N59" s="14">
        <v>0.0</v>
      </c>
      <c r="O59" s="12">
        <v>187974.0</v>
      </c>
      <c r="P59" s="14"/>
      <c r="Q59" s="13">
        <v>0.0</v>
      </c>
      <c r="R59" s="13">
        <v>0.0</v>
      </c>
      <c r="S59" s="13"/>
      <c r="T59" s="13"/>
      <c r="U59" s="2"/>
      <c r="V59" s="2"/>
      <c r="W59" s="2"/>
      <c r="X59" s="2"/>
      <c r="Y59" s="2"/>
      <c r="Z59" s="2"/>
    </row>
    <row r="60" ht="12.75" customHeight="1">
      <c r="A60" s="2" t="s">
        <v>33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3" t="s">
        <v>32</v>
      </c>
      <c r="B61" s="9">
        <v>4.0</v>
      </c>
      <c r="C61" s="10">
        <v>1.7433435E7</v>
      </c>
      <c r="D61" s="10">
        <v>1.6933435E7</v>
      </c>
      <c r="E61" s="10">
        <v>1.2207039E7</v>
      </c>
      <c r="F61" s="10">
        <v>4900987.0</v>
      </c>
      <c r="G61" s="10">
        <v>29056.0</v>
      </c>
      <c r="H61" s="9">
        <v>0.0</v>
      </c>
      <c r="I61" s="9">
        <v>0.0</v>
      </c>
      <c r="J61" s="10">
        <v>185759.0</v>
      </c>
      <c r="K61" s="10">
        <f>215478*4</f>
        <v>861912</v>
      </c>
      <c r="L61" s="10">
        <v>155157.0</v>
      </c>
      <c r="M61" s="10">
        <v>52300.0</v>
      </c>
      <c r="N61" s="11">
        <v>0.0</v>
      </c>
      <c r="O61" s="10">
        <v>174335.0</v>
      </c>
      <c r="P61" s="11">
        <v>348670.0</v>
      </c>
      <c r="Q61" s="10">
        <v>500000.0</v>
      </c>
      <c r="R61" s="9">
        <v>0.0</v>
      </c>
      <c r="S61" s="9">
        <v>458377.0</v>
      </c>
      <c r="T61" s="9">
        <v>458377.0</v>
      </c>
      <c r="U61" s="2"/>
      <c r="V61" s="2"/>
      <c r="W61" s="2"/>
      <c r="X61" s="2"/>
      <c r="Y61" s="2"/>
      <c r="Z61" s="2"/>
    </row>
    <row r="62" ht="12.75" customHeight="1">
      <c r="A62" s="2"/>
      <c r="B62" s="2"/>
      <c r="C62" s="12">
        <v>1.7433435E7</v>
      </c>
      <c r="D62" s="12">
        <v>1.6933435E7</v>
      </c>
      <c r="E62" s="12">
        <v>1.2207039E7</v>
      </c>
      <c r="F62" s="12">
        <v>4900987.0</v>
      </c>
      <c r="G62" s="12">
        <v>29056.0</v>
      </c>
      <c r="H62" s="13">
        <v>0.0</v>
      </c>
      <c r="I62" s="13">
        <v>0.0</v>
      </c>
      <c r="J62" s="12">
        <v>185759.0</v>
      </c>
      <c r="K62" s="12"/>
      <c r="L62" s="12"/>
      <c r="M62" s="12"/>
      <c r="N62" s="14">
        <v>0.0</v>
      </c>
      <c r="O62" s="12">
        <v>174335.0</v>
      </c>
      <c r="P62" s="14"/>
      <c r="Q62" s="12">
        <v>500000.0</v>
      </c>
      <c r="R62" s="13">
        <v>0.0</v>
      </c>
      <c r="S62" s="13"/>
      <c r="T62" s="13"/>
      <c r="U62" s="2"/>
      <c r="V62" s="2"/>
      <c r="W62" s="2"/>
      <c r="X62" s="2"/>
      <c r="Y62" s="2"/>
      <c r="Z62" s="2"/>
    </row>
    <row r="63" ht="12.75" customHeight="1">
      <c r="A63" s="2" t="s">
        <v>34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3" t="s">
        <v>36</v>
      </c>
      <c r="B64" s="9">
        <v>4.0</v>
      </c>
      <c r="C64" s="10">
        <v>1.6938045E7</v>
      </c>
      <c r="D64" s="10">
        <v>1.6438045E7</v>
      </c>
      <c r="E64" s="10">
        <v>3868304.0</v>
      </c>
      <c r="F64" s="10">
        <v>1609904.0</v>
      </c>
      <c r="G64" s="10">
        <v>35649.0</v>
      </c>
      <c r="H64" s="9">
        <v>0.0</v>
      </c>
      <c r="I64" s="9">
        <v>0.0</v>
      </c>
      <c r="J64" s="10">
        <v>197600.0</v>
      </c>
      <c r="K64" s="10">
        <f>215478*4</f>
        <v>861912</v>
      </c>
      <c r="L64" s="10">
        <v>150748.0</v>
      </c>
      <c r="M64" s="10">
        <v>50814.0</v>
      </c>
      <c r="N64" s="9">
        <v>0.0</v>
      </c>
      <c r="O64" s="10">
        <v>169380.0</v>
      </c>
      <c r="P64" s="2">
        <v>338760.0</v>
      </c>
      <c r="Q64" s="9">
        <v>0.0</v>
      </c>
      <c r="R64" s="10">
        <v>500000.0</v>
      </c>
      <c r="S64" s="9">
        <v>151547.0</v>
      </c>
      <c r="T64" s="9">
        <v>151547.0</v>
      </c>
      <c r="U64" s="2"/>
      <c r="V64" s="2"/>
      <c r="W64" s="2"/>
      <c r="X64" s="2"/>
      <c r="Y64" s="2"/>
      <c r="Z64" s="2"/>
    </row>
    <row r="65" ht="12.75" customHeight="1">
      <c r="A65" s="2"/>
      <c r="B65" s="2"/>
      <c r="C65" s="12">
        <v>1.6938045E7</v>
      </c>
      <c r="D65" s="12">
        <v>1.6438045E7</v>
      </c>
      <c r="E65" s="12">
        <v>3868304.0</v>
      </c>
      <c r="F65" s="12">
        <v>1609904.0</v>
      </c>
      <c r="G65" s="12">
        <v>35649.0</v>
      </c>
      <c r="H65" s="13">
        <v>0.0</v>
      </c>
      <c r="I65" s="13">
        <v>0.0</v>
      </c>
      <c r="J65" s="12">
        <v>197600.0</v>
      </c>
      <c r="K65" s="12"/>
      <c r="L65" s="12"/>
      <c r="M65" s="12"/>
      <c r="N65" s="14">
        <v>0.0</v>
      </c>
      <c r="O65" s="12">
        <v>169380.0</v>
      </c>
      <c r="P65" s="14"/>
      <c r="Q65" s="13">
        <v>0.0</v>
      </c>
      <c r="R65" s="12">
        <v>500000.0</v>
      </c>
      <c r="S65" s="13"/>
      <c r="T65" s="13"/>
      <c r="U65" s="2"/>
      <c r="V65" s="2"/>
      <c r="W65" s="2"/>
      <c r="X65" s="2"/>
      <c r="Y65" s="2"/>
      <c r="Z65" s="2"/>
    </row>
    <row r="66" ht="12.75" customHeight="1">
      <c r="A66" s="3" t="s">
        <v>39</v>
      </c>
      <c r="B66" s="9">
        <v>13.0</v>
      </c>
      <c r="C66" s="12">
        <v>5.3168798E7</v>
      </c>
      <c r="D66" s="12">
        <v>5.2168798E7</v>
      </c>
      <c r="E66" s="12">
        <v>4.0156245E7</v>
      </c>
      <c r="F66" s="12">
        <v>1.766362E7</v>
      </c>
      <c r="G66" s="12">
        <v>138735.0</v>
      </c>
      <c r="H66" s="13">
        <v>0.0</v>
      </c>
      <c r="I66" s="13">
        <v>0.0</v>
      </c>
      <c r="J66" s="12">
        <v>620751.0</v>
      </c>
      <c r="K66" s="12">
        <f t="shared" ref="K66:M66" si="9">SUM(K58:K65)</f>
        <v>2801214</v>
      </c>
      <c r="L66" s="12">
        <f t="shared" si="9"/>
        <v>473200</v>
      </c>
      <c r="M66" s="12">
        <f t="shared" si="9"/>
        <v>159506</v>
      </c>
      <c r="N66" s="14">
        <v>0.0</v>
      </c>
      <c r="O66" s="12">
        <v>531689.0</v>
      </c>
      <c r="P66" s="12">
        <f>SUM(P58:P65)</f>
        <v>1063378</v>
      </c>
      <c r="Q66" s="12">
        <v>500000.0</v>
      </c>
      <c r="R66" s="12">
        <v>500000.0</v>
      </c>
      <c r="S66" s="12">
        <f t="shared" ref="S66:T66" si="10">SUM(S58:S65)</f>
        <v>2903997</v>
      </c>
      <c r="T66" s="12">
        <f t="shared" si="10"/>
        <v>2903997</v>
      </c>
      <c r="U66" s="2"/>
      <c r="V66" s="2"/>
      <c r="W66" s="2"/>
      <c r="X66" s="2"/>
      <c r="Y66" s="2"/>
      <c r="Z66" s="2"/>
    </row>
    <row r="67" ht="12.75" customHeight="1">
      <c r="A67" s="3" t="s">
        <v>28</v>
      </c>
      <c r="B67" s="13">
        <v>14.0</v>
      </c>
      <c r="C67" s="12">
        <v>7.0274387E7</v>
      </c>
      <c r="D67" s="12">
        <v>6.4274387E7</v>
      </c>
      <c r="E67" s="12">
        <v>4.0156245E7</v>
      </c>
      <c r="F67" s="12">
        <v>1.766362E7</v>
      </c>
      <c r="G67" s="12">
        <v>138735.0</v>
      </c>
      <c r="H67" s="13">
        <v>0.0</v>
      </c>
      <c r="I67" s="13">
        <v>0.0</v>
      </c>
      <c r="J67" s="12">
        <v>778718.0</v>
      </c>
      <c r="K67" s="12"/>
      <c r="L67" s="12"/>
      <c r="M67" s="12"/>
      <c r="N67" s="14">
        <v>0.0</v>
      </c>
      <c r="O67" s="12">
        <v>627285.0</v>
      </c>
      <c r="P67" s="14"/>
      <c r="Q67" s="12">
        <v>5500000.0</v>
      </c>
      <c r="R67" s="12">
        <v>500000.0</v>
      </c>
      <c r="S67" s="13"/>
      <c r="T67" s="13"/>
      <c r="U67" s="2"/>
      <c r="V67" s="2"/>
      <c r="W67" s="2"/>
      <c r="X67" s="2"/>
      <c r="Y67" s="2"/>
      <c r="Z67" s="2"/>
    </row>
    <row r="68" ht="12.75" customHeight="1">
      <c r="A68" s="16" t="s">
        <v>46</v>
      </c>
      <c r="B68" s="9">
        <v>14.0</v>
      </c>
      <c r="C68" s="12">
        <v>7.0274387E7</v>
      </c>
      <c r="D68" s="12">
        <v>6.4274387E7</v>
      </c>
      <c r="E68" s="17">
        <v>4.0156245E7</v>
      </c>
      <c r="F68" s="17">
        <v>1.766362E7</v>
      </c>
      <c r="G68" s="12">
        <v>138735.0</v>
      </c>
      <c r="H68" s="13">
        <v>0.0</v>
      </c>
      <c r="I68" s="13">
        <v>0.0</v>
      </c>
      <c r="J68" s="12">
        <v>778718.0</v>
      </c>
      <c r="K68" s="12">
        <f t="shared" ref="K68:M68" si="11">SUM(K55,K66)</f>
        <v>3016692</v>
      </c>
      <c r="L68" s="12">
        <f t="shared" si="11"/>
        <v>625440</v>
      </c>
      <c r="M68" s="12">
        <f t="shared" si="11"/>
        <v>210823</v>
      </c>
      <c r="N68" s="14">
        <v>0.0</v>
      </c>
      <c r="O68" s="12">
        <v>627285.0</v>
      </c>
      <c r="P68" s="12">
        <f>SUM(P55,P66)</f>
        <v>1254570</v>
      </c>
      <c r="Q68" s="12">
        <v>5500000.0</v>
      </c>
      <c r="R68" s="12">
        <v>500000.0</v>
      </c>
      <c r="S68" s="12">
        <f t="shared" ref="S68:T68" si="12">SUM(S55,S66)</f>
        <v>4441614</v>
      </c>
      <c r="T68" s="12">
        <f t="shared" si="12"/>
        <v>4441614</v>
      </c>
      <c r="U68" s="18">
        <f>SUM(C68,E68,F68,I68,J68,K68,L68,M68,N68,S68)-SUM(G68,H68)</f>
        <v>137028804</v>
      </c>
      <c r="V68" s="2"/>
      <c r="W68" s="2">
        <v>5383461.0</v>
      </c>
      <c r="X68" s="19">
        <f>T68+W68</f>
        <v>9825075</v>
      </c>
      <c r="Y68" s="2"/>
      <c r="Z68" s="2"/>
    </row>
    <row r="69" ht="12.75" customHeight="1">
      <c r="A69" s="2" t="s">
        <v>42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 t="s">
        <v>43</v>
      </c>
      <c r="J70" s="2"/>
      <c r="K70" s="2"/>
      <c r="L70" s="2"/>
      <c r="M70" s="2"/>
      <c r="N70" s="2"/>
      <c r="O70" s="2"/>
      <c r="P70" s="2"/>
      <c r="Q70" s="2"/>
      <c r="R70" s="2" t="s">
        <v>44</v>
      </c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 t="s">
        <v>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3" t="s">
        <v>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 t="s">
        <v>2</v>
      </c>
      <c r="O72" s="2"/>
      <c r="P72" s="2" t="s">
        <v>3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1" t="s">
        <v>4</v>
      </c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 t="s">
        <v>5</v>
      </c>
      <c r="Q74" s="4">
        <v>1.0</v>
      </c>
      <c r="R74" s="3" t="s">
        <v>6</v>
      </c>
      <c r="S74" s="4">
        <v>2.0</v>
      </c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6" t="s">
        <v>15</v>
      </c>
      <c r="K75" s="6" t="s">
        <v>16</v>
      </c>
      <c r="L75" s="6"/>
      <c r="M75" s="6"/>
      <c r="N75" s="2"/>
      <c r="O75" s="6" t="s">
        <v>20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6" t="s">
        <v>7</v>
      </c>
      <c r="C76" s="6" t="s">
        <v>8</v>
      </c>
      <c r="D76" s="6" t="s">
        <v>9</v>
      </c>
      <c r="E76" s="6" t="s">
        <v>10</v>
      </c>
      <c r="F76" s="6" t="s">
        <v>11</v>
      </c>
      <c r="G76" s="6" t="s">
        <v>12</v>
      </c>
      <c r="H76" s="6" t="s">
        <v>13</v>
      </c>
      <c r="I76" s="6" t="s">
        <v>14</v>
      </c>
      <c r="J76" s="2"/>
      <c r="K76" s="2"/>
      <c r="L76" s="5" t="s">
        <v>17</v>
      </c>
      <c r="M76" s="5" t="s">
        <v>18</v>
      </c>
      <c r="N76" s="2" t="s">
        <v>19</v>
      </c>
      <c r="O76" s="2"/>
      <c r="P76" s="5" t="s">
        <v>21</v>
      </c>
      <c r="Q76" s="6" t="s">
        <v>22</v>
      </c>
      <c r="R76" s="6" t="s">
        <v>23</v>
      </c>
      <c r="S76" s="6" t="s">
        <v>24</v>
      </c>
      <c r="T76" s="6" t="s">
        <v>25</v>
      </c>
      <c r="U76" s="2"/>
      <c r="V76" s="2"/>
      <c r="W76" s="2"/>
      <c r="X76" s="2"/>
      <c r="Y76" s="2"/>
      <c r="Z76" s="2"/>
    </row>
    <row r="77" ht="12.75" customHeight="1">
      <c r="A77" s="1" t="s">
        <v>47</v>
      </c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3" t="s">
        <v>30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 t="s">
        <v>31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3" t="s">
        <v>32</v>
      </c>
      <c r="B81" s="9">
        <v>1.0</v>
      </c>
      <c r="C81" s="10">
        <v>3357718.0</v>
      </c>
      <c r="D81" s="10">
        <v>3357718.0</v>
      </c>
      <c r="E81" s="10">
        <v>3706437.0</v>
      </c>
      <c r="F81" s="10">
        <v>3065932.0</v>
      </c>
      <c r="G81" s="10">
        <v>4589.0</v>
      </c>
      <c r="H81" s="10">
        <v>127011.0</v>
      </c>
      <c r="I81" s="9">
        <v>0.0</v>
      </c>
      <c r="J81" s="9">
        <v>0.0</v>
      </c>
      <c r="K81" s="10">
        <f>215478*1</f>
        <v>215478</v>
      </c>
      <c r="L81" s="10">
        <v>29884.0</v>
      </c>
      <c r="M81" s="10">
        <v>10073.0</v>
      </c>
      <c r="N81" s="11">
        <v>0.0</v>
      </c>
      <c r="O81" s="10">
        <v>33577.0</v>
      </c>
      <c r="P81" s="11">
        <v>67154.0</v>
      </c>
      <c r="Q81" s="9">
        <v>0.0</v>
      </c>
      <c r="R81" s="9">
        <v>0.0</v>
      </c>
      <c r="S81" s="9">
        <v>156151.0</v>
      </c>
      <c r="T81" s="9">
        <v>156151.0</v>
      </c>
      <c r="U81" s="2"/>
      <c r="V81" s="2"/>
      <c r="W81" s="2"/>
      <c r="X81" s="2"/>
      <c r="Y81" s="2"/>
      <c r="Z81" s="2"/>
    </row>
    <row r="82" ht="12.75" customHeight="1">
      <c r="A82" s="2"/>
      <c r="B82" s="2"/>
      <c r="C82" s="12">
        <v>3357718.0</v>
      </c>
      <c r="D82" s="12">
        <v>3357718.0</v>
      </c>
      <c r="E82" s="12">
        <v>3706437.0</v>
      </c>
      <c r="F82" s="12">
        <v>3065932.0</v>
      </c>
      <c r="G82" s="12">
        <v>4589.0</v>
      </c>
      <c r="H82" s="12">
        <v>127011.0</v>
      </c>
      <c r="I82" s="13">
        <v>0.0</v>
      </c>
      <c r="J82" s="13">
        <v>0.0</v>
      </c>
      <c r="K82" s="12"/>
      <c r="L82" s="12"/>
      <c r="M82" s="12"/>
      <c r="N82" s="14">
        <v>0.0</v>
      </c>
      <c r="O82" s="12">
        <v>33577.0</v>
      </c>
      <c r="P82" s="14"/>
      <c r="Q82" s="13">
        <v>0.0</v>
      </c>
      <c r="R82" s="13">
        <v>0.0</v>
      </c>
      <c r="S82" s="13"/>
      <c r="T82" s="13"/>
      <c r="U82" s="2"/>
      <c r="V82" s="2"/>
      <c r="W82" s="2"/>
      <c r="X82" s="2"/>
      <c r="Y82" s="2"/>
      <c r="Z82" s="2"/>
    </row>
    <row r="83" ht="12.75" customHeight="1">
      <c r="A83" s="2" t="s">
        <v>33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3" t="s">
        <v>32</v>
      </c>
      <c r="B84" s="9">
        <v>2.0</v>
      </c>
      <c r="C84" s="10">
        <v>1.0503795E7</v>
      </c>
      <c r="D84" s="10">
        <v>9653795.0</v>
      </c>
      <c r="E84" s="10">
        <v>1.2368946E7</v>
      </c>
      <c r="F84" s="10">
        <v>3769481.0</v>
      </c>
      <c r="G84" s="10">
        <v>26240.0</v>
      </c>
      <c r="H84" s="9">
        <v>0.0</v>
      </c>
      <c r="I84" s="9">
        <v>0.0</v>
      </c>
      <c r="J84" s="10">
        <v>95133.0</v>
      </c>
      <c r="K84" s="10">
        <f>215478*2</f>
        <v>430956</v>
      </c>
      <c r="L84" s="10">
        <v>93483.0</v>
      </c>
      <c r="M84" s="10">
        <v>31512.0</v>
      </c>
      <c r="N84" s="9">
        <v>0.0</v>
      </c>
      <c r="O84" s="10">
        <v>105038.0</v>
      </c>
      <c r="P84" s="2">
        <v>210076.0</v>
      </c>
      <c r="Q84" s="10">
        <v>850000.0</v>
      </c>
      <c r="R84" s="9">
        <v>0.0</v>
      </c>
      <c r="S84" s="9">
        <v>1728246.0</v>
      </c>
      <c r="T84" s="9">
        <v>1728246.0</v>
      </c>
      <c r="U84" s="2"/>
      <c r="V84" s="2"/>
      <c r="W84" s="2"/>
      <c r="X84" s="2"/>
      <c r="Y84" s="2"/>
      <c r="Z84" s="2"/>
    </row>
    <row r="85" ht="12.75" customHeight="1">
      <c r="A85" s="2"/>
      <c r="B85" s="2"/>
      <c r="C85" s="12">
        <v>1.0503795E7</v>
      </c>
      <c r="D85" s="12">
        <v>9653795.0</v>
      </c>
      <c r="E85" s="12">
        <v>1.2368946E7</v>
      </c>
      <c r="F85" s="12">
        <v>3769481.0</v>
      </c>
      <c r="G85" s="12">
        <v>26240.0</v>
      </c>
      <c r="H85" s="13">
        <v>0.0</v>
      </c>
      <c r="I85" s="13">
        <v>0.0</v>
      </c>
      <c r="J85" s="12">
        <v>95133.0</v>
      </c>
      <c r="K85" s="12"/>
      <c r="L85" s="12"/>
      <c r="M85" s="12"/>
      <c r="N85" s="14">
        <v>0.0</v>
      </c>
      <c r="O85" s="12">
        <v>105038.0</v>
      </c>
      <c r="P85" s="14"/>
      <c r="Q85" s="12">
        <v>850000.0</v>
      </c>
      <c r="R85" s="13">
        <v>0.0</v>
      </c>
      <c r="S85" s="13"/>
      <c r="T85" s="13"/>
      <c r="U85" s="2"/>
      <c r="V85" s="2"/>
      <c r="W85" s="2"/>
      <c r="X85" s="2"/>
      <c r="Y85" s="2"/>
      <c r="Z85" s="2"/>
    </row>
    <row r="86" ht="12.75" customHeight="1">
      <c r="A86" s="3" t="s">
        <v>37</v>
      </c>
      <c r="B86" s="9">
        <v>3.0</v>
      </c>
      <c r="C86" s="12">
        <v>1.3861513E7</v>
      </c>
      <c r="D86" s="12">
        <v>1.3011513E7</v>
      </c>
      <c r="E86" s="12">
        <v>1.6075383E7</v>
      </c>
      <c r="F86" s="12">
        <v>6835413.0</v>
      </c>
      <c r="G86" s="12">
        <v>30829.0</v>
      </c>
      <c r="H86" s="12">
        <v>127011.0</v>
      </c>
      <c r="I86" s="13">
        <v>0.0</v>
      </c>
      <c r="J86" s="12">
        <v>95133.0</v>
      </c>
      <c r="K86" s="12">
        <f t="shared" ref="K86:M86" si="13">SUM(K81:K85)</f>
        <v>646434</v>
      </c>
      <c r="L86" s="12">
        <f t="shared" si="13"/>
        <v>123367</v>
      </c>
      <c r="M86" s="12">
        <f t="shared" si="13"/>
        <v>41585</v>
      </c>
      <c r="N86" s="14">
        <v>0.0</v>
      </c>
      <c r="O86" s="12">
        <v>138615.0</v>
      </c>
      <c r="P86" s="12">
        <f>SUM(P81:P85)</f>
        <v>277230</v>
      </c>
      <c r="Q86" s="12">
        <v>850000.0</v>
      </c>
      <c r="R86" s="13">
        <v>0.0</v>
      </c>
      <c r="S86" s="12">
        <f t="shared" ref="S86:T86" si="14">SUM(S81:S85)</f>
        <v>1884397</v>
      </c>
      <c r="T86" s="12">
        <f t="shared" si="14"/>
        <v>1884397</v>
      </c>
      <c r="U86" s="2"/>
      <c r="V86" s="2"/>
      <c r="W86" s="2"/>
      <c r="X86" s="2"/>
      <c r="Y86" s="2"/>
      <c r="Z86" s="2"/>
    </row>
    <row r="87" ht="12.75" customHeight="1">
      <c r="A87" s="3" t="s">
        <v>38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 t="s">
        <v>31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3" t="s">
        <v>32</v>
      </c>
      <c r="B89" s="9">
        <v>4.0</v>
      </c>
      <c r="C89" s="10">
        <v>1.7855351E7</v>
      </c>
      <c r="D89" s="10">
        <v>1.7855351E7</v>
      </c>
      <c r="E89" s="10">
        <v>2.8511484E7</v>
      </c>
      <c r="F89" s="10">
        <v>1.9327323E7</v>
      </c>
      <c r="G89" s="10">
        <v>52737.0</v>
      </c>
      <c r="H89" s="9">
        <v>0.0</v>
      </c>
      <c r="I89" s="10">
        <v>582254.0</v>
      </c>
      <c r="J89" s="10">
        <v>145450.0</v>
      </c>
      <c r="K89" s="10">
        <f>215478*4</f>
        <v>861912</v>
      </c>
      <c r="L89" s="10">
        <v>158913.0</v>
      </c>
      <c r="M89" s="10">
        <v>53567.0</v>
      </c>
      <c r="N89" s="11">
        <v>0.0</v>
      </c>
      <c r="O89" s="10">
        <v>178554.0</v>
      </c>
      <c r="P89" s="11">
        <v>357108.0</v>
      </c>
      <c r="Q89" s="9">
        <v>0.0</v>
      </c>
      <c r="R89" s="9">
        <v>0.0</v>
      </c>
      <c r="S89" s="9">
        <v>5364671.0</v>
      </c>
      <c r="T89" s="9">
        <v>5364671.0</v>
      </c>
      <c r="U89" s="2"/>
      <c r="V89" s="2"/>
      <c r="W89" s="2"/>
      <c r="X89" s="2"/>
      <c r="Y89" s="2"/>
      <c r="Z89" s="2"/>
    </row>
    <row r="90" ht="12.75" customHeight="1">
      <c r="A90" s="2"/>
      <c r="B90" s="2"/>
      <c r="C90" s="12">
        <v>1.7855351E7</v>
      </c>
      <c r="D90" s="12">
        <v>1.7855351E7</v>
      </c>
      <c r="E90" s="12">
        <v>2.8511484E7</v>
      </c>
      <c r="F90" s="12">
        <v>1.9327323E7</v>
      </c>
      <c r="G90" s="12">
        <v>52737.0</v>
      </c>
      <c r="H90" s="13">
        <v>0.0</v>
      </c>
      <c r="I90" s="12">
        <v>582254.0</v>
      </c>
      <c r="J90" s="12">
        <v>145450.0</v>
      </c>
      <c r="K90" s="12"/>
      <c r="L90" s="12"/>
      <c r="M90" s="12"/>
      <c r="N90" s="14">
        <v>0.0</v>
      </c>
      <c r="O90" s="12">
        <v>178554.0</v>
      </c>
      <c r="P90" s="14"/>
      <c r="Q90" s="13">
        <v>0.0</v>
      </c>
      <c r="R90" s="13">
        <v>0.0</v>
      </c>
      <c r="S90" s="13"/>
      <c r="T90" s="13"/>
      <c r="U90" s="2"/>
      <c r="V90" s="2"/>
      <c r="W90" s="2"/>
      <c r="X90" s="2"/>
      <c r="Y90" s="2"/>
      <c r="Z90" s="2"/>
    </row>
    <row r="91" ht="12.75" customHeight="1">
      <c r="A91" s="2" t="s">
        <v>33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" t="s">
        <v>32</v>
      </c>
      <c r="B92" s="9">
        <v>5.0</v>
      </c>
      <c r="C92" s="10">
        <v>2.9219645E7</v>
      </c>
      <c r="D92" s="10">
        <v>2.5819645E7</v>
      </c>
      <c r="E92" s="10">
        <v>1.6367242E7</v>
      </c>
      <c r="F92" s="10">
        <v>4235790.0</v>
      </c>
      <c r="G92" s="10">
        <v>63791.0</v>
      </c>
      <c r="H92" s="9">
        <v>0.0</v>
      </c>
      <c r="I92" s="9">
        <v>0.0</v>
      </c>
      <c r="J92" s="10">
        <v>199291.0</v>
      </c>
      <c r="K92" s="10">
        <f>215478*5</f>
        <v>1077390</v>
      </c>
      <c r="L92" s="10">
        <v>260054.0</v>
      </c>
      <c r="M92" s="10">
        <v>87659.0</v>
      </c>
      <c r="N92" s="9">
        <v>0.0</v>
      </c>
      <c r="O92" s="10">
        <v>292196.0</v>
      </c>
      <c r="P92" s="2">
        <v>584392.0</v>
      </c>
      <c r="Q92" s="10">
        <v>3400000.0</v>
      </c>
      <c r="R92" s="9">
        <v>0.0</v>
      </c>
      <c r="S92" s="9">
        <v>1575313.0</v>
      </c>
      <c r="T92" s="9">
        <v>1575313.0</v>
      </c>
      <c r="U92" s="2"/>
      <c r="V92" s="2"/>
      <c r="W92" s="2"/>
      <c r="X92" s="2"/>
      <c r="Y92" s="2"/>
      <c r="Z92" s="2"/>
    </row>
    <row r="93" ht="12.75" customHeight="1">
      <c r="A93" s="2"/>
      <c r="B93" s="2"/>
      <c r="C93" s="12">
        <v>2.9219645E7</v>
      </c>
      <c r="D93" s="12">
        <v>2.5819645E7</v>
      </c>
      <c r="E93" s="12">
        <v>1.6367242E7</v>
      </c>
      <c r="F93" s="12">
        <v>4235790.0</v>
      </c>
      <c r="G93" s="12">
        <v>63791.0</v>
      </c>
      <c r="H93" s="13">
        <v>0.0</v>
      </c>
      <c r="I93" s="13">
        <v>0.0</v>
      </c>
      <c r="J93" s="12">
        <v>199291.0</v>
      </c>
      <c r="K93" s="12"/>
      <c r="L93" s="12"/>
      <c r="M93" s="12"/>
      <c r="N93" s="14">
        <v>0.0</v>
      </c>
      <c r="O93" s="12">
        <v>292196.0</v>
      </c>
      <c r="P93" s="14"/>
      <c r="Q93" s="12">
        <v>3400000.0</v>
      </c>
      <c r="R93" s="13">
        <v>0.0</v>
      </c>
      <c r="S93" s="13"/>
      <c r="T93" s="13"/>
      <c r="U93" s="2"/>
      <c r="V93" s="2"/>
      <c r="W93" s="2"/>
      <c r="X93" s="2"/>
      <c r="Y93" s="2"/>
      <c r="Z93" s="2"/>
    </row>
    <row r="94" ht="12.75" customHeight="1">
      <c r="A94" s="2" t="s">
        <v>34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3" t="s">
        <v>36</v>
      </c>
      <c r="B95" s="9">
        <v>3.0</v>
      </c>
      <c r="C95" s="10">
        <v>1.5101867E7</v>
      </c>
      <c r="D95" s="10">
        <v>1.3451867E7</v>
      </c>
      <c r="E95" s="10">
        <v>1.2137626E7</v>
      </c>
      <c r="F95" s="10">
        <v>6004566.0</v>
      </c>
      <c r="G95" s="10">
        <v>15948.0</v>
      </c>
      <c r="H95" s="9">
        <v>0.0</v>
      </c>
      <c r="I95" s="10">
        <v>542504.0</v>
      </c>
      <c r="J95" s="10">
        <v>89709.0</v>
      </c>
      <c r="K95" s="10">
        <f>215478*3</f>
        <v>646434</v>
      </c>
      <c r="L95" s="10">
        <v>134407.0</v>
      </c>
      <c r="M95" s="10">
        <v>45305.0</v>
      </c>
      <c r="N95" s="11">
        <v>0.0</v>
      </c>
      <c r="O95" s="10">
        <v>151019.0</v>
      </c>
      <c r="P95" s="11">
        <v>302038.0</v>
      </c>
      <c r="Q95" s="10">
        <v>1400000.0</v>
      </c>
      <c r="R95" s="10">
        <v>250000.0</v>
      </c>
      <c r="S95" s="9">
        <v>1576284.0</v>
      </c>
      <c r="T95" s="9">
        <v>1576284.0</v>
      </c>
      <c r="U95" s="2"/>
      <c r="V95" s="2"/>
      <c r="W95" s="2"/>
      <c r="X95" s="2"/>
      <c r="Y95" s="2"/>
      <c r="Z95" s="2"/>
    </row>
    <row r="96" ht="12.75" customHeight="1">
      <c r="A96" s="2"/>
      <c r="B96" s="2"/>
      <c r="C96" s="12">
        <v>1.5101867E7</v>
      </c>
      <c r="D96" s="12">
        <v>1.3451867E7</v>
      </c>
      <c r="E96" s="12">
        <v>1.2137626E7</v>
      </c>
      <c r="F96" s="12">
        <v>6004566.0</v>
      </c>
      <c r="G96" s="12">
        <v>15948.0</v>
      </c>
      <c r="H96" s="13">
        <v>0.0</v>
      </c>
      <c r="I96" s="12">
        <v>542504.0</v>
      </c>
      <c r="J96" s="12">
        <v>89709.0</v>
      </c>
      <c r="K96" s="12"/>
      <c r="L96" s="12"/>
      <c r="M96" s="12"/>
      <c r="N96" s="14">
        <v>0.0</v>
      </c>
      <c r="O96" s="12">
        <v>151019.0</v>
      </c>
      <c r="P96" s="14"/>
      <c r="Q96" s="12">
        <v>1400000.0</v>
      </c>
      <c r="R96" s="12">
        <v>250000.0</v>
      </c>
      <c r="S96" s="13"/>
      <c r="T96" s="13"/>
      <c r="U96" s="2"/>
      <c r="V96" s="2"/>
      <c r="W96" s="2"/>
      <c r="X96" s="2"/>
      <c r="Y96" s="2"/>
      <c r="Z96" s="2"/>
    </row>
    <row r="97" ht="12.75" customHeight="1">
      <c r="A97" s="3" t="s">
        <v>39</v>
      </c>
      <c r="B97" s="9">
        <v>12.0</v>
      </c>
      <c r="C97" s="12">
        <v>6.2176863E7</v>
      </c>
      <c r="D97" s="12">
        <v>5.7126863E7</v>
      </c>
      <c r="E97" s="12">
        <v>5.7016352E7</v>
      </c>
      <c r="F97" s="12">
        <v>2.9567679E7</v>
      </c>
      <c r="G97" s="12">
        <v>132476.0</v>
      </c>
      <c r="H97" s="13">
        <v>0.0</v>
      </c>
      <c r="I97" s="12">
        <v>1124758.0</v>
      </c>
      <c r="J97" s="12">
        <v>434450.0</v>
      </c>
      <c r="K97" s="12">
        <f t="shared" ref="K97:M97" si="15">SUM(K89:K96)</f>
        <v>2585736</v>
      </c>
      <c r="L97" s="12">
        <f t="shared" si="15"/>
        <v>553374</v>
      </c>
      <c r="M97" s="12">
        <f t="shared" si="15"/>
        <v>186531</v>
      </c>
      <c r="N97" s="14">
        <v>0.0</v>
      </c>
      <c r="O97" s="12">
        <v>621769.0</v>
      </c>
      <c r="P97" s="12">
        <f>SUM(P89:P96)</f>
        <v>1243538</v>
      </c>
      <c r="Q97" s="12">
        <v>4800000.0</v>
      </c>
      <c r="R97" s="12">
        <v>250000.0</v>
      </c>
      <c r="S97" s="12">
        <f t="shared" ref="S97:T97" si="16">SUM(S89:S96)</f>
        <v>8516268</v>
      </c>
      <c r="T97" s="12">
        <f t="shared" si="16"/>
        <v>8516268</v>
      </c>
      <c r="U97" s="2"/>
      <c r="V97" s="2"/>
      <c r="W97" s="2"/>
      <c r="X97" s="2"/>
      <c r="Y97" s="2"/>
      <c r="Z97" s="2"/>
    </row>
    <row r="98" ht="12.75" customHeight="1">
      <c r="A98" s="3" t="s">
        <v>28</v>
      </c>
      <c r="B98" s="13">
        <v>15.0</v>
      </c>
      <c r="C98" s="12">
        <v>7.6038376E7</v>
      </c>
      <c r="D98" s="12">
        <v>7.0138376E7</v>
      </c>
      <c r="E98" s="12">
        <v>7.3091735E7</v>
      </c>
      <c r="F98" s="12">
        <v>3.6403092E7</v>
      </c>
      <c r="G98" s="12">
        <v>163305.0</v>
      </c>
      <c r="H98" s="12">
        <v>127011.0</v>
      </c>
      <c r="I98" s="12">
        <v>1124758.0</v>
      </c>
      <c r="J98" s="12">
        <v>529583.0</v>
      </c>
      <c r="K98" s="12"/>
      <c r="L98" s="12"/>
      <c r="M98" s="12"/>
      <c r="N98" s="14">
        <v>0.0</v>
      </c>
      <c r="O98" s="12">
        <v>760384.0</v>
      </c>
      <c r="P98" s="14"/>
      <c r="Q98" s="12">
        <v>5650000.0</v>
      </c>
      <c r="R98" s="12">
        <v>250000.0</v>
      </c>
      <c r="S98" s="13"/>
      <c r="T98" s="13"/>
      <c r="U98" s="2"/>
      <c r="V98" s="2"/>
      <c r="W98" s="2"/>
      <c r="X98" s="2"/>
      <c r="Y98" s="2"/>
      <c r="Z98" s="2"/>
    </row>
    <row r="99" ht="12.75" customHeight="1">
      <c r="A99" s="1" t="s">
        <v>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3" t="s">
        <v>1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 t="s">
        <v>2</v>
      </c>
      <c r="O100" s="2"/>
      <c r="P100" s="2" t="s">
        <v>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1" t="s">
        <v>4</v>
      </c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 t="s">
        <v>5</v>
      </c>
      <c r="Q102" s="4">
        <v>2.0</v>
      </c>
      <c r="R102" s="3" t="s">
        <v>6</v>
      </c>
      <c r="S102" s="4">
        <v>2.0</v>
      </c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6" t="s">
        <v>15</v>
      </c>
      <c r="K103" s="6" t="s">
        <v>16</v>
      </c>
      <c r="L103" s="6"/>
      <c r="M103" s="6"/>
      <c r="N103" s="2"/>
      <c r="O103" s="6" t="s">
        <v>20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6" t="s">
        <v>7</v>
      </c>
      <c r="C104" s="6" t="s">
        <v>8</v>
      </c>
      <c r="D104" s="6" t="s">
        <v>9</v>
      </c>
      <c r="E104" s="6" t="s">
        <v>10</v>
      </c>
      <c r="F104" s="6" t="s">
        <v>11</v>
      </c>
      <c r="G104" s="6" t="s">
        <v>12</v>
      </c>
      <c r="H104" s="6" t="s">
        <v>13</v>
      </c>
      <c r="I104" s="6" t="s">
        <v>14</v>
      </c>
      <c r="J104" s="2"/>
      <c r="K104" s="2"/>
      <c r="L104" s="5" t="s">
        <v>17</v>
      </c>
      <c r="M104" s="5" t="s">
        <v>18</v>
      </c>
      <c r="N104" s="2" t="s">
        <v>19</v>
      </c>
      <c r="O104" s="2"/>
      <c r="P104" s="5" t="s">
        <v>21</v>
      </c>
      <c r="Q104" s="6" t="s">
        <v>22</v>
      </c>
      <c r="R104" s="6" t="s">
        <v>23</v>
      </c>
      <c r="S104" s="6" t="s">
        <v>24</v>
      </c>
      <c r="T104" s="6" t="s">
        <v>25</v>
      </c>
      <c r="U104" s="2"/>
      <c r="V104" s="2"/>
      <c r="W104" s="2"/>
      <c r="X104" s="2"/>
      <c r="Y104" s="2"/>
      <c r="Z104" s="2"/>
    </row>
    <row r="105" ht="12.75" customHeight="1">
      <c r="A105" s="16" t="s">
        <v>48</v>
      </c>
      <c r="B105" s="9">
        <v>15.0</v>
      </c>
      <c r="C105" s="12">
        <v>7.6038376E7</v>
      </c>
      <c r="D105" s="12">
        <v>7.0138376E7</v>
      </c>
      <c r="E105" s="17">
        <v>7.3091735E7</v>
      </c>
      <c r="F105" s="17">
        <v>3.6403092E7</v>
      </c>
      <c r="G105" s="12">
        <v>163305.0</v>
      </c>
      <c r="H105" s="12">
        <v>127011.0</v>
      </c>
      <c r="I105" s="12">
        <v>1124758.0</v>
      </c>
      <c r="J105" s="12">
        <v>529583.0</v>
      </c>
      <c r="K105" s="12">
        <f t="shared" ref="K105:M105" si="17">SUM(K86,K97)</f>
        <v>3232170</v>
      </c>
      <c r="L105" s="12">
        <f t="shared" si="17"/>
        <v>676741</v>
      </c>
      <c r="M105" s="12">
        <f t="shared" si="17"/>
        <v>228116</v>
      </c>
      <c r="N105" s="14">
        <v>0.0</v>
      </c>
      <c r="O105" s="12">
        <v>760384.0</v>
      </c>
      <c r="P105" s="12">
        <f>SUM(P86,P97)</f>
        <v>1520768</v>
      </c>
      <c r="Q105" s="12">
        <v>5650000.0</v>
      </c>
      <c r="R105" s="12">
        <v>250000.0</v>
      </c>
      <c r="S105" s="12">
        <f t="shared" ref="S105:T105" si="18">SUM(S86,S97)</f>
        <v>10400665</v>
      </c>
      <c r="T105" s="12">
        <f t="shared" si="18"/>
        <v>10400665</v>
      </c>
      <c r="U105" s="18">
        <f>SUM(C105,E105,F105,I105,J105,K105,L105,M105,N105,S105)-SUM(G105,H105)</f>
        <v>201434920</v>
      </c>
      <c r="V105" s="2"/>
      <c r="W105" s="2">
        <v>439607.0</v>
      </c>
      <c r="X105" s="19">
        <f>T105+W105</f>
        <v>10840272</v>
      </c>
      <c r="Y105" s="2"/>
      <c r="Z105" s="2"/>
    </row>
    <row r="106" ht="12.75" customHeight="1">
      <c r="A106" s="2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 t="s">
        <v>43</v>
      </c>
      <c r="J107" s="2"/>
      <c r="K107" s="2"/>
      <c r="L107" s="2"/>
      <c r="M107" s="2"/>
      <c r="N107" s="2"/>
      <c r="O107" s="2"/>
      <c r="P107" s="2"/>
      <c r="Q107" s="2"/>
      <c r="R107" s="2" t="s">
        <v>44</v>
      </c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 t="s">
        <v>0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3" t="s">
        <v>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 t="s">
        <v>2</v>
      </c>
      <c r="O109" s="2"/>
      <c r="P109" s="2" t="s">
        <v>3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1" t="s">
        <v>4</v>
      </c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 t="s">
        <v>5</v>
      </c>
      <c r="Q111" s="4">
        <v>1.0</v>
      </c>
      <c r="R111" s="3" t="s">
        <v>6</v>
      </c>
      <c r="S111" s="4">
        <v>2.0</v>
      </c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6" t="s">
        <v>15</v>
      </c>
      <c r="K112" s="6" t="s">
        <v>16</v>
      </c>
      <c r="L112" s="6"/>
      <c r="M112" s="6"/>
      <c r="N112" s="2"/>
      <c r="O112" s="6" t="s">
        <v>20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6" t="s">
        <v>7</v>
      </c>
      <c r="C113" s="6" t="s">
        <v>8</v>
      </c>
      <c r="D113" s="6" t="s">
        <v>9</v>
      </c>
      <c r="E113" s="6" t="s">
        <v>10</v>
      </c>
      <c r="F113" s="6" t="s">
        <v>11</v>
      </c>
      <c r="G113" s="6" t="s">
        <v>12</v>
      </c>
      <c r="H113" s="6" t="s">
        <v>13</v>
      </c>
      <c r="I113" s="6" t="s">
        <v>14</v>
      </c>
      <c r="J113" s="2"/>
      <c r="K113" s="2"/>
      <c r="L113" s="5" t="s">
        <v>17</v>
      </c>
      <c r="M113" s="5" t="s">
        <v>18</v>
      </c>
      <c r="N113" s="2" t="s">
        <v>19</v>
      </c>
      <c r="O113" s="2"/>
      <c r="P113" s="5" t="s">
        <v>21</v>
      </c>
      <c r="Q113" s="6" t="s">
        <v>22</v>
      </c>
      <c r="R113" s="6" t="s">
        <v>23</v>
      </c>
      <c r="S113" s="6" t="s">
        <v>24</v>
      </c>
      <c r="T113" s="6" t="s">
        <v>25</v>
      </c>
      <c r="U113" s="2"/>
      <c r="V113" s="2"/>
      <c r="W113" s="2"/>
      <c r="X113" s="2"/>
      <c r="Y113" s="2"/>
      <c r="Z113" s="2"/>
    </row>
    <row r="114" ht="12.75" customHeight="1">
      <c r="A114" s="1" t="s">
        <v>49</v>
      </c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3" t="s">
        <v>50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3" t="s">
        <v>30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 t="s">
        <v>34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3" t="s">
        <v>35</v>
      </c>
      <c r="B118" s="9">
        <v>1.0</v>
      </c>
      <c r="C118" s="10">
        <v>4769290.0</v>
      </c>
      <c r="D118" s="10">
        <v>4769290.0</v>
      </c>
      <c r="E118" s="9">
        <v>0.0</v>
      </c>
      <c r="F118" s="9">
        <v>0.0</v>
      </c>
      <c r="G118" s="9">
        <v>0.0</v>
      </c>
      <c r="H118" s="9">
        <v>0.0</v>
      </c>
      <c r="I118" s="9">
        <v>0.0</v>
      </c>
      <c r="J118" s="9">
        <v>0.0</v>
      </c>
      <c r="K118" s="10">
        <f>216001*1</f>
        <v>216001</v>
      </c>
      <c r="L118" s="10">
        <v>42447.0</v>
      </c>
      <c r="M118" s="10">
        <v>14308.0</v>
      </c>
      <c r="N118" s="11">
        <v>0.0</v>
      </c>
      <c r="O118" s="10">
        <v>47693.0</v>
      </c>
      <c r="P118" s="11">
        <v>95386.0</v>
      </c>
      <c r="Q118" s="9">
        <v>0.0</v>
      </c>
      <c r="R118" s="9">
        <v>0.0</v>
      </c>
      <c r="S118" s="9">
        <v>0.0</v>
      </c>
      <c r="T118" s="9">
        <v>0.0</v>
      </c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12">
        <v>4769290.0</v>
      </c>
      <c r="D119" s="12">
        <v>4769290.0</v>
      </c>
      <c r="E119" s="13">
        <v>0.0</v>
      </c>
      <c r="F119" s="13">
        <v>0.0</v>
      </c>
      <c r="G119" s="13">
        <v>0.0</v>
      </c>
      <c r="H119" s="13">
        <v>0.0</v>
      </c>
      <c r="I119" s="13">
        <v>0.0</v>
      </c>
      <c r="J119" s="13">
        <v>0.0</v>
      </c>
      <c r="K119" s="12"/>
      <c r="L119" s="12"/>
      <c r="M119" s="12"/>
      <c r="N119" s="14">
        <v>0.0</v>
      </c>
      <c r="O119" s="12">
        <v>47693.0</v>
      </c>
      <c r="P119" s="14"/>
      <c r="Q119" s="13">
        <v>0.0</v>
      </c>
      <c r="R119" s="13">
        <v>0.0</v>
      </c>
      <c r="S119" s="13"/>
      <c r="T119" s="13"/>
      <c r="U119" s="2"/>
      <c r="V119" s="2"/>
      <c r="W119" s="2"/>
      <c r="X119" s="2"/>
      <c r="Y119" s="2"/>
      <c r="Z119" s="2"/>
    </row>
    <row r="120" ht="12.75" customHeight="1">
      <c r="A120" s="3" t="s">
        <v>37</v>
      </c>
      <c r="B120" s="9">
        <v>1.0</v>
      </c>
      <c r="C120" s="12">
        <v>4769290.0</v>
      </c>
      <c r="D120" s="12">
        <v>4769290.0</v>
      </c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2">
        <f t="shared" ref="K120:M120" si="19">SUM(K118:K119)</f>
        <v>216001</v>
      </c>
      <c r="L120" s="12">
        <f t="shared" si="19"/>
        <v>42447</v>
      </c>
      <c r="M120" s="12">
        <f t="shared" si="19"/>
        <v>14308</v>
      </c>
      <c r="N120" s="14">
        <v>0.0</v>
      </c>
      <c r="O120" s="12">
        <v>47693.0</v>
      </c>
      <c r="P120" s="12">
        <f>SUM(P118:P119)</f>
        <v>95386</v>
      </c>
      <c r="Q120" s="13">
        <v>0.0</v>
      </c>
      <c r="R120" s="13">
        <v>0.0</v>
      </c>
      <c r="S120" s="12">
        <f t="shared" ref="S120:T120" si="20">SUM(S118:S119)</f>
        <v>0</v>
      </c>
      <c r="T120" s="12">
        <f t="shared" si="20"/>
        <v>0</v>
      </c>
      <c r="U120" s="2"/>
      <c r="V120" s="2"/>
      <c r="W120" s="2"/>
      <c r="X120" s="2"/>
      <c r="Y120" s="2"/>
      <c r="Z120" s="2"/>
    </row>
    <row r="121" ht="12.75" customHeight="1">
      <c r="A121" s="3" t="s">
        <v>38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 t="s">
        <v>34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3" t="s">
        <v>35</v>
      </c>
      <c r="B123" s="9">
        <v>2.0</v>
      </c>
      <c r="C123" s="10">
        <v>1.0805643E7</v>
      </c>
      <c r="D123" s="10">
        <v>1.0805643E7</v>
      </c>
      <c r="E123" s="9">
        <v>0.0</v>
      </c>
      <c r="F123" s="9">
        <v>0.0</v>
      </c>
      <c r="G123" s="9">
        <v>0.0</v>
      </c>
      <c r="H123" s="9">
        <v>0.0</v>
      </c>
      <c r="I123" s="10">
        <v>943199.0</v>
      </c>
      <c r="J123" s="10">
        <v>89192.0</v>
      </c>
      <c r="K123" s="10">
        <f t="shared" ref="K123:K124" si="21">216001*2</f>
        <v>432002</v>
      </c>
      <c r="L123" s="10">
        <v>96170.0</v>
      </c>
      <c r="M123" s="10">
        <v>32417.0</v>
      </c>
      <c r="N123" s="9">
        <v>0.0</v>
      </c>
      <c r="O123" s="10">
        <v>108057.0</v>
      </c>
      <c r="P123" s="2">
        <v>216114.0</v>
      </c>
      <c r="Q123" s="9">
        <v>0.0</v>
      </c>
      <c r="R123" s="9">
        <v>0.0</v>
      </c>
      <c r="S123" s="9">
        <v>32677.0</v>
      </c>
      <c r="T123" s="9">
        <v>32677.0</v>
      </c>
      <c r="U123" s="2"/>
      <c r="V123" s="2"/>
      <c r="W123" s="2"/>
      <c r="X123" s="2"/>
      <c r="Y123" s="2"/>
      <c r="Z123" s="2"/>
    </row>
    <row r="124" ht="12.75" customHeight="1">
      <c r="A124" s="3" t="s">
        <v>36</v>
      </c>
      <c r="B124" s="9">
        <v>2.0</v>
      </c>
      <c r="C124" s="10">
        <v>1.4557337E7</v>
      </c>
      <c r="D124" s="10">
        <v>1.2907337E7</v>
      </c>
      <c r="E124" s="9">
        <v>0.0</v>
      </c>
      <c r="F124" s="9">
        <v>0.0</v>
      </c>
      <c r="G124" s="10">
        <v>147969.0</v>
      </c>
      <c r="H124" s="9">
        <v>0.0</v>
      </c>
      <c r="I124" s="10">
        <v>80500.0</v>
      </c>
      <c r="J124" s="10">
        <v>96567.0</v>
      </c>
      <c r="K124" s="10">
        <f t="shared" si="21"/>
        <v>432002</v>
      </c>
      <c r="L124" s="10">
        <v>129560.0</v>
      </c>
      <c r="M124" s="10">
        <v>43672.0</v>
      </c>
      <c r="N124" s="11">
        <v>0.0</v>
      </c>
      <c r="O124" s="10">
        <v>145573.0</v>
      </c>
      <c r="P124" s="11">
        <v>291146.0</v>
      </c>
      <c r="Q124" s="10">
        <v>1400000.0</v>
      </c>
      <c r="R124" s="10">
        <v>250000.0</v>
      </c>
      <c r="S124" s="9">
        <v>221210.0</v>
      </c>
      <c r="T124" s="9">
        <v>221210.0</v>
      </c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12">
        <v>2.536298E7</v>
      </c>
      <c r="D125" s="12">
        <v>2.371298E7</v>
      </c>
      <c r="E125" s="13">
        <v>0.0</v>
      </c>
      <c r="F125" s="13">
        <v>0.0</v>
      </c>
      <c r="G125" s="12">
        <v>147969.0</v>
      </c>
      <c r="H125" s="13">
        <v>0.0</v>
      </c>
      <c r="I125" s="12">
        <v>1023699.0</v>
      </c>
      <c r="J125" s="12">
        <v>185759.0</v>
      </c>
      <c r="K125" s="12"/>
      <c r="L125" s="12"/>
      <c r="M125" s="12"/>
      <c r="N125" s="14">
        <v>0.0</v>
      </c>
      <c r="O125" s="12">
        <v>253630.0</v>
      </c>
      <c r="P125" s="14"/>
      <c r="Q125" s="12">
        <v>1400000.0</v>
      </c>
      <c r="R125" s="12">
        <v>250000.0</v>
      </c>
      <c r="S125" s="13"/>
      <c r="T125" s="13"/>
      <c r="U125" s="2"/>
      <c r="V125" s="2"/>
      <c r="W125" s="2"/>
      <c r="X125" s="2"/>
      <c r="Y125" s="2"/>
      <c r="Z125" s="2"/>
    </row>
    <row r="126" ht="12.75" customHeight="1">
      <c r="A126" s="3" t="s">
        <v>39</v>
      </c>
      <c r="B126" s="9">
        <v>4.0</v>
      </c>
      <c r="C126" s="12">
        <v>2.536298E7</v>
      </c>
      <c r="D126" s="12">
        <v>2.371298E7</v>
      </c>
      <c r="E126" s="13">
        <v>0.0</v>
      </c>
      <c r="F126" s="13">
        <v>0.0</v>
      </c>
      <c r="G126" s="12">
        <v>147969.0</v>
      </c>
      <c r="H126" s="13">
        <v>0.0</v>
      </c>
      <c r="I126" s="12">
        <v>1023699.0</v>
      </c>
      <c r="J126" s="12">
        <v>185759.0</v>
      </c>
      <c r="K126" s="12">
        <f t="shared" ref="K126:M126" si="22">SUM(K123:K125)</f>
        <v>864004</v>
      </c>
      <c r="L126" s="12">
        <f t="shared" si="22"/>
        <v>225730</v>
      </c>
      <c r="M126" s="12">
        <f t="shared" si="22"/>
        <v>76089</v>
      </c>
      <c r="N126" s="14">
        <v>0.0</v>
      </c>
      <c r="O126" s="12">
        <v>253630.0</v>
      </c>
      <c r="P126" s="12">
        <f>SUM(P123:P125)</f>
        <v>507260</v>
      </c>
      <c r="Q126" s="12">
        <v>1400000.0</v>
      </c>
      <c r="R126" s="12">
        <v>250000.0</v>
      </c>
      <c r="S126" s="12">
        <f t="shared" ref="S126:T126" si="23">SUM(S123:S125)</f>
        <v>253887</v>
      </c>
      <c r="T126" s="12">
        <f t="shared" si="23"/>
        <v>253887</v>
      </c>
      <c r="U126" s="2"/>
      <c r="V126" s="2"/>
      <c r="W126" s="2"/>
      <c r="X126" s="2"/>
      <c r="Y126" s="2"/>
      <c r="Z126" s="2"/>
    </row>
    <row r="127" ht="12.75" customHeight="1">
      <c r="A127" s="3" t="s">
        <v>51</v>
      </c>
      <c r="B127" s="13">
        <v>5.0</v>
      </c>
      <c r="C127" s="12">
        <v>3.013227E7</v>
      </c>
      <c r="D127" s="12">
        <v>2.848227E7</v>
      </c>
      <c r="E127" s="13">
        <v>0.0</v>
      </c>
      <c r="F127" s="13">
        <v>0.0</v>
      </c>
      <c r="G127" s="12">
        <v>147969.0</v>
      </c>
      <c r="H127" s="13">
        <v>0.0</v>
      </c>
      <c r="I127" s="12">
        <v>1023699.0</v>
      </c>
      <c r="J127" s="12">
        <v>185759.0</v>
      </c>
      <c r="K127" s="12">
        <f t="shared" ref="K127:M127" si="24">SUM(K120,K126)</f>
        <v>1080005</v>
      </c>
      <c r="L127" s="12">
        <f t="shared" si="24"/>
        <v>268177</v>
      </c>
      <c r="M127" s="12">
        <f t="shared" si="24"/>
        <v>90397</v>
      </c>
      <c r="N127" s="14">
        <v>0.0</v>
      </c>
      <c r="O127" s="12">
        <v>301323.0</v>
      </c>
      <c r="P127" s="12">
        <f>SUM(P120,P126)</f>
        <v>602646</v>
      </c>
      <c r="Q127" s="12">
        <v>1400000.0</v>
      </c>
      <c r="R127" s="12">
        <v>250000.0</v>
      </c>
      <c r="S127" s="12">
        <f t="shared" ref="S127:T127" si="25">SUM(S120,S126)</f>
        <v>253887</v>
      </c>
      <c r="T127" s="12">
        <f t="shared" si="25"/>
        <v>253887</v>
      </c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3" t="s">
        <v>30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 t="s">
        <v>31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3" t="s">
        <v>32</v>
      </c>
      <c r="B131" s="9">
        <v>1.0</v>
      </c>
      <c r="C131" s="10">
        <v>4763290.0</v>
      </c>
      <c r="D131" s="10">
        <v>4763290.0</v>
      </c>
      <c r="E131" s="9">
        <v>0.0</v>
      </c>
      <c r="F131" s="10">
        <v>571500.0</v>
      </c>
      <c r="G131" s="10">
        <v>112625.0</v>
      </c>
      <c r="H131" s="10">
        <v>366762.0</v>
      </c>
      <c r="I131" s="9">
        <v>0.0</v>
      </c>
      <c r="J131" s="9">
        <v>0.0</v>
      </c>
      <c r="K131" s="9">
        <v>0.0</v>
      </c>
      <c r="L131" s="9">
        <v>42393.0</v>
      </c>
      <c r="M131" s="9">
        <v>14290.0</v>
      </c>
      <c r="N131" s="9">
        <v>0.0</v>
      </c>
      <c r="O131" s="10">
        <v>47633.0</v>
      </c>
      <c r="P131" s="2">
        <v>95266.0</v>
      </c>
      <c r="Q131" s="9">
        <v>0.0</v>
      </c>
      <c r="R131" s="9">
        <v>0.0</v>
      </c>
      <c r="S131" s="9">
        <v>0.0</v>
      </c>
      <c r="T131" s="9">
        <v>0.0</v>
      </c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12">
        <v>4763290.0</v>
      </c>
      <c r="D132" s="12">
        <v>4763290.0</v>
      </c>
      <c r="E132" s="13">
        <v>0.0</v>
      </c>
      <c r="F132" s="12">
        <v>571500.0</v>
      </c>
      <c r="G132" s="12">
        <v>112625.0</v>
      </c>
      <c r="H132" s="12">
        <v>366762.0</v>
      </c>
      <c r="I132" s="13">
        <v>0.0</v>
      </c>
      <c r="J132" s="13">
        <v>0.0</v>
      </c>
      <c r="K132" s="13"/>
      <c r="L132" s="13"/>
      <c r="M132" s="13"/>
      <c r="N132" s="14">
        <v>0.0</v>
      </c>
      <c r="O132" s="12">
        <v>47633.0</v>
      </c>
      <c r="P132" s="14"/>
      <c r="Q132" s="13">
        <v>0.0</v>
      </c>
      <c r="R132" s="13">
        <v>0.0</v>
      </c>
      <c r="S132" s="13"/>
      <c r="T132" s="13"/>
      <c r="U132" s="2"/>
      <c r="V132" s="2"/>
      <c r="W132" s="2"/>
      <c r="X132" s="2"/>
      <c r="Y132" s="2"/>
      <c r="Z132" s="2"/>
    </row>
    <row r="133" ht="12.75" customHeight="1">
      <c r="A133" s="2" t="s">
        <v>33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3" t="s">
        <v>32</v>
      </c>
      <c r="B134" s="9">
        <v>2.0</v>
      </c>
      <c r="C134" s="10">
        <v>9532580.0</v>
      </c>
      <c r="D134" s="10">
        <v>9532580.0</v>
      </c>
      <c r="E134" s="9">
        <v>0.0</v>
      </c>
      <c r="F134" s="9">
        <v>0.0</v>
      </c>
      <c r="G134" s="10">
        <v>121790.0</v>
      </c>
      <c r="H134" s="9">
        <v>0.0</v>
      </c>
      <c r="I134" s="9">
        <v>0.0</v>
      </c>
      <c r="J134" s="9">
        <v>0.0</v>
      </c>
      <c r="K134" s="10">
        <f>216001*2</f>
        <v>432002</v>
      </c>
      <c r="L134" s="10">
        <v>84840.0</v>
      </c>
      <c r="M134" s="10">
        <v>28598.0</v>
      </c>
      <c r="N134" s="11">
        <v>0.0</v>
      </c>
      <c r="O134" s="10">
        <v>95326.0</v>
      </c>
      <c r="P134" s="11">
        <v>190652.0</v>
      </c>
      <c r="Q134" s="9">
        <v>0.0</v>
      </c>
      <c r="R134" s="9">
        <v>0.0</v>
      </c>
      <c r="S134" s="9">
        <v>0.0</v>
      </c>
      <c r="T134" s="9">
        <v>0.0</v>
      </c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12">
        <v>9532580.0</v>
      </c>
      <c r="D135" s="12">
        <v>9532580.0</v>
      </c>
      <c r="E135" s="13">
        <v>0.0</v>
      </c>
      <c r="F135" s="13">
        <v>0.0</v>
      </c>
      <c r="G135" s="12">
        <v>121790.0</v>
      </c>
      <c r="H135" s="13">
        <v>0.0</v>
      </c>
      <c r="I135" s="13">
        <v>0.0</v>
      </c>
      <c r="J135" s="13">
        <v>0.0</v>
      </c>
      <c r="K135" s="12"/>
      <c r="L135" s="12"/>
      <c r="M135" s="12"/>
      <c r="N135" s="14">
        <v>0.0</v>
      </c>
      <c r="O135" s="12">
        <v>95326.0</v>
      </c>
      <c r="P135" s="14"/>
      <c r="Q135" s="13">
        <v>0.0</v>
      </c>
      <c r="R135" s="13">
        <v>0.0</v>
      </c>
      <c r="S135" s="13"/>
      <c r="T135" s="13"/>
      <c r="U135" s="2"/>
      <c r="V135" s="2"/>
      <c r="W135" s="2"/>
      <c r="X135" s="2"/>
      <c r="Y135" s="2"/>
      <c r="Z135" s="2"/>
    </row>
    <row r="136" ht="12.75" customHeight="1">
      <c r="A136" s="3" t="s">
        <v>37</v>
      </c>
      <c r="B136" s="9">
        <v>3.0</v>
      </c>
      <c r="C136" s="12">
        <v>1.429587E7</v>
      </c>
      <c r="D136" s="12">
        <v>1.429587E7</v>
      </c>
      <c r="E136" s="13">
        <v>0.0</v>
      </c>
      <c r="F136" s="12">
        <v>571500.0</v>
      </c>
      <c r="G136" s="12">
        <v>234415.0</v>
      </c>
      <c r="H136" s="12">
        <v>366762.0</v>
      </c>
      <c r="I136" s="13">
        <v>0.0</v>
      </c>
      <c r="J136" s="13">
        <v>0.0</v>
      </c>
      <c r="K136" s="12">
        <f t="shared" ref="K136:M136" si="26">SUM(K131:K135)</f>
        <v>432002</v>
      </c>
      <c r="L136" s="12">
        <f t="shared" si="26"/>
        <v>127233</v>
      </c>
      <c r="M136" s="12">
        <f t="shared" si="26"/>
        <v>42888</v>
      </c>
      <c r="N136" s="14">
        <v>0.0</v>
      </c>
      <c r="O136" s="12">
        <v>142959.0</v>
      </c>
      <c r="P136" s="12">
        <f>SUM(P131:P135)</f>
        <v>285918</v>
      </c>
      <c r="Q136" s="13">
        <v>0.0</v>
      </c>
      <c r="R136" s="13">
        <v>0.0</v>
      </c>
      <c r="S136" s="12">
        <f t="shared" ref="S136:T136" si="27">SUM(S131:S135)</f>
        <v>0</v>
      </c>
      <c r="T136" s="12">
        <f t="shared" si="27"/>
        <v>0</v>
      </c>
      <c r="U136" s="2"/>
      <c r="V136" s="2"/>
      <c r="W136" s="2"/>
      <c r="X136" s="2"/>
      <c r="Y136" s="2"/>
      <c r="Z136" s="2"/>
    </row>
    <row r="137" ht="12.75" customHeight="1">
      <c r="A137" s="1" t="s">
        <v>0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3" t="s">
        <v>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 t="s">
        <v>2</v>
      </c>
      <c r="O138" s="2"/>
      <c r="P138" s="2" t="s">
        <v>3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1" t="s">
        <v>4</v>
      </c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 t="s">
        <v>5</v>
      </c>
      <c r="Q140" s="4">
        <v>2.0</v>
      </c>
      <c r="R140" s="3" t="s">
        <v>6</v>
      </c>
      <c r="S140" s="4">
        <v>2.0</v>
      </c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6" t="s">
        <v>15</v>
      </c>
      <c r="K141" s="6" t="s">
        <v>16</v>
      </c>
      <c r="L141" s="6"/>
      <c r="M141" s="6"/>
      <c r="N141" s="2"/>
      <c r="O141" s="6" t="s">
        <v>20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6" t="s">
        <v>7</v>
      </c>
      <c r="C142" s="6" t="s">
        <v>8</v>
      </c>
      <c r="D142" s="6" t="s">
        <v>9</v>
      </c>
      <c r="E142" s="6" t="s">
        <v>10</v>
      </c>
      <c r="F142" s="6" t="s">
        <v>11</v>
      </c>
      <c r="G142" s="6" t="s">
        <v>12</v>
      </c>
      <c r="H142" s="6" t="s">
        <v>13</v>
      </c>
      <c r="I142" s="6" t="s">
        <v>14</v>
      </c>
      <c r="J142" s="2"/>
      <c r="K142" s="2"/>
      <c r="L142" s="5" t="s">
        <v>17</v>
      </c>
      <c r="M142" s="5" t="s">
        <v>18</v>
      </c>
      <c r="N142" s="2" t="s">
        <v>19</v>
      </c>
      <c r="O142" s="2"/>
      <c r="P142" s="5" t="s">
        <v>21</v>
      </c>
      <c r="Q142" s="6" t="s">
        <v>22</v>
      </c>
      <c r="R142" s="6" t="s">
        <v>23</v>
      </c>
      <c r="S142" s="6" t="s">
        <v>24</v>
      </c>
      <c r="T142" s="6" t="s">
        <v>25</v>
      </c>
      <c r="U142" s="2"/>
      <c r="V142" s="2"/>
      <c r="W142" s="2"/>
      <c r="X142" s="2"/>
      <c r="Y142" s="2"/>
      <c r="Z142" s="2"/>
    </row>
    <row r="143" ht="12.75" customHeight="1">
      <c r="A143" s="3" t="s">
        <v>38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 t="s">
        <v>31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3" t="s">
        <v>32</v>
      </c>
      <c r="B145" s="9">
        <v>4.0</v>
      </c>
      <c r="C145" s="10">
        <v>2.0485735E7</v>
      </c>
      <c r="D145" s="10">
        <v>2.0485735E7</v>
      </c>
      <c r="E145" s="9">
        <v>0.0</v>
      </c>
      <c r="F145" s="10">
        <v>2555153.0</v>
      </c>
      <c r="G145" s="10">
        <v>72688.0</v>
      </c>
      <c r="H145" s="10">
        <v>209276.0</v>
      </c>
      <c r="I145" s="9">
        <v>0.0</v>
      </c>
      <c r="J145" s="10">
        <v>123483.0</v>
      </c>
      <c r="K145" s="10">
        <f>216001*4</f>
        <v>864004</v>
      </c>
      <c r="L145" s="10">
        <v>182323.0</v>
      </c>
      <c r="M145" s="10">
        <v>61457.0</v>
      </c>
      <c r="N145" s="9">
        <v>0.0</v>
      </c>
      <c r="O145" s="10">
        <v>204857.0</v>
      </c>
      <c r="P145" s="2">
        <v>409714.0</v>
      </c>
      <c r="Q145" s="9">
        <v>0.0</v>
      </c>
      <c r="R145" s="9">
        <v>0.0</v>
      </c>
      <c r="S145" s="9">
        <v>107814.0</v>
      </c>
      <c r="T145" s="9">
        <v>107814.0</v>
      </c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12">
        <v>2.0485735E7</v>
      </c>
      <c r="D146" s="12">
        <v>2.0485735E7</v>
      </c>
      <c r="E146" s="13">
        <v>0.0</v>
      </c>
      <c r="F146" s="12">
        <v>2555153.0</v>
      </c>
      <c r="G146" s="12">
        <v>72688.0</v>
      </c>
      <c r="H146" s="12">
        <v>209276.0</v>
      </c>
      <c r="I146" s="13">
        <v>0.0</v>
      </c>
      <c r="J146" s="12">
        <v>123483.0</v>
      </c>
      <c r="K146" s="12"/>
      <c r="L146" s="12"/>
      <c r="M146" s="12"/>
      <c r="N146" s="14">
        <v>0.0</v>
      </c>
      <c r="O146" s="12">
        <v>204857.0</v>
      </c>
      <c r="P146" s="14"/>
      <c r="Q146" s="13">
        <v>0.0</v>
      </c>
      <c r="R146" s="13">
        <v>0.0</v>
      </c>
      <c r="S146" s="13"/>
      <c r="T146" s="13"/>
      <c r="U146" s="2"/>
      <c r="V146" s="2"/>
      <c r="W146" s="2"/>
      <c r="X146" s="2"/>
      <c r="Y146" s="2"/>
      <c r="Z146" s="2"/>
    </row>
    <row r="147" ht="12.75" customHeight="1">
      <c r="A147" s="2" t="s">
        <v>33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3" t="s">
        <v>32</v>
      </c>
      <c r="B148" s="9">
        <v>5.0</v>
      </c>
      <c r="C148" s="10">
        <v>3.3640024E7</v>
      </c>
      <c r="D148" s="10">
        <v>2.9690024E7</v>
      </c>
      <c r="E148" s="9">
        <v>0.0</v>
      </c>
      <c r="F148" s="10">
        <v>1230636.0</v>
      </c>
      <c r="G148" s="10">
        <v>351654.0</v>
      </c>
      <c r="H148" s="10">
        <v>755190.0</v>
      </c>
      <c r="I148" s="10">
        <v>196000.0</v>
      </c>
      <c r="J148" s="10">
        <v>244808.0</v>
      </c>
      <c r="K148" s="10">
        <f>216001*5</f>
        <v>1080005</v>
      </c>
      <c r="L148" s="10">
        <v>299396.0</v>
      </c>
      <c r="M148" s="10">
        <v>100921.0</v>
      </c>
      <c r="N148" s="11">
        <v>0.0</v>
      </c>
      <c r="O148" s="10">
        <v>336400.0</v>
      </c>
      <c r="P148" s="11">
        <v>672800.0</v>
      </c>
      <c r="Q148" s="10">
        <v>3950000.0</v>
      </c>
      <c r="R148" s="9">
        <v>0.0</v>
      </c>
      <c r="S148" s="9">
        <v>290931.0</v>
      </c>
      <c r="T148" s="9">
        <v>290931.0</v>
      </c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12">
        <v>3.3640024E7</v>
      </c>
      <c r="D149" s="12">
        <v>2.9690024E7</v>
      </c>
      <c r="E149" s="13">
        <v>0.0</v>
      </c>
      <c r="F149" s="12">
        <v>1230636.0</v>
      </c>
      <c r="G149" s="12">
        <v>351654.0</v>
      </c>
      <c r="H149" s="12">
        <v>755190.0</v>
      </c>
      <c r="I149" s="12">
        <v>196000.0</v>
      </c>
      <c r="J149" s="12">
        <v>244808.0</v>
      </c>
      <c r="K149" s="12"/>
      <c r="L149" s="12"/>
      <c r="M149" s="12"/>
      <c r="N149" s="14">
        <v>0.0</v>
      </c>
      <c r="O149" s="12">
        <v>336400.0</v>
      </c>
      <c r="P149" s="14"/>
      <c r="Q149" s="12">
        <v>3950000.0</v>
      </c>
      <c r="R149" s="13">
        <v>0.0</v>
      </c>
      <c r="S149" s="13"/>
      <c r="T149" s="13"/>
      <c r="U149" s="2"/>
      <c r="V149" s="2"/>
      <c r="W149" s="2"/>
      <c r="X149" s="2"/>
      <c r="Y149" s="2"/>
      <c r="Z149" s="2"/>
    </row>
    <row r="150" ht="12.75" customHeight="1">
      <c r="A150" s="3" t="s">
        <v>39</v>
      </c>
      <c r="B150" s="9">
        <v>9.0</v>
      </c>
      <c r="C150" s="12">
        <v>5.4125759E7</v>
      </c>
      <c r="D150" s="12">
        <v>5.0175759E7</v>
      </c>
      <c r="E150" s="13">
        <v>0.0</v>
      </c>
      <c r="F150" s="12">
        <v>3785789.0</v>
      </c>
      <c r="G150" s="12">
        <v>424342.0</v>
      </c>
      <c r="H150" s="12">
        <v>964466.0</v>
      </c>
      <c r="I150" s="12">
        <v>196000.0</v>
      </c>
      <c r="J150" s="12">
        <v>368291.0</v>
      </c>
      <c r="K150" s="12">
        <f t="shared" ref="K150:M150" si="28">SUM(K145:K149)</f>
        <v>1944009</v>
      </c>
      <c r="L150" s="12">
        <f t="shared" si="28"/>
        <v>481719</v>
      </c>
      <c r="M150" s="12">
        <f t="shared" si="28"/>
        <v>162378</v>
      </c>
      <c r="N150" s="14">
        <v>0.0</v>
      </c>
      <c r="O150" s="12">
        <v>541257.0</v>
      </c>
      <c r="P150" s="12">
        <f>SUM(P145:P149)</f>
        <v>1082514</v>
      </c>
      <c r="Q150" s="12">
        <v>3950000.0</v>
      </c>
      <c r="R150" s="13">
        <v>0.0</v>
      </c>
      <c r="S150" s="12">
        <f t="shared" ref="S150:T150" si="29">SUM(S145:S149)</f>
        <v>398745</v>
      </c>
      <c r="T150" s="12">
        <f t="shared" si="29"/>
        <v>398745</v>
      </c>
      <c r="U150" s="2"/>
      <c r="V150" s="2"/>
      <c r="W150" s="2"/>
      <c r="X150" s="2"/>
      <c r="Y150" s="2"/>
      <c r="Z150" s="2"/>
    </row>
    <row r="151" ht="12.75" customHeight="1">
      <c r="A151" s="3" t="s">
        <v>28</v>
      </c>
      <c r="B151" s="13">
        <v>12.0</v>
      </c>
      <c r="C151" s="12">
        <v>6.8421629E7</v>
      </c>
      <c r="D151" s="12">
        <v>6.4471629E7</v>
      </c>
      <c r="E151" s="13">
        <v>0.0</v>
      </c>
      <c r="F151" s="12">
        <v>4357289.0</v>
      </c>
      <c r="G151" s="12">
        <v>658757.0</v>
      </c>
      <c r="H151" s="12">
        <v>1331228.0</v>
      </c>
      <c r="I151" s="12">
        <v>196000.0</v>
      </c>
      <c r="J151" s="12">
        <v>368291.0</v>
      </c>
      <c r="K151" s="12">
        <f t="shared" ref="K151:M151" si="30">SUM(K136,K150)</f>
        <v>2376011</v>
      </c>
      <c r="L151" s="12">
        <f t="shared" si="30"/>
        <v>608952</v>
      </c>
      <c r="M151" s="12">
        <f t="shared" si="30"/>
        <v>205266</v>
      </c>
      <c r="N151" s="14">
        <v>0.0</v>
      </c>
      <c r="O151" s="12">
        <v>684216.0</v>
      </c>
      <c r="P151" s="12">
        <f>SUM(P136,P150)</f>
        <v>1368432</v>
      </c>
      <c r="Q151" s="12">
        <v>3950000.0</v>
      </c>
      <c r="R151" s="13">
        <v>0.0</v>
      </c>
      <c r="S151" s="12">
        <f t="shared" ref="S151:T151" si="31">SUM(S136,S150)</f>
        <v>398745</v>
      </c>
      <c r="T151" s="12">
        <f t="shared" si="31"/>
        <v>398745</v>
      </c>
      <c r="U151" s="2"/>
      <c r="V151" s="2"/>
      <c r="W151" s="2"/>
      <c r="X151" s="2"/>
      <c r="Y151" s="2"/>
      <c r="Z151" s="2"/>
    </row>
    <row r="152" ht="12.75" customHeight="1">
      <c r="A152" s="16" t="s">
        <v>52</v>
      </c>
      <c r="B152" s="9">
        <v>17.0</v>
      </c>
      <c r="C152" s="12">
        <v>9.8553899E7</v>
      </c>
      <c r="D152" s="12">
        <v>9.2953899E7</v>
      </c>
      <c r="E152" s="20">
        <v>0.0</v>
      </c>
      <c r="F152" s="17">
        <v>4357289.0</v>
      </c>
      <c r="G152" s="12">
        <v>806726.0</v>
      </c>
      <c r="H152" s="12">
        <v>1331228.0</v>
      </c>
      <c r="I152" s="12">
        <v>1219699.0</v>
      </c>
      <c r="J152" s="12">
        <v>554050.0</v>
      </c>
      <c r="K152" s="12">
        <f t="shared" ref="K152:M152" si="32">SUM(K127,K151)</f>
        <v>3456016</v>
      </c>
      <c r="L152" s="12">
        <f t="shared" si="32"/>
        <v>877129</v>
      </c>
      <c r="M152" s="12">
        <f t="shared" si="32"/>
        <v>295663</v>
      </c>
      <c r="N152" s="14">
        <v>0.0</v>
      </c>
      <c r="O152" s="12">
        <v>985539.0</v>
      </c>
      <c r="P152" s="12">
        <f>SUM(P127,P151)</f>
        <v>1971078</v>
      </c>
      <c r="Q152" s="12">
        <v>5350000.0</v>
      </c>
      <c r="R152" s="12">
        <v>250000.0</v>
      </c>
      <c r="S152" s="12">
        <f t="shared" ref="S152:T152" si="33">SUM(S127,S151)</f>
        <v>652632</v>
      </c>
      <c r="T152" s="12">
        <f t="shared" si="33"/>
        <v>652632</v>
      </c>
      <c r="U152" s="18">
        <f>SUM(C152,E152,F152,I152,J152,K152,L152,M152,N152,S152)-SUM(G152,H152)</f>
        <v>107828423</v>
      </c>
      <c r="V152" s="2" t="s">
        <v>53</v>
      </c>
      <c r="W152" s="2">
        <v>1274625.0</v>
      </c>
      <c r="X152" s="19">
        <f>T152+W152</f>
        <v>1927257</v>
      </c>
      <c r="Y152" s="2"/>
      <c r="Z152" s="2"/>
    </row>
    <row r="153" ht="12.75" customHeight="1">
      <c r="A153" s="2" t="s">
        <v>42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 t="s">
        <v>43</v>
      </c>
      <c r="J154" s="2"/>
      <c r="K154" s="2"/>
      <c r="L154" s="2"/>
      <c r="M154" s="2"/>
      <c r="N154" s="2"/>
      <c r="O154" s="2"/>
      <c r="P154" s="2"/>
      <c r="Q154" s="2"/>
      <c r="R154" s="2" t="s">
        <v>44</v>
      </c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 t="s">
        <v>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3" t="s">
        <v>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 t="s">
        <v>2</v>
      </c>
      <c r="O156" s="2"/>
      <c r="P156" s="2" t="s">
        <v>3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1" t="s">
        <v>4</v>
      </c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 t="s">
        <v>5</v>
      </c>
      <c r="Q158" s="4">
        <v>1.0</v>
      </c>
      <c r="R158" s="3" t="s">
        <v>6</v>
      </c>
      <c r="S158" s="4">
        <v>2.0</v>
      </c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6" t="s">
        <v>15</v>
      </c>
      <c r="K159" s="6" t="s">
        <v>16</v>
      </c>
      <c r="L159" s="6"/>
      <c r="M159" s="6"/>
      <c r="N159" s="2"/>
      <c r="O159" s="6" t="s">
        <v>20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6" t="s">
        <v>7</v>
      </c>
      <c r="C160" s="6" t="s">
        <v>8</v>
      </c>
      <c r="D160" s="6" t="s">
        <v>9</v>
      </c>
      <c r="E160" s="6" t="s">
        <v>10</v>
      </c>
      <c r="F160" s="6" t="s">
        <v>11</v>
      </c>
      <c r="G160" s="6" t="s">
        <v>12</v>
      </c>
      <c r="H160" s="6" t="s">
        <v>13</v>
      </c>
      <c r="I160" s="6" t="s">
        <v>14</v>
      </c>
      <c r="J160" s="2"/>
      <c r="K160" s="2"/>
      <c r="L160" s="5" t="s">
        <v>17</v>
      </c>
      <c r="M160" s="5" t="s">
        <v>18</v>
      </c>
      <c r="N160" s="2" t="s">
        <v>19</v>
      </c>
      <c r="O160" s="2"/>
      <c r="P160" s="5" t="s">
        <v>21</v>
      </c>
      <c r="Q160" s="6" t="s">
        <v>22</v>
      </c>
      <c r="R160" s="6" t="s">
        <v>23</v>
      </c>
      <c r="S160" s="6" t="s">
        <v>24</v>
      </c>
      <c r="T160" s="6" t="s">
        <v>25</v>
      </c>
      <c r="U160" s="2"/>
      <c r="V160" s="2"/>
      <c r="W160" s="2"/>
      <c r="X160" s="2"/>
      <c r="Y160" s="2"/>
      <c r="Z160" s="2"/>
    </row>
    <row r="161" ht="12.75" customHeight="1">
      <c r="A161" s="1" t="s">
        <v>54</v>
      </c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 t="s">
        <v>30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 t="s">
        <v>31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 t="s">
        <v>32</v>
      </c>
      <c r="B165" s="9">
        <v>6.0</v>
      </c>
      <c r="C165" s="10">
        <v>2.8352874E7</v>
      </c>
      <c r="D165" s="10">
        <v>2.8352874E7</v>
      </c>
      <c r="E165" s="9">
        <v>0.0</v>
      </c>
      <c r="F165" s="10">
        <v>2821863.0</v>
      </c>
      <c r="G165" s="10">
        <v>78480.0</v>
      </c>
      <c r="H165" s="9">
        <v>0.0</v>
      </c>
      <c r="I165" s="9">
        <v>0.0</v>
      </c>
      <c r="J165" s="9">
        <v>0.0</v>
      </c>
      <c r="K165" s="10">
        <f>212406*4</f>
        <v>849624</v>
      </c>
      <c r="L165" s="10">
        <v>252342.0</v>
      </c>
      <c r="M165" s="10">
        <v>85056.0</v>
      </c>
      <c r="N165" s="11">
        <v>0.0</v>
      </c>
      <c r="O165" s="10">
        <v>283530.0</v>
      </c>
      <c r="P165" s="11">
        <v>567060.0</v>
      </c>
      <c r="Q165" s="9">
        <v>0.0</v>
      </c>
      <c r="R165" s="9">
        <v>0.0</v>
      </c>
      <c r="S165" s="9">
        <v>106288.0</v>
      </c>
      <c r="T165" s="9">
        <v>106288.0</v>
      </c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12">
        <v>2.8352874E7</v>
      </c>
      <c r="D166" s="12">
        <v>2.8352874E7</v>
      </c>
      <c r="E166" s="13">
        <v>0.0</v>
      </c>
      <c r="F166" s="12">
        <v>2821863.0</v>
      </c>
      <c r="G166" s="12">
        <v>78480.0</v>
      </c>
      <c r="H166" s="13">
        <v>0.0</v>
      </c>
      <c r="I166" s="13">
        <v>0.0</v>
      </c>
      <c r="J166" s="13">
        <v>0.0</v>
      </c>
      <c r="K166" s="12"/>
      <c r="L166" s="12"/>
      <c r="M166" s="12"/>
      <c r="N166" s="14">
        <v>0.0</v>
      </c>
      <c r="O166" s="12">
        <v>283530.0</v>
      </c>
      <c r="P166" s="14"/>
      <c r="Q166" s="13">
        <v>0.0</v>
      </c>
      <c r="R166" s="13">
        <v>0.0</v>
      </c>
      <c r="S166" s="13"/>
      <c r="T166" s="13"/>
      <c r="U166" s="2"/>
      <c r="V166" s="2"/>
      <c r="W166" s="2"/>
      <c r="X166" s="2"/>
      <c r="Y166" s="2"/>
      <c r="Z166" s="2"/>
    </row>
    <row r="167" ht="12.75" customHeight="1">
      <c r="A167" s="2" t="s">
        <v>33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 t="s">
        <v>32</v>
      </c>
      <c r="B168" s="9">
        <v>1.0</v>
      </c>
      <c r="C168" s="10">
        <v>5050000.0</v>
      </c>
      <c r="D168" s="10">
        <v>5050000.0</v>
      </c>
      <c r="E168" s="9">
        <v>0.0</v>
      </c>
      <c r="F168" s="9">
        <v>0.0</v>
      </c>
      <c r="G168" s="10">
        <v>7225.0</v>
      </c>
      <c r="H168" s="9">
        <v>0.0</v>
      </c>
      <c r="I168" s="9">
        <v>0.0</v>
      </c>
      <c r="J168" s="9">
        <v>0.0</v>
      </c>
      <c r="K168" s="10">
        <f>212406*1</f>
        <v>212406</v>
      </c>
      <c r="L168" s="10">
        <v>44945.0</v>
      </c>
      <c r="M168" s="10">
        <v>15150.0</v>
      </c>
      <c r="N168" s="9">
        <v>0.0</v>
      </c>
      <c r="O168" s="10">
        <v>50500.0</v>
      </c>
      <c r="P168" s="2">
        <v>101000.0</v>
      </c>
      <c r="Q168" s="9">
        <v>0.0</v>
      </c>
      <c r="R168" s="9">
        <v>0.0</v>
      </c>
      <c r="S168" s="9">
        <v>0.0</v>
      </c>
      <c r="T168" s="9">
        <v>0.0</v>
      </c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12">
        <v>5050000.0</v>
      </c>
      <c r="D169" s="12">
        <v>5050000.0</v>
      </c>
      <c r="E169" s="13">
        <v>0.0</v>
      </c>
      <c r="F169" s="13">
        <v>0.0</v>
      </c>
      <c r="G169" s="12">
        <v>7225.0</v>
      </c>
      <c r="H169" s="13">
        <v>0.0</v>
      </c>
      <c r="I169" s="13">
        <v>0.0</v>
      </c>
      <c r="J169" s="13">
        <v>0.0</v>
      </c>
      <c r="K169" s="12"/>
      <c r="L169" s="12"/>
      <c r="M169" s="12"/>
      <c r="N169" s="14">
        <v>0.0</v>
      </c>
      <c r="O169" s="12">
        <v>50500.0</v>
      </c>
      <c r="P169" s="14"/>
      <c r="Q169" s="13">
        <v>0.0</v>
      </c>
      <c r="R169" s="13">
        <v>0.0</v>
      </c>
      <c r="S169" s="13"/>
      <c r="T169" s="13"/>
      <c r="U169" s="2"/>
      <c r="V169" s="2"/>
      <c r="W169" s="2"/>
      <c r="X169" s="2"/>
      <c r="Y169" s="2"/>
      <c r="Z169" s="2"/>
    </row>
    <row r="170" ht="12.75" customHeight="1">
      <c r="A170" s="2" t="s">
        <v>34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 t="s">
        <v>35</v>
      </c>
      <c r="B171" s="9">
        <v>6.0</v>
      </c>
      <c r="C171" s="10">
        <v>2.939364E7</v>
      </c>
      <c r="D171" s="10">
        <v>2.789364E7</v>
      </c>
      <c r="E171" s="9">
        <v>0.0</v>
      </c>
      <c r="F171" s="9">
        <v>0.0</v>
      </c>
      <c r="G171" s="9">
        <v>0.0</v>
      </c>
      <c r="H171" s="9">
        <v>0.0</v>
      </c>
      <c r="I171" s="9">
        <v>0.0</v>
      </c>
      <c r="J171" s="9">
        <v>0.0</v>
      </c>
      <c r="K171" s="10">
        <f>212406*4</f>
        <v>849624</v>
      </c>
      <c r="L171" s="10">
        <v>261603.0</v>
      </c>
      <c r="M171" s="10">
        <v>88181.0</v>
      </c>
      <c r="N171" s="19">
        <v>1140000.0</v>
      </c>
      <c r="O171" s="10">
        <v>228680.0</v>
      </c>
      <c r="P171" s="19">
        <v>457360.0</v>
      </c>
      <c r="Q171" s="10">
        <v>1500000.0</v>
      </c>
      <c r="R171" s="9">
        <v>0.0</v>
      </c>
      <c r="S171" s="9">
        <v>156899.0</v>
      </c>
      <c r="T171" s="9">
        <v>156899.0</v>
      </c>
      <c r="U171" s="2"/>
      <c r="V171" s="2"/>
      <c r="W171" s="2"/>
      <c r="X171" s="2"/>
      <c r="Y171" s="2"/>
      <c r="Z171" s="2"/>
    </row>
    <row r="172" ht="12.75" customHeight="1">
      <c r="A172" s="3" t="s">
        <v>36</v>
      </c>
      <c r="B172" s="9">
        <v>3.0</v>
      </c>
      <c r="C172" s="10">
        <v>1.4176437E7</v>
      </c>
      <c r="D172" s="10">
        <v>1.4176437E7</v>
      </c>
      <c r="E172" s="9">
        <v>0.0</v>
      </c>
      <c r="F172" s="9">
        <v>0.0</v>
      </c>
      <c r="G172" s="10">
        <v>104640.0</v>
      </c>
      <c r="H172" s="9">
        <v>0.0</v>
      </c>
      <c r="I172" s="9">
        <v>0.0</v>
      </c>
      <c r="J172" s="9">
        <v>0.0</v>
      </c>
      <c r="K172" s="10">
        <f>212406*2</f>
        <v>424812</v>
      </c>
      <c r="L172" s="10">
        <v>126171.0</v>
      </c>
      <c r="M172" s="10">
        <v>42528.0</v>
      </c>
      <c r="N172" s="9">
        <v>0.0</v>
      </c>
      <c r="O172" s="10">
        <v>141765.0</v>
      </c>
      <c r="P172" s="2">
        <v>283530.0</v>
      </c>
      <c r="Q172" s="9">
        <v>0.0</v>
      </c>
      <c r="R172" s="9">
        <v>0.0</v>
      </c>
      <c r="S172" s="9">
        <v>0.0</v>
      </c>
      <c r="T172" s="9">
        <v>0.0</v>
      </c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12">
        <v>4.3570077E7</v>
      </c>
      <c r="D173" s="12">
        <v>4.2070077E7</v>
      </c>
      <c r="E173" s="13">
        <v>0.0</v>
      </c>
      <c r="F173" s="13">
        <v>0.0</v>
      </c>
      <c r="G173" s="12">
        <v>104640.0</v>
      </c>
      <c r="H173" s="13">
        <v>0.0</v>
      </c>
      <c r="I173" s="13">
        <v>0.0</v>
      </c>
      <c r="J173" s="13">
        <v>0.0</v>
      </c>
      <c r="K173" s="12"/>
      <c r="L173" s="12"/>
      <c r="M173" s="12"/>
      <c r="N173" s="15">
        <v>1140000.0</v>
      </c>
      <c r="O173" s="12">
        <v>370445.0</v>
      </c>
      <c r="P173" s="15"/>
      <c r="Q173" s="12">
        <v>1500000.0</v>
      </c>
      <c r="R173" s="13">
        <v>0.0</v>
      </c>
      <c r="S173" s="13"/>
      <c r="T173" s="13"/>
      <c r="U173" s="2"/>
      <c r="V173" s="2"/>
      <c r="W173" s="2"/>
      <c r="X173" s="2"/>
      <c r="Y173" s="2"/>
      <c r="Z173" s="2"/>
    </row>
    <row r="174" ht="12.75" customHeight="1">
      <c r="A174" s="3" t="s">
        <v>37</v>
      </c>
      <c r="B174" s="9">
        <v>16.0</v>
      </c>
      <c r="C174" s="12">
        <v>7.6972951E7</v>
      </c>
      <c r="D174" s="12">
        <v>7.5472951E7</v>
      </c>
      <c r="E174" s="13">
        <v>0.0</v>
      </c>
      <c r="F174" s="12">
        <v>2821863.0</v>
      </c>
      <c r="G174" s="12">
        <v>190345.0</v>
      </c>
      <c r="H174" s="13">
        <v>0.0</v>
      </c>
      <c r="I174" s="13">
        <v>0.0</v>
      </c>
      <c r="J174" s="13">
        <v>0.0</v>
      </c>
      <c r="K174" s="12">
        <f t="shared" ref="K174:M174" si="34">SUM(K165:K173)</f>
        <v>2336466</v>
      </c>
      <c r="L174" s="12">
        <f t="shared" si="34"/>
        <v>685061</v>
      </c>
      <c r="M174" s="12">
        <f t="shared" si="34"/>
        <v>230915</v>
      </c>
      <c r="N174" s="15">
        <v>1140000.0</v>
      </c>
      <c r="O174" s="12">
        <v>704475.0</v>
      </c>
      <c r="P174" s="12">
        <f>SUM(P165:P173)</f>
        <v>1408950</v>
      </c>
      <c r="Q174" s="12">
        <v>1500000.0</v>
      </c>
      <c r="R174" s="13">
        <v>0.0</v>
      </c>
      <c r="S174" s="12">
        <f t="shared" ref="S174:T174" si="35">SUM(S165:S173)</f>
        <v>263187</v>
      </c>
      <c r="T174" s="12">
        <f t="shared" si="35"/>
        <v>263187</v>
      </c>
      <c r="U174" s="2"/>
      <c r="V174" s="2"/>
      <c r="W174" s="2"/>
      <c r="X174" s="2"/>
      <c r="Y174" s="2"/>
      <c r="Z174" s="2"/>
    </row>
    <row r="175" ht="12.75" customHeight="1">
      <c r="A175" s="3" t="s">
        <v>38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 t="s">
        <v>31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 t="s">
        <v>32</v>
      </c>
      <c r="B177" s="9">
        <v>3.0</v>
      </c>
      <c r="C177" s="10">
        <v>1.4373143E7</v>
      </c>
      <c r="D177" s="10">
        <v>1.4373143E7</v>
      </c>
      <c r="E177" s="9">
        <v>0.0</v>
      </c>
      <c r="F177" s="10">
        <v>1701449.0</v>
      </c>
      <c r="G177" s="10">
        <v>137390.0</v>
      </c>
      <c r="H177" s="9">
        <v>0.0</v>
      </c>
      <c r="I177" s="10">
        <v>216160.0</v>
      </c>
      <c r="J177" s="10">
        <v>93301.0</v>
      </c>
      <c r="K177" s="10">
        <f>212406*2</f>
        <v>424812</v>
      </c>
      <c r="L177" s="10">
        <v>127921.0</v>
      </c>
      <c r="M177" s="10">
        <v>43119.0</v>
      </c>
      <c r="N177" s="11">
        <v>0.0</v>
      </c>
      <c r="O177" s="10">
        <v>143732.0</v>
      </c>
      <c r="P177" s="11">
        <v>287464.0</v>
      </c>
      <c r="Q177" s="9">
        <v>0.0</v>
      </c>
      <c r="R177" s="9">
        <v>0.0</v>
      </c>
      <c r="S177" s="9">
        <v>64658.0</v>
      </c>
      <c r="T177" s="9">
        <v>64658.0</v>
      </c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12">
        <v>1.4373143E7</v>
      </c>
      <c r="D178" s="12">
        <v>1.4373143E7</v>
      </c>
      <c r="E178" s="13">
        <v>0.0</v>
      </c>
      <c r="F178" s="12">
        <v>1701449.0</v>
      </c>
      <c r="G178" s="12">
        <v>137390.0</v>
      </c>
      <c r="H178" s="13">
        <v>0.0</v>
      </c>
      <c r="I178" s="12">
        <v>216160.0</v>
      </c>
      <c r="J178" s="12">
        <v>93301.0</v>
      </c>
      <c r="K178" s="12"/>
      <c r="L178" s="12"/>
      <c r="M178" s="12"/>
      <c r="N178" s="14">
        <v>0.0</v>
      </c>
      <c r="O178" s="12">
        <v>143732.0</v>
      </c>
      <c r="P178" s="14"/>
      <c r="Q178" s="13">
        <v>0.0</v>
      </c>
      <c r="R178" s="13">
        <v>0.0</v>
      </c>
      <c r="S178" s="13"/>
      <c r="T178" s="13"/>
      <c r="U178" s="2"/>
      <c r="V178" s="2"/>
      <c r="W178" s="2"/>
      <c r="X178" s="2"/>
      <c r="Y178" s="2"/>
      <c r="Z178" s="2"/>
    </row>
    <row r="179" ht="12.75" customHeight="1">
      <c r="A179" s="2" t="s">
        <v>33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 t="s">
        <v>32</v>
      </c>
      <c r="B180" s="9">
        <v>7.0</v>
      </c>
      <c r="C180" s="10">
        <v>3.7666701E7</v>
      </c>
      <c r="D180" s="10">
        <v>3.2866701E7</v>
      </c>
      <c r="E180" s="9">
        <v>0.0</v>
      </c>
      <c r="F180" s="9">
        <v>0.0</v>
      </c>
      <c r="G180" s="10">
        <v>215382.0</v>
      </c>
      <c r="H180" s="9">
        <v>0.0</v>
      </c>
      <c r="I180" s="9">
        <v>0.0</v>
      </c>
      <c r="J180" s="10">
        <v>337450.0</v>
      </c>
      <c r="K180" s="10">
        <f>212406*7</f>
        <v>1486842</v>
      </c>
      <c r="L180" s="10">
        <v>335235.0</v>
      </c>
      <c r="M180" s="10">
        <v>113000.0</v>
      </c>
      <c r="N180" s="10">
        <v>450000.0</v>
      </c>
      <c r="O180" s="10">
        <v>376666.0</v>
      </c>
      <c r="P180" s="2">
        <v>753332.0</v>
      </c>
      <c r="Q180" s="10">
        <v>4800000.0</v>
      </c>
      <c r="R180" s="9">
        <v>0.0</v>
      </c>
      <c r="S180" s="9">
        <v>171799.0</v>
      </c>
      <c r="T180" s="9">
        <v>171799.0</v>
      </c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12">
        <v>3.7666701E7</v>
      </c>
      <c r="D181" s="12">
        <v>3.2866701E7</v>
      </c>
      <c r="E181" s="13">
        <v>0.0</v>
      </c>
      <c r="F181" s="13">
        <v>0.0</v>
      </c>
      <c r="G181" s="12">
        <v>215382.0</v>
      </c>
      <c r="H181" s="13">
        <v>0.0</v>
      </c>
      <c r="I181" s="13">
        <v>0.0</v>
      </c>
      <c r="J181" s="12">
        <v>337450.0</v>
      </c>
      <c r="K181" s="12"/>
      <c r="L181" s="12"/>
      <c r="M181" s="12"/>
      <c r="N181" s="15">
        <v>450000.0</v>
      </c>
      <c r="O181" s="12">
        <v>376666.0</v>
      </c>
      <c r="P181" s="15"/>
      <c r="Q181" s="12">
        <v>4800000.0</v>
      </c>
      <c r="R181" s="13">
        <v>0.0</v>
      </c>
      <c r="S181" s="13"/>
      <c r="T181" s="13"/>
      <c r="U181" s="2"/>
      <c r="V181" s="2"/>
      <c r="W181" s="2"/>
      <c r="X181" s="2"/>
      <c r="Y181" s="2"/>
      <c r="Z181" s="2"/>
    </row>
    <row r="182" ht="12.75" customHeight="1">
      <c r="A182" s="2" t="s">
        <v>34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 t="s">
        <v>35</v>
      </c>
      <c r="B183" s="9">
        <v>6.0</v>
      </c>
      <c r="C183" s="10">
        <v>3.0720629E7</v>
      </c>
      <c r="D183" s="10">
        <v>2.8920629E7</v>
      </c>
      <c r="E183" s="9">
        <v>0.0</v>
      </c>
      <c r="F183" s="9">
        <v>0.0</v>
      </c>
      <c r="G183" s="10">
        <v>27408.0</v>
      </c>
      <c r="H183" s="9">
        <v>0.0</v>
      </c>
      <c r="I183" s="9">
        <v>0.0</v>
      </c>
      <c r="J183" s="10">
        <v>307483.0</v>
      </c>
      <c r="K183" s="10">
        <f t="shared" ref="K183:K184" si="36">212406*6</f>
        <v>1274436</v>
      </c>
      <c r="L183" s="10">
        <v>273415.0</v>
      </c>
      <c r="M183" s="10">
        <v>92162.0</v>
      </c>
      <c r="N183" s="19">
        <v>300000.0</v>
      </c>
      <c r="O183" s="10">
        <v>307207.0</v>
      </c>
      <c r="P183" s="19">
        <v>614414.0</v>
      </c>
      <c r="Q183" s="10">
        <v>1800000.0</v>
      </c>
      <c r="R183" s="9">
        <v>0.0</v>
      </c>
      <c r="S183" s="9">
        <v>0.0</v>
      </c>
      <c r="T183" s="9">
        <v>0.0</v>
      </c>
      <c r="U183" s="2"/>
      <c r="V183" s="2"/>
      <c r="W183" s="2"/>
      <c r="X183" s="2"/>
      <c r="Y183" s="2"/>
      <c r="Z183" s="2"/>
    </row>
    <row r="184" ht="12.75" customHeight="1">
      <c r="A184" s="3" t="s">
        <v>36</v>
      </c>
      <c r="B184" s="9">
        <v>6.0</v>
      </c>
      <c r="C184" s="10">
        <v>4.4604878E7</v>
      </c>
      <c r="D184" s="10">
        <v>3.7254878E7</v>
      </c>
      <c r="E184" s="9">
        <v>0.0</v>
      </c>
      <c r="F184" s="9">
        <v>0.0</v>
      </c>
      <c r="G184" s="10">
        <v>74540.0</v>
      </c>
      <c r="H184" s="9">
        <v>0.0</v>
      </c>
      <c r="I184" s="10">
        <v>120000.0</v>
      </c>
      <c r="J184" s="10">
        <v>253668.0</v>
      </c>
      <c r="K184" s="10">
        <f t="shared" si="36"/>
        <v>1274436</v>
      </c>
      <c r="L184" s="10">
        <v>396982.0</v>
      </c>
      <c r="M184" s="10">
        <v>133813.0</v>
      </c>
      <c r="N184" s="10">
        <v>600000.0</v>
      </c>
      <c r="O184" s="10">
        <v>416934.0</v>
      </c>
      <c r="P184" s="2">
        <v>833868.0</v>
      </c>
      <c r="Q184" s="10">
        <v>7100000.0</v>
      </c>
      <c r="R184" s="10">
        <v>250000.0</v>
      </c>
      <c r="S184" s="9">
        <v>922483.0</v>
      </c>
      <c r="T184" s="9">
        <v>922483.0</v>
      </c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12">
        <v>7.5325507E7</v>
      </c>
      <c r="D185" s="12">
        <v>6.6175507E7</v>
      </c>
      <c r="E185" s="13">
        <v>0.0</v>
      </c>
      <c r="F185" s="13">
        <v>0.0</v>
      </c>
      <c r="G185" s="12">
        <v>101948.0</v>
      </c>
      <c r="H185" s="13">
        <v>0.0</v>
      </c>
      <c r="I185" s="12">
        <v>120000.0</v>
      </c>
      <c r="J185" s="12">
        <v>561151.0</v>
      </c>
      <c r="K185" s="12"/>
      <c r="L185" s="12"/>
      <c r="M185" s="12"/>
      <c r="N185" s="15">
        <v>900000.0</v>
      </c>
      <c r="O185" s="12">
        <v>724141.0</v>
      </c>
      <c r="P185" s="15"/>
      <c r="Q185" s="12">
        <v>8900000.0</v>
      </c>
      <c r="R185" s="12">
        <v>250000.0</v>
      </c>
      <c r="S185" s="13"/>
      <c r="T185" s="13"/>
      <c r="U185" s="2"/>
      <c r="V185" s="2"/>
      <c r="W185" s="2"/>
      <c r="X185" s="2"/>
      <c r="Y185" s="2"/>
      <c r="Z185" s="2"/>
    </row>
    <row r="186" ht="12.75" customHeight="1">
      <c r="A186" s="3" t="s">
        <v>39</v>
      </c>
      <c r="B186" s="9">
        <v>22.0</v>
      </c>
      <c r="C186" s="12">
        <v>1.27365351E8</v>
      </c>
      <c r="D186" s="12">
        <v>1.13415351E8</v>
      </c>
      <c r="E186" s="13">
        <v>0.0</v>
      </c>
      <c r="F186" s="12">
        <v>1701449.0</v>
      </c>
      <c r="G186" s="12">
        <v>454720.0</v>
      </c>
      <c r="H186" s="13">
        <v>0.0</v>
      </c>
      <c r="I186" s="12">
        <v>336160.0</v>
      </c>
      <c r="J186" s="12">
        <v>991902.0</v>
      </c>
      <c r="K186" s="12">
        <f t="shared" ref="K186:M186" si="37">SUM(K177:K185)</f>
        <v>4460526</v>
      </c>
      <c r="L186" s="12">
        <f t="shared" si="37"/>
        <v>1133553</v>
      </c>
      <c r="M186" s="12">
        <f t="shared" si="37"/>
        <v>382094</v>
      </c>
      <c r="N186" s="15">
        <v>1350000.0</v>
      </c>
      <c r="O186" s="12">
        <v>1244539.0</v>
      </c>
      <c r="P186" s="12">
        <f>SUM(P177:P185)</f>
        <v>2489078</v>
      </c>
      <c r="Q186" s="12">
        <v>1.37E7</v>
      </c>
      <c r="R186" s="12">
        <v>250000.0</v>
      </c>
      <c r="S186" s="12">
        <f t="shared" ref="S186:T186" si="38">SUM(S177:S185)</f>
        <v>1158940</v>
      </c>
      <c r="T186" s="12">
        <f t="shared" si="38"/>
        <v>1158940</v>
      </c>
      <c r="U186" s="2"/>
      <c r="V186" s="2"/>
      <c r="W186" s="2"/>
      <c r="X186" s="2"/>
      <c r="Y186" s="2"/>
      <c r="Z186" s="2"/>
    </row>
    <row r="187" ht="12.75" customHeight="1">
      <c r="A187" s="1" t="s">
        <v>0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 t="s">
        <v>1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 t="s">
        <v>2</v>
      </c>
      <c r="O188" s="2"/>
      <c r="P188" s="2" t="s">
        <v>3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1" t="s">
        <v>4</v>
      </c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 t="s">
        <v>5</v>
      </c>
      <c r="Q190" s="4">
        <v>2.0</v>
      </c>
      <c r="R190" s="3" t="s">
        <v>6</v>
      </c>
      <c r="S190" s="4">
        <v>2.0</v>
      </c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6" t="s">
        <v>15</v>
      </c>
      <c r="K191" s="6" t="s">
        <v>16</v>
      </c>
      <c r="L191" s="6"/>
      <c r="M191" s="6"/>
      <c r="N191" s="2"/>
      <c r="O191" s="6" t="s">
        <v>20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6" t="s">
        <v>7</v>
      </c>
      <c r="C192" s="6" t="s">
        <v>8</v>
      </c>
      <c r="D192" s="6" t="s">
        <v>9</v>
      </c>
      <c r="E192" s="6" t="s">
        <v>10</v>
      </c>
      <c r="F192" s="6" t="s">
        <v>11</v>
      </c>
      <c r="G192" s="6" t="s">
        <v>12</v>
      </c>
      <c r="H192" s="6" t="s">
        <v>13</v>
      </c>
      <c r="I192" s="6" t="s">
        <v>14</v>
      </c>
      <c r="J192" s="2"/>
      <c r="K192" s="2"/>
      <c r="L192" s="2"/>
      <c r="M192" s="2"/>
      <c r="N192" s="2" t="s">
        <v>19</v>
      </c>
      <c r="O192" s="2"/>
      <c r="P192" s="2"/>
      <c r="Q192" s="6" t="s">
        <v>22</v>
      </c>
      <c r="R192" s="6" t="s">
        <v>23</v>
      </c>
      <c r="S192" s="6" t="s">
        <v>24</v>
      </c>
      <c r="T192" s="6" t="s">
        <v>25</v>
      </c>
      <c r="U192" s="2"/>
      <c r="V192" s="2"/>
      <c r="W192" s="2"/>
      <c r="X192" s="2"/>
      <c r="Y192" s="2"/>
      <c r="Z192" s="2"/>
    </row>
    <row r="193" ht="12.75" customHeight="1">
      <c r="A193" s="3" t="s">
        <v>28</v>
      </c>
      <c r="B193" s="13">
        <v>38.0</v>
      </c>
      <c r="C193" s="12">
        <v>2.04338302E8</v>
      </c>
      <c r="D193" s="12">
        <v>1.88888302E8</v>
      </c>
      <c r="E193" s="13">
        <v>0.0</v>
      </c>
      <c r="F193" s="12">
        <v>4523312.0</v>
      </c>
      <c r="G193" s="12">
        <v>645065.0</v>
      </c>
      <c r="H193" s="13">
        <v>0.0</v>
      </c>
      <c r="I193" s="12">
        <v>336160.0</v>
      </c>
      <c r="J193" s="12">
        <v>991902.0</v>
      </c>
      <c r="K193" s="12"/>
      <c r="L193" s="12"/>
      <c r="M193" s="12"/>
      <c r="N193" s="15">
        <v>2490000.0</v>
      </c>
      <c r="O193" s="12">
        <v>1949014.0</v>
      </c>
      <c r="P193" s="15"/>
      <c r="Q193" s="12">
        <v>1.52E7</v>
      </c>
      <c r="R193" s="12">
        <v>250000.0</v>
      </c>
      <c r="S193" s="13"/>
      <c r="T193" s="13"/>
      <c r="U193" s="2"/>
      <c r="V193" s="2"/>
      <c r="W193" s="2"/>
      <c r="X193" s="2"/>
      <c r="Y193" s="2"/>
      <c r="Z193" s="2"/>
    </row>
    <row r="194" ht="12.75" customHeight="1">
      <c r="A194" s="16" t="s">
        <v>55</v>
      </c>
      <c r="B194" s="9">
        <v>38.0</v>
      </c>
      <c r="C194" s="12">
        <v>2.04338302E8</v>
      </c>
      <c r="D194" s="12">
        <v>1.88888302E8</v>
      </c>
      <c r="E194" s="20">
        <v>0.0</v>
      </c>
      <c r="F194" s="17">
        <v>4523312.0</v>
      </c>
      <c r="G194" s="12">
        <v>645065.0</v>
      </c>
      <c r="H194" s="13">
        <v>0.0</v>
      </c>
      <c r="I194" s="12">
        <v>336160.0</v>
      </c>
      <c r="J194" s="12">
        <v>991902.0</v>
      </c>
      <c r="K194" s="12">
        <f t="shared" ref="K194:M194" si="39">SUM(K174,K186)</f>
        <v>6796992</v>
      </c>
      <c r="L194" s="12">
        <f t="shared" si="39"/>
        <v>1818614</v>
      </c>
      <c r="M194" s="12">
        <f t="shared" si="39"/>
        <v>613009</v>
      </c>
      <c r="N194" s="15">
        <v>2490000.0</v>
      </c>
      <c r="O194" s="12">
        <v>1949014.0</v>
      </c>
      <c r="P194" s="12">
        <f>SUM(P174,P186)</f>
        <v>3898028</v>
      </c>
      <c r="Q194" s="12">
        <v>1.52E7</v>
      </c>
      <c r="R194" s="12">
        <v>250000.0</v>
      </c>
      <c r="S194" s="12">
        <f t="shared" ref="S194:T194" si="40">SUM(S174,S186)</f>
        <v>1422127</v>
      </c>
      <c r="T194" s="12">
        <f t="shared" si="40"/>
        <v>1422127</v>
      </c>
      <c r="U194" s="18">
        <f>SUM(C194,E194,F194,I194,J194,K194,L194,M194,N194,S194)-SUM(G194,H194)</f>
        <v>222685353</v>
      </c>
      <c r="V194" s="2" t="s">
        <v>53</v>
      </c>
      <c r="W194" s="2">
        <v>4863371.0</v>
      </c>
      <c r="X194" s="19">
        <f>T194+W194</f>
        <v>6285498</v>
      </c>
      <c r="Y194" s="2"/>
      <c r="Z194" s="2"/>
    </row>
    <row r="195" ht="12.75" customHeight="1">
      <c r="A195" s="2" t="s">
        <v>42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 t="s">
        <v>43</v>
      </c>
      <c r="J196" s="2"/>
      <c r="K196" s="2"/>
      <c r="L196" s="2"/>
      <c r="M196" s="2"/>
      <c r="N196" s="2"/>
      <c r="O196" s="2"/>
      <c r="P196" s="2"/>
      <c r="Q196" s="2"/>
      <c r="R196" s="2" t="s">
        <v>44</v>
      </c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 t="s">
        <v>0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 t="s">
        <v>1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 t="s">
        <v>2</v>
      </c>
      <c r="O198" s="2"/>
      <c r="P198" s="2" t="s">
        <v>3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1" t="s">
        <v>4</v>
      </c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 t="s">
        <v>5</v>
      </c>
      <c r="Q200" s="4">
        <v>1.0</v>
      </c>
      <c r="R200" s="3" t="s">
        <v>6</v>
      </c>
      <c r="S200" s="4">
        <v>4.0</v>
      </c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6" t="s">
        <v>15</v>
      </c>
      <c r="K201" s="6" t="s">
        <v>16</v>
      </c>
      <c r="L201" s="6"/>
      <c r="M201" s="6"/>
      <c r="N201" s="2"/>
      <c r="O201" s="6" t="s">
        <v>20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6" t="s">
        <v>7</v>
      </c>
      <c r="C202" s="6" t="s">
        <v>8</v>
      </c>
      <c r="D202" s="6" t="s">
        <v>9</v>
      </c>
      <c r="E202" s="6" t="s">
        <v>10</v>
      </c>
      <c r="F202" s="6" t="s">
        <v>11</v>
      </c>
      <c r="G202" s="6" t="s">
        <v>12</v>
      </c>
      <c r="H202" s="6" t="s">
        <v>13</v>
      </c>
      <c r="I202" s="6" t="s">
        <v>14</v>
      </c>
      <c r="J202" s="2"/>
      <c r="K202" s="2"/>
      <c r="L202" s="5" t="s">
        <v>17</v>
      </c>
      <c r="M202" s="5" t="s">
        <v>18</v>
      </c>
      <c r="N202" s="2" t="s">
        <v>19</v>
      </c>
      <c r="O202" s="2"/>
      <c r="P202" s="5" t="s">
        <v>21</v>
      </c>
      <c r="Q202" s="6" t="s">
        <v>22</v>
      </c>
      <c r="R202" s="6" t="s">
        <v>23</v>
      </c>
      <c r="S202" s="6" t="s">
        <v>24</v>
      </c>
      <c r="T202" s="6" t="s">
        <v>25</v>
      </c>
      <c r="U202" s="2"/>
      <c r="V202" s="2"/>
      <c r="W202" s="2"/>
      <c r="X202" s="2"/>
      <c r="Y202" s="2"/>
      <c r="Z202" s="2"/>
    </row>
    <row r="203" ht="12.75" customHeight="1">
      <c r="A203" s="1" t="s">
        <v>56</v>
      </c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 t="s">
        <v>56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 t="s">
        <v>30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 t="s">
        <v>33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 t="s">
        <v>32</v>
      </c>
      <c r="B207" s="9">
        <v>2.0</v>
      </c>
      <c r="C207" s="10">
        <v>1.7147646E7</v>
      </c>
      <c r="D207" s="10">
        <v>1.7147646E7</v>
      </c>
      <c r="E207" s="9">
        <v>0.0</v>
      </c>
      <c r="F207" s="9">
        <v>0.0</v>
      </c>
      <c r="G207" s="10">
        <v>95406.0</v>
      </c>
      <c r="H207" s="9">
        <v>0.0</v>
      </c>
      <c r="I207" s="10">
        <v>685600.0</v>
      </c>
      <c r="J207" s="10">
        <v>142117.0</v>
      </c>
      <c r="K207" s="10">
        <f>215478*2</f>
        <v>430956</v>
      </c>
      <c r="L207" s="10">
        <v>152614.0</v>
      </c>
      <c r="M207" s="10">
        <v>51443.0</v>
      </c>
      <c r="N207" s="11">
        <v>0.0</v>
      </c>
      <c r="O207" s="10">
        <v>148171.0</v>
      </c>
      <c r="P207" s="11">
        <v>296342.0</v>
      </c>
      <c r="Q207" s="9">
        <v>0.0</v>
      </c>
      <c r="R207" s="9">
        <v>0.0</v>
      </c>
      <c r="S207" s="9">
        <v>540309.0</v>
      </c>
      <c r="T207" s="9">
        <v>540309.0</v>
      </c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12">
        <v>1.7147646E7</v>
      </c>
      <c r="D208" s="12">
        <v>1.7147646E7</v>
      </c>
      <c r="E208" s="13">
        <v>0.0</v>
      </c>
      <c r="F208" s="13">
        <v>0.0</v>
      </c>
      <c r="G208" s="12">
        <v>95406.0</v>
      </c>
      <c r="H208" s="13">
        <v>0.0</v>
      </c>
      <c r="I208" s="12">
        <v>685600.0</v>
      </c>
      <c r="J208" s="12">
        <v>142117.0</v>
      </c>
      <c r="K208" s="12"/>
      <c r="L208" s="12"/>
      <c r="M208" s="12"/>
      <c r="N208" s="14">
        <v>0.0</v>
      </c>
      <c r="O208" s="12">
        <v>148171.0</v>
      </c>
      <c r="P208" s="14"/>
      <c r="Q208" s="13">
        <v>0.0</v>
      </c>
      <c r="R208" s="13">
        <v>0.0</v>
      </c>
      <c r="S208" s="13"/>
      <c r="T208" s="13"/>
      <c r="U208" s="2"/>
      <c r="V208" s="2"/>
      <c r="W208" s="2"/>
      <c r="X208" s="2"/>
      <c r="Y208" s="2"/>
      <c r="Z208" s="2"/>
    </row>
    <row r="209" ht="12.75" customHeight="1">
      <c r="A209" s="2" t="s">
        <v>34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 t="s">
        <v>36</v>
      </c>
      <c r="B210" s="9">
        <v>10.0</v>
      </c>
      <c r="C210" s="10">
        <v>9.1270019E7</v>
      </c>
      <c r="D210" s="10">
        <v>7.5020019E7</v>
      </c>
      <c r="E210" s="10">
        <v>985430.0</v>
      </c>
      <c r="F210" s="10">
        <v>5094692.0</v>
      </c>
      <c r="G210" s="10">
        <v>218469.0</v>
      </c>
      <c r="H210" s="9">
        <v>0.0</v>
      </c>
      <c r="I210" s="10">
        <v>607000.0</v>
      </c>
      <c r="J210" s="10">
        <v>391234.0</v>
      </c>
      <c r="K210" s="10">
        <f>215478*10</f>
        <v>2154780</v>
      </c>
      <c r="L210" s="10">
        <v>812304.0</v>
      </c>
      <c r="M210" s="10">
        <v>273810.0</v>
      </c>
      <c r="N210" s="10">
        <v>890000.0</v>
      </c>
      <c r="O210" s="10">
        <v>693745.0</v>
      </c>
      <c r="P210" s="2">
        <v>1387490.0</v>
      </c>
      <c r="Q210" s="10">
        <v>1.45E7</v>
      </c>
      <c r="R210" s="10">
        <v>250000.0</v>
      </c>
      <c r="S210" s="9">
        <v>4810059.0</v>
      </c>
      <c r="T210" s="9">
        <v>4810059.0</v>
      </c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12">
        <v>9.1270019E7</v>
      </c>
      <c r="D211" s="12">
        <v>7.5020019E7</v>
      </c>
      <c r="E211" s="12">
        <v>985430.0</v>
      </c>
      <c r="F211" s="12">
        <v>5094692.0</v>
      </c>
      <c r="G211" s="12">
        <v>218469.0</v>
      </c>
      <c r="H211" s="13">
        <v>0.0</v>
      </c>
      <c r="I211" s="12">
        <v>607000.0</v>
      </c>
      <c r="J211" s="12">
        <v>391234.0</v>
      </c>
      <c r="K211" s="12"/>
      <c r="L211" s="12"/>
      <c r="M211" s="12"/>
      <c r="N211" s="15">
        <v>890000.0</v>
      </c>
      <c r="O211" s="12">
        <v>693745.0</v>
      </c>
      <c r="P211" s="15"/>
      <c r="Q211" s="12">
        <v>1.45E7</v>
      </c>
      <c r="R211" s="12">
        <v>250000.0</v>
      </c>
      <c r="S211" s="13"/>
      <c r="T211" s="13"/>
      <c r="U211" s="2"/>
      <c r="V211" s="2"/>
      <c r="W211" s="2"/>
      <c r="X211" s="2"/>
      <c r="Y211" s="2"/>
      <c r="Z211" s="2"/>
    </row>
    <row r="212" ht="12.75" customHeight="1">
      <c r="A212" s="3" t="s">
        <v>37</v>
      </c>
      <c r="B212" s="9">
        <v>12.0</v>
      </c>
      <c r="C212" s="12">
        <v>1.08417665E8</v>
      </c>
      <c r="D212" s="12">
        <v>9.2167665E7</v>
      </c>
      <c r="E212" s="12">
        <v>985430.0</v>
      </c>
      <c r="F212" s="12">
        <v>5094692.0</v>
      </c>
      <c r="G212" s="12">
        <v>313875.0</v>
      </c>
      <c r="H212" s="13">
        <v>0.0</v>
      </c>
      <c r="I212" s="12">
        <v>1292600.0</v>
      </c>
      <c r="J212" s="12">
        <v>533351.0</v>
      </c>
      <c r="K212" s="12">
        <f t="shared" ref="K212:M212" si="41">SUM(K207:K211)</f>
        <v>2585736</v>
      </c>
      <c r="L212" s="12">
        <f t="shared" si="41"/>
        <v>964918</v>
      </c>
      <c r="M212" s="12">
        <f t="shared" si="41"/>
        <v>325253</v>
      </c>
      <c r="N212" s="15">
        <v>890000.0</v>
      </c>
      <c r="O212" s="12">
        <v>841916.0</v>
      </c>
      <c r="P212" s="12">
        <f>SUM(P207:P211)</f>
        <v>1683832</v>
      </c>
      <c r="Q212" s="12">
        <v>1.45E7</v>
      </c>
      <c r="R212" s="12">
        <v>250000.0</v>
      </c>
      <c r="S212" s="12">
        <f t="shared" ref="S212:T212" si="42">SUM(S207:S211)</f>
        <v>5350368</v>
      </c>
      <c r="T212" s="12">
        <f t="shared" si="42"/>
        <v>5350368</v>
      </c>
      <c r="U212" s="2"/>
      <c r="V212" s="2"/>
      <c r="W212" s="2"/>
      <c r="X212" s="2"/>
      <c r="Y212" s="2"/>
      <c r="Z212" s="2"/>
    </row>
    <row r="213" ht="12.75" customHeight="1">
      <c r="A213" s="3" t="s">
        <v>38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 t="s">
        <v>33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 t="s">
        <v>32</v>
      </c>
      <c r="B215" s="9">
        <v>1.0</v>
      </c>
      <c r="C215" s="10">
        <v>6827847.0</v>
      </c>
      <c r="D215" s="10">
        <v>5977847.0</v>
      </c>
      <c r="E215" s="9">
        <v>0.0</v>
      </c>
      <c r="F215" s="9">
        <v>0.0</v>
      </c>
      <c r="G215" s="9">
        <v>0.0</v>
      </c>
      <c r="H215" s="9">
        <v>0.0</v>
      </c>
      <c r="I215" s="9">
        <v>0.0</v>
      </c>
      <c r="J215" s="10">
        <v>34692.0</v>
      </c>
      <c r="K215" s="10">
        <f>215478*1</f>
        <v>215478</v>
      </c>
      <c r="L215" s="10">
        <v>60768.0</v>
      </c>
      <c r="M215" s="10">
        <v>20484.0</v>
      </c>
      <c r="N215" s="11">
        <v>0.0</v>
      </c>
      <c r="O215" s="10">
        <v>68278.0</v>
      </c>
      <c r="P215" s="11">
        <v>136556.0</v>
      </c>
      <c r="Q215" s="10">
        <v>850000.0</v>
      </c>
      <c r="R215" s="9">
        <v>0.0</v>
      </c>
      <c r="S215" s="9">
        <v>54100.0</v>
      </c>
      <c r="T215" s="9">
        <v>54100.0</v>
      </c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12">
        <v>6827847.0</v>
      </c>
      <c r="D216" s="12">
        <v>5977847.0</v>
      </c>
      <c r="E216" s="13">
        <v>0.0</v>
      </c>
      <c r="F216" s="13">
        <v>0.0</v>
      </c>
      <c r="G216" s="13">
        <v>0.0</v>
      </c>
      <c r="H216" s="13">
        <v>0.0</v>
      </c>
      <c r="I216" s="13">
        <v>0.0</v>
      </c>
      <c r="J216" s="12">
        <v>34692.0</v>
      </c>
      <c r="K216" s="12"/>
      <c r="L216" s="12"/>
      <c r="M216" s="12"/>
      <c r="N216" s="14">
        <v>0.0</v>
      </c>
      <c r="O216" s="12">
        <v>68278.0</v>
      </c>
      <c r="P216" s="14"/>
      <c r="Q216" s="12">
        <v>850000.0</v>
      </c>
      <c r="R216" s="13">
        <v>0.0</v>
      </c>
      <c r="S216" s="13"/>
      <c r="T216" s="13"/>
      <c r="U216" s="2"/>
      <c r="V216" s="2"/>
      <c r="W216" s="2"/>
      <c r="X216" s="2"/>
      <c r="Y216" s="2"/>
      <c r="Z216" s="2"/>
    </row>
    <row r="217" ht="12.75" customHeight="1">
      <c r="A217" s="2" t="s">
        <v>34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 t="s">
        <v>35</v>
      </c>
      <c r="B218" s="9">
        <v>1.0</v>
      </c>
      <c r="C218" s="10">
        <v>8621179.0</v>
      </c>
      <c r="D218" s="10">
        <v>7121179.0</v>
      </c>
      <c r="E218" s="9">
        <v>0.0</v>
      </c>
      <c r="F218" s="9">
        <v>0.0</v>
      </c>
      <c r="G218" s="9">
        <v>0.0</v>
      </c>
      <c r="H218" s="9">
        <v>0.0</v>
      </c>
      <c r="I218" s="9">
        <v>0.0</v>
      </c>
      <c r="J218" s="10">
        <v>45733.0</v>
      </c>
      <c r="K218" s="10">
        <f>215478*1</f>
        <v>215478</v>
      </c>
      <c r="L218" s="10">
        <v>76728.0</v>
      </c>
      <c r="M218" s="10">
        <v>25864.0</v>
      </c>
      <c r="N218" s="9">
        <v>0.0</v>
      </c>
      <c r="O218" s="10">
        <v>86212.0</v>
      </c>
      <c r="P218" s="2">
        <v>172424.0</v>
      </c>
      <c r="Q218" s="10">
        <v>1500000.0</v>
      </c>
      <c r="R218" s="9">
        <v>0.0</v>
      </c>
      <c r="S218" s="9">
        <v>90757.0</v>
      </c>
      <c r="T218" s="9">
        <v>90757.0</v>
      </c>
      <c r="U218" s="2"/>
      <c r="V218" s="2"/>
      <c r="W218" s="2"/>
      <c r="X218" s="2"/>
      <c r="Y218" s="2"/>
      <c r="Z218" s="2"/>
    </row>
    <row r="219" ht="12.75" customHeight="1">
      <c r="A219" s="3" t="s">
        <v>36</v>
      </c>
      <c r="B219" s="9">
        <v>20.0</v>
      </c>
      <c r="C219" s="10">
        <v>2.75710492E8</v>
      </c>
      <c r="D219" s="10">
        <v>2.54210492E8</v>
      </c>
      <c r="E219" s="9">
        <v>0.0</v>
      </c>
      <c r="F219" s="10">
        <v>4972133.0</v>
      </c>
      <c r="G219" s="10">
        <v>62189.0</v>
      </c>
      <c r="H219" s="10">
        <v>265842.0</v>
      </c>
      <c r="I219" s="10">
        <v>7843631.0</v>
      </c>
      <c r="J219" s="10">
        <v>2937437.0</v>
      </c>
      <c r="K219" s="10">
        <f>215478*19</f>
        <v>4094082</v>
      </c>
      <c r="L219" s="10">
        <v>2453824.0</v>
      </c>
      <c r="M219" s="10">
        <v>827132.0</v>
      </c>
      <c r="N219" s="19">
        <v>1765000.0</v>
      </c>
      <c r="O219" s="10">
        <v>1427898.0</v>
      </c>
      <c r="P219" s="19">
        <v>2855796.0</v>
      </c>
      <c r="Q219" s="10">
        <v>2.1E7</v>
      </c>
      <c r="R219" s="10">
        <v>500000.0</v>
      </c>
      <c r="S219" s="9">
        <v>4.045986E7</v>
      </c>
      <c r="T219" s="9">
        <v>4.045986E7</v>
      </c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12">
        <v>2.84331671E8</v>
      </c>
      <c r="D220" s="12">
        <v>2.61331671E8</v>
      </c>
      <c r="E220" s="13">
        <v>0.0</v>
      </c>
      <c r="F220" s="12">
        <v>4972133.0</v>
      </c>
      <c r="G220" s="12">
        <v>62189.0</v>
      </c>
      <c r="H220" s="12">
        <v>265842.0</v>
      </c>
      <c r="I220" s="12">
        <v>7843631.0</v>
      </c>
      <c r="J220" s="12">
        <v>2983170.0</v>
      </c>
      <c r="K220" s="12"/>
      <c r="L220" s="12"/>
      <c r="M220" s="12"/>
      <c r="N220" s="15">
        <v>1765000.0</v>
      </c>
      <c r="O220" s="12">
        <v>1514110.0</v>
      </c>
      <c r="P220" s="15"/>
      <c r="Q220" s="12">
        <v>2.25E7</v>
      </c>
      <c r="R220" s="12">
        <v>500000.0</v>
      </c>
      <c r="S220" s="13"/>
      <c r="T220" s="13"/>
      <c r="U220" s="2"/>
      <c r="V220" s="2"/>
      <c r="W220" s="2"/>
      <c r="X220" s="2"/>
      <c r="Y220" s="2"/>
      <c r="Z220" s="2"/>
    </row>
    <row r="221" ht="12.75" customHeight="1">
      <c r="A221" s="3" t="s">
        <v>39</v>
      </c>
      <c r="B221" s="9">
        <v>22.0</v>
      </c>
      <c r="C221" s="12">
        <v>2.91159518E8</v>
      </c>
      <c r="D221" s="12">
        <v>2.67309518E8</v>
      </c>
      <c r="E221" s="13">
        <v>0.0</v>
      </c>
      <c r="F221" s="12">
        <v>4972133.0</v>
      </c>
      <c r="G221" s="12">
        <v>62189.0</v>
      </c>
      <c r="H221" s="12">
        <v>265842.0</v>
      </c>
      <c r="I221" s="12">
        <v>7843631.0</v>
      </c>
      <c r="J221" s="12">
        <v>3017862.0</v>
      </c>
      <c r="K221" s="12">
        <f t="shared" ref="K221:M221" si="43">SUM(K215:K220)</f>
        <v>4525038</v>
      </c>
      <c r="L221" s="12">
        <f t="shared" si="43"/>
        <v>2591320</v>
      </c>
      <c r="M221" s="12">
        <f t="shared" si="43"/>
        <v>873480</v>
      </c>
      <c r="N221" s="15">
        <v>1765000.0</v>
      </c>
      <c r="O221" s="12">
        <v>1582388.0</v>
      </c>
      <c r="P221" s="12">
        <f>SUM(P215:P220)</f>
        <v>3164776</v>
      </c>
      <c r="Q221" s="12">
        <v>2.335E7</v>
      </c>
      <c r="R221" s="12">
        <v>500000.0</v>
      </c>
      <c r="S221" s="12">
        <f t="shared" ref="S221:T221" si="44">SUM(S215:S220)</f>
        <v>40604717</v>
      </c>
      <c r="T221" s="12">
        <f t="shared" si="44"/>
        <v>40604717</v>
      </c>
      <c r="U221" s="2"/>
      <c r="V221" s="2"/>
      <c r="W221" s="2"/>
      <c r="X221" s="2"/>
      <c r="Y221" s="2"/>
      <c r="Z221" s="2"/>
    </row>
    <row r="222" ht="12.75" customHeight="1">
      <c r="A222" s="3" t="s">
        <v>57</v>
      </c>
      <c r="B222" s="13">
        <v>34.0</v>
      </c>
      <c r="C222" s="12">
        <v>3.99577183E8</v>
      </c>
      <c r="D222" s="12">
        <v>3.59477183E8</v>
      </c>
      <c r="E222" s="12">
        <v>985430.0</v>
      </c>
      <c r="F222" s="12">
        <v>1.0066825E7</v>
      </c>
      <c r="G222" s="12">
        <v>376064.0</v>
      </c>
      <c r="H222" s="12">
        <v>265842.0</v>
      </c>
      <c r="I222" s="12">
        <v>9136231.0</v>
      </c>
      <c r="J222" s="12">
        <v>3551213.0</v>
      </c>
      <c r="K222" s="12">
        <f t="shared" ref="K222:M222" si="45">SUM(K212,K221)</f>
        <v>7110774</v>
      </c>
      <c r="L222" s="12">
        <f t="shared" si="45"/>
        <v>3556238</v>
      </c>
      <c r="M222" s="12">
        <f t="shared" si="45"/>
        <v>1198733</v>
      </c>
      <c r="N222" s="15">
        <v>2655000.0</v>
      </c>
      <c r="O222" s="12">
        <v>2424304.0</v>
      </c>
      <c r="P222" s="12">
        <f>SUM(P212,P221)</f>
        <v>4848608</v>
      </c>
      <c r="Q222" s="12">
        <v>3.785E7</v>
      </c>
      <c r="R222" s="12">
        <v>750000.0</v>
      </c>
      <c r="S222" s="12">
        <f t="shared" ref="S222:T222" si="46">SUM(S212,S221)</f>
        <v>45955085</v>
      </c>
      <c r="T222" s="12">
        <f t="shared" si="46"/>
        <v>45955085</v>
      </c>
      <c r="U222" s="2"/>
      <c r="V222" s="2"/>
      <c r="W222" s="2"/>
      <c r="X222" s="2"/>
      <c r="Y222" s="2"/>
      <c r="Z222" s="2"/>
    </row>
    <row r="223" ht="12.75" customHeight="1">
      <c r="A223" s="3" t="s">
        <v>58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 t="s">
        <v>0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 t="s">
        <v>1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 t="s">
        <v>2</v>
      </c>
      <c r="O225" s="2"/>
      <c r="P225" s="2" t="s">
        <v>3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1" t="s">
        <v>4</v>
      </c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 t="s">
        <v>5</v>
      </c>
      <c r="Q227" s="4">
        <v>2.0</v>
      </c>
      <c r="R227" s="3" t="s">
        <v>6</v>
      </c>
      <c r="S227" s="4">
        <v>4.0</v>
      </c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6" t="s">
        <v>15</v>
      </c>
      <c r="K228" s="6" t="s">
        <v>16</v>
      </c>
      <c r="L228" s="6"/>
      <c r="M228" s="6"/>
      <c r="N228" s="2"/>
      <c r="O228" s="6" t="s">
        <v>20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6" t="s">
        <v>7</v>
      </c>
      <c r="C229" s="6" t="s">
        <v>8</v>
      </c>
      <c r="D229" s="6" t="s">
        <v>9</v>
      </c>
      <c r="E229" s="6" t="s">
        <v>10</v>
      </c>
      <c r="F229" s="6" t="s">
        <v>11</v>
      </c>
      <c r="G229" s="6" t="s">
        <v>12</v>
      </c>
      <c r="H229" s="6" t="s">
        <v>13</v>
      </c>
      <c r="I229" s="6" t="s">
        <v>14</v>
      </c>
      <c r="J229" s="2"/>
      <c r="K229" s="2"/>
      <c r="L229" s="5" t="s">
        <v>17</v>
      </c>
      <c r="M229" s="5" t="s">
        <v>18</v>
      </c>
      <c r="N229" s="2" t="s">
        <v>19</v>
      </c>
      <c r="O229" s="2"/>
      <c r="P229" s="5" t="s">
        <v>21</v>
      </c>
      <c r="Q229" s="6" t="s">
        <v>22</v>
      </c>
      <c r="R229" s="6" t="s">
        <v>23</v>
      </c>
      <c r="S229" s="6" t="s">
        <v>24</v>
      </c>
      <c r="T229" s="6" t="s">
        <v>25</v>
      </c>
      <c r="U229" s="2"/>
      <c r="V229" s="2"/>
      <c r="W229" s="2"/>
      <c r="X229" s="2"/>
      <c r="Y229" s="2"/>
      <c r="Z229" s="2"/>
    </row>
    <row r="230" ht="12.75" customHeight="1">
      <c r="A230" s="3" t="s">
        <v>30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 t="s">
        <v>33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 t="s">
        <v>32</v>
      </c>
      <c r="B232" s="9">
        <v>1.0</v>
      </c>
      <c r="C232" s="10">
        <v>7000000.0</v>
      </c>
      <c r="D232" s="10">
        <v>6000000.0</v>
      </c>
      <c r="E232" s="9">
        <v>0.0</v>
      </c>
      <c r="F232" s="9">
        <v>0.0</v>
      </c>
      <c r="G232" s="9">
        <v>0.0</v>
      </c>
      <c r="H232" s="9">
        <v>0.0</v>
      </c>
      <c r="I232" s="9">
        <v>0.0</v>
      </c>
      <c r="J232" s="9">
        <v>0.0</v>
      </c>
      <c r="K232" s="10">
        <f>215478*1</f>
        <v>215478</v>
      </c>
      <c r="L232" s="10">
        <v>62300.0</v>
      </c>
      <c r="M232" s="10">
        <v>21000.0</v>
      </c>
      <c r="N232" s="9">
        <v>0.0</v>
      </c>
      <c r="O232" s="10">
        <v>70000.0</v>
      </c>
      <c r="P232" s="2">
        <v>140000.0</v>
      </c>
      <c r="Q232" s="10">
        <v>1000000.0</v>
      </c>
      <c r="R232" s="9">
        <v>0.0</v>
      </c>
      <c r="S232" s="9">
        <v>73725.0</v>
      </c>
      <c r="T232" s="9">
        <v>73725.0</v>
      </c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12">
        <v>7000000.0</v>
      </c>
      <c r="D233" s="12">
        <v>6000000.0</v>
      </c>
      <c r="E233" s="13">
        <v>0.0</v>
      </c>
      <c r="F233" s="13">
        <v>0.0</v>
      </c>
      <c r="G233" s="13">
        <v>0.0</v>
      </c>
      <c r="H233" s="13">
        <v>0.0</v>
      </c>
      <c r="I233" s="13">
        <v>0.0</v>
      </c>
      <c r="J233" s="13">
        <v>0.0</v>
      </c>
      <c r="K233" s="12"/>
      <c r="L233" s="12"/>
      <c r="M233" s="12"/>
      <c r="N233" s="14">
        <v>0.0</v>
      </c>
      <c r="O233" s="12">
        <v>70000.0</v>
      </c>
      <c r="P233" s="14"/>
      <c r="Q233" s="12">
        <v>1000000.0</v>
      </c>
      <c r="R233" s="13">
        <v>0.0</v>
      </c>
      <c r="S233" s="13"/>
      <c r="T233" s="13"/>
      <c r="U233" s="2"/>
      <c r="V233" s="2"/>
      <c r="W233" s="2"/>
      <c r="X233" s="2"/>
      <c r="Y233" s="2"/>
      <c r="Z233" s="2"/>
    </row>
    <row r="234" ht="12.75" customHeight="1">
      <c r="A234" s="2" t="s">
        <v>34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 t="s">
        <v>35</v>
      </c>
      <c r="B235" s="9">
        <v>1.0</v>
      </c>
      <c r="C235" s="10">
        <v>4792239.0</v>
      </c>
      <c r="D235" s="10">
        <v>4792239.0</v>
      </c>
      <c r="E235" s="9">
        <v>0.0</v>
      </c>
      <c r="F235" s="10">
        <v>1219506.0</v>
      </c>
      <c r="G235" s="9">
        <v>0.0</v>
      </c>
      <c r="H235" s="9">
        <v>0.0</v>
      </c>
      <c r="I235" s="9">
        <v>0.0</v>
      </c>
      <c r="J235" s="9">
        <v>0.0</v>
      </c>
      <c r="K235" s="10">
        <f>215478*1</f>
        <v>215478</v>
      </c>
      <c r="L235" s="10">
        <v>42651.0</v>
      </c>
      <c r="M235" s="10">
        <v>14377.0</v>
      </c>
      <c r="N235" s="11">
        <v>0.0</v>
      </c>
      <c r="O235" s="10">
        <v>47922.0</v>
      </c>
      <c r="P235" s="11">
        <v>95844.0</v>
      </c>
      <c r="Q235" s="9">
        <v>0.0</v>
      </c>
      <c r="R235" s="9">
        <v>0.0</v>
      </c>
      <c r="S235" s="9">
        <v>63477.0</v>
      </c>
      <c r="T235" s="9">
        <v>63477.0</v>
      </c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12">
        <v>4792239.0</v>
      </c>
      <c r="D236" s="12">
        <v>4792239.0</v>
      </c>
      <c r="E236" s="13">
        <v>0.0</v>
      </c>
      <c r="F236" s="12">
        <v>1219506.0</v>
      </c>
      <c r="G236" s="13">
        <v>0.0</v>
      </c>
      <c r="H236" s="13">
        <v>0.0</v>
      </c>
      <c r="I236" s="13">
        <v>0.0</v>
      </c>
      <c r="J236" s="13">
        <v>0.0</v>
      </c>
      <c r="K236" s="12"/>
      <c r="L236" s="12"/>
      <c r="M236" s="12"/>
      <c r="N236" s="14">
        <v>0.0</v>
      </c>
      <c r="O236" s="12">
        <v>47922.0</v>
      </c>
      <c r="P236" s="14"/>
      <c r="Q236" s="13">
        <v>0.0</v>
      </c>
      <c r="R236" s="13">
        <v>0.0</v>
      </c>
      <c r="S236" s="13"/>
      <c r="T236" s="13"/>
      <c r="U236" s="2"/>
      <c r="V236" s="2"/>
      <c r="W236" s="2"/>
      <c r="X236" s="2"/>
      <c r="Y236" s="2"/>
      <c r="Z236" s="2"/>
    </row>
    <row r="237" ht="12.75" customHeight="1">
      <c r="A237" s="3" t="s">
        <v>37</v>
      </c>
      <c r="B237" s="9">
        <v>2.0</v>
      </c>
      <c r="C237" s="12">
        <v>1.1792239E7</v>
      </c>
      <c r="D237" s="12">
        <v>1.0792239E7</v>
      </c>
      <c r="E237" s="13">
        <v>0.0</v>
      </c>
      <c r="F237" s="12">
        <v>1219506.0</v>
      </c>
      <c r="G237" s="13">
        <v>0.0</v>
      </c>
      <c r="H237" s="13">
        <v>0.0</v>
      </c>
      <c r="I237" s="13">
        <v>0.0</v>
      </c>
      <c r="J237" s="13">
        <v>0.0</v>
      </c>
      <c r="K237" s="12">
        <f t="shared" ref="K237:M237" si="47">SUM(K232:K236)</f>
        <v>430956</v>
      </c>
      <c r="L237" s="12">
        <f t="shared" si="47"/>
        <v>104951</v>
      </c>
      <c r="M237" s="12">
        <f t="shared" si="47"/>
        <v>35377</v>
      </c>
      <c r="N237" s="14">
        <v>0.0</v>
      </c>
      <c r="O237" s="12">
        <v>117922.0</v>
      </c>
      <c r="P237" s="12">
        <f>SUM(P232:P236)</f>
        <v>235844</v>
      </c>
      <c r="Q237" s="12">
        <v>1000000.0</v>
      </c>
      <c r="R237" s="13">
        <v>0.0</v>
      </c>
      <c r="S237" s="12">
        <f t="shared" ref="S237:T237" si="48">SUM(S232:S236)</f>
        <v>137202</v>
      </c>
      <c r="T237" s="12">
        <f t="shared" si="48"/>
        <v>137202</v>
      </c>
      <c r="U237" s="2"/>
      <c r="V237" s="2"/>
      <c r="W237" s="2"/>
      <c r="X237" s="2"/>
      <c r="Y237" s="2"/>
      <c r="Z237" s="2"/>
    </row>
    <row r="238" ht="12.75" customHeight="1">
      <c r="A238" s="3" t="s">
        <v>38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 t="s">
        <v>33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 t="s">
        <v>32</v>
      </c>
      <c r="B240" s="9">
        <v>1.0</v>
      </c>
      <c r="C240" s="10">
        <v>7722464.0</v>
      </c>
      <c r="D240" s="10">
        <v>7222464.0</v>
      </c>
      <c r="E240" s="9">
        <v>0.0</v>
      </c>
      <c r="F240" s="9">
        <v>0.0</v>
      </c>
      <c r="G240" s="9">
        <v>0.0</v>
      </c>
      <c r="H240" s="9">
        <v>0.0</v>
      </c>
      <c r="I240" s="9">
        <v>0.0</v>
      </c>
      <c r="J240" s="9">
        <v>0.0</v>
      </c>
      <c r="K240" s="10">
        <f>215478*1</f>
        <v>215478</v>
      </c>
      <c r="L240" s="10">
        <v>68730.0</v>
      </c>
      <c r="M240" s="10">
        <v>23167.0</v>
      </c>
      <c r="N240" s="9">
        <v>0.0</v>
      </c>
      <c r="O240" s="10">
        <v>77225.0</v>
      </c>
      <c r="P240" s="2">
        <v>154450.0</v>
      </c>
      <c r="Q240" s="10">
        <v>500000.0</v>
      </c>
      <c r="R240" s="9">
        <v>0.0</v>
      </c>
      <c r="S240" s="9">
        <v>122282.0</v>
      </c>
      <c r="T240" s="9">
        <v>122282.0</v>
      </c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12">
        <v>7722464.0</v>
      </c>
      <c r="D241" s="12">
        <v>7222464.0</v>
      </c>
      <c r="E241" s="13">
        <v>0.0</v>
      </c>
      <c r="F241" s="13">
        <v>0.0</v>
      </c>
      <c r="G241" s="13">
        <v>0.0</v>
      </c>
      <c r="H241" s="13">
        <v>0.0</v>
      </c>
      <c r="I241" s="13">
        <v>0.0</v>
      </c>
      <c r="J241" s="13">
        <v>0.0</v>
      </c>
      <c r="K241" s="12"/>
      <c r="L241" s="12"/>
      <c r="M241" s="12"/>
      <c r="N241" s="14">
        <v>0.0</v>
      </c>
      <c r="O241" s="12">
        <v>77225.0</v>
      </c>
      <c r="P241" s="14"/>
      <c r="Q241" s="12">
        <v>500000.0</v>
      </c>
      <c r="R241" s="13">
        <v>0.0</v>
      </c>
      <c r="S241" s="13"/>
      <c r="T241" s="13"/>
      <c r="U241" s="2"/>
      <c r="V241" s="2"/>
      <c r="W241" s="2"/>
      <c r="X241" s="2"/>
      <c r="Y241" s="2"/>
      <c r="Z241" s="2"/>
    </row>
    <row r="242" ht="12.75" customHeight="1">
      <c r="A242" s="3" t="s">
        <v>39</v>
      </c>
      <c r="B242" s="9">
        <v>1.0</v>
      </c>
      <c r="C242" s="12">
        <v>7722464.0</v>
      </c>
      <c r="D242" s="12">
        <v>7222464.0</v>
      </c>
      <c r="E242" s="13">
        <v>0.0</v>
      </c>
      <c r="F242" s="13">
        <v>0.0</v>
      </c>
      <c r="G242" s="13">
        <v>0.0</v>
      </c>
      <c r="H242" s="13">
        <v>0.0</v>
      </c>
      <c r="I242" s="13">
        <v>0.0</v>
      </c>
      <c r="J242" s="13">
        <v>0.0</v>
      </c>
      <c r="K242" s="12">
        <f t="shared" ref="K242:M242" si="49">SUM(K240:K241)</f>
        <v>215478</v>
      </c>
      <c r="L242" s="12">
        <f t="shared" si="49"/>
        <v>68730</v>
      </c>
      <c r="M242" s="12">
        <f t="shared" si="49"/>
        <v>23167</v>
      </c>
      <c r="N242" s="14">
        <v>0.0</v>
      </c>
      <c r="O242" s="12">
        <v>77225.0</v>
      </c>
      <c r="P242" s="12">
        <f>SUM(P240:P241)</f>
        <v>154450</v>
      </c>
      <c r="Q242" s="12">
        <v>500000.0</v>
      </c>
      <c r="R242" s="13">
        <v>0.0</v>
      </c>
      <c r="S242" s="12">
        <f t="shared" ref="S242:T242" si="50">SUM(S240:S241)</f>
        <v>122282</v>
      </c>
      <c r="T242" s="12">
        <f t="shared" si="50"/>
        <v>122282</v>
      </c>
      <c r="U242" s="2"/>
      <c r="V242" s="2"/>
      <c r="W242" s="2"/>
      <c r="X242" s="2"/>
      <c r="Y242" s="2"/>
      <c r="Z242" s="2"/>
    </row>
    <row r="243" ht="12.75" customHeight="1">
      <c r="A243" s="3" t="s">
        <v>59</v>
      </c>
      <c r="B243" s="13">
        <v>3.0</v>
      </c>
      <c r="C243" s="12">
        <v>1.9514703E7</v>
      </c>
      <c r="D243" s="12">
        <v>1.8014703E7</v>
      </c>
      <c r="E243" s="13">
        <v>0.0</v>
      </c>
      <c r="F243" s="12">
        <v>1219506.0</v>
      </c>
      <c r="G243" s="13">
        <v>0.0</v>
      </c>
      <c r="H243" s="13">
        <v>0.0</v>
      </c>
      <c r="I243" s="13">
        <v>0.0</v>
      </c>
      <c r="J243" s="13">
        <v>0.0</v>
      </c>
      <c r="K243" s="12">
        <f t="shared" ref="K243:M243" si="51">SUM(K237,K242)</f>
        <v>646434</v>
      </c>
      <c r="L243" s="12">
        <f t="shared" si="51"/>
        <v>173681</v>
      </c>
      <c r="M243" s="12">
        <f t="shared" si="51"/>
        <v>58544</v>
      </c>
      <c r="N243" s="14">
        <v>0.0</v>
      </c>
      <c r="O243" s="12">
        <v>195147.0</v>
      </c>
      <c r="P243" s="12">
        <f>SUM(P237,P242)</f>
        <v>390294</v>
      </c>
      <c r="Q243" s="12">
        <v>1500000.0</v>
      </c>
      <c r="R243" s="13">
        <v>0.0</v>
      </c>
      <c r="S243" s="12">
        <f t="shared" ref="S243:T243" si="52">SUM(S237,S242)</f>
        <v>259484</v>
      </c>
      <c r="T243" s="12">
        <f t="shared" si="52"/>
        <v>259484</v>
      </c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6" t="s">
        <v>60</v>
      </c>
      <c r="B245" s="9">
        <f t="shared" ref="B245:T245" si="53">SUM(B222,B243)</f>
        <v>37</v>
      </c>
      <c r="C245" s="13">
        <f t="shared" si="53"/>
        <v>419091886</v>
      </c>
      <c r="D245" s="13">
        <f t="shared" si="53"/>
        <v>377491886</v>
      </c>
      <c r="E245" s="20">
        <f t="shared" si="53"/>
        <v>985430</v>
      </c>
      <c r="F245" s="13">
        <f t="shared" si="53"/>
        <v>11286331</v>
      </c>
      <c r="G245" s="13">
        <f t="shared" si="53"/>
        <v>376064</v>
      </c>
      <c r="H245" s="13">
        <f t="shared" si="53"/>
        <v>265842</v>
      </c>
      <c r="I245" s="13">
        <f t="shared" si="53"/>
        <v>9136231</v>
      </c>
      <c r="J245" s="13">
        <f t="shared" si="53"/>
        <v>3551213</v>
      </c>
      <c r="K245" s="13">
        <f t="shared" si="53"/>
        <v>7757208</v>
      </c>
      <c r="L245" s="13">
        <f t="shared" si="53"/>
        <v>3729919</v>
      </c>
      <c r="M245" s="13">
        <f t="shared" si="53"/>
        <v>1257277</v>
      </c>
      <c r="N245" s="13">
        <f t="shared" si="53"/>
        <v>2655000</v>
      </c>
      <c r="O245" s="13">
        <f t="shared" si="53"/>
        <v>2619451</v>
      </c>
      <c r="P245" s="13">
        <f t="shared" si="53"/>
        <v>5238902</v>
      </c>
      <c r="Q245" s="13">
        <f t="shared" si="53"/>
        <v>39350000</v>
      </c>
      <c r="R245" s="13">
        <f t="shared" si="53"/>
        <v>750000</v>
      </c>
      <c r="S245" s="13">
        <f t="shared" si="53"/>
        <v>46214569</v>
      </c>
      <c r="T245" s="13">
        <f t="shared" si="53"/>
        <v>46214569</v>
      </c>
      <c r="U245" s="18">
        <f>SUM(C245,E245,F245,I245,J245,K245,L245,M245,N245,S245)-SUM(G245,H245)</f>
        <v>505023158</v>
      </c>
      <c r="V245" s="2" t="s">
        <v>61</v>
      </c>
      <c r="W245" s="2">
        <v>7849658.0</v>
      </c>
      <c r="X245" s="19">
        <f>T245+W245</f>
        <v>54064227</v>
      </c>
      <c r="Y245" s="2"/>
      <c r="Z245" s="2"/>
    </row>
    <row r="246" ht="12.75" customHeight="1">
      <c r="A246" s="21"/>
      <c r="B246" s="9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5"/>
      <c r="O246" s="12"/>
      <c r="P246" s="12"/>
      <c r="Q246" s="12"/>
      <c r="R246" s="12"/>
      <c r="S246" s="12"/>
      <c r="T246" s="12"/>
      <c r="U246" s="15"/>
      <c r="V246" s="2"/>
      <c r="W246" s="2"/>
      <c r="X246" s="19"/>
      <c r="Y246" s="2"/>
      <c r="Z246" s="2"/>
    </row>
    <row r="247" ht="12.75" customHeight="1">
      <c r="A247" s="1" t="s">
        <v>0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 t="s">
        <v>1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 t="s">
        <v>2</v>
      </c>
      <c r="O248" s="2"/>
      <c r="P248" s="2" t="s">
        <v>3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1" t="s">
        <v>4</v>
      </c>
      <c r="G249" s="1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 t="s">
        <v>5</v>
      </c>
      <c r="Q250" s="4">
        <v>3.0</v>
      </c>
      <c r="R250" s="3" t="s">
        <v>6</v>
      </c>
      <c r="S250" s="4">
        <v>4.0</v>
      </c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6" t="s">
        <v>15</v>
      </c>
      <c r="K251" s="6" t="s">
        <v>16</v>
      </c>
      <c r="L251" s="6"/>
      <c r="M251" s="6"/>
      <c r="N251" s="2"/>
      <c r="O251" s="6" t="s">
        <v>20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6" t="s">
        <v>7</v>
      </c>
      <c r="C252" s="6" t="s">
        <v>8</v>
      </c>
      <c r="D252" s="6" t="s">
        <v>9</v>
      </c>
      <c r="E252" s="6" t="s">
        <v>10</v>
      </c>
      <c r="F252" s="6" t="s">
        <v>11</v>
      </c>
      <c r="G252" s="6" t="s">
        <v>12</v>
      </c>
      <c r="H252" s="6" t="s">
        <v>13</v>
      </c>
      <c r="I252" s="6" t="s">
        <v>14</v>
      </c>
      <c r="J252" s="2"/>
      <c r="K252" s="2"/>
      <c r="L252" s="5" t="s">
        <v>17</v>
      </c>
      <c r="M252" s="5" t="s">
        <v>18</v>
      </c>
      <c r="N252" s="2" t="s">
        <v>19</v>
      </c>
      <c r="O252" s="2"/>
      <c r="P252" s="5" t="s">
        <v>21</v>
      </c>
      <c r="Q252" s="6" t="s">
        <v>22</v>
      </c>
      <c r="R252" s="6" t="s">
        <v>23</v>
      </c>
      <c r="S252" s="6" t="s">
        <v>24</v>
      </c>
      <c r="T252" s="6" t="s">
        <v>25</v>
      </c>
      <c r="U252" s="2"/>
      <c r="V252" s="2"/>
      <c r="W252" s="2"/>
      <c r="X252" s="2"/>
      <c r="Y252" s="2"/>
      <c r="Z252" s="2"/>
    </row>
    <row r="253" ht="12.75" customHeight="1">
      <c r="A253" s="3" t="s">
        <v>30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 t="s">
        <v>31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 t="s">
        <v>32</v>
      </c>
      <c r="B255" s="9">
        <v>7.0</v>
      </c>
      <c r="C255" s="10">
        <v>3.421571E7</v>
      </c>
      <c r="D255" s="10">
        <v>3.421571E7</v>
      </c>
      <c r="E255" s="10">
        <v>6215324.0</v>
      </c>
      <c r="F255" s="10">
        <v>2713872.0</v>
      </c>
      <c r="G255" s="9">
        <v>0.0</v>
      </c>
      <c r="H255" s="9">
        <v>0.0</v>
      </c>
      <c r="I255" s="9">
        <v>0.0</v>
      </c>
      <c r="J255" s="10">
        <v>108408.0</v>
      </c>
      <c r="K255" s="10">
        <f>215478*6</f>
        <v>1292868</v>
      </c>
      <c r="L255" s="10">
        <v>304520.0</v>
      </c>
      <c r="M255" s="10">
        <v>102645.0</v>
      </c>
      <c r="N255" s="9">
        <v>0.0</v>
      </c>
      <c r="O255" s="10">
        <v>342158.0</v>
      </c>
      <c r="P255" s="2">
        <v>684316.0</v>
      </c>
      <c r="Q255" s="9">
        <v>0.0</v>
      </c>
      <c r="R255" s="9">
        <v>0.0</v>
      </c>
      <c r="S255" s="9">
        <v>269979.0</v>
      </c>
      <c r="T255" s="9">
        <v>269979.0</v>
      </c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12">
        <v>3.421571E7</v>
      </c>
      <c r="D256" s="12">
        <v>3.421571E7</v>
      </c>
      <c r="E256" s="12">
        <v>6215324.0</v>
      </c>
      <c r="F256" s="12">
        <v>2713872.0</v>
      </c>
      <c r="G256" s="13">
        <v>0.0</v>
      </c>
      <c r="H256" s="13">
        <v>0.0</v>
      </c>
      <c r="I256" s="13">
        <v>0.0</v>
      </c>
      <c r="J256" s="12">
        <v>108408.0</v>
      </c>
      <c r="K256" s="12"/>
      <c r="L256" s="12"/>
      <c r="M256" s="12"/>
      <c r="N256" s="14">
        <v>0.0</v>
      </c>
      <c r="O256" s="12">
        <v>342158.0</v>
      </c>
      <c r="P256" s="14"/>
      <c r="Q256" s="13">
        <v>0.0</v>
      </c>
      <c r="R256" s="13">
        <v>0.0</v>
      </c>
      <c r="S256" s="13"/>
      <c r="T256" s="13"/>
      <c r="U256" s="2"/>
      <c r="V256" s="2"/>
      <c r="W256" s="2"/>
      <c r="X256" s="2"/>
      <c r="Y256" s="2"/>
      <c r="Z256" s="2"/>
    </row>
    <row r="257" ht="12.75" customHeight="1">
      <c r="A257" s="2" t="s">
        <v>33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 t="s">
        <v>32</v>
      </c>
      <c r="B258" s="9">
        <v>6.0</v>
      </c>
      <c r="C258" s="10">
        <v>3.0157374E7</v>
      </c>
      <c r="D258" s="10">
        <v>2.8857374E7</v>
      </c>
      <c r="E258" s="10">
        <v>6183271.0</v>
      </c>
      <c r="F258" s="10">
        <v>3710706.0</v>
      </c>
      <c r="G258" s="10">
        <v>146173.0</v>
      </c>
      <c r="H258" s="9">
        <v>0.0</v>
      </c>
      <c r="I258" s="9">
        <v>0.0</v>
      </c>
      <c r="J258" s="9">
        <v>0.0</v>
      </c>
      <c r="K258" s="10">
        <f>215478*5</f>
        <v>1077390</v>
      </c>
      <c r="L258" s="10">
        <v>268399.0</v>
      </c>
      <c r="M258" s="10">
        <v>90471.0</v>
      </c>
      <c r="N258" s="11">
        <v>0.0</v>
      </c>
      <c r="O258" s="10">
        <v>267974.0</v>
      </c>
      <c r="P258" s="11">
        <v>535948.0</v>
      </c>
      <c r="Q258" s="10">
        <v>1300000.0</v>
      </c>
      <c r="R258" s="9">
        <v>0.0</v>
      </c>
      <c r="S258" s="9">
        <v>486229.0</v>
      </c>
      <c r="T258" s="9">
        <v>486229.0</v>
      </c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12">
        <v>3.0157374E7</v>
      </c>
      <c r="D259" s="12">
        <v>2.8857374E7</v>
      </c>
      <c r="E259" s="12">
        <v>6183271.0</v>
      </c>
      <c r="F259" s="12">
        <v>3710706.0</v>
      </c>
      <c r="G259" s="12">
        <v>146173.0</v>
      </c>
      <c r="H259" s="13">
        <v>0.0</v>
      </c>
      <c r="I259" s="13">
        <v>0.0</v>
      </c>
      <c r="J259" s="13">
        <v>0.0</v>
      </c>
      <c r="K259" s="12"/>
      <c r="L259" s="12"/>
      <c r="M259" s="12"/>
      <c r="N259" s="14">
        <v>0.0</v>
      </c>
      <c r="O259" s="12">
        <v>267974.0</v>
      </c>
      <c r="P259" s="14"/>
      <c r="Q259" s="12">
        <v>1300000.0</v>
      </c>
      <c r="R259" s="13">
        <v>0.0</v>
      </c>
      <c r="S259" s="13"/>
      <c r="T259" s="13"/>
      <c r="U259" s="2"/>
      <c r="V259" s="2"/>
      <c r="W259" s="2"/>
      <c r="X259" s="2"/>
      <c r="Y259" s="2"/>
      <c r="Z259" s="2"/>
    </row>
    <row r="260" ht="12.75" customHeight="1">
      <c r="A260" s="2" t="s">
        <v>34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 t="s">
        <v>35</v>
      </c>
      <c r="B261" s="9">
        <v>1.0</v>
      </c>
      <c r="C261" s="10">
        <v>5750000.0</v>
      </c>
      <c r="D261" s="10">
        <v>5750000.0</v>
      </c>
      <c r="E261" s="9">
        <v>0.0</v>
      </c>
      <c r="F261" s="9">
        <v>0.0</v>
      </c>
      <c r="G261" s="10">
        <v>124635.0</v>
      </c>
      <c r="H261" s="9">
        <v>0.0</v>
      </c>
      <c r="I261" s="9">
        <v>0.0</v>
      </c>
      <c r="J261" s="9">
        <v>0.0</v>
      </c>
      <c r="K261" s="10">
        <f>215478*1</f>
        <v>215478</v>
      </c>
      <c r="L261" s="10">
        <v>51175.0</v>
      </c>
      <c r="M261" s="10">
        <v>17250.0</v>
      </c>
      <c r="N261" s="9">
        <v>0.0</v>
      </c>
      <c r="O261" s="10">
        <v>57500.0</v>
      </c>
      <c r="P261" s="2">
        <v>115000.0</v>
      </c>
      <c r="Q261" s="9">
        <v>0.0</v>
      </c>
      <c r="R261" s="9">
        <v>0.0</v>
      </c>
      <c r="S261" s="9">
        <v>29695.0</v>
      </c>
      <c r="T261" s="9">
        <v>29695.0</v>
      </c>
      <c r="U261" s="2"/>
      <c r="V261" s="2"/>
      <c r="W261" s="2"/>
      <c r="X261" s="2"/>
      <c r="Y261" s="2"/>
      <c r="Z261" s="2"/>
    </row>
    <row r="262" ht="12.75" customHeight="1">
      <c r="A262" s="3" t="s">
        <v>36</v>
      </c>
      <c r="B262" s="9">
        <v>3.0</v>
      </c>
      <c r="C262" s="10">
        <v>3.0163291E7</v>
      </c>
      <c r="D262" s="10">
        <v>2.5163291E7</v>
      </c>
      <c r="E262" s="9">
        <v>0.0</v>
      </c>
      <c r="F262" s="9">
        <v>0.0</v>
      </c>
      <c r="G262" s="9">
        <v>0.0</v>
      </c>
      <c r="H262" s="9">
        <v>0.0</v>
      </c>
      <c r="I262" s="9">
        <v>0.0</v>
      </c>
      <c r="J262" s="10">
        <v>196100.0</v>
      </c>
      <c r="K262" s="10">
        <f>215478*3</f>
        <v>646434</v>
      </c>
      <c r="L262" s="10">
        <v>268453.0</v>
      </c>
      <c r="M262" s="10">
        <v>90489.0</v>
      </c>
      <c r="N262" s="19">
        <v>2695000.0</v>
      </c>
      <c r="O262" s="10">
        <v>192084.0</v>
      </c>
      <c r="P262" s="19">
        <v>384168.0</v>
      </c>
      <c r="Q262" s="10">
        <v>5000000.0</v>
      </c>
      <c r="R262" s="9">
        <v>0.0</v>
      </c>
      <c r="S262" s="9">
        <v>2651686.0</v>
      </c>
      <c r="T262" s="9">
        <v>2651686.0</v>
      </c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12">
        <v>3.5913291E7</v>
      </c>
      <c r="D263" s="12">
        <v>3.0913291E7</v>
      </c>
      <c r="E263" s="13">
        <v>0.0</v>
      </c>
      <c r="F263" s="13">
        <v>0.0</v>
      </c>
      <c r="G263" s="12">
        <v>124635.0</v>
      </c>
      <c r="H263" s="13">
        <v>0.0</v>
      </c>
      <c r="I263" s="13">
        <v>0.0</v>
      </c>
      <c r="J263" s="12">
        <v>196100.0</v>
      </c>
      <c r="K263" s="12"/>
      <c r="L263" s="12"/>
      <c r="M263" s="12"/>
      <c r="N263" s="15">
        <v>2695000.0</v>
      </c>
      <c r="O263" s="12">
        <v>249584.0</v>
      </c>
      <c r="P263" s="15"/>
      <c r="Q263" s="12">
        <v>5000000.0</v>
      </c>
      <c r="R263" s="13">
        <v>0.0</v>
      </c>
      <c r="S263" s="13"/>
      <c r="T263" s="13"/>
      <c r="U263" s="2"/>
      <c r="V263" s="2"/>
      <c r="W263" s="2"/>
      <c r="X263" s="2"/>
      <c r="Y263" s="2"/>
      <c r="Z263" s="2"/>
    </row>
    <row r="264" ht="12.75" customHeight="1">
      <c r="A264" s="3" t="s">
        <v>37</v>
      </c>
      <c r="B264" s="9">
        <v>17.0</v>
      </c>
      <c r="C264" s="12">
        <v>1.00286375E8</v>
      </c>
      <c r="D264" s="12">
        <v>9.3986375E7</v>
      </c>
      <c r="E264" s="12">
        <v>1.2398595E7</v>
      </c>
      <c r="F264" s="12">
        <v>6424578.0</v>
      </c>
      <c r="G264" s="12">
        <v>270808.0</v>
      </c>
      <c r="H264" s="13">
        <v>0.0</v>
      </c>
      <c r="I264" s="13">
        <v>0.0</v>
      </c>
      <c r="J264" s="12">
        <v>304508.0</v>
      </c>
      <c r="K264" s="12">
        <f t="shared" ref="K264:M264" si="54">SUM(K255:K263)</f>
        <v>3232170</v>
      </c>
      <c r="L264" s="12">
        <f t="shared" si="54"/>
        <v>892547</v>
      </c>
      <c r="M264" s="12">
        <f t="shared" si="54"/>
        <v>300855</v>
      </c>
      <c r="N264" s="15">
        <v>2695000.0</v>
      </c>
      <c r="O264" s="12">
        <v>859716.0</v>
      </c>
      <c r="P264" s="12">
        <f>SUM(P255:P263)</f>
        <v>1719432</v>
      </c>
      <c r="Q264" s="12">
        <v>6300000.0</v>
      </c>
      <c r="R264" s="13">
        <v>0.0</v>
      </c>
      <c r="S264" s="12">
        <f t="shared" ref="S264:T264" si="55">SUM(S255:S263)</f>
        <v>3437589</v>
      </c>
      <c r="T264" s="12">
        <f t="shared" si="55"/>
        <v>3437589</v>
      </c>
      <c r="U264" s="2"/>
      <c r="V264" s="2"/>
      <c r="W264" s="2"/>
      <c r="X264" s="2"/>
      <c r="Y264" s="2"/>
      <c r="Z264" s="2"/>
    </row>
    <row r="265" ht="12.75" customHeight="1">
      <c r="A265" s="3" t="s">
        <v>38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 t="s">
        <v>31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 t="s">
        <v>32</v>
      </c>
      <c r="B267" s="9">
        <v>7.0</v>
      </c>
      <c r="C267" s="10">
        <v>3.3685317E7</v>
      </c>
      <c r="D267" s="10">
        <v>3.3685317E7</v>
      </c>
      <c r="E267" s="10">
        <v>4493457.0</v>
      </c>
      <c r="F267" s="10">
        <v>5708325.0</v>
      </c>
      <c r="G267" s="10">
        <v>145942.0</v>
      </c>
      <c r="H267" s="10">
        <v>185944.0</v>
      </c>
      <c r="I267" s="9">
        <v>0.0</v>
      </c>
      <c r="J267" s="10">
        <v>194849.0</v>
      </c>
      <c r="K267" s="10">
        <f>215478*7</f>
        <v>1508346</v>
      </c>
      <c r="L267" s="10">
        <v>299800.0</v>
      </c>
      <c r="M267" s="10">
        <v>101055.0</v>
      </c>
      <c r="N267" s="9">
        <v>0.0</v>
      </c>
      <c r="O267" s="10">
        <v>336854.0</v>
      </c>
      <c r="P267" s="2">
        <v>673708.0</v>
      </c>
      <c r="Q267" s="9">
        <v>0.0</v>
      </c>
      <c r="R267" s="9">
        <v>0.0</v>
      </c>
      <c r="S267" s="9">
        <v>298672.0</v>
      </c>
      <c r="T267" s="9">
        <v>298672.0</v>
      </c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12">
        <v>3.3685317E7</v>
      </c>
      <c r="D268" s="12">
        <v>3.3685317E7</v>
      </c>
      <c r="E268" s="12">
        <v>4493457.0</v>
      </c>
      <c r="F268" s="12">
        <v>5708325.0</v>
      </c>
      <c r="G268" s="12">
        <v>145942.0</v>
      </c>
      <c r="H268" s="12">
        <v>185944.0</v>
      </c>
      <c r="I268" s="13">
        <v>0.0</v>
      </c>
      <c r="J268" s="12">
        <v>194849.0</v>
      </c>
      <c r="K268" s="12"/>
      <c r="L268" s="12"/>
      <c r="M268" s="12"/>
      <c r="N268" s="14">
        <v>0.0</v>
      </c>
      <c r="O268" s="12">
        <v>336854.0</v>
      </c>
      <c r="P268" s="14"/>
      <c r="Q268" s="13">
        <v>0.0</v>
      </c>
      <c r="R268" s="13">
        <v>0.0</v>
      </c>
      <c r="S268" s="13"/>
      <c r="T268" s="13"/>
      <c r="U268" s="2"/>
      <c r="V268" s="2"/>
      <c r="W268" s="2"/>
      <c r="X268" s="2"/>
      <c r="Y268" s="2"/>
      <c r="Z268" s="2"/>
    </row>
    <row r="269" ht="12.75" customHeight="1">
      <c r="A269" s="2" t="s">
        <v>33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 t="s">
        <v>32</v>
      </c>
      <c r="B270" s="9">
        <v>12.0</v>
      </c>
      <c r="C270" s="10">
        <v>6.6971543E7</v>
      </c>
      <c r="D270" s="10">
        <v>6.3121543E7</v>
      </c>
      <c r="E270" s="10">
        <v>9987096.0</v>
      </c>
      <c r="F270" s="10">
        <v>1.568106E7</v>
      </c>
      <c r="G270" s="10">
        <v>385742.0</v>
      </c>
      <c r="H270" s="9">
        <v>0.0</v>
      </c>
      <c r="I270" s="10">
        <v>1439878.0</v>
      </c>
      <c r="J270" s="10">
        <v>532426.0</v>
      </c>
      <c r="K270" s="10">
        <f>215478*12</f>
        <v>2585736</v>
      </c>
      <c r="L270" s="10">
        <v>596047.0</v>
      </c>
      <c r="M270" s="10">
        <v>200914.0</v>
      </c>
      <c r="N270" s="11">
        <v>0.0</v>
      </c>
      <c r="O270" s="10">
        <v>669715.0</v>
      </c>
      <c r="P270" s="11">
        <v>1339430.0</v>
      </c>
      <c r="Q270" s="10">
        <v>3850000.0</v>
      </c>
      <c r="R270" s="9">
        <v>0.0</v>
      </c>
      <c r="S270" s="9">
        <v>2498876.0</v>
      </c>
      <c r="T270" s="9">
        <v>2498876.0</v>
      </c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12">
        <v>6.6971543E7</v>
      </c>
      <c r="D271" s="12">
        <v>6.3121543E7</v>
      </c>
      <c r="E271" s="12">
        <v>9987096.0</v>
      </c>
      <c r="F271" s="12">
        <v>1.568106E7</v>
      </c>
      <c r="G271" s="12">
        <v>385742.0</v>
      </c>
      <c r="H271" s="13">
        <v>0.0</v>
      </c>
      <c r="I271" s="12"/>
      <c r="J271" s="12">
        <v>532426.0</v>
      </c>
      <c r="K271" s="12"/>
      <c r="L271" s="12"/>
      <c r="M271" s="12"/>
      <c r="N271" s="14">
        <v>0.0</v>
      </c>
      <c r="O271" s="12">
        <v>669715.0</v>
      </c>
      <c r="P271" s="14"/>
      <c r="Q271" s="12">
        <v>3850000.0</v>
      </c>
      <c r="R271" s="13">
        <v>0.0</v>
      </c>
      <c r="S271" s="13"/>
      <c r="T271" s="13"/>
      <c r="U271" s="2"/>
      <c r="V271" s="2"/>
      <c r="W271" s="2"/>
      <c r="X271" s="2"/>
      <c r="Y271" s="2"/>
      <c r="Z271" s="2"/>
    </row>
    <row r="272" ht="12.75" customHeight="1">
      <c r="A272" s="2" t="s">
        <v>34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 t="s">
        <v>35</v>
      </c>
      <c r="B273" s="9">
        <v>3.0</v>
      </c>
      <c r="C273" s="10">
        <v>1.9613945E7</v>
      </c>
      <c r="D273" s="10">
        <v>1.9013945E7</v>
      </c>
      <c r="E273" s="9">
        <v>0.0</v>
      </c>
      <c r="F273" s="9">
        <v>0.0</v>
      </c>
      <c r="G273" s="10">
        <v>109752.0</v>
      </c>
      <c r="H273" s="9">
        <v>0.0</v>
      </c>
      <c r="I273" s="10">
        <v>153208.0</v>
      </c>
      <c r="J273" s="10">
        <v>96567.0</v>
      </c>
      <c r="K273" s="10">
        <f>215478*3</f>
        <v>646434</v>
      </c>
      <c r="L273" s="10">
        <v>174564.0</v>
      </c>
      <c r="M273" s="10">
        <v>58842.0</v>
      </c>
      <c r="N273" s="10">
        <v>1170000.0</v>
      </c>
      <c r="O273" s="10">
        <v>196139.0</v>
      </c>
      <c r="P273" s="2">
        <v>392278.0</v>
      </c>
      <c r="Q273" s="10">
        <v>600000.0</v>
      </c>
      <c r="R273" s="9">
        <v>0.0</v>
      </c>
      <c r="S273" s="9">
        <v>258211.0</v>
      </c>
      <c r="T273" s="9">
        <v>258211.0</v>
      </c>
      <c r="U273" s="2"/>
      <c r="V273" s="2"/>
      <c r="W273" s="2"/>
      <c r="X273" s="2"/>
      <c r="Y273" s="2"/>
      <c r="Z273" s="2"/>
    </row>
    <row r="274" ht="12.75" customHeight="1">
      <c r="A274" s="3" t="s">
        <v>36</v>
      </c>
      <c r="B274" s="9">
        <v>2.0</v>
      </c>
      <c r="C274" s="10">
        <v>2.237086E7</v>
      </c>
      <c r="D274" s="10">
        <v>1.817086E7</v>
      </c>
      <c r="E274" s="9">
        <v>0.0</v>
      </c>
      <c r="F274" s="9">
        <v>0.0</v>
      </c>
      <c r="G274" s="10">
        <v>51075.0</v>
      </c>
      <c r="H274" s="9">
        <v>0.0</v>
      </c>
      <c r="I274" s="10">
        <v>735000.0</v>
      </c>
      <c r="J274" s="10">
        <v>131075.0</v>
      </c>
      <c r="K274" s="10">
        <f>215478*2</f>
        <v>430956</v>
      </c>
      <c r="L274" s="10">
        <v>199101.0</v>
      </c>
      <c r="M274" s="10">
        <v>67112.0</v>
      </c>
      <c r="N274" s="11">
        <v>0.0</v>
      </c>
      <c r="O274" s="10">
        <v>185693.0</v>
      </c>
      <c r="P274" s="11">
        <v>371386.0</v>
      </c>
      <c r="Q274" s="10">
        <v>4200000.0</v>
      </c>
      <c r="R274" s="9">
        <v>0.0</v>
      </c>
      <c r="S274" s="9">
        <v>1095234.0</v>
      </c>
      <c r="T274" s="9">
        <v>1095234.0</v>
      </c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12">
        <v>4.1984805E7</v>
      </c>
      <c r="D275" s="12">
        <v>3.7184805E7</v>
      </c>
      <c r="E275" s="13">
        <v>0.0</v>
      </c>
      <c r="F275" s="13">
        <v>0.0</v>
      </c>
      <c r="G275" s="12">
        <v>160827.0</v>
      </c>
      <c r="H275" s="13">
        <v>0.0</v>
      </c>
      <c r="I275" s="12"/>
      <c r="J275" s="12">
        <v>227642.0</v>
      </c>
      <c r="K275" s="12"/>
      <c r="L275" s="12"/>
      <c r="M275" s="12"/>
      <c r="N275" s="15">
        <v>1170000.0</v>
      </c>
      <c r="O275" s="12">
        <v>381832.0</v>
      </c>
      <c r="P275" s="15"/>
      <c r="Q275" s="12">
        <v>4800000.0</v>
      </c>
      <c r="R275" s="13">
        <v>0.0</v>
      </c>
      <c r="S275" s="13"/>
      <c r="T275" s="13"/>
      <c r="U275" s="2"/>
      <c r="V275" s="2"/>
      <c r="W275" s="2"/>
      <c r="X275" s="2"/>
      <c r="Y275" s="2"/>
      <c r="Z275" s="2"/>
    </row>
    <row r="276" ht="12.75" customHeight="1">
      <c r="A276" s="3" t="s">
        <v>39</v>
      </c>
      <c r="B276" s="9">
        <v>24.0</v>
      </c>
      <c r="C276" s="12">
        <v>1.42641665E8</v>
      </c>
      <c r="D276" s="12">
        <v>1.33991665E8</v>
      </c>
      <c r="E276" s="12">
        <v>1.4480553E7</v>
      </c>
      <c r="F276" s="12">
        <v>2.1389385E7</v>
      </c>
      <c r="G276" s="12">
        <v>692511.0</v>
      </c>
      <c r="H276" s="12">
        <v>185944.0</v>
      </c>
      <c r="I276" s="12">
        <f>SUM(I267:I275)</f>
        <v>2328086</v>
      </c>
      <c r="J276" s="12">
        <v>954917.0</v>
      </c>
      <c r="K276" s="12">
        <f t="shared" ref="K276:M276" si="56">SUM(K267:K275)</f>
        <v>5171472</v>
      </c>
      <c r="L276" s="12">
        <f t="shared" si="56"/>
        <v>1269512</v>
      </c>
      <c r="M276" s="12">
        <f t="shared" si="56"/>
        <v>427923</v>
      </c>
      <c r="N276" s="15">
        <v>1170000.0</v>
      </c>
      <c r="O276" s="12">
        <v>1388401.0</v>
      </c>
      <c r="P276" s="12">
        <f>SUM(P267:P275)</f>
        <v>2776802</v>
      </c>
      <c r="Q276" s="12">
        <v>8650000.0</v>
      </c>
      <c r="R276" s="13">
        <v>0.0</v>
      </c>
      <c r="S276" s="12">
        <f t="shared" ref="S276:T276" si="57">SUM(S267:S275)</f>
        <v>4150993</v>
      </c>
      <c r="T276" s="12">
        <f t="shared" si="57"/>
        <v>4150993</v>
      </c>
      <c r="U276" s="2"/>
      <c r="V276" s="2"/>
      <c r="W276" s="2"/>
      <c r="X276" s="2"/>
      <c r="Y276" s="2"/>
      <c r="Z276" s="2"/>
    </row>
    <row r="277" ht="12.75" customHeight="1">
      <c r="A277" s="16" t="s">
        <v>62</v>
      </c>
      <c r="B277" s="13">
        <v>41.0</v>
      </c>
      <c r="C277" s="12">
        <v>2.4292804E8</v>
      </c>
      <c r="D277" s="12">
        <v>2.2797804E8</v>
      </c>
      <c r="E277" s="17">
        <v>2.6879148E7</v>
      </c>
      <c r="F277" s="17">
        <v>2.7813963E7</v>
      </c>
      <c r="G277" s="12">
        <v>963319.0</v>
      </c>
      <c r="H277" s="12">
        <v>185944.0</v>
      </c>
      <c r="I277" s="12">
        <f>SUM(I264,I276)</f>
        <v>2328086</v>
      </c>
      <c r="J277" s="12">
        <v>1259425.0</v>
      </c>
      <c r="K277" s="12">
        <f t="shared" ref="K277:M277" si="58">SUM(K264,K276)</f>
        <v>8403642</v>
      </c>
      <c r="L277" s="12">
        <f t="shared" si="58"/>
        <v>2162059</v>
      </c>
      <c r="M277" s="12">
        <f t="shared" si="58"/>
        <v>728778</v>
      </c>
      <c r="N277" s="15">
        <v>3865000.0</v>
      </c>
      <c r="O277" s="12">
        <v>2248117.0</v>
      </c>
      <c r="P277" s="12">
        <f>SUM(P264,P276)</f>
        <v>4496234</v>
      </c>
      <c r="Q277" s="12">
        <v>1.495E7</v>
      </c>
      <c r="R277" s="13">
        <v>0.0</v>
      </c>
      <c r="S277" s="12">
        <f t="shared" ref="S277:T277" si="59">SUM(S264,S276)</f>
        <v>7588582</v>
      </c>
      <c r="T277" s="12">
        <f t="shared" si="59"/>
        <v>7588582</v>
      </c>
      <c r="U277" s="18">
        <f>SUM(C277,E277,F277,I277,J277,K277,L277,M277,N277,S277)-SUM(G277,H277)</f>
        <v>322807460</v>
      </c>
      <c r="V277" s="2" t="s">
        <v>61</v>
      </c>
      <c r="W277" s="2"/>
      <c r="X277" s="2"/>
      <c r="Y277" s="2"/>
      <c r="Z277" s="2"/>
    </row>
    <row r="278" ht="12.75" customHeight="1">
      <c r="A278" s="1" t="s">
        <v>0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 t="s">
        <v>1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 t="s">
        <v>2</v>
      </c>
      <c r="O279" s="2"/>
      <c r="P279" s="2" t="s">
        <v>3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1" t="s">
        <v>4</v>
      </c>
      <c r="G280" s="1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 t="s">
        <v>5</v>
      </c>
      <c r="Q281" s="4">
        <v>4.0</v>
      </c>
      <c r="R281" s="3" t="s">
        <v>6</v>
      </c>
      <c r="S281" s="4">
        <v>4.0</v>
      </c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6" t="s">
        <v>15</v>
      </c>
      <c r="K282" s="6" t="s">
        <v>16</v>
      </c>
      <c r="L282" s="6"/>
      <c r="M282" s="6"/>
      <c r="N282" s="2"/>
      <c r="O282" s="6" t="s">
        <v>20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6" t="s">
        <v>7</v>
      </c>
      <c r="C283" s="6" t="s">
        <v>8</v>
      </c>
      <c r="D283" s="6" t="s">
        <v>9</v>
      </c>
      <c r="E283" s="6" t="s">
        <v>10</v>
      </c>
      <c r="F283" s="6" t="s">
        <v>11</v>
      </c>
      <c r="G283" s="6" t="s">
        <v>12</v>
      </c>
      <c r="H283" s="6" t="s">
        <v>13</v>
      </c>
      <c r="I283" s="6" t="s">
        <v>14</v>
      </c>
      <c r="J283" s="2"/>
      <c r="K283" s="2"/>
      <c r="L283" s="2"/>
      <c r="M283" s="2"/>
      <c r="N283" s="2" t="s">
        <v>19</v>
      </c>
      <c r="O283" s="2"/>
      <c r="P283" s="2"/>
      <c r="Q283" s="6" t="s">
        <v>22</v>
      </c>
      <c r="R283" s="6" t="s">
        <v>23</v>
      </c>
      <c r="S283" s="6" t="s">
        <v>24</v>
      </c>
      <c r="T283" s="6" t="s">
        <v>25</v>
      </c>
      <c r="U283" s="2"/>
      <c r="V283" s="2"/>
      <c r="W283" s="2"/>
      <c r="X283" s="2"/>
      <c r="Y283" s="2"/>
      <c r="Z283" s="2"/>
    </row>
    <row r="284" ht="12.75" customHeight="1">
      <c r="A284" s="21" t="s">
        <v>62</v>
      </c>
      <c r="B284" s="9">
        <v>78.0</v>
      </c>
      <c r="C284" s="12">
        <v>6.62019926E8</v>
      </c>
      <c r="D284" s="12">
        <v>6.05469926E8</v>
      </c>
      <c r="E284" s="12">
        <v>2.7864578E7</v>
      </c>
      <c r="F284" s="12">
        <v>3.9100294E7</v>
      </c>
      <c r="G284" s="12">
        <v>1339383.0</v>
      </c>
      <c r="H284" s="12">
        <v>451786.0</v>
      </c>
      <c r="I284" s="12">
        <f>SUM(I222,I243,I277)</f>
        <v>11464317</v>
      </c>
      <c r="J284" s="12">
        <v>4810638.0</v>
      </c>
      <c r="K284" s="12">
        <f t="shared" ref="K284:M284" si="60">SUM(K222,K243,K277)</f>
        <v>16160850</v>
      </c>
      <c r="L284" s="12">
        <f t="shared" si="60"/>
        <v>5891978</v>
      </c>
      <c r="M284" s="12">
        <f t="shared" si="60"/>
        <v>1986055</v>
      </c>
      <c r="N284" s="15">
        <v>6520000.0</v>
      </c>
      <c r="O284" s="12">
        <v>4867568.0</v>
      </c>
      <c r="P284" s="12">
        <f>SUM(P222,P243,P277)</f>
        <v>9735136</v>
      </c>
      <c r="Q284" s="12">
        <v>5.43E7</v>
      </c>
      <c r="R284" s="12">
        <v>750000.0</v>
      </c>
      <c r="S284" s="12">
        <f t="shared" ref="S284:T284" si="61">SUM(S222,S243,S277)</f>
        <v>53803151</v>
      </c>
      <c r="T284" s="12">
        <f t="shared" si="61"/>
        <v>53803151</v>
      </c>
      <c r="U284" s="15">
        <f>SUM(C284,E284,F284,I284,J284,K284,L284,M284,N284,S284)-SUM(G284,H284)</f>
        <v>827830618</v>
      </c>
      <c r="V284" s="2" t="s">
        <v>61</v>
      </c>
      <c r="W284" s="2">
        <v>7849658.0</v>
      </c>
      <c r="X284" s="19">
        <f>T284+W284</f>
        <v>61652809</v>
      </c>
      <c r="Y284" s="2"/>
      <c r="Z284" s="2"/>
    </row>
    <row r="285" ht="12.75" customHeight="1">
      <c r="A285" s="2" t="s">
        <v>42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 t="s">
        <v>43</v>
      </c>
      <c r="J286" s="2"/>
      <c r="K286" s="2"/>
      <c r="L286" s="2"/>
      <c r="M286" s="2"/>
      <c r="N286" s="2"/>
      <c r="O286" s="2"/>
      <c r="P286" s="2"/>
      <c r="Q286" s="2"/>
      <c r="R286" s="2" t="s">
        <v>44</v>
      </c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 t="s">
        <v>0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 t="s">
        <v>1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 t="s">
        <v>2</v>
      </c>
      <c r="O288" s="2"/>
      <c r="P288" s="2" t="s">
        <v>3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1" t="s">
        <v>4</v>
      </c>
      <c r="G289" s="1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 t="s">
        <v>5</v>
      </c>
      <c r="Q290" s="4">
        <v>1.0</v>
      </c>
      <c r="R290" s="3" t="s">
        <v>6</v>
      </c>
      <c r="S290" s="4">
        <v>2.0</v>
      </c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6" t="s">
        <v>15</v>
      </c>
      <c r="K291" s="6" t="s">
        <v>16</v>
      </c>
      <c r="L291" s="6"/>
      <c r="M291" s="6"/>
      <c r="N291" s="2"/>
      <c r="O291" s="6" t="s">
        <v>20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6" t="s">
        <v>7</v>
      </c>
      <c r="C292" s="6" t="s">
        <v>8</v>
      </c>
      <c r="D292" s="6" t="s">
        <v>9</v>
      </c>
      <c r="E292" s="6" t="s">
        <v>10</v>
      </c>
      <c r="F292" s="6" t="s">
        <v>11</v>
      </c>
      <c r="G292" s="6" t="s">
        <v>12</v>
      </c>
      <c r="H292" s="6" t="s">
        <v>13</v>
      </c>
      <c r="I292" s="6" t="s">
        <v>14</v>
      </c>
      <c r="J292" s="2"/>
      <c r="K292" s="2"/>
      <c r="L292" s="5" t="s">
        <v>17</v>
      </c>
      <c r="M292" s="5" t="s">
        <v>18</v>
      </c>
      <c r="N292" s="2" t="s">
        <v>19</v>
      </c>
      <c r="O292" s="2"/>
      <c r="P292" s="5" t="s">
        <v>21</v>
      </c>
      <c r="Q292" s="6" t="s">
        <v>22</v>
      </c>
      <c r="R292" s="6" t="s">
        <v>23</v>
      </c>
      <c r="S292" s="6" t="s">
        <v>24</v>
      </c>
      <c r="T292" s="6" t="s">
        <v>25</v>
      </c>
      <c r="U292" s="2"/>
      <c r="V292" s="2"/>
      <c r="W292" s="2"/>
      <c r="X292" s="2"/>
      <c r="Y292" s="2"/>
      <c r="Z292" s="2"/>
    </row>
    <row r="293" ht="12.75" customHeight="1">
      <c r="A293" s="1" t="s">
        <v>63</v>
      </c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 t="s">
        <v>30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 t="s">
        <v>33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 t="s">
        <v>32</v>
      </c>
      <c r="B297" s="9">
        <v>2.0</v>
      </c>
      <c r="C297" s="10">
        <v>8418618.0</v>
      </c>
      <c r="D297" s="10">
        <v>8418618.0</v>
      </c>
      <c r="E297" s="9">
        <v>0.0</v>
      </c>
      <c r="F297" s="9">
        <v>0.0</v>
      </c>
      <c r="G297" s="10">
        <v>35100.0</v>
      </c>
      <c r="H297" s="9">
        <v>0.0</v>
      </c>
      <c r="I297" s="9">
        <v>0.0</v>
      </c>
      <c r="J297" s="9">
        <v>0.0</v>
      </c>
      <c r="K297" s="10">
        <v>197969.0</v>
      </c>
      <c r="L297" s="10">
        <v>20204.0</v>
      </c>
      <c r="M297" s="10">
        <v>25256.0</v>
      </c>
      <c r="N297" s="11">
        <v>0.0</v>
      </c>
      <c r="O297" s="10">
        <v>84186.0</v>
      </c>
      <c r="P297" s="11">
        <v>168372.0</v>
      </c>
      <c r="Q297" s="9">
        <v>0.0</v>
      </c>
      <c r="R297" s="9">
        <v>0.0</v>
      </c>
      <c r="S297" s="9">
        <v>0.0</v>
      </c>
      <c r="T297" s="9">
        <v>0.0</v>
      </c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12">
        <v>8418618.0</v>
      </c>
      <c r="D298" s="12">
        <v>8418618.0</v>
      </c>
      <c r="E298" s="13">
        <v>0.0</v>
      </c>
      <c r="F298" s="13">
        <v>0.0</v>
      </c>
      <c r="G298" s="12">
        <v>35100.0</v>
      </c>
      <c r="H298" s="13">
        <v>0.0</v>
      </c>
      <c r="I298" s="13">
        <v>0.0</v>
      </c>
      <c r="J298" s="13">
        <v>0.0</v>
      </c>
      <c r="K298" s="12"/>
      <c r="L298" s="12"/>
      <c r="M298" s="12"/>
      <c r="N298" s="14">
        <v>0.0</v>
      </c>
      <c r="O298" s="12">
        <v>84186.0</v>
      </c>
      <c r="P298" s="14"/>
      <c r="Q298" s="13">
        <v>0.0</v>
      </c>
      <c r="R298" s="13">
        <v>0.0</v>
      </c>
      <c r="S298" s="13"/>
      <c r="T298" s="13"/>
      <c r="U298" s="2"/>
      <c r="V298" s="2"/>
      <c r="W298" s="2"/>
      <c r="X298" s="2"/>
      <c r="Y298" s="2"/>
      <c r="Z298" s="2"/>
    </row>
    <row r="299" ht="12.75" customHeight="1">
      <c r="A299" s="2" t="s">
        <v>34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 t="s">
        <v>35</v>
      </c>
      <c r="B300" s="9">
        <v>9.0</v>
      </c>
      <c r="C300" s="10">
        <v>3.9384005E7</v>
      </c>
      <c r="D300" s="10">
        <v>3.9384005E7</v>
      </c>
      <c r="E300" s="9">
        <v>0.0</v>
      </c>
      <c r="F300" s="9">
        <v>0.0</v>
      </c>
      <c r="G300" s="9">
        <v>0.0</v>
      </c>
      <c r="H300" s="9">
        <v>0.0</v>
      </c>
      <c r="I300" s="9">
        <v>0.0</v>
      </c>
      <c r="J300" s="9">
        <v>0.0</v>
      </c>
      <c r="K300" s="10">
        <f>197969*6</f>
        <v>1187814</v>
      </c>
      <c r="L300" s="10">
        <v>94521.0</v>
      </c>
      <c r="M300" s="10">
        <v>118152.0</v>
      </c>
      <c r="N300" s="10">
        <v>120000.0</v>
      </c>
      <c r="O300" s="10">
        <v>393839.0</v>
      </c>
      <c r="P300" s="2">
        <v>787678.0</v>
      </c>
      <c r="Q300" s="9">
        <v>0.0</v>
      </c>
      <c r="R300" s="9">
        <v>0.0</v>
      </c>
      <c r="S300" s="9">
        <v>13662.0</v>
      </c>
      <c r="T300" s="9">
        <v>13662.0</v>
      </c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12">
        <v>3.9384005E7</v>
      </c>
      <c r="D301" s="12">
        <v>3.9384005E7</v>
      </c>
      <c r="E301" s="13">
        <v>0.0</v>
      </c>
      <c r="F301" s="13">
        <v>0.0</v>
      </c>
      <c r="G301" s="13">
        <v>0.0</v>
      </c>
      <c r="H301" s="13">
        <v>0.0</v>
      </c>
      <c r="I301" s="13">
        <v>0.0</v>
      </c>
      <c r="J301" s="13">
        <v>0.0</v>
      </c>
      <c r="K301" s="12"/>
      <c r="L301" s="12"/>
      <c r="M301" s="12"/>
      <c r="N301" s="15">
        <v>120000.0</v>
      </c>
      <c r="O301" s="12">
        <v>393839.0</v>
      </c>
      <c r="P301" s="15"/>
      <c r="Q301" s="13">
        <v>0.0</v>
      </c>
      <c r="R301" s="13">
        <v>0.0</v>
      </c>
      <c r="S301" s="13"/>
      <c r="T301" s="13"/>
      <c r="U301" s="2"/>
      <c r="V301" s="2"/>
      <c r="W301" s="2"/>
      <c r="X301" s="2"/>
      <c r="Y301" s="2"/>
      <c r="Z301" s="2"/>
    </row>
    <row r="302" ht="12.75" customHeight="1">
      <c r="A302" s="3" t="s">
        <v>37</v>
      </c>
      <c r="B302" s="9">
        <v>11.0</v>
      </c>
      <c r="C302" s="12">
        <v>4.7802623E7</v>
      </c>
      <c r="D302" s="12">
        <v>4.7802623E7</v>
      </c>
      <c r="E302" s="13">
        <v>0.0</v>
      </c>
      <c r="F302" s="13">
        <v>0.0</v>
      </c>
      <c r="G302" s="12">
        <v>35100.0</v>
      </c>
      <c r="H302" s="13">
        <v>0.0</v>
      </c>
      <c r="I302" s="13">
        <v>0.0</v>
      </c>
      <c r="J302" s="13">
        <v>0.0</v>
      </c>
      <c r="K302" s="12">
        <f t="shared" ref="K302:M302" si="62">SUM(K297:K301)</f>
        <v>1385783</v>
      </c>
      <c r="L302" s="12">
        <f t="shared" si="62"/>
        <v>114725</v>
      </c>
      <c r="M302" s="12">
        <f t="shared" si="62"/>
        <v>143408</v>
      </c>
      <c r="N302" s="15">
        <v>120000.0</v>
      </c>
      <c r="O302" s="12">
        <v>478025.0</v>
      </c>
      <c r="P302" s="12">
        <f>SUM(P297:P301)</f>
        <v>956050</v>
      </c>
      <c r="Q302" s="13">
        <v>0.0</v>
      </c>
      <c r="R302" s="13">
        <v>0.0</v>
      </c>
      <c r="S302" s="12">
        <f t="shared" ref="S302:T302" si="63">SUM(S297:S301)</f>
        <v>13662</v>
      </c>
      <c r="T302" s="12">
        <f t="shared" si="63"/>
        <v>13662</v>
      </c>
      <c r="U302" s="2"/>
      <c r="V302" s="2"/>
      <c r="W302" s="2"/>
      <c r="X302" s="2"/>
      <c r="Y302" s="2"/>
      <c r="Z302" s="2"/>
    </row>
    <row r="303" ht="12.75" customHeight="1">
      <c r="A303" s="3" t="s">
        <v>38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 t="s">
        <v>33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 t="s">
        <v>32</v>
      </c>
      <c r="B305" s="9">
        <v>2.0</v>
      </c>
      <c r="C305" s="10">
        <v>1.2346568E7</v>
      </c>
      <c r="D305" s="10">
        <v>1.1746568E7</v>
      </c>
      <c r="E305" s="9">
        <v>0.0</v>
      </c>
      <c r="F305" s="9">
        <v>0.0</v>
      </c>
      <c r="G305" s="9">
        <v>0.0</v>
      </c>
      <c r="H305" s="9">
        <v>0.0</v>
      </c>
      <c r="I305" s="10">
        <v>119700.0</v>
      </c>
      <c r="J305" s="10">
        <v>86958.0</v>
      </c>
      <c r="K305" s="10">
        <f>197969*2</f>
        <v>395938</v>
      </c>
      <c r="L305" s="10">
        <v>29631.0</v>
      </c>
      <c r="M305" s="10">
        <v>37039.0</v>
      </c>
      <c r="N305" s="19">
        <v>1590000.0</v>
      </c>
      <c r="O305" s="10">
        <v>123465.0</v>
      </c>
      <c r="P305" s="19">
        <v>246930.0</v>
      </c>
      <c r="Q305" s="10">
        <v>600000.0</v>
      </c>
      <c r="R305" s="9">
        <v>0.0</v>
      </c>
      <c r="S305" s="9">
        <v>112056.0</v>
      </c>
      <c r="T305" s="9">
        <v>112056.0</v>
      </c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12">
        <v>1.2346568E7</v>
      </c>
      <c r="D306" s="12">
        <v>1.1746568E7</v>
      </c>
      <c r="E306" s="13">
        <v>0.0</v>
      </c>
      <c r="F306" s="13">
        <v>0.0</v>
      </c>
      <c r="G306" s="13">
        <v>0.0</v>
      </c>
      <c r="H306" s="13">
        <v>0.0</v>
      </c>
      <c r="I306" s="12">
        <v>119700.0</v>
      </c>
      <c r="J306" s="12">
        <v>86958.0</v>
      </c>
      <c r="K306" s="12"/>
      <c r="L306" s="12"/>
      <c r="M306" s="12"/>
      <c r="N306" s="15">
        <v>1590000.0</v>
      </c>
      <c r="O306" s="12">
        <v>123465.0</v>
      </c>
      <c r="P306" s="15"/>
      <c r="Q306" s="12">
        <v>600000.0</v>
      </c>
      <c r="R306" s="13">
        <v>0.0</v>
      </c>
      <c r="S306" s="13"/>
      <c r="T306" s="13"/>
      <c r="U306" s="2"/>
      <c r="V306" s="2"/>
      <c r="W306" s="2"/>
      <c r="X306" s="2"/>
      <c r="Y306" s="2"/>
      <c r="Z306" s="2"/>
    </row>
    <row r="307" ht="12.75" customHeight="1">
      <c r="A307" s="2" t="s">
        <v>34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 t="s">
        <v>35</v>
      </c>
      <c r="B308" s="9">
        <v>2.0</v>
      </c>
      <c r="C308" s="10">
        <v>9329227.0</v>
      </c>
      <c r="D308" s="10">
        <v>9329227.0</v>
      </c>
      <c r="E308" s="9">
        <v>0.0</v>
      </c>
      <c r="F308" s="9">
        <v>0.0</v>
      </c>
      <c r="G308" s="9">
        <v>0.0</v>
      </c>
      <c r="H308" s="9">
        <v>0.0</v>
      </c>
      <c r="I308" s="9">
        <v>0.0</v>
      </c>
      <c r="J308" s="10">
        <v>49400.0</v>
      </c>
      <c r="K308" s="10">
        <f>197969*2</f>
        <v>395938</v>
      </c>
      <c r="L308" s="10">
        <v>22390.0</v>
      </c>
      <c r="M308" s="10">
        <v>27988.0</v>
      </c>
      <c r="N308" s="9">
        <v>0.0</v>
      </c>
      <c r="O308" s="10">
        <v>93293.0</v>
      </c>
      <c r="P308" s="2">
        <v>186586.0</v>
      </c>
      <c r="Q308" s="9">
        <v>0.0</v>
      </c>
      <c r="R308" s="9">
        <v>0.0</v>
      </c>
      <c r="S308" s="9">
        <v>0.0</v>
      </c>
      <c r="T308" s="9">
        <v>0.0</v>
      </c>
      <c r="U308" s="2"/>
      <c r="V308" s="2"/>
      <c r="W308" s="2"/>
      <c r="X308" s="2"/>
      <c r="Y308" s="2"/>
      <c r="Z308" s="2"/>
    </row>
    <row r="309" ht="12.75" customHeight="1">
      <c r="A309" s="3" t="s">
        <v>36</v>
      </c>
      <c r="B309" s="9">
        <v>2.0</v>
      </c>
      <c r="C309" s="10">
        <v>2.638207E7</v>
      </c>
      <c r="D309" s="10">
        <v>1.938207E7</v>
      </c>
      <c r="E309" s="9">
        <v>0.0</v>
      </c>
      <c r="F309" s="9">
        <v>0.0</v>
      </c>
      <c r="G309" s="9">
        <v>0.0</v>
      </c>
      <c r="H309" s="9">
        <v>0.0</v>
      </c>
      <c r="I309" s="10">
        <v>270971.0</v>
      </c>
      <c r="J309" s="10">
        <v>211884.0</v>
      </c>
      <c r="K309" s="10">
        <v>395938.0</v>
      </c>
      <c r="L309" s="10">
        <v>63317.0</v>
      </c>
      <c r="M309" s="10">
        <v>79146.0</v>
      </c>
      <c r="N309" s="19">
        <v>600000.0</v>
      </c>
      <c r="O309" s="10">
        <v>191192.0</v>
      </c>
      <c r="P309" s="19">
        <v>382384.0</v>
      </c>
      <c r="Q309" s="10">
        <v>7000000.0</v>
      </c>
      <c r="R309" s="9">
        <v>0.0</v>
      </c>
      <c r="S309" s="9">
        <v>1641108.0</v>
      </c>
      <c r="T309" s="9">
        <v>1641108.0</v>
      </c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12">
        <v>3.5711297E7</v>
      </c>
      <c r="D310" s="12">
        <v>2.8711297E7</v>
      </c>
      <c r="E310" s="13">
        <v>0.0</v>
      </c>
      <c r="F310" s="13">
        <v>0.0</v>
      </c>
      <c r="G310" s="13">
        <v>0.0</v>
      </c>
      <c r="H310" s="13">
        <v>0.0</v>
      </c>
      <c r="I310" s="12">
        <v>270971.0</v>
      </c>
      <c r="J310" s="12">
        <v>261284.0</v>
      </c>
      <c r="K310" s="12"/>
      <c r="L310" s="12"/>
      <c r="M310" s="12"/>
      <c r="N310" s="15">
        <v>600000.0</v>
      </c>
      <c r="O310" s="12">
        <v>284485.0</v>
      </c>
      <c r="P310" s="15"/>
      <c r="Q310" s="12">
        <v>7000000.0</v>
      </c>
      <c r="R310" s="13">
        <v>0.0</v>
      </c>
      <c r="S310" s="13"/>
      <c r="T310" s="13"/>
      <c r="U310" s="2"/>
      <c r="V310" s="2"/>
      <c r="W310" s="2"/>
      <c r="X310" s="2"/>
      <c r="Y310" s="2"/>
      <c r="Z310" s="2"/>
    </row>
    <row r="311" ht="12.75" customHeight="1">
      <c r="A311" s="3" t="s">
        <v>39</v>
      </c>
      <c r="B311" s="9">
        <v>6.0</v>
      </c>
      <c r="C311" s="12">
        <v>4.8057865E7</v>
      </c>
      <c r="D311" s="12">
        <v>4.0457865E7</v>
      </c>
      <c r="E311" s="13">
        <v>0.0</v>
      </c>
      <c r="F311" s="13">
        <v>0.0</v>
      </c>
      <c r="G311" s="13">
        <v>0.0</v>
      </c>
      <c r="H311" s="13">
        <v>0.0</v>
      </c>
      <c r="I311" s="12">
        <v>390671.0</v>
      </c>
      <c r="J311" s="12">
        <v>348242.0</v>
      </c>
      <c r="K311" s="12">
        <f t="shared" ref="K311:M311" si="64">SUM(K305:K310)</f>
        <v>1187814</v>
      </c>
      <c r="L311" s="12">
        <f t="shared" si="64"/>
        <v>115338</v>
      </c>
      <c r="M311" s="12">
        <f t="shared" si="64"/>
        <v>144173</v>
      </c>
      <c r="N311" s="15">
        <v>2190000.0</v>
      </c>
      <c r="O311" s="12">
        <v>407950.0</v>
      </c>
      <c r="P311" s="12">
        <f>SUM(P305:P310)</f>
        <v>815900</v>
      </c>
      <c r="Q311" s="12">
        <v>7600000.0</v>
      </c>
      <c r="R311" s="13">
        <v>0.0</v>
      </c>
      <c r="S311" s="12">
        <f t="shared" ref="S311:T311" si="65">SUM(S305:S310)</f>
        <v>1753164</v>
      </c>
      <c r="T311" s="12">
        <f t="shared" si="65"/>
        <v>1753164</v>
      </c>
      <c r="U311" s="2"/>
      <c r="V311" s="2"/>
      <c r="W311" s="2"/>
      <c r="X311" s="2"/>
      <c r="Y311" s="2"/>
      <c r="Z311" s="2"/>
    </row>
    <row r="312" ht="12.75" customHeight="1">
      <c r="A312" s="3" t="s">
        <v>28</v>
      </c>
      <c r="B312" s="13">
        <v>17.0</v>
      </c>
      <c r="C312" s="12">
        <v>9.5860488E7</v>
      </c>
      <c r="D312" s="12">
        <v>8.8260488E7</v>
      </c>
      <c r="E312" s="13">
        <v>0.0</v>
      </c>
      <c r="F312" s="13">
        <v>0.0</v>
      </c>
      <c r="G312" s="12">
        <v>35100.0</v>
      </c>
      <c r="H312" s="13">
        <v>0.0</v>
      </c>
      <c r="I312" s="12">
        <v>390671.0</v>
      </c>
      <c r="J312" s="12">
        <v>348242.0</v>
      </c>
      <c r="K312" s="12"/>
      <c r="L312" s="12"/>
      <c r="M312" s="12"/>
      <c r="N312" s="15">
        <v>2310000.0</v>
      </c>
      <c r="O312" s="12">
        <v>885975.0</v>
      </c>
      <c r="P312" s="15"/>
      <c r="Q312" s="12">
        <v>7600000.0</v>
      </c>
      <c r="R312" s="13">
        <v>0.0</v>
      </c>
      <c r="S312" s="13">
        <v>0.0</v>
      </c>
      <c r="T312" s="13">
        <v>0.0</v>
      </c>
      <c r="U312" s="2"/>
      <c r="V312" s="2"/>
      <c r="W312" s="2"/>
      <c r="X312" s="2"/>
      <c r="Y312" s="2"/>
      <c r="Z312" s="2"/>
    </row>
    <row r="313" ht="12.75" customHeight="1">
      <c r="A313" s="1" t="s">
        <v>0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 t="s">
        <v>1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 t="s">
        <v>2</v>
      </c>
      <c r="O314" s="2"/>
      <c r="P314" s="2" t="s">
        <v>3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1" t="s">
        <v>4</v>
      </c>
      <c r="G315" s="1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" t="s">
        <v>5</v>
      </c>
      <c r="Q316" s="4">
        <v>2.0</v>
      </c>
      <c r="R316" s="3" t="s">
        <v>6</v>
      </c>
      <c r="S316" s="4">
        <v>2.0</v>
      </c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6" t="s">
        <v>15</v>
      </c>
      <c r="K317" s="6" t="s">
        <v>16</v>
      </c>
      <c r="L317" s="6"/>
      <c r="M317" s="6"/>
      <c r="N317" s="2"/>
      <c r="O317" s="6" t="s">
        <v>20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6" t="s">
        <v>7</v>
      </c>
      <c r="C318" s="6" t="s">
        <v>8</v>
      </c>
      <c r="D318" s="6" t="s">
        <v>9</v>
      </c>
      <c r="E318" s="6" t="s">
        <v>10</v>
      </c>
      <c r="F318" s="6" t="s">
        <v>11</v>
      </c>
      <c r="G318" s="6" t="s">
        <v>12</v>
      </c>
      <c r="H318" s="6" t="s">
        <v>13</v>
      </c>
      <c r="I318" s="6" t="s">
        <v>14</v>
      </c>
      <c r="J318" s="2"/>
      <c r="K318" s="2"/>
      <c r="L318" s="2"/>
      <c r="M318" s="2"/>
      <c r="N318" s="2" t="s">
        <v>19</v>
      </c>
      <c r="O318" s="2"/>
      <c r="P318" s="2"/>
      <c r="Q318" s="6" t="s">
        <v>22</v>
      </c>
      <c r="R318" s="6" t="s">
        <v>23</v>
      </c>
      <c r="S318" s="6" t="s">
        <v>24</v>
      </c>
      <c r="T318" s="6" t="s">
        <v>25</v>
      </c>
      <c r="U318" s="2"/>
      <c r="V318" s="2"/>
      <c r="W318" s="2"/>
      <c r="X318" s="2"/>
      <c r="Y318" s="2"/>
      <c r="Z318" s="2"/>
    </row>
    <row r="319" ht="12.75" customHeight="1">
      <c r="A319" s="16" t="s">
        <v>64</v>
      </c>
      <c r="B319" s="9">
        <v>17.0</v>
      </c>
      <c r="C319" s="12">
        <v>9.5860488E7</v>
      </c>
      <c r="D319" s="12">
        <v>8.8260488E7</v>
      </c>
      <c r="E319" s="20">
        <v>0.0</v>
      </c>
      <c r="F319" s="20">
        <v>0.0</v>
      </c>
      <c r="G319" s="12">
        <v>35100.0</v>
      </c>
      <c r="H319" s="13">
        <v>0.0</v>
      </c>
      <c r="I319" s="12">
        <v>390671.0</v>
      </c>
      <c r="J319" s="12">
        <v>348242.0</v>
      </c>
      <c r="K319" s="12">
        <f t="shared" ref="K319:M319" si="66">SUM(K302,K311)</f>
        <v>2573597</v>
      </c>
      <c r="L319" s="12">
        <f t="shared" si="66"/>
        <v>230063</v>
      </c>
      <c r="M319" s="12">
        <f t="shared" si="66"/>
        <v>287581</v>
      </c>
      <c r="N319" s="15">
        <v>2310000.0</v>
      </c>
      <c r="O319" s="12">
        <v>885975.0</v>
      </c>
      <c r="P319" s="12">
        <f>SUM(P302,P311)</f>
        <v>1771950</v>
      </c>
      <c r="Q319" s="12">
        <v>7600000.0</v>
      </c>
      <c r="R319" s="13">
        <v>0.0</v>
      </c>
      <c r="S319" s="12">
        <f t="shared" ref="S319:T319" si="67">SUM(S302,S311)</f>
        <v>1766826</v>
      </c>
      <c r="T319" s="12">
        <f t="shared" si="67"/>
        <v>1766826</v>
      </c>
      <c r="U319" s="18">
        <f>SUM(C319,E319,F319,I319,J319,K319,L319,M319,N319,S319)-SUM(G319,H319)</f>
        <v>103732368</v>
      </c>
      <c r="V319" s="2" t="s">
        <v>65</v>
      </c>
      <c r="W319" s="2">
        <v>142500.0</v>
      </c>
      <c r="X319" s="19">
        <f>T319+W319</f>
        <v>1909326</v>
      </c>
      <c r="Y319" s="2"/>
      <c r="Z319" s="2"/>
    </row>
    <row r="320" ht="12.75" customHeight="1">
      <c r="A320" s="2" t="s">
        <v>42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 t="s">
        <v>43</v>
      </c>
      <c r="J321" s="2"/>
      <c r="K321" s="2"/>
      <c r="L321" s="2"/>
      <c r="M321" s="2"/>
      <c r="N321" s="2"/>
      <c r="O321" s="2"/>
      <c r="P321" s="2"/>
      <c r="Q321" s="2"/>
      <c r="R321" s="2" t="s">
        <v>44</v>
      </c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 t="s">
        <v>0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 t="s">
        <v>1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 t="s">
        <v>2</v>
      </c>
      <c r="O323" s="2"/>
      <c r="P323" s="2" t="s">
        <v>3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1" t="s">
        <v>4</v>
      </c>
      <c r="G324" s="1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" t="s">
        <v>5</v>
      </c>
      <c r="Q325" s="4">
        <v>1.0</v>
      </c>
      <c r="R325" s="3" t="s">
        <v>6</v>
      </c>
      <c r="S325" s="4">
        <v>3.0</v>
      </c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6" t="s">
        <v>15</v>
      </c>
      <c r="K326" s="6" t="s">
        <v>16</v>
      </c>
      <c r="L326" s="6"/>
      <c r="M326" s="6"/>
      <c r="N326" s="2"/>
      <c r="O326" s="6" t="s">
        <v>20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6" t="s">
        <v>7</v>
      </c>
      <c r="C327" s="6" t="s">
        <v>8</v>
      </c>
      <c r="D327" s="6" t="s">
        <v>9</v>
      </c>
      <c r="E327" s="6" t="s">
        <v>10</v>
      </c>
      <c r="F327" s="6" t="s">
        <v>11</v>
      </c>
      <c r="G327" s="6" t="s">
        <v>12</v>
      </c>
      <c r="H327" s="6" t="s">
        <v>13</v>
      </c>
      <c r="I327" s="6" t="s">
        <v>14</v>
      </c>
      <c r="J327" s="2"/>
      <c r="K327" s="2"/>
      <c r="L327" s="5" t="s">
        <v>17</v>
      </c>
      <c r="M327" s="5" t="s">
        <v>18</v>
      </c>
      <c r="N327" s="2" t="s">
        <v>19</v>
      </c>
      <c r="O327" s="2"/>
      <c r="P327" s="5" t="s">
        <v>21</v>
      </c>
      <c r="Q327" s="6" t="s">
        <v>22</v>
      </c>
      <c r="R327" s="6" t="s">
        <v>23</v>
      </c>
      <c r="S327" s="6" t="s">
        <v>24</v>
      </c>
      <c r="T327" s="6" t="s">
        <v>25</v>
      </c>
      <c r="U327" s="2"/>
      <c r="V327" s="2"/>
      <c r="W327" s="2"/>
      <c r="X327" s="2"/>
      <c r="Y327" s="2"/>
      <c r="Z327" s="2"/>
    </row>
    <row r="328" ht="12.75" customHeight="1">
      <c r="A328" s="1" t="s">
        <v>66</v>
      </c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 t="s">
        <v>67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 t="s">
        <v>30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 t="s">
        <v>31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 t="s">
        <v>32</v>
      </c>
      <c r="B332" s="9">
        <v>7.0</v>
      </c>
      <c r="C332" s="10">
        <v>3.6650725E7</v>
      </c>
      <c r="D332" s="10">
        <v>3.6650725E7</v>
      </c>
      <c r="E332" s="10">
        <v>2.119646E7</v>
      </c>
      <c r="F332" s="10">
        <v>1.590371E7</v>
      </c>
      <c r="G332" s="10">
        <v>66816.0</v>
      </c>
      <c r="H332" s="9">
        <v>0.0</v>
      </c>
      <c r="I332" s="9">
        <v>0.0</v>
      </c>
      <c r="J332" s="9">
        <v>0.0</v>
      </c>
      <c r="K332" s="10">
        <f>215478*6</f>
        <v>1292868</v>
      </c>
      <c r="L332" s="10">
        <v>326191.0</v>
      </c>
      <c r="M332" s="10">
        <v>109953.0</v>
      </c>
      <c r="N332" s="11">
        <v>0.0</v>
      </c>
      <c r="O332" s="10">
        <v>366508.0</v>
      </c>
      <c r="P332" s="11">
        <v>733016.0</v>
      </c>
      <c r="Q332" s="9">
        <v>0.0</v>
      </c>
      <c r="R332" s="9">
        <v>0.0</v>
      </c>
      <c r="S332" s="9">
        <v>2829026.0</v>
      </c>
      <c r="T332" s="9">
        <v>2829026.0</v>
      </c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12">
        <v>3.6650725E7</v>
      </c>
      <c r="D333" s="12">
        <v>3.6650725E7</v>
      </c>
      <c r="E333" s="12">
        <v>2.119646E7</v>
      </c>
      <c r="F333" s="12">
        <v>1.590371E7</v>
      </c>
      <c r="G333" s="12">
        <v>66816.0</v>
      </c>
      <c r="H333" s="13">
        <v>0.0</v>
      </c>
      <c r="I333" s="13">
        <v>0.0</v>
      </c>
      <c r="J333" s="13">
        <v>0.0</v>
      </c>
      <c r="K333" s="12"/>
      <c r="L333" s="12"/>
      <c r="M333" s="12"/>
      <c r="N333" s="14">
        <v>0.0</v>
      </c>
      <c r="O333" s="12">
        <v>366508.0</v>
      </c>
      <c r="P333" s="14"/>
      <c r="Q333" s="13">
        <v>0.0</v>
      </c>
      <c r="R333" s="13">
        <v>0.0</v>
      </c>
      <c r="S333" s="13"/>
      <c r="T333" s="13"/>
      <c r="U333" s="2"/>
      <c r="V333" s="2"/>
      <c r="W333" s="2"/>
      <c r="X333" s="2"/>
      <c r="Y333" s="2"/>
      <c r="Z333" s="2"/>
    </row>
    <row r="334" ht="12.75" customHeight="1">
      <c r="A334" s="2" t="s">
        <v>33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 t="s">
        <v>32</v>
      </c>
      <c r="B335" s="9">
        <v>8.0</v>
      </c>
      <c r="C335" s="10">
        <v>4.3934288E7</v>
      </c>
      <c r="D335" s="10">
        <v>4.3234288E7</v>
      </c>
      <c r="E335" s="10">
        <v>1.6164998E7</v>
      </c>
      <c r="F335" s="10">
        <v>2.7670332E7</v>
      </c>
      <c r="G335" s="10">
        <v>100238.0</v>
      </c>
      <c r="H335" s="10">
        <v>111143.0</v>
      </c>
      <c r="I335" s="9">
        <v>0.0</v>
      </c>
      <c r="J335" s="10">
        <v>56775.0</v>
      </c>
      <c r="K335" s="10">
        <f>215478*7</f>
        <v>1508346</v>
      </c>
      <c r="L335" s="10">
        <v>391014.0</v>
      </c>
      <c r="M335" s="10">
        <v>131803.0</v>
      </c>
      <c r="N335" s="9">
        <v>0.0</v>
      </c>
      <c r="O335" s="10">
        <v>439343.0</v>
      </c>
      <c r="P335" s="2">
        <v>878686.0</v>
      </c>
      <c r="Q335" s="10">
        <v>700000.0</v>
      </c>
      <c r="R335" s="9">
        <v>0.0</v>
      </c>
      <c r="S335" s="9">
        <v>4440410.0</v>
      </c>
      <c r="T335" s="9">
        <v>4440410.0</v>
      </c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12">
        <v>4.3934288E7</v>
      </c>
      <c r="D336" s="12">
        <v>4.3234288E7</v>
      </c>
      <c r="E336" s="12">
        <v>1.6164998E7</v>
      </c>
      <c r="F336" s="12">
        <v>2.7670332E7</v>
      </c>
      <c r="G336" s="12">
        <v>100238.0</v>
      </c>
      <c r="H336" s="12">
        <v>111143.0</v>
      </c>
      <c r="I336" s="13">
        <v>0.0</v>
      </c>
      <c r="J336" s="12">
        <v>56775.0</v>
      </c>
      <c r="K336" s="12"/>
      <c r="L336" s="12"/>
      <c r="M336" s="12"/>
      <c r="N336" s="14">
        <v>0.0</v>
      </c>
      <c r="O336" s="12">
        <v>439343.0</v>
      </c>
      <c r="P336" s="14"/>
      <c r="Q336" s="12">
        <v>700000.0</v>
      </c>
      <c r="R336" s="13">
        <v>0.0</v>
      </c>
      <c r="S336" s="13"/>
      <c r="T336" s="13"/>
      <c r="U336" s="2"/>
      <c r="V336" s="2"/>
      <c r="W336" s="2"/>
      <c r="X336" s="2"/>
      <c r="Y336" s="2"/>
      <c r="Z336" s="2"/>
    </row>
    <row r="337" ht="12.75" customHeight="1">
      <c r="A337" s="2" t="s">
        <v>34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 t="s">
        <v>35</v>
      </c>
      <c r="B338" s="9">
        <v>2.0</v>
      </c>
      <c r="C338" s="10">
        <v>1.0921706E7</v>
      </c>
      <c r="D338" s="10">
        <v>1.0921706E7</v>
      </c>
      <c r="E338" s="9">
        <v>0.0</v>
      </c>
      <c r="F338" s="9">
        <v>0.0</v>
      </c>
      <c r="G338" s="9">
        <v>0.0</v>
      </c>
      <c r="H338" s="9">
        <v>0.0</v>
      </c>
      <c r="I338" s="9">
        <v>0.0</v>
      </c>
      <c r="J338" s="9">
        <v>0.0</v>
      </c>
      <c r="K338" s="10">
        <f>215478*2</f>
        <v>430956</v>
      </c>
      <c r="L338" s="10">
        <v>97204.0</v>
      </c>
      <c r="M338" s="10">
        <v>32765.0</v>
      </c>
      <c r="N338" s="11">
        <v>0.0</v>
      </c>
      <c r="O338" s="10">
        <v>109218.0</v>
      </c>
      <c r="P338" s="11">
        <v>218436.0</v>
      </c>
      <c r="Q338" s="9">
        <v>0.0</v>
      </c>
      <c r="R338" s="9">
        <v>0.0</v>
      </c>
      <c r="S338" s="9">
        <v>57701.0</v>
      </c>
      <c r="T338" s="9">
        <v>57701.0</v>
      </c>
      <c r="U338" s="2"/>
      <c r="V338" s="2"/>
      <c r="W338" s="2"/>
      <c r="X338" s="2"/>
      <c r="Y338" s="2"/>
      <c r="Z338" s="2"/>
    </row>
    <row r="339" ht="12.75" customHeight="1">
      <c r="A339" s="3" t="s">
        <v>36</v>
      </c>
      <c r="B339" s="9">
        <v>1.0</v>
      </c>
      <c r="C339" s="10">
        <v>5479452.0</v>
      </c>
      <c r="D339" s="10">
        <v>5229452.0</v>
      </c>
      <c r="E339" s="9">
        <v>0.0</v>
      </c>
      <c r="F339" s="9">
        <v>0.0</v>
      </c>
      <c r="G339" s="10">
        <v>7424.0</v>
      </c>
      <c r="H339" s="9">
        <v>0.0</v>
      </c>
      <c r="I339" s="9">
        <v>0.0</v>
      </c>
      <c r="J339" s="9">
        <v>0.0</v>
      </c>
      <c r="K339" s="10">
        <f>215478*1</f>
        <v>215478</v>
      </c>
      <c r="L339" s="10">
        <v>48767.0</v>
      </c>
      <c r="M339" s="10">
        <v>16438.0</v>
      </c>
      <c r="N339" s="9">
        <v>0.0</v>
      </c>
      <c r="O339" s="10">
        <v>54795.0</v>
      </c>
      <c r="P339" s="2">
        <v>109590.0</v>
      </c>
      <c r="Q339" s="9">
        <v>0.0</v>
      </c>
      <c r="R339" s="10">
        <v>250000.0</v>
      </c>
      <c r="S339" s="9">
        <v>28908.0</v>
      </c>
      <c r="T339" s="9">
        <v>28908.0</v>
      </c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12">
        <v>1.6401158E7</v>
      </c>
      <c r="D340" s="12">
        <v>1.6151158E7</v>
      </c>
      <c r="E340" s="13">
        <v>0.0</v>
      </c>
      <c r="F340" s="13">
        <v>0.0</v>
      </c>
      <c r="G340" s="12">
        <v>7424.0</v>
      </c>
      <c r="H340" s="13">
        <v>0.0</v>
      </c>
      <c r="I340" s="13">
        <v>0.0</v>
      </c>
      <c r="J340" s="13">
        <v>0.0</v>
      </c>
      <c r="K340" s="12"/>
      <c r="L340" s="12"/>
      <c r="M340" s="12"/>
      <c r="N340" s="14">
        <v>0.0</v>
      </c>
      <c r="O340" s="12">
        <v>164013.0</v>
      </c>
      <c r="P340" s="14"/>
      <c r="Q340" s="13">
        <v>0.0</v>
      </c>
      <c r="R340" s="12">
        <v>250000.0</v>
      </c>
      <c r="S340" s="13"/>
      <c r="T340" s="13"/>
      <c r="U340" s="2"/>
      <c r="V340" s="2"/>
      <c r="W340" s="2"/>
      <c r="X340" s="2"/>
      <c r="Y340" s="2"/>
      <c r="Z340" s="2"/>
    </row>
    <row r="341" ht="12.75" customHeight="1">
      <c r="A341" s="3" t="s">
        <v>37</v>
      </c>
      <c r="B341" s="9">
        <v>18.0</v>
      </c>
      <c r="C341" s="12">
        <v>9.6986171E7</v>
      </c>
      <c r="D341" s="12">
        <v>9.6036171E7</v>
      </c>
      <c r="E341" s="12">
        <v>3.7361458E7</v>
      </c>
      <c r="F341" s="12">
        <v>4.3574042E7</v>
      </c>
      <c r="G341" s="12">
        <v>174478.0</v>
      </c>
      <c r="H341" s="12">
        <v>111143.0</v>
      </c>
      <c r="I341" s="13">
        <v>0.0</v>
      </c>
      <c r="J341" s="12">
        <v>56775.0</v>
      </c>
      <c r="K341" s="12">
        <f t="shared" ref="K341:M341" si="68">SUM(K332:K340)</f>
        <v>3447648</v>
      </c>
      <c r="L341" s="12">
        <f t="shared" si="68"/>
        <v>863176</v>
      </c>
      <c r="M341" s="12">
        <f t="shared" si="68"/>
        <v>290959</v>
      </c>
      <c r="N341" s="14">
        <v>0.0</v>
      </c>
      <c r="O341" s="12">
        <v>969864.0</v>
      </c>
      <c r="P341" s="12">
        <f>SUM(P332:P340)</f>
        <v>1939728</v>
      </c>
      <c r="Q341" s="12">
        <v>700000.0</v>
      </c>
      <c r="R341" s="12">
        <v>250000.0</v>
      </c>
      <c r="S341" s="12">
        <f t="shared" ref="S341:T341" si="69">SUM(S332:S340)</f>
        <v>7356045</v>
      </c>
      <c r="T341" s="12">
        <f t="shared" si="69"/>
        <v>7356045</v>
      </c>
      <c r="U341" s="2"/>
      <c r="V341" s="2"/>
      <c r="W341" s="2"/>
      <c r="X341" s="2"/>
      <c r="Y341" s="2"/>
      <c r="Z341" s="2"/>
    </row>
    <row r="342" ht="12.75" customHeight="1">
      <c r="A342" s="3" t="s">
        <v>38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 t="s">
        <v>31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 t="s">
        <v>32</v>
      </c>
      <c r="B344" s="9">
        <v>4.0</v>
      </c>
      <c r="C344" s="10">
        <v>2.2018053E7</v>
      </c>
      <c r="D344" s="10">
        <v>2.2018053E7</v>
      </c>
      <c r="E344" s="10">
        <v>8912495.0</v>
      </c>
      <c r="F344" s="10">
        <v>9880326.0</v>
      </c>
      <c r="G344" s="10">
        <v>191750.0</v>
      </c>
      <c r="H344" s="9">
        <v>0.0</v>
      </c>
      <c r="I344" s="9">
        <v>0.0</v>
      </c>
      <c r="J344" s="10">
        <v>187992.0</v>
      </c>
      <c r="K344" s="10">
        <f>215478*4</f>
        <v>861912</v>
      </c>
      <c r="L344" s="10">
        <v>195960.0</v>
      </c>
      <c r="M344" s="10">
        <v>66054.0</v>
      </c>
      <c r="N344" s="11">
        <v>0.0</v>
      </c>
      <c r="O344" s="10">
        <v>220180.0</v>
      </c>
      <c r="P344" s="11">
        <v>440360.0</v>
      </c>
      <c r="Q344" s="9">
        <v>0.0</v>
      </c>
      <c r="R344" s="9">
        <v>0.0</v>
      </c>
      <c r="S344" s="9">
        <v>1351840.0</v>
      </c>
      <c r="T344" s="9">
        <v>1351840.0</v>
      </c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12">
        <v>2.2018053E7</v>
      </c>
      <c r="D345" s="12">
        <v>2.2018053E7</v>
      </c>
      <c r="E345" s="12">
        <v>8912495.0</v>
      </c>
      <c r="F345" s="12">
        <v>9880326.0</v>
      </c>
      <c r="G345" s="12">
        <v>191750.0</v>
      </c>
      <c r="H345" s="13">
        <v>0.0</v>
      </c>
      <c r="I345" s="13">
        <v>0.0</v>
      </c>
      <c r="J345" s="12">
        <v>187992.0</v>
      </c>
      <c r="K345" s="12"/>
      <c r="L345" s="12"/>
      <c r="M345" s="12"/>
      <c r="N345" s="14">
        <v>0.0</v>
      </c>
      <c r="O345" s="12">
        <v>220180.0</v>
      </c>
      <c r="P345" s="14"/>
      <c r="Q345" s="13">
        <v>0.0</v>
      </c>
      <c r="R345" s="13">
        <v>0.0</v>
      </c>
      <c r="S345" s="13"/>
      <c r="T345" s="13"/>
      <c r="U345" s="2"/>
      <c r="V345" s="2"/>
      <c r="W345" s="2"/>
      <c r="X345" s="2"/>
      <c r="Y345" s="2"/>
      <c r="Z345" s="2"/>
    </row>
    <row r="346" ht="12.75" customHeight="1">
      <c r="A346" s="2" t="s">
        <v>33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 t="s">
        <v>32</v>
      </c>
      <c r="B347" s="9">
        <v>7.0</v>
      </c>
      <c r="C347" s="10">
        <v>4.0440568E7</v>
      </c>
      <c r="D347" s="10">
        <v>3.8140568E7</v>
      </c>
      <c r="E347" s="10">
        <v>8874846.0</v>
      </c>
      <c r="F347" s="10">
        <v>8254573.0</v>
      </c>
      <c r="G347" s="10">
        <v>231100.0</v>
      </c>
      <c r="H347" s="9">
        <v>0.0</v>
      </c>
      <c r="I347" s="9">
        <v>0.0</v>
      </c>
      <c r="J347" s="10">
        <v>275392.0</v>
      </c>
      <c r="K347" s="10">
        <f>215478*7</f>
        <v>1508346</v>
      </c>
      <c r="L347" s="10">
        <v>359921.0</v>
      </c>
      <c r="M347" s="10">
        <v>121323.0</v>
      </c>
      <c r="N347" s="9">
        <v>0.0</v>
      </c>
      <c r="O347" s="10">
        <v>404405.0</v>
      </c>
      <c r="P347" s="2">
        <v>808810.0</v>
      </c>
      <c r="Q347" s="10">
        <v>2300000.0</v>
      </c>
      <c r="R347" s="9">
        <v>0.0</v>
      </c>
      <c r="S347" s="9">
        <v>1471462.0</v>
      </c>
      <c r="T347" s="9">
        <v>1471462.0</v>
      </c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12">
        <v>4.0440568E7</v>
      </c>
      <c r="D348" s="12">
        <v>3.8140568E7</v>
      </c>
      <c r="E348" s="12">
        <v>8874846.0</v>
      </c>
      <c r="F348" s="12">
        <v>8254573.0</v>
      </c>
      <c r="G348" s="12">
        <v>231100.0</v>
      </c>
      <c r="H348" s="13">
        <v>0.0</v>
      </c>
      <c r="I348" s="13">
        <v>0.0</v>
      </c>
      <c r="J348" s="12">
        <v>275392.0</v>
      </c>
      <c r="K348" s="12"/>
      <c r="L348" s="12"/>
      <c r="M348" s="12"/>
      <c r="N348" s="14">
        <v>0.0</v>
      </c>
      <c r="O348" s="12">
        <v>404405.0</v>
      </c>
      <c r="P348" s="14"/>
      <c r="Q348" s="12">
        <v>2300000.0</v>
      </c>
      <c r="R348" s="13">
        <v>0.0</v>
      </c>
      <c r="S348" s="13"/>
      <c r="T348" s="13"/>
      <c r="U348" s="2"/>
      <c r="V348" s="2"/>
      <c r="W348" s="2"/>
      <c r="X348" s="2"/>
      <c r="Y348" s="2"/>
      <c r="Z348" s="2"/>
    </row>
    <row r="349" ht="12.75" customHeight="1">
      <c r="A349" s="2" t="s">
        <v>34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 t="s">
        <v>35</v>
      </c>
      <c r="B350" s="9">
        <v>1.0</v>
      </c>
      <c r="C350" s="10">
        <v>6386094.0</v>
      </c>
      <c r="D350" s="10">
        <v>5386094.0</v>
      </c>
      <c r="E350" s="9">
        <v>0.0</v>
      </c>
      <c r="F350" s="9">
        <v>0.0</v>
      </c>
      <c r="G350" s="9">
        <v>0.0</v>
      </c>
      <c r="H350" s="9">
        <v>0.0</v>
      </c>
      <c r="I350" s="9">
        <v>0.0</v>
      </c>
      <c r="J350" s="9">
        <v>0.0</v>
      </c>
      <c r="K350" s="10">
        <f t="shared" ref="K350:K351" si="70">215478*1</f>
        <v>215478</v>
      </c>
      <c r="L350" s="10">
        <v>56836.0</v>
      </c>
      <c r="M350" s="10">
        <v>19158.0</v>
      </c>
      <c r="N350" s="11">
        <v>0.0</v>
      </c>
      <c r="O350" s="10">
        <v>53861.0</v>
      </c>
      <c r="P350" s="11">
        <v>107722.0</v>
      </c>
      <c r="Q350" s="9">
        <v>0.0</v>
      </c>
      <c r="R350" s="9">
        <v>0.0</v>
      </c>
      <c r="S350" s="9">
        <v>33556.0</v>
      </c>
      <c r="T350" s="9">
        <v>33556.0</v>
      </c>
      <c r="U350" s="2"/>
      <c r="V350" s="2"/>
      <c r="W350" s="2"/>
      <c r="X350" s="2"/>
      <c r="Y350" s="2"/>
      <c r="Z350" s="2"/>
    </row>
    <row r="351" ht="12.75" customHeight="1">
      <c r="A351" s="3" t="s">
        <v>36</v>
      </c>
      <c r="B351" s="9">
        <v>1.0</v>
      </c>
      <c r="C351" s="10">
        <v>1.9065838E7</v>
      </c>
      <c r="D351" s="10">
        <v>1.4565838E7</v>
      </c>
      <c r="E351" s="9">
        <v>0.0</v>
      </c>
      <c r="F351" s="9">
        <v>0.0</v>
      </c>
      <c r="G351" s="9">
        <v>0.0</v>
      </c>
      <c r="H351" s="9">
        <v>0.0</v>
      </c>
      <c r="I351" s="9">
        <v>0.0</v>
      </c>
      <c r="J351" s="10">
        <v>85342.0</v>
      </c>
      <c r="K351" s="10">
        <f t="shared" si="70"/>
        <v>215478</v>
      </c>
      <c r="L351" s="10">
        <v>169686.0</v>
      </c>
      <c r="M351" s="10">
        <v>57198.0</v>
      </c>
      <c r="N351" s="9">
        <v>0.0</v>
      </c>
      <c r="O351" s="10">
        <v>95596.0</v>
      </c>
      <c r="P351" s="2">
        <v>191192.0</v>
      </c>
      <c r="Q351" s="10">
        <v>4500000.0</v>
      </c>
      <c r="R351" s="9">
        <v>0.0</v>
      </c>
      <c r="S351" s="9">
        <v>1703786.0</v>
      </c>
      <c r="T351" s="9">
        <v>1703786.0</v>
      </c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12">
        <v>2.5451932E7</v>
      </c>
      <c r="D352" s="12">
        <v>1.9951932E7</v>
      </c>
      <c r="E352" s="13">
        <v>0.0</v>
      </c>
      <c r="F352" s="13">
        <v>0.0</v>
      </c>
      <c r="G352" s="13">
        <v>0.0</v>
      </c>
      <c r="H352" s="13">
        <v>0.0</v>
      </c>
      <c r="I352" s="13">
        <v>0.0</v>
      </c>
      <c r="J352" s="12">
        <v>85342.0</v>
      </c>
      <c r="K352" s="12"/>
      <c r="L352" s="12"/>
      <c r="M352" s="12"/>
      <c r="N352" s="14">
        <v>0.0</v>
      </c>
      <c r="O352" s="12">
        <v>149457.0</v>
      </c>
      <c r="P352" s="14"/>
      <c r="Q352" s="12">
        <v>4500000.0</v>
      </c>
      <c r="R352" s="13">
        <v>0.0</v>
      </c>
      <c r="S352" s="13"/>
      <c r="T352" s="13"/>
      <c r="U352" s="2"/>
      <c r="V352" s="2"/>
      <c r="W352" s="2"/>
      <c r="X352" s="2"/>
      <c r="Y352" s="2"/>
      <c r="Z352" s="2"/>
    </row>
    <row r="353" ht="12.75" customHeight="1">
      <c r="A353" s="3" t="s">
        <v>39</v>
      </c>
      <c r="B353" s="9">
        <v>13.0</v>
      </c>
      <c r="C353" s="12">
        <v>8.7910553E7</v>
      </c>
      <c r="D353" s="12">
        <v>8.0110553E7</v>
      </c>
      <c r="E353" s="12">
        <v>1.7787341E7</v>
      </c>
      <c r="F353" s="12">
        <v>1.8134899E7</v>
      </c>
      <c r="G353" s="12">
        <v>422850.0</v>
      </c>
      <c r="H353" s="13">
        <v>0.0</v>
      </c>
      <c r="I353" s="13">
        <v>0.0</v>
      </c>
      <c r="J353" s="12">
        <v>548726.0</v>
      </c>
      <c r="K353" s="12">
        <f t="shared" ref="K353:M353" si="71">SUM(K344:K352)</f>
        <v>2801214</v>
      </c>
      <c r="L353" s="12">
        <f t="shared" si="71"/>
        <v>782403</v>
      </c>
      <c r="M353" s="12">
        <f t="shared" si="71"/>
        <v>263733</v>
      </c>
      <c r="N353" s="14">
        <v>0.0</v>
      </c>
      <c r="O353" s="12">
        <v>774042.0</v>
      </c>
      <c r="P353" s="12">
        <f>SUM(P344:P352)</f>
        <v>1548084</v>
      </c>
      <c r="Q353" s="12">
        <v>6800000.0</v>
      </c>
      <c r="R353" s="13">
        <v>0.0</v>
      </c>
      <c r="S353" s="12">
        <f t="shared" ref="S353:T353" si="72">SUM(S344:S352)</f>
        <v>4560644</v>
      </c>
      <c r="T353" s="12">
        <f t="shared" si="72"/>
        <v>4560644</v>
      </c>
      <c r="U353" s="2"/>
      <c r="V353" s="2"/>
      <c r="W353" s="2"/>
      <c r="X353" s="2"/>
      <c r="Y353" s="2"/>
      <c r="Z353" s="2"/>
    </row>
    <row r="354" ht="12.75" customHeight="1">
      <c r="A354" s="1" t="s">
        <v>0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 t="s">
        <v>1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 t="s">
        <v>2</v>
      </c>
      <c r="O355" s="2"/>
      <c r="P355" s="2" t="s">
        <v>3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1" t="s">
        <v>4</v>
      </c>
      <c r="G356" s="1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" t="s">
        <v>5</v>
      </c>
      <c r="Q357" s="4">
        <v>2.0</v>
      </c>
      <c r="R357" s="3" t="s">
        <v>6</v>
      </c>
      <c r="S357" s="4">
        <v>3.0</v>
      </c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6" t="s">
        <v>15</v>
      </c>
      <c r="K358" s="6" t="s">
        <v>16</v>
      </c>
      <c r="L358" s="6"/>
      <c r="M358" s="6"/>
      <c r="N358" s="2"/>
      <c r="O358" s="6" t="s">
        <v>20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6" t="s">
        <v>7</v>
      </c>
      <c r="C359" s="6" t="s">
        <v>8</v>
      </c>
      <c r="D359" s="6" t="s">
        <v>9</v>
      </c>
      <c r="E359" s="6" t="s">
        <v>10</v>
      </c>
      <c r="F359" s="6" t="s">
        <v>11</v>
      </c>
      <c r="G359" s="6" t="s">
        <v>12</v>
      </c>
      <c r="H359" s="6" t="s">
        <v>13</v>
      </c>
      <c r="I359" s="6" t="s">
        <v>14</v>
      </c>
      <c r="J359" s="2"/>
      <c r="K359" s="2"/>
      <c r="L359" s="5" t="s">
        <v>17</v>
      </c>
      <c r="M359" s="5" t="s">
        <v>18</v>
      </c>
      <c r="N359" s="2" t="s">
        <v>19</v>
      </c>
      <c r="O359" s="2"/>
      <c r="P359" s="5" t="s">
        <v>21</v>
      </c>
      <c r="Q359" s="6" t="s">
        <v>22</v>
      </c>
      <c r="R359" s="6" t="s">
        <v>23</v>
      </c>
      <c r="S359" s="6" t="s">
        <v>24</v>
      </c>
      <c r="T359" s="6" t="s">
        <v>25</v>
      </c>
      <c r="U359" s="2"/>
      <c r="V359" s="2"/>
      <c r="W359" s="2"/>
      <c r="X359" s="2"/>
      <c r="Y359" s="2"/>
      <c r="Z359" s="2"/>
    </row>
    <row r="360" ht="12.75" customHeight="1">
      <c r="A360" s="3" t="s">
        <v>68</v>
      </c>
      <c r="B360" s="13">
        <v>31.0</v>
      </c>
      <c r="C360" s="12">
        <v>1.84896724E8</v>
      </c>
      <c r="D360" s="12">
        <v>1.76146724E8</v>
      </c>
      <c r="E360" s="12">
        <v>5.5148799E7</v>
      </c>
      <c r="F360" s="12">
        <v>6.1708941E7</v>
      </c>
      <c r="G360" s="12">
        <v>597328.0</v>
      </c>
      <c r="H360" s="12">
        <v>111143.0</v>
      </c>
      <c r="I360" s="13">
        <v>0.0</v>
      </c>
      <c r="J360" s="12">
        <v>605501.0</v>
      </c>
      <c r="K360" s="12">
        <f t="shared" ref="K360:M360" si="73">SUM(K341,K353)</f>
        <v>6248862</v>
      </c>
      <c r="L360" s="12">
        <f t="shared" si="73"/>
        <v>1645579</v>
      </c>
      <c r="M360" s="12">
        <f t="shared" si="73"/>
        <v>554692</v>
      </c>
      <c r="N360" s="14">
        <v>0.0</v>
      </c>
      <c r="O360" s="12">
        <v>1743906.0</v>
      </c>
      <c r="P360" s="12">
        <f>SUM(P341,P353)</f>
        <v>3487812</v>
      </c>
      <c r="Q360" s="12">
        <v>7500000.0</v>
      </c>
      <c r="R360" s="12">
        <v>250000.0</v>
      </c>
      <c r="S360" s="12">
        <f t="shared" ref="S360:T360" si="74">SUM(S341,S353)</f>
        <v>11916689</v>
      </c>
      <c r="T360" s="12">
        <f t="shared" si="74"/>
        <v>11916689</v>
      </c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 t="s">
        <v>30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 t="s">
        <v>31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 t="s">
        <v>32</v>
      </c>
      <c r="B364" s="9">
        <v>6.0</v>
      </c>
      <c r="C364" s="10">
        <v>3.2558021E7</v>
      </c>
      <c r="D364" s="10">
        <v>3.2558021E7</v>
      </c>
      <c r="E364" s="10">
        <v>4263239.0</v>
      </c>
      <c r="F364" s="10">
        <v>9093382.0</v>
      </c>
      <c r="G364" s="9">
        <v>0.0</v>
      </c>
      <c r="H364" s="9">
        <v>0.0</v>
      </c>
      <c r="I364" s="9">
        <v>0.0</v>
      </c>
      <c r="J364" s="9">
        <v>0.0</v>
      </c>
      <c r="K364" s="10">
        <f>215478*6</f>
        <v>1292868</v>
      </c>
      <c r="L364" s="10">
        <v>289766.0</v>
      </c>
      <c r="M364" s="10">
        <v>97675.0</v>
      </c>
      <c r="N364" s="9">
        <v>0.0</v>
      </c>
      <c r="O364" s="10">
        <v>325581.0</v>
      </c>
      <c r="P364" s="2">
        <v>651162.0</v>
      </c>
      <c r="Q364" s="9">
        <v>0.0</v>
      </c>
      <c r="R364" s="9">
        <v>0.0</v>
      </c>
      <c r="S364" s="9">
        <v>656418.0</v>
      </c>
      <c r="T364" s="9">
        <v>656418.0</v>
      </c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12">
        <v>3.2558021E7</v>
      </c>
      <c r="D365" s="12">
        <v>3.2558021E7</v>
      </c>
      <c r="E365" s="12">
        <v>4263239.0</v>
      </c>
      <c r="F365" s="12">
        <v>9093382.0</v>
      </c>
      <c r="G365" s="13">
        <v>0.0</v>
      </c>
      <c r="H365" s="13">
        <v>0.0</v>
      </c>
      <c r="I365" s="13">
        <v>0.0</v>
      </c>
      <c r="J365" s="13">
        <v>0.0</v>
      </c>
      <c r="K365" s="12"/>
      <c r="L365" s="12"/>
      <c r="M365" s="12"/>
      <c r="N365" s="14">
        <v>0.0</v>
      </c>
      <c r="O365" s="12">
        <v>325581.0</v>
      </c>
      <c r="P365" s="14"/>
      <c r="Q365" s="13">
        <v>0.0</v>
      </c>
      <c r="R365" s="13">
        <v>0.0</v>
      </c>
      <c r="S365" s="13"/>
      <c r="T365" s="13"/>
      <c r="U365" s="2"/>
      <c r="V365" s="2"/>
      <c r="W365" s="2"/>
      <c r="X365" s="2"/>
      <c r="Y365" s="2"/>
      <c r="Z365" s="2"/>
    </row>
    <row r="366" ht="12.75" customHeight="1">
      <c r="A366" s="2" t="s">
        <v>33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 t="s">
        <v>32</v>
      </c>
      <c r="B367" s="9">
        <v>6.0</v>
      </c>
      <c r="C367" s="10">
        <v>3.594552E7</v>
      </c>
      <c r="D367" s="10">
        <v>3.409552E7</v>
      </c>
      <c r="E367" s="10">
        <v>1.0579074E7</v>
      </c>
      <c r="F367" s="10">
        <v>7435254.0</v>
      </c>
      <c r="G367" s="10">
        <v>262094.0</v>
      </c>
      <c r="H367" s="9">
        <v>0.0</v>
      </c>
      <c r="I367" s="9">
        <v>0.0</v>
      </c>
      <c r="J367" s="10">
        <v>102508.0</v>
      </c>
      <c r="K367" s="10">
        <f>215478*6</f>
        <v>1292868</v>
      </c>
      <c r="L367" s="10">
        <v>319915.0</v>
      </c>
      <c r="M367" s="10">
        <v>107836.0</v>
      </c>
      <c r="N367" s="11">
        <v>0.0</v>
      </c>
      <c r="O367" s="10">
        <v>359456.0</v>
      </c>
      <c r="P367" s="11">
        <v>718912.0</v>
      </c>
      <c r="Q367" s="10">
        <v>1850000.0</v>
      </c>
      <c r="R367" s="9">
        <v>0.0</v>
      </c>
      <c r="S367" s="9">
        <v>1625441.0</v>
      </c>
      <c r="T367" s="9">
        <v>1625441.0</v>
      </c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12">
        <v>3.594552E7</v>
      </c>
      <c r="D368" s="12">
        <v>3.409552E7</v>
      </c>
      <c r="E368" s="12">
        <v>1.0579074E7</v>
      </c>
      <c r="F368" s="12">
        <v>7435254.0</v>
      </c>
      <c r="G368" s="12">
        <v>262094.0</v>
      </c>
      <c r="H368" s="13">
        <v>0.0</v>
      </c>
      <c r="I368" s="13">
        <v>0.0</v>
      </c>
      <c r="J368" s="12">
        <v>102508.0</v>
      </c>
      <c r="K368" s="12"/>
      <c r="L368" s="12"/>
      <c r="M368" s="12"/>
      <c r="N368" s="14">
        <v>0.0</v>
      </c>
      <c r="O368" s="12">
        <v>359456.0</v>
      </c>
      <c r="P368" s="14"/>
      <c r="Q368" s="12">
        <v>1850000.0</v>
      </c>
      <c r="R368" s="13">
        <v>0.0</v>
      </c>
      <c r="S368" s="13"/>
      <c r="T368" s="13"/>
      <c r="U368" s="2"/>
      <c r="V368" s="2"/>
      <c r="W368" s="2"/>
      <c r="X368" s="2"/>
      <c r="Y368" s="2"/>
      <c r="Z368" s="2"/>
    </row>
    <row r="369" ht="12.75" customHeight="1">
      <c r="A369" s="2" t="s">
        <v>34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 t="s">
        <v>35</v>
      </c>
      <c r="B370" s="9">
        <v>2.0</v>
      </c>
      <c r="C370" s="10">
        <v>2.0890814E7</v>
      </c>
      <c r="D370" s="10">
        <v>1.9090814E7</v>
      </c>
      <c r="E370" s="9">
        <v>0.0</v>
      </c>
      <c r="F370" s="9">
        <v>0.0</v>
      </c>
      <c r="G370" s="9">
        <v>0.0</v>
      </c>
      <c r="H370" s="9">
        <v>0.0</v>
      </c>
      <c r="I370" s="10">
        <v>1252336.0</v>
      </c>
      <c r="J370" s="10">
        <v>64658.0</v>
      </c>
      <c r="K370" s="10">
        <f>215478*2</f>
        <v>430956</v>
      </c>
      <c r="L370" s="10">
        <v>185928.0</v>
      </c>
      <c r="M370" s="10">
        <v>62672.0</v>
      </c>
      <c r="N370" s="9">
        <v>0.0</v>
      </c>
      <c r="O370" s="10">
        <v>191192.0</v>
      </c>
      <c r="P370" s="2">
        <v>382384.0</v>
      </c>
      <c r="Q370" s="10">
        <v>1800000.0</v>
      </c>
      <c r="R370" s="9">
        <v>0.0</v>
      </c>
      <c r="S370" s="9">
        <v>910542.0</v>
      </c>
      <c r="T370" s="9">
        <v>910542.0</v>
      </c>
      <c r="U370" s="2"/>
      <c r="V370" s="2"/>
      <c r="W370" s="2"/>
      <c r="X370" s="2"/>
      <c r="Y370" s="2"/>
      <c r="Z370" s="2"/>
    </row>
    <row r="371" ht="12.75" customHeight="1">
      <c r="A371" s="3" t="s">
        <v>36</v>
      </c>
      <c r="B371" s="9">
        <v>3.0</v>
      </c>
      <c r="C371" s="10">
        <v>1.290852E7</v>
      </c>
      <c r="D371" s="10">
        <v>1.290852E7</v>
      </c>
      <c r="E371" s="9">
        <v>0.0</v>
      </c>
      <c r="F371" s="10">
        <v>1057352.0</v>
      </c>
      <c r="G371" s="10">
        <v>57505.0</v>
      </c>
      <c r="H371" s="9">
        <v>0.0</v>
      </c>
      <c r="I371" s="9">
        <v>0.0</v>
      </c>
      <c r="J371" s="9">
        <v>0.0</v>
      </c>
      <c r="K371" s="10">
        <f>215478*3</f>
        <v>646434</v>
      </c>
      <c r="L371" s="10">
        <v>114886.0</v>
      </c>
      <c r="M371" s="10">
        <v>38726.0</v>
      </c>
      <c r="N371" s="19">
        <v>600000.0</v>
      </c>
      <c r="O371" s="10">
        <v>129086.0</v>
      </c>
      <c r="P371" s="19">
        <v>258172.0</v>
      </c>
      <c r="Q371" s="9">
        <v>0.0</v>
      </c>
      <c r="R371" s="9">
        <v>0.0</v>
      </c>
      <c r="S371" s="9">
        <v>79258.0</v>
      </c>
      <c r="T371" s="9">
        <v>79258.0</v>
      </c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12">
        <v>3.3799334E7</v>
      </c>
      <c r="D372" s="12">
        <v>3.1999334E7</v>
      </c>
      <c r="E372" s="13">
        <v>0.0</v>
      </c>
      <c r="F372" s="12">
        <v>1057352.0</v>
      </c>
      <c r="G372" s="12">
        <v>57505.0</v>
      </c>
      <c r="H372" s="13">
        <v>0.0</v>
      </c>
      <c r="I372" s="12">
        <v>1252336.0</v>
      </c>
      <c r="J372" s="12">
        <v>64658.0</v>
      </c>
      <c r="K372" s="12"/>
      <c r="L372" s="12"/>
      <c r="M372" s="12"/>
      <c r="N372" s="15">
        <v>600000.0</v>
      </c>
      <c r="O372" s="12">
        <v>320278.0</v>
      </c>
      <c r="P372" s="15"/>
      <c r="Q372" s="12">
        <v>1800000.0</v>
      </c>
      <c r="R372" s="13">
        <v>0.0</v>
      </c>
      <c r="S372" s="13"/>
      <c r="T372" s="13"/>
      <c r="U372" s="2"/>
      <c r="V372" s="2"/>
      <c r="W372" s="2"/>
      <c r="X372" s="2"/>
      <c r="Y372" s="2"/>
      <c r="Z372" s="2"/>
    </row>
    <row r="373" ht="12.75" customHeight="1">
      <c r="A373" s="3" t="s">
        <v>37</v>
      </c>
      <c r="B373" s="9">
        <v>17.0</v>
      </c>
      <c r="C373" s="12">
        <v>1.02302875E8</v>
      </c>
      <c r="D373" s="12">
        <v>9.8652875E7</v>
      </c>
      <c r="E373" s="12">
        <v>1.4842313E7</v>
      </c>
      <c r="F373" s="12">
        <v>1.7585988E7</v>
      </c>
      <c r="G373" s="12">
        <v>319599.0</v>
      </c>
      <c r="H373" s="13">
        <v>0.0</v>
      </c>
      <c r="I373" s="12">
        <v>1252336.0</v>
      </c>
      <c r="J373" s="12">
        <v>167166.0</v>
      </c>
      <c r="K373" s="12">
        <f t="shared" ref="K373:M373" si="75">SUM(K364:K372)</f>
        <v>3663126</v>
      </c>
      <c r="L373" s="12">
        <f t="shared" si="75"/>
        <v>910495</v>
      </c>
      <c r="M373" s="12">
        <f t="shared" si="75"/>
        <v>306909</v>
      </c>
      <c r="N373" s="15">
        <v>600000.0</v>
      </c>
      <c r="O373" s="12">
        <v>1005315.0</v>
      </c>
      <c r="P373" s="12">
        <f>SUM(P364:P372)</f>
        <v>2010630</v>
      </c>
      <c r="Q373" s="12">
        <v>3650000.0</v>
      </c>
      <c r="R373" s="13">
        <v>0.0</v>
      </c>
      <c r="S373" s="12">
        <f t="shared" ref="S373:T373" si="76">SUM(S364:S372)</f>
        <v>3271659</v>
      </c>
      <c r="T373" s="12">
        <f t="shared" si="76"/>
        <v>3271659</v>
      </c>
      <c r="U373" s="2"/>
      <c r="V373" s="2"/>
      <c r="W373" s="2"/>
      <c r="X373" s="2"/>
      <c r="Y373" s="2"/>
      <c r="Z373" s="2"/>
    </row>
    <row r="374" ht="12.75" customHeight="1">
      <c r="A374" s="1" t="s">
        <v>0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 t="s">
        <v>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 t="s">
        <v>2</v>
      </c>
      <c r="O375" s="2"/>
      <c r="P375" s="2" t="s">
        <v>3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1" t="s">
        <v>4</v>
      </c>
      <c r="G376" s="1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" t="s">
        <v>5</v>
      </c>
      <c r="Q377" s="4">
        <v>3.0</v>
      </c>
      <c r="R377" s="3" t="s">
        <v>6</v>
      </c>
      <c r="S377" s="4">
        <v>3.0</v>
      </c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6" t="s">
        <v>15</v>
      </c>
      <c r="K378" s="6" t="s">
        <v>16</v>
      </c>
      <c r="L378" s="6"/>
      <c r="M378" s="6"/>
      <c r="N378" s="2"/>
      <c r="O378" s="6" t="s">
        <v>20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6" t="s">
        <v>7</v>
      </c>
      <c r="C379" s="6" t="s">
        <v>8</v>
      </c>
      <c r="D379" s="6" t="s">
        <v>9</v>
      </c>
      <c r="E379" s="6" t="s">
        <v>10</v>
      </c>
      <c r="F379" s="6" t="s">
        <v>11</v>
      </c>
      <c r="G379" s="6" t="s">
        <v>12</v>
      </c>
      <c r="H379" s="6" t="s">
        <v>13</v>
      </c>
      <c r="I379" s="6" t="s">
        <v>14</v>
      </c>
      <c r="J379" s="2"/>
      <c r="K379" s="2"/>
      <c r="L379" s="5" t="s">
        <v>17</v>
      </c>
      <c r="M379" s="5" t="s">
        <v>18</v>
      </c>
      <c r="N379" s="2" t="s">
        <v>19</v>
      </c>
      <c r="O379" s="2"/>
      <c r="P379" s="5" t="s">
        <v>21</v>
      </c>
      <c r="Q379" s="6" t="s">
        <v>22</v>
      </c>
      <c r="R379" s="6" t="s">
        <v>23</v>
      </c>
      <c r="S379" s="6" t="s">
        <v>24</v>
      </c>
      <c r="T379" s="6" t="s">
        <v>25</v>
      </c>
      <c r="U379" s="2"/>
      <c r="V379" s="2"/>
      <c r="W379" s="2"/>
      <c r="X379" s="2"/>
      <c r="Y379" s="2"/>
      <c r="Z379" s="2"/>
    </row>
    <row r="380" ht="12.75" customHeight="1">
      <c r="A380" s="3" t="s">
        <v>38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 t="s">
        <v>31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 t="s">
        <v>32</v>
      </c>
      <c r="B382" s="9">
        <v>7.0</v>
      </c>
      <c r="C382" s="10">
        <v>3.6667072E7</v>
      </c>
      <c r="D382" s="10">
        <v>3.6667072E7</v>
      </c>
      <c r="E382" s="10">
        <v>1.1724684E7</v>
      </c>
      <c r="F382" s="10">
        <v>2.3687089E7</v>
      </c>
      <c r="G382" s="10">
        <v>14848.0</v>
      </c>
      <c r="H382" s="9">
        <v>0.0</v>
      </c>
      <c r="I382" s="9">
        <v>0.0</v>
      </c>
      <c r="J382" s="10">
        <v>277183.0</v>
      </c>
      <c r="K382" s="10">
        <f>215478*7</f>
        <v>1508346</v>
      </c>
      <c r="L382" s="10">
        <v>326335.0</v>
      </c>
      <c r="M382" s="10">
        <v>110003.0</v>
      </c>
      <c r="N382" s="9">
        <v>0.0</v>
      </c>
      <c r="O382" s="10">
        <v>366673.0</v>
      </c>
      <c r="P382" s="2">
        <v>733346.0</v>
      </c>
      <c r="Q382" s="9">
        <v>0.0</v>
      </c>
      <c r="R382" s="9">
        <v>0.0</v>
      </c>
      <c r="S382" s="9">
        <v>2320158.0</v>
      </c>
      <c r="T382" s="9">
        <v>2320158.0</v>
      </c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12">
        <v>3.6667072E7</v>
      </c>
      <c r="D383" s="12">
        <v>3.6667072E7</v>
      </c>
      <c r="E383" s="12">
        <v>1.1724684E7</v>
      </c>
      <c r="F383" s="12">
        <v>2.3687089E7</v>
      </c>
      <c r="G383" s="12">
        <v>14848.0</v>
      </c>
      <c r="H383" s="13">
        <v>0.0</v>
      </c>
      <c r="I383" s="13">
        <v>0.0</v>
      </c>
      <c r="J383" s="12">
        <v>277183.0</v>
      </c>
      <c r="K383" s="12"/>
      <c r="L383" s="12"/>
      <c r="M383" s="12"/>
      <c r="N383" s="14">
        <v>0.0</v>
      </c>
      <c r="O383" s="12">
        <v>366673.0</v>
      </c>
      <c r="P383" s="14"/>
      <c r="Q383" s="13">
        <v>0.0</v>
      </c>
      <c r="R383" s="13">
        <v>0.0</v>
      </c>
      <c r="S383" s="13"/>
      <c r="T383" s="13"/>
      <c r="U383" s="2"/>
      <c r="V383" s="2"/>
      <c r="W383" s="2"/>
      <c r="X383" s="2"/>
      <c r="Y383" s="2"/>
      <c r="Z383" s="2"/>
    </row>
    <row r="384" ht="12.75" customHeight="1">
      <c r="A384" s="2" t="s">
        <v>33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 t="s">
        <v>32</v>
      </c>
      <c r="B385" s="9">
        <v>9.0</v>
      </c>
      <c r="C385" s="10">
        <v>5.9976639E7</v>
      </c>
      <c r="D385" s="10">
        <v>5.3526639E7</v>
      </c>
      <c r="E385" s="10">
        <v>9841011.0</v>
      </c>
      <c r="F385" s="10">
        <v>1.2213456E7</v>
      </c>
      <c r="G385" s="10">
        <v>277259.0</v>
      </c>
      <c r="H385" s="9">
        <v>0.0</v>
      </c>
      <c r="I385" s="9">
        <v>0.0</v>
      </c>
      <c r="J385" s="10">
        <v>450299.0</v>
      </c>
      <c r="K385" s="10">
        <f>215478*9</f>
        <v>1939302</v>
      </c>
      <c r="L385" s="10">
        <v>533792.0</v>
      </c>
      <c r="M385" s="10">
        <v>179930.0</v>
      </c>
      <c r="N385" s="11">
        <v>0.0</v>
      </c>
      <c r="O385" s="10">
        <v>599767.0</v>
      </c>
      <c r="P385" s="11">
        <v>1199534.0</v>
      </c>
      <c r="Q385" s="10">
        <v>6450000.0</v>
      </c>
      <c r="R385" s="9">
        <v>0.0</v>
      </c>
      <c r="S385" s="9">
        <v>2049096.0</v>
      </c>
      <c r="T385" s="9">
        <v>2049096.0</v>
      </c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12">
        <v>5.9976639E7</v>
      </c>
      <c r="D386" s="12">
        <v>5.3526639E7</v>
      </c>
      <c r="E386" s="12">
        <v>9841011.0</v>
      </c>
      <c r="F386" s="12">
        <v>1.2213456E7</v>
      </c>
      <c r="G386" s="12">
        <v>277259.0</v>
      </c>
      <c r="H386" s="13">
        <v>0.0</v>
      </c>
      <c r="I386" s="13">
        <v>0.0</v>
      </c>
      <c r="J386" s="12">
        <v>450299.0</v>
      </c>
      <c r="K386" s="12"/>
      <c r="L386" s="12"/>
      <c r="M386" s="12"/>
      <c r="N386" s="14">
        <v>0.0</v>
      </c>
      <c r="O386" s="12">
        <v>599767.0</v>
      </c>
      <c r="P386" s="14"/>
      <c r="Q386" s="12">
        <v>6450000.0</v>
      </c>
      <c r="R386" s="13">
        <v>0.0</v>
      </c>
      <c r="S386" s="13"/>
      <c r="T386" s="13"/>
      <c r="U386" s="2"/>
      <c r="V386" s="2"/>
      <c r="W386" s="2"/>
      <c r="X386" s="2"/>
      <c r="Y386" s="2"/>
      <c r="Z386" s="2"/>
    </row>
    <row r="387" ht="12.75" customHeight="1">
      <c r="A387" s="2" t="s">
        <v>34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 t="s">
        <v>35</v>
      </c>
      <c r="B388" s="9">
        <v>2.0</v>
      </c>
      <c r="C388" s="10">
        <v>1.448961E7</v>
      </c>
      <c r="D388" s="10">
        <v>1.448961E7</v>
      </c>
      <c r="E388" s="9">
        <v>0.0</v>
      </c>
      <c r="F388" s="9">
        <v>0.0</v>
      </c>
      <c r="G388" s="10">
        <v>11982.0</v>
      </c>
      <c r="H388" s="9">
        <v>0.0</v>
      </c>
      <c r="I388" s="9">
        <v>0.0</v>
      </c>
      <c r="J388" s="10">
        <v>89192.0</v>
      </c>
      <c r="K388" s="10">
        <f t="shared" ref="K388:K389" si="77">215478*2</f>
        <v>430956</v>
      </c>
      <c r="L388" s="10">
        <v>128957.0</v>
      </c>
      <c r="M388" s="10">
        <v>43469.0</v>
      </c>
      <c r="N388" s="9">
        <v>0.0</v>
      </c>
      <c r="O388" s="10">
        <v>144896.0</v>
      </c>
      <c r="P388" s="2">
        <v>289792.0</v>
      </c>
      <c r="Q388" s="9">
        <v>0.0</v>
      </c>
      <c r="R388" s="9">
        <v>0.0</v>
      </c>
      <c r="S388" s="9">
        <v>120229.0</v>
      </c>
      <c r="T388" s="9">
        <v>120229.0</v>
      </c>
      <c r="U388" s="2"/>
      <c r="V388" s="2"/>
      <c r="W388" s="2"/>
      <c r="X388" s="2"/>
      <c r="Y388" s="2"/>
      <c r="Z388" s="2"/>
    </row>
    <row r="389" ht="12.75" customHeight="1">
      <c r="A389" s="3" t="s">
        <v>36</v>
      </c>
      <c r="B389" s="9">
        <v>2.0</v>
      </c>
      <c r="C389" s="10">
        <v>1.1029099E7</v>
      </c>
      <c r="D389" s="10">
        <v>1.0529099E7</v>
      </c>
      <c r="E389" s="10">
        <v>720000.0</v>
      </c>
      <c r="F389" s="9">
        <v>0.0</v>
      </c>
      <c r="G389" s="10">
        <v>104981.0</v>
      </c>
      <c r="H389" s="9">
        <v>0.0</v>
      </c>
      <c r="I389" s="9">
        <v>0.0</v>
      </c>
      <c r="J389" s="10">
        <v>70492.0</v>
      </c>
      <c r="K389" s="10">
        <f t="shared" si="77"/>
        <v>430956</v>
      </c>
      <c r="L389" s="10">
        <v>98159.0</v>
      </c>
      <c r="M389" s="10">
        <v>33088.0</v>
      </c>
      <c r="N389" s="11">
        <v>0.0</v>
      </c>
      <c r="O389" s="10">
        <v>110291.0</v>
      </c>
      <c r="P389" s="11">
        <v>220582.0</v>
      </c>
      <c r="Q389" s="10">
        <v>500000.0</v>
      </c>
      <c r="R389" s="9">
        <v>0.0</v>
      </c>
      <c r="S389" s="9">
        <v>99700.0</v>
      </c>
      <c r="T389" s="9">
        <v>99700.0</v>
      </c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12">
        <v>2.5518709E7</v>
      </c>
      <c r="D390" s="12">
        <v>2.5018709E7</v>
      </c>
      <c r="E390" s="12">
        <v>720000.0</v>
      </c>
      <c r="F390" s="13">
        <v>0.0</v>
      </c>
      <c r="G390" s="12">
        <v>116963.0</v>
      </c>
      <c r="H390" s="13">
        <v>0.0</v>
      </c>
      <c r="I390" s="13">
        <v>0.0</v>
      </c>
      <c r="J390" s="12">
        <v>159684.0</v>
      </c>
      <c r="K390" s="12"/>
      <c r="L390" s="12"/>
      <c r="M390" s="12"/>
      <c r="N390" s="14">
        <v>0.0</v>
      </c>
      <c r="O390" s="12">
        <v>255187.0</v>
      </c>
      <c r="P390" s="14"/>
      <c r="Q390" s="12">
        <v>500000.0</v>
      </c>
      <c r="R390" s="13">
        <v>0.0</v>
      </c>
      <c r="S390" s="13"/>
      <c r="T390" s="13"/>
      <c r="U390" s="2"/>
      <c r="V390" s="2"/>
      <c r="W390" s="2"/>
      <c r="X390" s="2"/>
      <c r="Y390" s="2"/>
      <c r="Z390" s="2"/>
    </row>
    <row r="391" ht="12.75" customHeight="1">
      <c r="A391" s="3" t="s">
        <v>39</v>
      </c>
      <c r="B391" s="9">
        <v>20.0</v>
      </c>
      <c r="C391" s="12">
        <v>1.2216242E8</v>
      </c>
      <c r="D391" s="12">
        <v>1.1521242E8</v>
      </c>
      <c r="E391" s="12">
        <v>2.2285695E7</v>
      </c>
      <c r="F391" s="12">
        <v>3.5900545E7</v>
      </c>
      <c r="G391" s="12">
        <v>409070.0</v>
      </c>
      <c r="H391" s="13">
        <v>0.0</v>
      </c>
      <c r="I391" s="13">
        <v>0.0</v>
      </c>
      <c r="J391" s="12">
        <v>887166.0</v>
      </c>
      <c r="K391" s="12">
        <f t="shared" ref="K391:M391" si="78">SUM(K382:K390)</f>
        <v>4309560</v>
      </c>
      <c r="L391" s="12">
        <f t="shared" si="78"/>
        <v>1087243</v>
      </c>
      <c r="M391" s="12">
        <f t="shared" si="78"/>
        <v>366490</v>
      </c>
      <c r="N391" s="14">
        <v>0.0</v>
      </c>
      <c r="O391" s="12">
        <v>1221627.0</v>
      </c>
      <c r="P391" s="12">
        <f>SUM(P382:P390)</f>
        <v>2443254</v>
      </c>
      <c r="Q391" s="12">
        <v>6950000.0</v>
      </c>
      <c r="R391" s="13">
        <v>0.0</v>
      </c>
      <c r="S391" s="12">
        <f t="shared" ref="S391:T391" si="79">SUM(S382:S390)</f>
        <v>4589183</v>
      </c>
      <c r="T391" s="12">
        <f t="shared" si="79"/>
        <v>4589183</v>
      </c>
      <c r="U391" s="2"/>
      <c r="V391" s="2"/>
      <c r="W391" s="2"/>
      <c r="X391" s="2"/>
      <c r="Y391" s="2"/>
      <c r="Z391" s="2"/>
    </row>
    <row r="392" ht="12.75" customHeight="1">
      <c r="A392" s="3" t="s">
        <v>28</v>
      </c>
      <c r="B392" s="13">
        <v>37.0</v>
      </c>
      <c r="C392" s="12">
        <v>2.24465295E8</v>
      </c>
      <c r="D392" s="12">
        <v>2.13865295E8</v>
      </c>
      <c r="E392" s="12">
        <v>3.7128008E7</v>
      </c>
      <c r="F392" s="12">
        <v>5.3486533E7</v>
      </c>
      <c r="G392" s="12">
        <v>728669.0</v>
      </c>
      <c r="H392" s="13">
        <v>0.0</v>
      </c>
      <c r="I392" s="12">
        <v>1252336.0</v>
      </c>
      <c r="J392" s="12">
        <v>1054332.0</v>
      </c>
      <c r="K392" s="12">
        <f t="shared" ref="K392:M392" si="80">SUM(K373,K391)</f>
        <v>7972686</v>
      </c>
      <c r="L392" s="12">
        <f t="shared" si="80"/>
        <v>1997738</v>
      </c>
      <c r="M392" s="12">
        <f t="shared" si="80"/>
        <v>673399</v>
      </c>
      <c r="N392" s="15">
        <v>600000.0</v>
      </c>
      <c r="O392" s="12">
        <v>2226942.0</v>
      </c>
      <c r="P392" s="12">
        <f>SUM(P373,P391)</f>
        <v>4453884</v>
      </c>
      <c r="Q392" s="12">
        <v>1.06E7</v>
      </c>
      <c r="R392" s="13">
        <v>0.0</v>
      </c>
      <c r="S392" s="12">
        <f t="shared" ref="S392:T392" si="81">SUM(S373,S391)</f>
        <v>7860842</v>
      </c>
      <c r="T392" s="12">
        <f t="shared" si="81"/>
        <v>7860842</v>
      </c>
      <c r="U392" s="2"/>
      <c r="V392" s="2"/>
      <c r="W392" s="2"/>
      <c r="X392" s="2"/>
      <c r="Y392" s="2"/>
      <c r="Z392" s="2"/>
    </row>
    <row r="393" ht="12.75" customHeight="1">
      <c r="A393" s="16" t="s">
        <v>69</v>
      </c>
      <c r="B393" s="9">
        <v>68.0</v>
      </c>
      <c r="C393" s="12">
        <v>4.09362019E8</v>
      </c>
      <c r="D393" s="12">
        <v>3.90012019E8</v>
      </c>
      <c r="E393" s="17">
        <v>9.2276807E7</v>
      </c>
      <c r="F393" s="17">
        <v>1.15195474E8</v>
      </c>
      <c r="G393" s="12">
        <v>1325997.0</v>
      </c>
      <c r="H393" s="12">
        <v>111143.0</v>
      </c>
      <c r="I393" s="12">
        <v>1252336.0</v>
      </c>
      <c r="J393" s="12">
        <v>1659833.0</v>
      </c>
      <c r="K393" s="12">
        <f t="shared" ref="K393:M393" si="82">SUM(K360,K392)</f>
        <v>14221548</v>
      </c>
      <c r="L393" s="12">
        <f t="shared" si="82"/>
        <v>3643317</v>
      </c>
      <c r="M393" s="12">
        <f t="shared" si="82"/>
        <v>1228091</v>
      </c>
      <c r="N393" s="15">
        <v>600000.0</v>
      </c>
      <c r="O393" s="12">
        <v>3970848.0</v>
      </c>
      <c r="P393" s="12">
        <f>SUM(P360,P392)</f>
        <v>7941696</v>
      </c>
      <c r="Q393" s="12">
        <v>1.81E7</v>
      </c>
      <c r="R393" s="12">
        <v>250000.0</v>
      </c>
      <c r="S393" s="12">
        <f t="shared" ref="S393:T393" si="83">SUM(S360,S392)</f>
        <v>19777531</v>
      </c>
      <c r="T393" s="12">
        <f t="shared" si="83"/>
        <v>19777531</v>
      </c>
      <c r="U393" s="18">
        <f>SUM(C393,E393,F393,I393,J393,K393,L393,M393,N393,S393)-SUM(G393,H393)</f>
        <v>657779816</v>
      </c>
      <c r="V393" s="2"/>
      <c r="W393" s="2">
        <v>0.0</v>
      </c>
      <c r="X393" s="19">
        <f>T393+W393</f>
        <v>19777531</v>
      </c>
      <c r="Y393" s="2"/>
      <c r="Z393" s="2"/>
    </row>
    <row r="394" ht="12.75" customHeight="1">
      <c r="A394" s="2" t="s">
        <v>42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 t="s">
        <v>43</v>
      </c>
      <c r="J395" s="2"/>
      <c r="K395" s="2"/>
      <c r="L395" s="2"/>
      <c r="M395" s="2"/>
      <c r="N395" s="2"/>
      <c r="O395" s="2"/>
      <c r="P395" s="2"/>
      <c r="Q395" s="2"/>
      <c r="R395" s="2" t="s">
        <v>44</v>
      </c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 t="s">
        <v>0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 t="s">
        <v>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 t="s">
        <v>2</v>
      </c>
      <c r="O397" s="2"/>
      <c r="P397" s="2" t="s">
        <v>3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1" t="s">
        <v>4</v>
      </c>
      <c r="G398" s="1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" t="s">
        <v>5</v>
      </c>
      <c r="Q399" s="4">
        <v>1.0</v>
      </c>
      <c r="R399" s="3" t="s">
        <v>6</v>
      </c>
      <c r="S399" s="4">
        <v>1.0</v>
      </c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6" t="s">
        <v>15</v>
      </c>
      <c r="K400" s="6" t="s">
        <v>16</v>
      </c>
      <c r="L400" s="6"/>
      <c r="M400" s="6"/>
      <c r="N400" s="2"/>
      <c r="O400" s="6" t="s">
        <v>20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6" t="s">
        <v>7</v>
      </c>
      <c r="C401" s="6" t="s">
        <v>8</v>
      </c>
      <c r="D401" s="6" t="s">
        <v>9</v>
      </c>
      <c r="E401" s="6" t="s">
        <v>10</v>
      </c>
      <c r="F401" s="6" t="s">
        <v>11</v>
      </c>
      <c r="G401" s="6" t="s">
        <v>12</v>
      </c>
      <c r="H401" s="6" t="s">
        <v>13</v>
      </c>
      <c r="I401" s="6" t="s">
        <v>14</v>
      </c>
      <c r="J401" s="2"/>
      <c r="K401" s="2"/>
      <c r="L401" s="5" t="s">
        <v>17</v>
      </c>
      <c r="M401" s="5" t="s">
        <v>18</v>
      </c>
      <c r="N401" s="2" t="s">
        <v>19</v>
      </c>
      <c r="O401" s="2"/>
      <c r="P401" s="5" t="s">
        <v>21</v>
      </c>
      <c r="Q401" s="6" t="s">
        <v>22</v>
      </c>
      <c r="R401" s="6" t="s">
        <v>23</v>
      </c>
      <c r="S401" s="6" t="s">
        <v>24</v>
      </c>
      <c r="T401" s="6" t="s">
        <v>25</v>
      </c>
      <c r="U401" s="2"/>
      <c r="V401" s="2"/>
      <c r="W401" s="2"/>
      <c r="X401" s="2"/>
      <c r="Y401" s="2"/>
      <c r="Z401" s="2"/>
    </row>
    <row r="402" ht="12.75" customHeight="1">
      <c r="A402" s="1" t="s">
        <v>70</v>
      </c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 t="s">
        <v>30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 t="s">
        <v>33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 t="s">
        <v>32</v>
      </c>
      <c r="B406" s="9">
        <v>1.0</v>
      </c>
      <c r="C406" s="10">
        <v>6342516.0</v>
      </c>
      <c r="D406" s="10">
        <v>5142516.0</v>
      </c>
      <c r="E406" s="9">
        <v>0.0</v>
      </c>
      <c r="F406" s="9">
        <v>0.0</v>
      </c>
      <c r="G406" s="10">
        <v>14378.0</v>
      </c>
      <c r="H406" s="9">
        <v>0.0</v>
      </c>
      <c r="I406" s="9">
        <v>0.0</v>
      </c>
      <c r="J406" s="9">
        <v>0.0</v>
      </c>
      <c r="K406" s="10">
        <f>172990*1</f>
        <v>172990</v>
      </c>
      <c r="L406" s="10">
        <v>15222.0</v>
      </c>
      <c r="M406" s="10">
        <v>19028.0</v>
      </c>
      <c r="N406" s="11">
        <v>0.0</v>
      </c>
      <c r="O406" s="10">
        <v>63425.0</v>
      </c>
      <c r="P406" s="11">
        <v>126850.0</v>
      </c>
      <c r="Q406" s="10">
        <v>1200000.0</v>
      </c>
      <c r="R406" s="9">
        <v>0.0</v>
      </c>
      <c r="S406" s="9">
        <v>32841.0</v>
      </c>
      <c r="T406" s="9">
        <v>32841.0</v>
      </c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12">
        <v>6342516.0</v>
      </c>
      <c r="D407" s="12">
        <v>5142516.0</v>
      </c>
      <c r="E407" s="13">
        <v>0.0</v>
      </c>
      <c r="F407" s="13">
        <v>0.0</v>
      </c>
      <c r="G407" s="12">
        <v>14378.0</v>
      </c>
      <c r="H407" s="13">
        <v>0.0</v>
      </c>
      <c r="I407" s="13">
        <v>0.0</v>
      </c>
      <c r="J407" s="13">
        <v>0.0</v>
      </c>
      <c r="K407" s="12"/>
      <c r="L407" s="12"/>
      <c r="M407" s="12"/>
      <c r="N407" s="14">
        <v>0.0</v>
      </c>
      <c r="O407" s="12">
        <v>63425.0</v>
      </c>
      <c r="P407" s="14"/>
      <c r="Q407" s="12">
        <v>1200000.0</v>
      </c>
      <c r="R407" s="13">
        <v>0.0</v>
      </c>
      <c r="S407" s="13"/>
      <c r="T407" s="13"/>
      <c r="U407" s="2"/>
      <c r="V407" s="2"/>
      <c r="W407" s="2"/>
      <c r="X407" s="2"/>
      <c r="Y407" s="2"/>
      <c r="Z407" s="2"/>
    </row>
    <row r="408" ht="12.75" customHeight="1">
      <c r="A408" s="3" t="s">
        <v>37</v>
      </c>
      <c r="B408" s="9">
        <v>1.0</v>
      </c>
      <c r="C408" s="12">
        <v>6342516.0</v>
      </c>
      <c r="D408" s="12">
        <v>5142516.0</v>
      </c>
      <c r="E408" s="13">
        <v>0.0</v>
      </c>
      <c r="F408" s="13">
        <v>0.0</v>
      </c>
      <c r="G408" s="12">
        <v>14378.0</v>
      </c>
      <c r="H408" s="13">
        <v>0.0</v>
      </c>
      <c r="I408" s="13">
        <v>0.0</v>
      </c>
      <c r="J408" s="13">
        <v>0.0</v>
      </c>
      <c r="K408" s="12">
        <f t="shared" ref="K408:M408" si="84">SUM(K406:K407)</f>
        <v>172990</v>
      </c>
      <c r="L408" s="12">
        <f t="shared" si="84"/>
        <v>15222</v>
      </c>
      <c r="M408" s="12">
        <f t="shared" si="84"/>
        <v>19028</v>
      </c>
      <c r="N408" s="14">
        <v>0.0</v>
      </c>
      <c r="O408" s="12">
        <v>63425.0</v>
      </c>
      <c r="P408" s="12">
        <f>SUM(P406:P407)</f>
        <v>126850</v>
      </c>
      <c r="Q408" s="12">
        <v>1200000.0</v>
      </c>
      <c r="R408" s="13">
        <v>0.0</v>
      </c>
      <c r="S408" s="12">
        <f t="shared" ref="S408:T408" si="85">SUM(S406:S407)</f>
        <v>32841</v>
      </c>
      <c r="T408" s="12">
        <f t="shared" si="85"/>
        <v>32841</v>
      </c>
      <c r="U408" s="2"/>
      <c r="V408" s="2"/>
      <c r="W408" s="2"/>
      <c r="X408" s="2"/>
      <c r="Y408" s="2"/>
      <c r="Z408" s="2"/>
    </row>
    <row r="409" ht="12.75" customHeight="1">
      <c r="A409" s="3" t="s">
        <v>38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 t="s">
        <v>31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 t="s">
        <v>32</v>
      </c>
      <c r="B411" s="9">
        <v>7.0</v>
      </c>
      <c r="C411" s="10">
        <v>2.4221359E7</v>
      </c>
      <c r="D411" s="10">
        <v>2.4221359E7</v>
      </c>
      <c r="E411" s="9">
        <v>0.0</v>
      </c>
      <c r="F411" s="10">
        <v>1.186549E7</v>
      </c>
      <c r="G411" s="10">
        <v>55784.0</v>
      </c>
      <c r="H411" s="9">
        <v>0.0</v>
      </c>
      <c r="I411" s="9">
        <v>0.0</v>
      </c>
      <c r="J411" s="10">
        <v>267575.0</v>
      </c>
      <c r="K411" s="10">
        <f>172990*7</f>
        <v>1210930</v>
      </c>
      <c r="L411" s="10">
        <v>58132.0</v>
      </c>
      <c r="M411" s="10">
        <v>72664.0</v>
      </c>
      <c r="N411" s="9">
        <v>0.0</v>
      </c>
      <c r="O411" s="10">
        <v>242213.0</v>
      </c>
      <c r="P411" s="2">
        <v>484426.0</v>
      </c>
      <c r="Q411" s="9">
        <v>0.0</v>
      </c>
      <c r="R411" s="9">
        <v>0.0</v>
      </c>
      <c r="S411" s="9">
        <v>84944.0</v>
      </c>
      <c r="T411" s="9">
        <v>84944.0</v>
      </c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12">
        <v>2.4221359E7</v>
      </c>
      <c r="D412" s="12">
        <v>2.4221359E7</v>
      </c>
      <c r="E412" s="13">
        <v>0.0</v>
      </c>
      <c r="F412" s="12">
        <v>1.186549E7</v>
      </c>
      <c r="G412" s="12">
        <v>55784.0</v>
      </c>
      <c r="H412" s="13">
        <v>0.0</v>
      </c>
      <c r="I412" s="13">
        <v>0.0</v>
      </c>
      <c r="J412" s="12">
        <v>267575.0</v>
      </c>
      <c r="K412" s="12"/>
      <c r="L412" s="12"/>
      <c r="M412" s="12"/>
      <c r="N412" s="14">
        <v>0.0</v>
      </c>
      <c r="O412" s="12">
        <v>242213.0</v>
      </c>
      <c r="P412" s="14"/>
      <c r="Q412" s="13">
        <v>0.0</v>
      </c>
      <c r="R412" s="13">
        <v>0.0</v>
      </c>
      <c r="S412" s="13"/>
      <c r="T412" s="13"/>
      <c r="U412" s="2"/>
      <c r="V412" s="2"/>
      <c r="W412" s="2"/>
      <c r="X412" s="2"/>
      <c r="Y412" s="2"/>
      <c r="Z412" s="2"/>
    </row>
    <row r="413" ht="12.75" customHeight="1">
      <c r="A413" s="2" t="s">
        <v>33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 t="s">
        <v>32</v>
      </c>
      <c r="B414" s="9">
        <v>2.0</v>
      </c>
      <c r="C414" s="10">
        <v>1.3645902E7</v>
      </c>
      <c r="D414" s="10">
        <v>1.1245902E7</v>
      </c>
      <c r="E414" s="9">
        <v>0.0</v>
      </c>
      <c r="F414" s="9">
        <v>0.0</v>
      </c>
      <c r="G414" s="9">
        <v>0.0</v>
      </c>
      <c r="H414" s="9">
        <v>0.0</v>
      </c>
      <c r="I414" s="9">
        <v>0.0</v>
      </c>
      <c r="J414" s="10">
        <v>56775.0</v>
      </c>
      <c r="K414" s="10">
        <f>172990*2</f>
        <v>345980</v>
      </c>
      <c r="L414" s="10">
        <v>32750.0</v>
      </c>
      <c r="M414" s="10">
        <v>40938.0</v>
      </c>
      <c r="N414" s="11">
        <v>0.0</v>
      </c>
      <c r="O414" s="10">
        <v>136459.0</v>
      </c>
      <c r="P414" s="11">
        <v>272918.0</v>
      </c>
      <c r="Q414" s="10">
        <v>2400000.0</v>
      </c>
      <c r="R414" s="9">
        <v>0.0</v>
      </c>
      <c r="S414" s="9">
        <v>109211.0</v>
      </c>
      <c r="T414" s="9">
        <v>109211.0</v>
      </c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12">
        <v>1.3645902E7</v>
      </c>
      <c r="D415" s="12">
        <v>1.1245902E7</v>
      </c>
      <c r="E415" s="13">
        <v>0.0</v>
      </c>
      <c r="F415" s="13">
        <v>0.0</v>
      </c>
      <c r="G415" s="13">
        <v>0.0</v>
      </c>
      <c r="H415" s="13">
        <v>0.0</v>
      </c>
      <c r="I415" s="13">
        <v>0.0</v>
      </c>
      <c r="J415" s="12">
        <v>56775.0</v>
      </c>
      <c r="K415" s="12"/>
      <c r="L415" s="12"/>
      <c r="M415" s="12"/>
      <c r="N415" s="14">
        <v>0.0</v>
      </c>
      <c r="O415" s="12">
        <v>136459.0</v>
      </c>
      <c r="P415" s="14"/>
      <c r="Q415" s="12">
        <v>2400000.0</v>
      </c>
      <c r="R415" s="13">
        <v>0.0</v>
      </c>
      <c r="S415" s="13"/>
      <c r="T415" s="13"/>
      <c r="U415" s="2"/>
      <c r="V415" s="2"/>
      <c r="W415" s="2"/>
      <c r="X415" s="2"/>
      <c r="Y415" s="2"/>
      <c r="Z415" s="2"/>
    </row>
    <row r="416" ht="12.75" customHeight="1">
      <c r="A416" s="2" t="s">
        <v>34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 t="s">
        <v>36</v>
      </c>
      <c r="B417" s="9">
        <v>1.0</v>
      </c>
      <c r="C417" s="10">
        <v>5127479.0</v>
      </c>
      <c r="D417" s="10">
        <v>4727479.0</v>
      </c>
      <c r="E417" s="9">
        <v>0.0</v>
      </c>
      <c r="F417" s="9">
        <v>0.0</v>
      </c>
      <c r="G417" s="10">
        <v>19593.0</v>
      </c>
      <c r="H417" s="9">
        <v>0.0</v>
      </c>
      <c r="I417" s="9">
        <v>0.0</v>
      </c>
      <c r="J417" s="10">
        <v>39792.0</v>
      </c>
      <c r="K417" s="10">
        <f>172990*1</f>
        <v>172990</v>
      </c>
      <c r="L417" s="10">
        <v>12306.0</v>
      </c>
      <c r="M417" s="10">
        <v>15382.0</v>
      </c>
      <c r="N417" s="9">
        <v>0.0</v>
      </c>
      <c r="O417" s="10">
        <v>51275.0</v>
      </c>
      <c r="P417" s="2">
        <v>102550.0</v>
      </c>
      <c r="Q417" s="10">
        <v>400000.0</v>
      </c>
      <c r="R417" s="9">
        <v>0.0</v>
      </c>
      <c r="S417" s="9">
        <v>0.0</v>
      </c>
      <c r="T417" s="9">
        <v>0.0</v>
      </c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12">
        <v>5127479.0</v>
      </c>
      <c r="D418" s="12">
        <v>4727479.0</v>
      </c>
      <c r="E418" s="13">
        <v>0.0</v>
      </c>
      <c r="F418" s="13">
        <v>0.0</v>
      </c>
      <c r="G418" s="12">
        <v>19593.0</v>
      </c>
      <c r="H418" s="13">
        <v>0.0</v>
      </c>
      <c r="I418" s="13">
        <v>0.0</v>
      </c>
      <c r="J418" s="12">
        <v>39792.0</v>
      </c>
      <c r="K418" s="12"/>
      <c r="L418" s="12"/>
      <c r="M418" s="12"/>
      <c r="N418" s="14">
        <v>0.0</v>
      </c>
      <c r="O418" s="12">
        <v>51275.0</v>
      </c>
      <c r="P418" s="14"/>
      <c r="Q418" s="12">
        <v>400000.0</v>
      </c>
      <c r="R418" s="13">
        <v>0.0</v>
      </c>
      <c r="S418" s="13"/>
      <c r="T418" s="13"/>
      <c r="U418" s="2"/>
      <c r="V418" s="2"/>
      <c r="W418" s="2"/>
      <c r="X418" s="2"/>
      <c r="Y418" s="2"/>
      <c r="Z418" s="2"/>
    </row>
    <row r="419" ht="12.75" customHeight="1">
      <c r="A419" s="3" t="s">
        <v>39</v>
      </c>
      <c r="B419" s="9">
        <v>10.0</v>
      </c>
      <c r="C419" s="12">
        <v>4.299474E7</v>
      </c>
      <c r="D419" s="12">
        <v>4.019474E7</v>
      </c>
      <c r="E419" s="13">
        <v>0.0</v>
      </c>
      <c r="F419" s="12">
        <v>1.186549E7</v>
      </c>
      <c r="G419" s="12">
        <v>75377.0</v>
      </c>
      <c r="H419" s="13">
        <v>0.0</v>
      </c>
      <c r="I419" s="13">
        <v>0.0</v>
      </c>
      <c r="J419" s="12">
        <v>364142.0</v>
      </c>
      <c r="K419" s="12">
        <f t="shared" ref="K419:M419" si="86">SUM(K411:K418)</f>
        <v>1729900</v>
      </c>
      <c r="L419" s="12">
        <f t="shared" si="86"/>
        <v>103188</v>
      </c>
      <c r="M419" s="12">
        <f t="shared" si="86"/>
        <v>128984</v>
      </c>
      <c r="N419" s="14">
        <v>0.0</v>
      </c>
      <c r="O419" s="12">
        <v>429947.0</v>
      </c>
      <c r="P419" s="12">
        <f>SUM(P411:P418)</f>
        <v>859894</v>
      </c>
      <c r="Q419" s="12">
        <v>2800000.0</v>
      </c>
      <c r="R419" s="13">
        <v>0.0</v>
      </c>
      <c r="S419" s="12">
        <f t="shared" ref="S419:T419" si="87">SUM(S411:S418)</f>
        <v>194155</v>
      </c>
      <c r="T419" s="12">
        <f t="shared" si="87"/>
        <v>194155</v>
      </c>
      <c r="U419" s="2"/>
      <c r="V419" s="2"/>
      <c r="W419" s="2"/>
      <c r="X419" s="2"/>
      <c r="Y419" s="2"/>
      <c r="Z419" s="2"/>
    </row>
    <row r="420" ht="12.75" customHeight="1">
      <c r="A420" s="3" t="s">
        <v>28</v>
      </c>
      <c r="B420" s="13">
        <v>11.0</v>
      </c>
      <c r="C420" s="12">
        <v>4.9337256E7</v>
      </c>
      <c r="D420" s="12">
        <v>4.5337256E7</v>
      </c>
      <c r="E420" s="13">
        <v>0.0</v>
      </c>
      <c r="F420" s="12">
        <v>1.186549E7</v>
      </c>
      <c r="G420" s="12">
        <v>89755.0</v>
      </c>
      <c r="H420" s="13">
        <v>0.0</v>
      </c>
      <c r="I420" s="13">
        <v>0.0</v>
      </c>
      <c r="J420" s="12">
        <v>364142.0</v>
      </c>
      <c r="K420" s="12"/>
      <c r="L420" s="12"/>
      <c r="M420" s="12"/>
      <c r="N420" s="14">
        <v>0.0</v>
      </c>
      <c r="O420" s="12">
        <v>493372.0</v>
      </c>
      <c r="P420" s="14"/>
      <c r="Q420" s="12">
        <v>4000000.0</v>
      </c>
      <c r="R420" s="13">
        <v>0.0</v>
      </c>
      <c r="S420" s="13"/>
      <c r="T420" s="13"/>
      <c r="U420" s="2"/>
      <c r="V420" s="2"/>
      <c r="W420" s="2"/>
      <c r="X420" s="2"/>
      <c r="Y420" s="2"/>
      <c r="Z420" s="2"/>
    </row>
    <row r="421" ht="12.75" customHeight="1">
      <c r="A421" s="21" t="s">
        <v>71</v>
      </c>
      <c r="B421" s="9">
        <v>11.0</v>
      </c>
      <c r="C421" s="12">
        <v>4.9337256E7</v>
      </c>
      <c r="D421" s="12">
        <v>4.5337256E7</v>
      </c>
      <c r="E421" s="20">
        <v>0.0</v>
      </c>
      <c r="F421" s="17">
        <v>1.186549E7</v>
      </c>
      <c r="G421" s="12">
        <v>89755.0</v>
      </c>
      <c r="H421" s="13">
        <v>0.0</v>
      </c>
      <c r="I421" s="13">
        <v>0.0</v>
      </c>
      <c r="J421" s="12">
        <v>364142.0</v>
      </c>
      <c r="K421" s="12">
        <f t="shared" ref="K421:M421" si="88">SUM(K408,K419)</f>
        <v>1902890</v>
      </c>
      <c r="L421" s="12">
        <f t="shared" si="88"/>
        <v>118410</v>
      </c>
      <c r="M421" s="12">
        <f t="shared" si="88"/>
        <v>148012</v>
      </c>
      <c r="N421" s="14">
        <v>0.0</v>
      </c>
      <c r="O421" s="12">
        <v>493372.0</v>
      </c>
      <c r="P421" s="12">
        <f>SUM(P408,P419)</f>
        <v>986744</v>
      </c>
      <c r="Q421" s="12">
        <v>4000000.0</v>
      </c>
      <c r="R421" s="13">
        <v>0.0</v>
      </c>
      <c r="S421" s="12">
        <f t="shared" ref="S421:T421" si="89">SUM(S408,S419)</f>
        <v>226996</v>
      </c>
      <c r="T421" s="12">
        <f t="shared" si="89"/>
        <v>226996</v>
      </c>
      <c r="U421" s="18">
        <f>SUM(C421,E421,F421,I421,J421,K421,L421,M421,N421,S421)-SUM(G421,H421)</f>
        <v>63873441</v>
      </c>
      <c r="V421" s="2"/>
      <c r="W421" s="2">
        <v>110500.0</v>
      </c>
      <c r="X421" s="19">
        <f>T421+W421</f>
        <v>337496</v>
      </c>
      <c r="Y421" s="2"/>
      <c r="Z421" s="2"/>
    </row>
    <row r="422" ht="12.75" customHeight="1">
      <c r="A422" s="2" t="s">
        <v>42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 t="s">
        <v>43</v>
      </c>
      <c r="J423" s="2"/>
      <c r="K423" s="2"/>
      <c r="L423" s="2"/>
      <c r="M423" s="2"/>
      <c r="N423" s="2"/>
      <c r="O423" s="2"/>
      <c r="P423" s="2"/>
      <c r="Q423" s="2"/>
      <c r="R423" s="2" t="s">
        <v>44</v>
      </c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 t="s">
        <v>0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 t="s">
        <v>1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 t="s">
        <v>2</v>
      </c>
      <c r="O425" s="2"/>
      <c r="P425" s="2" t="s">
        <v>3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1" t="s">
        <v>4</v>
      </c>
      <c r="G426" s="1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" t="s">
        <v>5</v>
      </c>
      <c r="Q427" s="4">
        <v>1.0</v>
      </c>
      <c r="R427" s="3" t="s">
        <v>6</v>
      </c>
      <c r="S427" s="4">
        <v>2.0</v>
      </c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6" t="s">
        <v>15</v>
      </c>
      <c r="K428" s="6" t="s">
        <v>16</v>
      </c>
      <c r="L428" s="6"/>
      <c r="M428" s="6"/>
      <c r="N428" s="2"/>
      <c r="O428" s="6" t="s">
        <v>20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6" t="s">
        <v>7</v>
      </c>
      <c r="C429" s="6" t="s">
        <v>8</v>
      </c>
      <c r="D429" s="6" t="s">
        <v>9</v>
      </c>
      <c r="E429" s="6" t="s">
        <v>10</v>
      </c>
      <c r="F429" s="6" t="s">
        <v>11</v>
      </c>
      <c r="G429" s="6" t="s">
        <v>12</v>
      </c>
      <c r="H429" s="6" t="s">
        <v>13</v>
      </c>
      <c r="I429" s="6" t="s">
        <v>14</v>
      </c>
      <c r="J429" s="2"/>
      <c r="K429" s="2"/>
      <c r="L429" s="5" t="s">
        <v>17</v>
      </c>
      <c r="M429" s="5" t="s">
        <v>18</v>
      </c>
      <c r="N429" s="2" t="s">
        <v>19</v>
      </c>
      <c r="O429" s="2"/>
      <c r="P429" s="5" t="s">
        <v>21</v>
      </c>
      <c r="Q429" s="6" t="s">
        <v>22</v>
      </c>
      <c r="R429" s="6" t="s">
        <v>23</v>
      </c>
      <c r="S429" s="6" t="s">
        <v>24</v>
      </c>
      <c r="T429" s="6" t="s">
        <v>25</v>
      </c>
      <c r="U429" s="2"/>
      <c r="V429" s="2"/>
      <c r="W429" s="2"/>
      <c r="X429" s="2"/>
      <c r="Y429" s="2"/>
      <c r="Z429" s="2"/>
    </row>
    <row r="430" ht="12.75" customHeight="1">
      <c r="A430" s="1" t="s">
        <v>72</v>
      </c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 t="s">
        <v>30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 t="s">
        <v>31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 t="s">
        <v>32</v>
      </c>
      <c r="B434" s="9">
        <v>1.0</v>
      </c>
      <c r="C434" s="10">
        <v>3368275.0</v>
      </c>
      <c r="D434" s="10">
        <v>3368275.0</v>
      </c>
      <c r="E434" s="9">
        <v>0.0</v>
      </c>
      <c r="F434" s="10">
        <v>1359656.0</v>
      </c>
      <c r="G434" s="9">
        <v>0.0</v>
      </c>
      <c r="H434" s="9">
        <v>0.0</v>
      </c>
      <c r="I434" s="9">
        <v>0.0</v>
      </c>
      <c r="J434" s="9">
        <v>0.0</v>
      </c>
      <c r="K434" s="10">
        <v>165721.0</v>
      </c>
      <c r="L434" s="10">
        <v>29978.0</v>
      </c>
      <c r="M434" s="10">
        <v>10105.0</v>
      </c>
      <c r="N434" s="11">
        <v>0.0</v>
      </c>
      <c r="O434" s="10">
        <v>33683.0</v>
      </c>
      <c r="P434" s="11">
        <v>67366.0</v>
      </c>
      <c r="Q434" s="9">
        <v>0.0</v>
      </c>
      <c r="R434" s="9">
        <v>0.0</v>
      </c>
      <c r="S434" s="9">
        <v>0.0</v>
      </c>
      <c r="T434" s="9">
        <v>0.0</v>
      </c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12">
        <v>3368275.0</v>
      </c>
      <c r="D435" s="12">
        <v>3368275.0</v>
      </c>
      <c r="E435" s="13">
        <v>0.0</v>
      </c>
      <c r="F435" s="12">
        <v>1359656.0</v>
      </c>
      <c r="G435" s="13">
        <v>0.0</v>
      </c>
      <c r="H435" s="13">
        <v>0.0</v>
      </c>
      <c r="I435" s="13">
        <v>0.0</v>
      </c>
      <c r="J435" s="13">
        <v>0.0</v>
      </c>
      <c r="K435" s="12"/>
      <c r="L435" s="12"/>
      <c r="M435" s="12"/>
      <c r="N435" s="14">
        <v>0.0</v>
      </c>
      <c r="O435" s="12">
        <v>33683.0</v>
      </c>
      <c r="P435" s="14"/>
      <c r="Q435" s="13">
        <v>0.0</v>
      </c>
      <c r="R435" s="13">
        <v>0.0</v>
      </c>
      <c r="S435" s="13"/>
      <c r="T435" s="13"/>
      <c r="U435" s="2"/>
      <c r="V435" s="2"/>
      <c r="W435" s="2"/>
      <c r="X435" s="2"/>
      <c r="Y435" s="2"/>
      <c r="Z435" s="2"/>
    </row>
    <row r="436" ht="12.75" customHeight="1">
      <c r="A436" s="2" t="s">
        <v>33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 t="s">
        <v>32</v>
      </c>
      <c r="B437" s="9">
        <v>2.0</v>
      </c>
      <c r="C437" s="10">
        <v>1.136655E7</v>
      </c>
      <c r="D437" s="10">
        <v>1.006655E7</v>
      </c>
      <c r="E437" s="10">
        <v>750000.0</v>
      </c>
      <c r="F437" s="10">
        <v>487280.0</v>
      </c>
      <c r="G437" s="10">
        <v>14423.0</v>
      </c>
      <c r="H437" s="9">
        <v>0.0</v>
      </c>
      <c r="I437" s="9">
        <v>0.0</v>
      </c>
      <c r="J437" s="10">
        <v>56775.0</v>
      </c>
      <c r="K437" s="10">
        <v>165721.0</v>
      </c>
      <c r="L437" s="10">
        <v>101163.0</v>
      </c>
      <c r="M437" s="10">
        <v>34100.0</v>
      </c>
      <c r="N437" s="9">
        <v>0.0</v>
      </c>
      <c r="O437" s="10">
        <v>113666.0</v>
      </c>
      <c r="P437" s="2">
        <v>227332.0</v>
      </c>
      <c r="Q437" s="10">
        <v>1300000.0</v>
      </c>
      <c r="R437" s="9">
        <v>0.0</v>
      </c>
      <c r="S437" s="9">
        <v>91479.0</v>
      </c>
      <c r="T437" s="9">
        <v>91479.0</v>
      </c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12">
        <v>1.136655E7</v>
      </c>
      <c r="D438" s="12">
        <v>1.006655E7</v>
      </c>
      <c r="E438" s="12">
        <v>750000.0</v>
      </c>
      <c r="F438" s="12">
        <v>487280.0</v>
      </c>
      <c r="G438" s="12">
        <v>14423.0</v>
      </c>
      <c r="H438" s="13">
        <v>0.0</v>
      </c>
      <c r="I438" s="13">
        <v>0.0</v>
      </c>
      <c r="J438" s="12">
        <v>56775.0</v>
      </c>
      <c r="K438" s="12"/>
      <c r="L438" s="12"/>
      <c r="M438" s="12"/>
      <c r="N438" s="14">
        <v>0.0</v>
      </c>
      <c r="O438" s="12">
        <v>113666.0</v>
      </c>
      <c r="P438" s="14"/>
      <c r="Q438" s="12">
        <v>1300000.0</v>
      </c>
      <c r="R438" s="13">
        <v>0.0</v>
      </c>
      <c r="S438" s="13"/>
      <c r="T438" s="13"/>
      <c r="U438" s="2"/>
      <c r="V438" s="2"/>
      <c r="W438" s="2"/>
      <c r="X438" s="2"/>
      <c r="Y438" s="2"/>
      <c r="Z438" s="2"/>
    </row>
    <row r="439" ht="12.75" customHeight="1">
      <c r="A439" s="2" t="s">
        <v>34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 t="s">
        <v>36</v>
      </c>
      <c r="B440" s="9">
        <v>1.0</v>
      </c>
      <c r="C440" s="10">
        <v>3368275.0</v>
      </c>
      <c r="D440" s="10">
        <v>3368275.0</v>
      </c>
      <c r="E440" s="9">
        <v>0.0</v>
      </c>
      <c r="F440" s="9">
        <v>0.0</v>
      </c>
      <c r="G440" s="9">
        <v>0.0</v>
      </c>
      <c r="H440" s="9">
        <v>0.0</v>
      </c>
      <c r="I440" s="9">
        <v>0.0</v>
      </c>
      <c r="J440" s="9">
        <v>0.0</v>
      </c>
      <c r="K440" s="10">
        <v>165721.0</v>
      </c>
      <c r="L440" s="10">
        <v>29978.0</v>
      </c>
      <c r="M440" s="10">
        <v>10105.0</v>
      </c>
      <c r="N440" s="19">
        <v>6240000.0</v>
      </c>
      <c r="O440" s="10">
        <v>33683.0</v>
      </c>
      <c r="P440" s="19">
        <v>67366.0</v>
      </c>
      <c r="Q440" s="9">
        <v>0.0</v>
      </c>
      <c r="R440" s="9">
        <v>0.0</v>
      </c>
      <c r="S440" s="9">
        <v>200287.0</v>
      </c>
      <c r="T440" s="9">
        <v>200287.0</v>
      </c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12">
        <v>3368275.0</v>
      </c>
      <c r="D441" s="12">
        <v>3368275.0</v>
      </c>
      <c r="E441" s="13">
        <v>0.0</v>
      </c>
      <c r="F441" s="13">
        <v>0.0</v>
      </c>
      <c r="G441" s="13">
        <v>0.0</v>
      </c>
      <c r="H441" s="13">
        <v>0.0</v>
      </c>
      <c r="I441" s="13">
        <v>0.0</v>
      </c>
      <c r="J441" s="13">
        <v>0.0</v>
      </c>
      <c r="K441" s="12"/>
      <c r="L441" s="12"/>
      <c r="M441" s="12"/>
      <c r="N441" s="15">
        <v>6240000.0</v>
      </c>
      <c r="O441" s="12">
        <v>33683.0</v>
      </c>
      <c r="P441" s="15"/>
      <c r="Q441" s="13">
        <v>0.0</v>
      </c>
      <c r="R441" s="13">
        <v>0.0</v>
      </c>
      <c r="S441" s="13"/>
      <c r="T441" s="13"/>
      <c r="U441" s="2"/>
      <c r="V441" s="2"/>
      <c r="W441" s="2"/>
      <c r="X441" s="2"/>
      <c r="Y441" s="2"/>
      <c r="Z441" s="2"/>
    </row>
    <row r="442" ht="12.75" customHeight="1">
      <c r="A442" s="3" t="s">
        <v>37</v>
      </c>
      <c r="B442" s="9">
        <v>4.0</v>
      </c>
      <c r="C442" s="12">
        <v>1.81031E7</v>
      </c>
      <c r="D442" s="12">
        <v>1.68031E7</v>
      </c>
      <c r="E442" s="12">
        <v>750000.0</v>
      </c>
      <c r="F442" s="12">
        <v>1846936.0</v>
      </c>
      <c r="G442" s="12">
        <v>14423.0</v>
      </c>
      <c r="H442" s="13">
        <v>0.0</v>
      </c>
      <c r="I442" s="13">
        <v>0.0</v>
      </c>
      <c r="J442" s="12">
        <v>56775.0</v>
      </c>
      <c r="K442" s="12">
        <f t="shared" ref="K442:M442" si="90">SUM(K434:K441)</f>
        <v>497163</v>
      </c>
      <c r="L442" s="12">
        <f t="shared" si="90"/>
        <v>161119</v>
      </c>
      <c r="M442" s="12">
        <f t="shared" si="90"/>
        <v>54310</v>
      </c>
      <c r="N442" s="15">
        <v>6240000.0</v>
      </c>
      <c r="O442" s="12">
        <v>181032.0</v>
      </c>
      <c r="P442" s="12">
        <f>SUM(P434:P441)</f>
        <v>362064</v>
      </c>
      <c r="Q442" s="12">
        <v>1300000.0</v>
      </c>
      <c r="R442" s="13">
        <v>0.0</v>
      </c>
      <c r="S442" s="12">
        <f t="shared" ref="S442:T442" si="91">SUM(S434:S441)</f>
        <v>291766</v>
      </c>
      <c r="T442" s="12">
        <f t="shared" si="91"/>
        <v>291766</v>
      </c>
      <c r="U442" s="2"/>
      <c r="V442" s="2"/>
      <c r="W442" s="2"/>
      <c r="X442" s="2"/>
      <c r="Y442" s="2"/>
      <c r="Z442" s="2"/>
    </row>
    <row r="443" ht="12.75" customHeight="1">
      <c r="A443" s="3" t="s">
        <v>38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 t="s">
        <v>31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 t="s">
        <v>32</v>
      </c>
      <c r="B445" s="9">
        <v>2.0</v>
      </c>
      <c r="C445" s="10">
        <v>7031592.0</v>
      </c>
      <c r="D445" s="10">
        <v>7031592.0</v>
      </c>
      <c r="E445" s="9">
        <v>0.0</v>
      </c>
      <c r="F445" s="10">
        <v>1892328.0</v>
      </c>
      <c r="G445" s="9">
        <v>0.0</v>
      </c>
      <c r="H445" s="9">
        <v>0.0</v>
      </c>
      <c r="I445" s="9">
        <v>0.0</v>
      </c>
      <c r="J445" s="10">
        <v>79584.0</v>
      </c>
      <c r="K445" s="10">
        <f>165721*2</f>
        <v>331442</v>
      </c>
      <c r="L445" s="10">
        <v>62581.0</v>
      </c>
      <c r="M445" s="10">
        <v>21095.0</v>
      </c>
      <c r="N445" s="9">
        <v>0.0</v>
      </c>
      <c r="O445" s="10">
        <v>70316.0</v>
      </c>
      <c r="P445" s="2">
        <v>140632.0</v>
      </c>
      <c r="Q445" s="9">
        <v>0.0</v>
      </c>
      <c r="R445" s="9">
        <v>0.0</v>
      </c>
      <c r="S445" s="9">
        <v>0.0</v>
      </c>
      <c r="T445" s="9">
        <v>0.0</v>
      </c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12">
        <v>7031592.0</v>
      </c>
      <c r="D446" s="12">
        <v>7031592.0</v>
      </c>
      <c r="E446" s="13">
        <v>0.0</v>
      </c>
      <c r="F446" s="12">
        <v>1892328.0</v>
      </c>
      <c r="G446" s="13">
        <v>0.0</v>
      </c>
      <c r="H446" s="13">
        <v>0.0</v>
      </c>
      <c r="I446" s="13">
        <v>0.0</v>
      </c>
      <c r="J446" s="12">
        <v>79584.0</v>
      </c>
      <c r="K446" s="12"/>
      <c r="L446" s="12"/>
      <c r="M446" s="12"/>
      <c r="N446" s="14">
        <v>0.0</v>
      </c>
      <c r="O446" s="12">
        <v>70316.0</v>
      </c>
      <c r="P446" s="14"/>
      <c r="Q446" s="13">
        <v>0.0</v>
      </c>
      <c r="R446" s="13">
        <v>0.0</v>
      </c>
      <c r="S446" s="13"/>
      <c r="T446" s="13"/>
      <c r="U446" s="2"/>
      <c r="V446" s="2"/>
      <c r="W446" s="2"/>
      <c r="X446" s="2"/>
      <c r="Y446" s="2"/>
      <c r="Z446" s="2"/>
    </row>
    <row r="447" ht="12.75" customHeight="1">
      <c r="A447" s="2" t="s">
        <v>33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 t="s">
        <v>32</v>
      </c>
      <c r="B448" s="9">
        <v>11.0</v>
      </c>
      <c r="C448" s="10">
        <v>4.4884249E7</v>
      </c>
      <c r="D448" s="10">
        <v>4.2884249E7</v>
      </c>
      <c r="E448" s="10">
        <v>2040000.0</v>
      </c>
      <c r="F448" s="10">
        <v>3494653.0</v>
      </c>
      <c r="G448" s="10">
        <v>41784.0</v>
      </c>
      <c r="H448" s="9">
        <v>0.0</v>
      </c>
      <c r="I448" s="10">
        <v>137200.0</v>
      </c>
      <c r="J448" s="10">
        <v>391576.0</v>
      </c>
      <c r="K448" s="10">
        <f>165721*11</f>
        <v>1822931</v>
      </c>
      <c r="L448" s="10">
        <v>399469.0</v>
      </c>
      <c r="M448" s="10">
        <v>134653.0</v>
      </c>
      <c r="N448" s="11">
        <v>0.0</v>
      </c>
      <c r="O448" s="10">
        <v>448842.0</v>
      </c>
      <c r="P448" s="11">
        <v>897684.0</v>
      </c>
      <c r="Q448" s="10">
        <v>2000000.0</v>
      </c>
      <c r="R448" s="9">
        <v>0.0</v>
      </c>
      <c r="S448" s="9">
        <v>15842.0</v>
      </c>
      <c r="T448" s="9">
        <v>15842.0</v>
      </c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12">
        <v>4.4884249E7</v>
      </c>
      <c r="D449" s="12">
        <v>4.2884249E7</v>
      </c>
      <c r="E449" s="12">
        <v>2040000.0</v>
      </c>
      <c r="F449" s="12">
        <v>3494653.0</v>
      </c>
      <c r="G449" s="12">
        <v>41784.0</v>
      </c>
      <c r="H449" s="13">
        <v>0.0</v>
      </c>
      <c r="I449" s="12">
        <v>137200.0</v>
      </c>
      <c r="J449" s="12">
        <v>391576.0</v>
      </c>
      <c r="K449" s="12"/>
      <c r="L449" s="12"/>
      <c r="M449" s="12"/>
      <c r="N449" s="14">
        <v>0.0</v>
      </c>
      <c r="O449" s="12">
        <v>448842.0</v>
      </c>
      <c r="P449" s="14"/>
      <c r="Q449" s="12">
        <v>2000000.0</v>
      </c>
      <c r="R449" s="13">
        <v>0.0</v>
      </c>
      <c r="S449" s="13"/>
      <c r="T449" s="13"/>
      <c r="U449" s="2"/>
      <c r="V449" s="2"/>
      <c r="W449" s="2"/>
      <c r="X449" s="2"/>
      <c r="Y449" s="2"/>
      <c r="Z449" s="2"/>
    </row>
    <row r="450" ht="12.75" customHeight="1">
      <c r="A450" s="2" t="s">
        <v>34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 t="s">
        <v>35</v>
      </c>
      <c r="B451" s="9">
        <v>5.0</v>
      </c>
      <c r="C451" s="10">
        <v>2.3093009E7</v>
      </c>
      <c r="D451" s="10">
        <v>2.1693009E7</v>
      </c>
      <c r="E451" s="9">
        <v>0.0</v>
      </c>
      <c r="F451" s="9">
        <v>0.0</v>
      </c>
      <c r="G451" s="9">
        <v>0.0</v>
      </c>
      <c r="H451" s="9">
        <v>0.0</v>
      </c>
      <c r="I451" s="9">
        <v>0.0</v>
      </c>
      <c r="J451" s="10">
        <v>235158.0</v>
      </c>
      <c r="K451" s="10">
        <f>165721*5</f>
        <v>828605</v>
      </c>
      <c r="L451" s="10">
        <v>205529.0</v>
      </c>
      <c r="M451" s="10">
        <v>69279.0</v>
      </c>
      <c r="N451" s="10">
        <v>1020000.0</v>
      </c>
      <c r="O451" s="10">
        <v>230930.0</v>
      </c>
      <c r="P451" s="2">
        <v>461860.0</v>
      </c>
      <c r="Q451" s="10">
        <v>1400000.0</v>
      </c>
      <c r="R451" s="9">
        <v>0.0</v>
      </c>
      <c r="S451" s="9">
        <v>56847.0</v>
      </c>
      <c r="T451" s="9">
        <v>56847.0</v>
      </c>
      <c r="U451" s="2"/>
      <c r="V451" s="2"/>
      <c r="W451" s="2"/>
      <c r="X451" s="2"/>
      <c r="Y451" s="2"/>
      <c r="Z451" s="2"/>
    </row>
    <row r="452" ht="12.75" customHeight="1">
      <c r="A452" s="3" t="s">
        <v>36</v>
      </c>
      <c r="B452" s="9">
        <v>6.0</v>
      </c>
      <c r="C452" s="10">
        <v>3.6158051E7</v>
      </c>
      <c r="D452" s="10">
        <v>3.1658051E7</v>
      </c>
      <c r="E452" s="10">
        <v>540000.0</v>
      </c>
      <c r="F452" s="9">
        <v>0.0</v>
      </c>
      <c r="G452" s="9">
        <v>0.0</v>
      </c>
      <c r="H452" s="9">
        <v>0.0</v>
      </c>
      <c r="I452" s="10">
        <v>140000.0</v>
      </c>
      <c r="J452" s="10">
        <v>204683.0</v>
      </c>
      <c r="K452" s="10">
        <f>165721*6</f>
        <v>994326</v>
      </c>
      <c r="L452" s="10">
        <v>321807.0</v>
      </c>
      <c r="M452" s="10">
        <v>108475.0</v>
      </c>
      <c r="N452" s="11">
        <v>0.0</v>
      </c>
      <c r="O452" s="10">
        <v>343673.0</v>
      </c>
      <c r="P452" s="11">
        <v>687346.0</v>
      </c>
      <c r="Q452" s="10">
        <v>4250000.0</v>
      </c>
      <c r="R452" s="10">
        <v>250000.0</v>
      </c>
      <c r="S452" s="9">
        <v>453120.0</v>
      </c>
      <c r="T452" s="9">
        <v>453120.0</v>
      </c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12">
        <v>5.925106E7</v>
      </c>
      <c r="D453" s="12">
        <v>5.335106E7</v>
      </c>
      <c r="E453" s="12">
        <v>540000.0</v>
      </c>
      <c r="F453" s="13">
        <v>0.0</v>
      </c>
      <c r="G453" s="13">
        <v>0.0</v>
      </c>
      <c r="H453" s="13">
        <v>0.0</v>
      </c>
      <c r="I453" s="12">
        <v>140000.0</v>
      </c>
      <c r="J453" s="12">
        <v>439841.0</v>
      </c>
      <c r="K453" s="12"/>
      <c r="L453" s="12"/>
      <c r="M453" s="12"/>
      <c r="N453" s="15">
        <v>1020000.0</v>
      </c>
      <c r="O453" s="12">
        <v>574603.0</v>
      </c>
      <c r="P453" s="15"/>
      <c r="Q453" s="12">
        <v>5650000.0</v>
      </c>
      <c r="R453" s="12">
        <v>250000.0</v>
      </c>
      <c r="S453" s="13"/>
      <c r="T453" s="13"/>
      <c r="U453" s="2"/>
      <c r="V453" s="2"/>
      <c r="W453" s="2"/>
      <c r="X453" s="2"/>
      <c r="Y453" s="2"/>
      <c r="Z453" s="2"/>
    </row>
    <row r="454" ht="12.75" customHeight="1">
      <c r="A454" s="3" t="s">
        <v>39</v>
      </c>
      <c r="B454" s="9">
        <v>24.0</v>
      </c>
      <c r="C454" s="12">
        <v>1.11166901E8</v>
      </c>
      <c r="D454" s="12">
        <v>1.03266901E8</v>
      </c>
      <c r="E454" s="12">
        <v>2580000.0</v>
      </c>
      <c r="F454" s="12">
        <v>5386981.0</v>
      </c>
      <c r="G454" s="12">
        <v>41784.0</v>
      </c>
      <c r="H454" s="13">
        <v>0.0</v>
      </c>
      <c r="I454" s="12">
        <v>277200.0</v>
      </c>
      <c r="J454" s="12">
        <v>911001.0</v>
      </c>
      <c r="K454" s="12">
        <f t="shared" ref="K454:M454" si="92">SUM(K445:K453)</f>
        <v>3977304</v>
      </c>
      <c r="L454" s="12">
        <f t="shared" si="92"/>
        <v>989386</v>
      </c>
      <c r="M454" s="12">
        <f t="shared" si="92"/>
        <v>333502</v>
      </c>
      <c r="N454" s="15">
        <v>1020000.0</v>
      </c>
      <c r="O454" s="12">
        <v>1093761.0</v>
      </c>
      <c r="P454" s="12">
        <f>SUM(P445:P453)</f>
        <v>2187522</v>
      </c>
      <c r="Q454" s="12">
        <v>7650000.0</v>
      </c>
      <c r="R454" s="12">
        <v>250000.0</v>
      </c>
      <c r="S454" s="12">
        <f t="shared" ref="S454:T454" si="93">SUM(S445:S453)</f>
        <v>525809</v>
      </c>
      <c r="T454" s="12">
        <f t="shared" si="93"/>
        <v>525809</v>
      </c>
      <c r="U454" s="2"/>
      <c r="V454" s="2"/>
      <c r="W454" s="2"/>
      <c r="X454" s="2"/>
      <c r="Y454" s="2"/>
      <c r="Z454" s="2"/>
    </row>
    <row r="455" ht="12.75" customHeight="1">
      <c r="A455" s="3" t="s">
        <v>28</v>
      </c>
      <c r="B455" s="13">
        <v>28.0</v>
      </c>
      <c r="C455" s="12">
        <v>1.29270001E8</v>
      </c>
      <c r="D455" s="12">
        <v>1.20070001E8</v>
      </c>
      <c r="E455" s="12">
        <v>3330000.0</v>
      </c>
      <c r="F455" s="12">
        <v>7233917.0</v>
      </c>
      <c r="G455" s="12">
        <v>56207.0</v>
      </c>
      <c r="H455" s="13">
        <v>0.0</v>
      </c>
      <c r="I455" s="12">
        <v>277200.0</v>
      </c>
      <c r="J455" s="12">
        <v>967776.0</v>
      </c>
      <c r="K455" s="12"/>
      <c r="L455" s="12"/>
      <c r="M455" s="12"/>
      <c r="N455" s="15">
        <v>7260000.0</v>
      </c>
      <c r="O455" s="12">
        <v>1274793.0</v>
      </c>
      <c r="P455" s="15"/>
      <c r="Q455" s="12">
        <v>8950000.0</v>
      </c>
      <c r="R455" s="12">
        <v>250000.0</v>
      </c>
      <c r="S455" s="13"/>
      <c r="T455" s="13"/>
      <c r="U455" s="2"/>
      <c r="V455" s="2"/>
      <c r="W455" s="2"/>
      <c r="X455" s="2"/>
      <c r="Y455" s="2"/>
      <c r="Z455" s="2"/>
    </row>
    <row r="456" ht="12.75" customHeight="1">
      <c r="A456" s="1" t="s">
        <v>0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 t="s">
        <v>1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 t="s">
        <v>2</v>
      </c>
      <c r="O457" s="2"/>
      <c r="P457" s="2" t="s">
        <v>3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1" t="s">
        <v>4</v>
      </c>
      <c r="G458" s="1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" t="s">
        <v>5</v>
      </c>
      <c r="Q459" s="4">
        <v>2.0</v>
      </c>
      <c r="R459" s="3" t="s">
        <v>6</v>
      </c>
      <c r="S459" s="4">
        <v>2.0</v>
      </c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6" t="s">
        <v>15</v>
      </c>
      <c r="K460" s="6" t="s">
        <v>16</v>
      </c>
      <c r="L460" s="6"/>
      <c r="M460" s="6"/>
      <c r="N460" s="2"/>
      <c r="O460" s="6" t="s">
        <v>20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6" t="s">
        <v>7</v>
      </c>
      <c r="C461" s="6" t="s">
        <v>8</v>
      </c>
      <c r="D461" s="6" t="s">
        <v>9</v>
      </c>
      <c r="E461" s="6" t="s">
        <v>10</v>
      </c>
      <c r="F461" s="6" t="s">
        <v>11</v>
      </c>
      <c r="G461" s="6" t="s">
        <v>12</v>
      </c>
      <c r="H461" s="6" t="s">
        <v>13</v>
      </c>
      <c r="I461" s="6" t="s">
        <v>14</v>
      </c>
      <c r="J461" s="2"/>
      <c r="K461" s="2"/>
      <c r="L461" s="5" t="s">
        <v>17</v>
      </c>
      <c r="M461" s="5" t="s">
        <v>18</v>
      </c>
      <c r="N461" s="2" t="s">
        <v>19</v>
      </c>
      <c r="O461" s="2"/>
      <c r="P461" s="5" t="s">
        <v>21</v>
      </c>
      <c r="Q461" s="6" t="s">
        <v>22</v>
      </c>
      <c r="R461" s="6" t="s">
        <v>23</v>
      </c>
      <c r="S461" s="6" t="s">
        <v>24</v>
      </c>
      <c r="T461" s="6" t="s">
        <v>25</v>
      </c>
      <c r="U461" s="2"/>
      <c r="V461" s="2"/>
      <c r="W461" s="2"/>
      <c r="X461" s="2"/>
      <c r="Y461" s="2"/>
      <c r="Z461" s="2"/>
    </row>
    <row r="462" ht="12.75" customHeight="1">
      <c r="A462" s="16" t="s">
        <v>73</v>
      </c>
      <c r="B462" s="9">
        <v>28.0</v>
      </c>
      <c r="C462" s="12">
        <v>1.29270001E8</v>
      </c>
      <c r="D462" s="12">
        <v>1.20070001E8</v>
      </c>
      <c r="E462" s="17">
        <v>3330000.0</v>
      </c>
      <c r="F462" s="17">
        <v>7233917.0</v>
      </c>
      <c r="G462" s="12">
        <v>56207.0</v>
      </c>
      <c r="H462" s="13">
        <v>0.0</v>
      </c>
      <c r="I462" s="12">
        <v>277200.0</v>
      </c>
      <c r="J462" s="12">
        <v>967776.0</v>
      </c>
      <c r="K462" s="12">
        <f t="shared" ref="K462:M462" si="94">SUM(K442,K454)</f>
        <v>4474467</v>
      </c>
      <c r="L462" s="12">
        <f t="shared" si="94"/>
        <v>1150505</v>
      </c>
      <c r="M462" s="12">
        <f t="shared" si="94"/>
        <v>387812</v>
      </c>
      <c r="N462" s="15">
        <v>7260000.0</v>
      </c>
      <c r="O462" s="12">
        <v>1274793.0</v>
      </c>
      <c r="P462" s="12">
        <f>SUM(P442,P454)</f>
        <v>2549586</v>
      </c>
      <c r="Q462" s="12">
        <v>8950000.0</v>
      </c>
      <c r="R462" s="12">
        <v>250000.0</v>
      </c>
      <c r="S462" s="12">
        <f t="shared" ref="S462:T462" si="95">SUM(S442,S454)</f>
        <v>817575</v>
      </c>
      <c r="T462" s="12">
        <f t="shared" si="95"/>
        <v>817575</v>
      </c>
      <c r="U462" s="18">
        <f>SUM(C462,E462,F462,I462,J462,K462,L462,M462,N462,S462)-SUM(G462,H462)</f>
        <v>155113046</v>
      </c>
      <c r="V462" s="2"/>
      <c r="W462" s="2">
        <v>7916643.0</v>
      </c>
      <c r="X462" s="19">
        <f>T462+W462</f>
        <v>8734218</v>
      </c>
      <c r="Y462" s="2"/>
      <c r="Z462" s="2"/>
    </row>
    <row r="463" ht="12.75" customHeight="1">
      <c r="A463" s="2" t="s">
        <v>42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 t="s">
        <v>43</v>
      </c>
      <c r="J464" s="2"/>
      <c r="K464" s="2"/>
      <c r="L464" s="2"/>
      <c r="M464" s="2"/>
      <c r="N464" s="2"/>
      <c r="O464" s="2"/>
      <c r="P464" s="2"/>
      <c r="Q464" s="2"/>
      <c r="R464" s="2" t="s">
        <v>44</v>
      </c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 t="s">
        <v>0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 t="s">
        <v>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 t="s">
        <v>2</v>
      </c>
      <c r="O466" s="2"/>
      <c r="P466" s="2" t="s">
        <v>3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1" t="s">
        <v>4</v>
      </c>
      <c r="G467" s="1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" t="s">
        <v>5</v>
      </c>
      <c r="Q468" s="4">
        <v>1.0</v>
      </c>
      <c r="R468" s="3" t="s">
        <v>6</v>
      </c>
      <c r="S468" s="4">
        <v>2.0</v>
      </c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6" t="s">
        <v>15</v>
      </c>
      <c r="K469" s="6" t="s">
        <v>16</v>
      </c>
      <c r="L469" s="6"/>
      <c r="M469" s="6"/>
      <c r="N469" s="2"/>
      <c r="O469" s="6" t="s">
        <v>20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6" t="s">
        <v>7</v>
      </c>
      <c r="C470" s="6" t="s">
        <v>8</v>
      </c>
      <c r="D470" s="6" t="s">
        <v>9</v>
      </c>
      <c r="E470" s="6" t="s">
        <v>10</v>
      </c>
      <c r="F470" s="6" t="s">
        <v>11</v>
      </c>
      <c r="G470" s="6" t="s">
        <v>12</v>
      </c>
      <c r="H470" s="6" t="s">
        <v>13</v>
      </c>
      <c r="I470" s="6" t="s">
        <v>14</v>
      </c>
      <c r="J470" s="2"/>
      <c r="K470" s="2"/>
      <c r="L470" s="5" t="s">
        <v>17</v>
      </c>
      <c r="M470" s="5" t="s">
        <v>18</v>
      </c>
      <c r="N470" s="2" t="s">
        <v>19</v>
      </c>
      <c r="O470" s="2"/>
      <c r="P470" s="5" t="s">
        <v>21</v>
      </c>
      <c r="Q470" s="6" t="s">
        <v>22</v>
      </c>
      <c r="R470" s="6" t="s">
        <v>23</v>
      </c>
      <c r="S470" s="6" t="s">
        <v>24</v>
      </c>
      <c r="T470" s="6" t="s">
        <v>25</v>
      </c>
      <c r="U470" s="2"/>
      <c r="V470" s="2"/>
      <c r="W470" s="2"/>
      <c r="X470" s="2"/>
      <c r="Y470" s="2"/>
      <c r="Z470" s="2"/>
    </row>
    <row r="471" ht="12.75" customHeight="1">
      <c r="A471" s="1" t="s">
        <v>74</v>
      </c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 t="s">
        <v>30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 t="s">
        <v>33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 t="s">
        <v>32</v>
      </c>
      <c r="B475" s="9">
        <v>1.0</v>
      </c>
      <c r="C475" s="10">
        <v>8350011.0</v>
      </c>
      <c r="D475" s="10">
        <v>6850011.0</v>
      </c>
      <c r="E475" s="9">
        <v>0.0</v>
      </c>
      <c r="F475" s="9">
        <v>0.0</v>
      </c>
      <c r="G475" s="10">
        <v>97540.0</v>
      </c>
      <c r="H475" s="9">
        <v>0.0</v>
      </c>
      <c r="I475" s="9">
        <v>0.0</v>
      </c>
      <c r="J475" s="9">
        <v>0.0</v>
      </c>
      <c r="K475" s="10">
        <v>330000.0</v>
      </c>
      <c r="L475" s="10">
        <v>74315.0</v>
      </c>
      <c r="M475" s="10">
        <v>25050.0</v>
      </c>
      <c r="N475" s="11">
        <v>0.0</v>
      </c>
      <c r="O475" s="9">
        <v>0.0</v>
      </c>
      <c r="P475" s="11">
        <v>0.0</v>
      </c>
      <c r="Q475" s="10">
        <v>1500000.0</v>
      </c>
      <c r="R475" s="9">
        <v>0.0</v>
      </c>
      <c r="S475" s="9">
        <v>154638.0</v>
      </c>
      <c r="T475" s="9">
        <v>154638.0</v>
      </c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12">
        <v>8350011.0</v>
      </c>
      <c r="D476" s="12">
        <v>6850011.0</v>
      </c>
      <c r="E476" s="13">
        <v>0.0</v>
      </c>
      <c r="F476" s="13">
        <v>0.0</v>
      </c>
      <c r="G476" s="12">
        <v>97540.0</v>
      </c>
      <c r="H476" s="13">
        <v>0.0</v>
      </c>
      <c r="I476" s="13">
        <v>0.0</v>
      </c>
      <c r="J476" s="13">
        <v>0.0</v>
      </c>
      <c r="K476" s="12"/>
      <c r="L476" s="12"/>
      <c r="M476" s="12"/>
      <c r="N476" s="14">
        <v>0.0</v>
      </c>
      <c r="O476" s="13">
        <v>0.0</v>
      </c>
      <c r="P476" s="14"/>
      <c r="Q476" s="12">
        <v>1500000.0</v>
      </c>
      <c r="R476" s="13">
        <v>0.0</v>
      </c>
      <c r="S476" s="13"/>
      <c r="T476" s="13"/>
      <c r="U476" s="2"/>
      <c r="V476" s="2"/>
      <c r="W476" s="2"/>
      <c r="X476" s="2"/>
      <c r="Y476" s="2"/>
      <c r="Z476" s="2"/>
    </row>
    <row r="477" ht="12.75" customHeight="1">
      <c r="A477" s="2" t="s">
        <v>34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 t="s">
        <v>36</v>
      </c>
      <c r="B478" s="9">
        <v>5.0</v>
      </c>
      <c r="C478" s="10">
        <v>2.514545E7</v>
      </c>
      <c r="D478" s="10">
        <v>2.314545E7</v>
      </c>
      <c r="E478" s="9">
        <v>0.0</v>
      </c>
      <c r="F478" s="9">
        <v>0.0</v>
      </c>
      <c r="G478" s="10">
        <v>318791.0</v>
      </c>
      <c r="H478" s="10">
        <v>598038.0</v>
      </c>
      <c r="I478" s="9">
        <v>0.0</v>
      </c>
      <c r="J478" s="9">
        <v>0.0</v>
      </c>
      <c r="K478" s="10">
        <v>850057.0</v>
      </c>
      <c r="L478" s="10">
        <v>223795.0</v>
      </c>
      <c r="M478" s="10">
        <v>75435.0</v>
      </c>
      <c r="N478" s="9">
        <v>0.0</v>
      </c>
      <c r="O478" s="9">
        <v>0.0</v>
      </c>
      <c r="P478" s="2">
        <v>0.0</v>
      </c>
      <c r="Q478" s="10">
        <v>2000000.0</v>
      </c>
      <c r="R478" s="9">
        <v>0.0</v>
      </c>
      <c r="S478" s="9">
        <v>87340.0</v>
      </c>
      <c r="T478" s="9">
        <v>87340.0</v>
      </c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12">
        <v>2.514545E7</v>
      </c>
      <c r="D479" s="12">
        <v>2.314545E7</v>
      </c>
      <c r="E479" s="13">
        <v>0.0</v>
      </c>
      <c r="F479" s="13">
        <v>0.0</v>
      </c>
      <c r="G479" s="12">
        <v>318791.0</v>
      </c>
      <c r="H479" s="12">
        <v>598038.0</v>
      </c>
      <c r="I479" s="13">
        <v>0.0</v>
      </c>
      <c r="J479" s="13">
        <v>0.0</v>
      </c>
      <c r="K479" s="12"/>
      <c r="L479" s="12"/>
      <c r="M479" s="12"/>
      <c r="N479" s="14">
        <v>0.0</v>
      </c>
      <c r="O479" s="13">
        <v>0.0</v>
      </c>
      <c r="P479" s="14"/>
      <c r="Q479" s="12">
        <v>2000000.0</v>
      </c>
      <c r="R479" s="13">
        <v>0.0</v>
      </c>
      <c r="S479" s="13"/>
      <c r="T479" s="13"/>
      <c r="U479" s="2"/>
      <c r="V479" s="2"/>
      <c r="W479" s="2"/>
      <c r="X479" s="2"/>
      <c r="Y479" s="2"/>
      <c r="Z479" s="2"/>
    </row>
    <row r="480" ht="12.75" customHeight="1">
      <c r="A480" s="3" t="s">
        <v>37</v>
      </c>
      <c r="B480" s="9">
        <v>6.0</v>
      </c>
      <c r="C480" s="12">
        <v>3.3495461E7</v>
      </c>
      <c r="D480" s="12">
        <v>2.9995461E7</v>
      </c>
      <c r="E480" s="13">
        <v>0.0</v>
      </c>
      <c r="F480" s="13">
        <v>0.0</v>
      </c>
      <c r="G480" s="12">
        <v>416331.0</v>
      </c>
      <c r="H480" s="12">
        <v>598038.0</v>
      </c>
      <c r="I480" s="13">
        <v>0.0</v>
      </c>
      <c r="J480" s="13">
        <v>0.0</v>
      </c>
      <c r="K480" s="12">
        <f t="shared" ref="K480:M480" si="96">SUM(K475:K479)</f>
        <v>1180057</v>
      </c>
      <c r="L480" s="12">
        <f t="shared" si="96"/>
        <v>298110</v>
      </c>
      <c r="M480" s="12">
        <f t="shared" si="96"/>
        <v>100485</v>
      </c>
      <c r="N480" s="14">
        <v>0.0</v>
      </c>
      <c r="O480" s="13">
        <v>0.0</v>
      </c>
      <c r="P480" s="12">
        <f>SUM(P475:P479)</f>
        <v>0</v>
      </c>
      <c r="Q480" s="12">
        <v>3500000.0</v>
      </c>
      <c r="R480" s="13">
        <v>0.0</v>
      </c>
      <c r="S480" s="12">
        <f t="shared" ref="S480:T480" si="97">SUM(S475:S479)</f>
        <v>241978</v>
      </c>
      <c r="T480" s="12">
        <f t="shared" si="97"/>
        <v>241978</v>
      </c>
      <c r="U480" s="2"/>
      <c r="V480" s="2"/>
      <c r="W480" s="2"/>
      <c r="X480" s="2"/>
      <c r="Y480" s="2"/>
      <c r="Z480" s="2"/>
    </row>
    <row r="481" ht="12.75" customHeight="1">
      <c r="A481" s="3" t="s">
        <v>38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 t="s">
        <v>33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 t="s">
        <v>32</v>
      </c>
      <c r="B483" s="9">
        <v>8.0</v>
      </c>
      <c r="C483" s="10">
        <v>3.3784831E7</v>
      </c>
      <c r="D483" s="10">
        <v>3.1034831E7</v>
      </c>
      <c r="E483" s="9">
        <v>0.0</v>
      </c>
      <c r="F483" s="9">
        <v>0.0</v>
      </c>
      <c r="G483" s="10">
        <v>9371.0</v>
      </c>
      <c r="H483" s="9">
        <v>0.0</v>
      </c>
      <c r="I483" s="9">
        <v>0.0</v>
      </c>
      <c r="J483" s="9">
        <v>0.0</v>
      </c>
      <c r="K483" s="10">
        <v>1410871.0</v>
      </c>
      <c r="L483" s="10">
        <v>300684.0</v>
      </c>
      <c r="M483" s="10">
        <v>101355.0</v>
      </c>
      <c r="N483" s="11">
        <v>0.0</v>
      </c>
      <c r="O483" s="9">
        <v>0.0</v>
      </c>
      <c r="P483" s="11">
        <v>0.0</v>
      </c>
      <c r="Q483" s="10">
        <v>2750000.0</v>
      </c>
      <c r="R483" s="9">
        <v>0.0</v>
      </c>
      <c r="S483" s="9">
        <v>0.0</v>
      </c>
      <c r="T483" s="9">
        <v>0.0</v>
      </c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12">
        <v>3.3784831E7</v>
      </c>
      <c r="D484" s="12">
        <v>3.1034831E7</v>
      </c>
      <c r="E484" s="13">
        <v>0.0</v>
      </c>
      <c r="F484" s="13">
        <v>0.0</v>
      </c>
      <c r="G484" s="12">
        <v>9371.0</v>
      </c>
      <c r="H484" s="13">
        <v>0.0</v>
      </c>
      <c r="I484" s="13">
        <v>0.0</v>
      </c>
      <c r="J484" s="13">
        <v>0.0</v>
      </c>
      <c r="K484" s="12"/>
      <c r="L484" s="12"/>
      <c r="M484" s="12"/>
      <c r="N484" s="14">
        <v>0.0</v>
      </c>
      <c r="O484" s="13">
        <v>0.0</v>
      </c>
      <c r="P484" s="14"/>
      <c r="Q484" s="12">
        <v>2750000.0</v>
      </c>
      <c r="R484" s="13">
        <v>0.0</v>
      </c>
      <c r="S484" s="13"/>
      <c r="T484" s="13"/>
      <c r="U484" s="2"/>
      <c r="V484" s="2"/>
      <c r="W484" s="2"/>
      <c r="X484" s="2"/>
      <c r="Y484" s="2"/>
      <c r="Z484" s="2"/>
    </row>
    <row r="485" ht="12.75" customHeight="1">
      <c r="A485" s="2" t="s">
        <v>34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 t="s">
        <v>35</v>
      </c>
      <c r="B486" s="9">
        <v>2.0</v>
      </c>
      <c r="C486" s="10">
        <v>1.1989508E7</v>
      </c>
      <c r="D486" s="10">
        <v>1.0989508E7</v>
      </c>
      <c r="E486" s="9">
        <v>0.0</v>
      </c>
      <c r="F486" s="9">
        <v>0.0</v>
      </c>
      <c r="G486" s="10">
        <v>43617.0</v>
      </c>
      <c r="H486" s="9">
        <v>0.0</v>
      </c>
      <c r="I486" s="9">
        <v>0.0</v>
      </c>
      <c r="J486" s="9">
        <v>0.0</v>
      </c>
      <c r="K486" s="10">
        <v>485019.0</v>
      </c>
      <c r="L486" s="10">
        <v>106706.0</v>
      </c>
      <c r="M486" s="10">
        <v>35969.0</v>
      </c>
      <c r="N486" s="9">
        <v>0.0</v>
      </c>
      <c r="O486" s="9">
        <v>0.0</v>
      </c>
      <c r="P486" s="2">
        <v>0.0</v>
      </c>
      <c r="Q486" s="10">
        <v>1000000.0</v>
      </c>
      <c r="R486" s="9">
        <v>0.0</v>
      </c>
      <c r="S486" s="9">
        <v>80140.0</v>
      </c>
      <c r="T486" s="9">
        <v>80140.0</v>
      </c>
      <c r="U486" s="2"/>
      <c r="V486" s="2"/>
      <c r="W486" s="2"/>
      <c r="X486" s="2"/>
      <c r="Y486" s="2"/>
      <c r="Z486" s="2"/>
    </row>
    <row r="487" ht="12.75" customHeight="1">
      <c r="A487" s="3" t="s">
        <v>36</v>
      </c>
      <c r="B487" s="9">
        <v>8.0</v>
      </c>
      <c r="C487" s="10">
        <v>4.5520345E7</v>
      </c>
      <c r="D487" s="10">
        <v>4.3020345E7</v>
      </c>
      <c r="E487" s="9">
        <v>0.0</v>
      </c>
      <c r="F487" s="9">
        <v>0.0</v>
      </c>
      <c r="G487" s="10">
        <v>141726.0</v>
      </c>
      <c r="H487" s="9">
        <v>0.0</v>
      </c>
      <c r="I487" s="9">
        <v>0.0</v>
      </c>
      <c r="J487" s="10">
        <v>157967.0</v>
      </c>
      <c r="K487" s="10">
        <v>1562076.0</v>
      </c>
      <c r="L487" s="10">
        <v>405132.0</v>
      </c>
      <c r="M487" s="10">
        <v>136561.0</v>
      </c>
      <c r="N487" s="11">
        <v>0.0</v>
      </c>
      <c r="O487" s="9">
        <v>0.0</v>
      </c>
      <c r="P487" s="11">
        <v>0.0</v>
      </c>
      <c r="Q487" s="10">
        <v>2500000.0</v>
      </c>
      <c r="R487" s="9">
        <v>0.0</v>
      </c>
      <c r="S487" s="9">
        <v>1534521.0</v>
      </c>
      <c r="T487" s="9">
        <v>1534521.0</v>
      </c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12">
        <v>5.7509853E7</v>
      </c>
      <c r="D488" s="12">
        <v>5.4009853E7</v>
      </c>
      <c r="E488" s="13">
        <v>0.0</v>
      </c>
      <c r="F488" s="13">
        <v>0.0</v>
      </c>
      <c r="G488" s="12">
        <v>185343.0</v>
      </c>
      <c r="H488" s="13">
        <v>0.0</v>
      </c>
      <c r="I488" s="13">
        <v>0.0</v>
      </c>
      <c r="J488" s="12">
        <v>157967.0</v>
      </c>
      <c r="K488" s="12"/>
      <c r="L488" s="12"/>
      <c r="M488" s="12"/>
      <c r="N488" s="14">
        <v>0.0</v>
      </c>
      <c r="O488" s="13">
        <v>0.0</v>
      </c>
      <c r="P488" s="14"/>
      <c r="Q488" s="12">
        <v>3500000.0</v>
      </c>
      <c r="R488" s="13">
        <v>0.0</v>
      </c>
      <c r="S488" s="13"/>
      <c r="T488" s="13"/>
      <c r="U488" s="2"/>
      <c r="V488" s="2"/>
      <c r="W488" s="2"/>
      <c r="X488" s="2"/>
      <c r="Y488" s="2"/>
      <c r="Z488" s="2"/>
    </row>
    <row r="489" ht="12.75" customHeight="1">
      <c r="A489" s="3" t="s">
        <v>39</v>
      </c>
      <c r="B489" s="9">
        <v>18.0</v>
      </c>
      <c r="C489" s="12">
        <v>9.1294684E7</v>
      </c>
      <c r="D489" s="12">
        <v>8.5044684E7</v>
      </c>
      <c r="E489" s="13">
        <v>0.0</v>
      </c>
      <c r="F489" s="13">
        <v>0.0</v>
      </c>
      <c r="G489" s="12">
        <v>194714.0</v>
      </c>
      <c r="H489" s="13">
        <v>0.0</v>
      </c>
      <c r="I489" s="13">
        <v>0.0</v>
      </c>
      <c r="J489" s="12">
        <v>157967.0</v>
      </c>
      <c r="K489" s="12">
        <f t="shared" ref="K489:M489" si="98">SUM(K483:K488)</f>
        <v>3457966</v>
      </c>
      <c r="L489" s="12">
        <f t="shared" si="98"/>
        <v>812522</v>
      </c>
      <c r="M489" s="12">
        <f t="shared" si="98"/>
        <v>273885</v>
      </c>
      <c r="N489" s="14">
        <v>0.0</v>
      </c>
      <c r="O489" s="13">
        <v>0.0</v>
      </c>
      <c r="P489" s="12">
        <f>SUM(P483:P488)</f>
        <v>0</v>
      </c>
      <c r="Q489" s="12">
        <v>6250000.0</v>
      </c>
      <c r="R489" s="13">
        <v>0.0</v>
      </c>
      <c r="S489" s="12">
        <f t="shared" ref="S489:T489" si="99">SUM(S483:S488)</f>
        <v>1614661</v>
      </c>
      <c r="T489" s="12">
        <f t="shared" si="99"/>
        <v>1614661</v>
      </c>
      <c r="U489" s="2"/>
      <c r="V489" s="2"/>
      <c r="W489" s="2"/>
      <c r="X489" s="2"/>
      <c r="Y489" s="2"/>
      <c r="Z489" s="2"/>
    </row>
    <row r="490" ht="12.75" customHeight="1">
      <c r="A490" s="3" t="s">
        <v>28</v>
      </c>
      <c r="B490" s="13">
        <v>24.0</v>
      </c>
      <c r="C490" s="12">
        <v>1.24790145E8</v>
      </c>
      <c r="D490" s="12">
        <v>1.15040145E8</v>
      </c>
      <c r="E490" s="13">
        <v>0.0</v>
      </c>
      <c r="F490" s="13">
        <v>0.0</v>
      </c>
      <c r="G490" s="12">
        <v>611045.0</v>
      </c>
      <c r="H490" s="12">
        <v>598038.0</v>
      </c>
      <c r="I490" s="13">
        <v>0.0</v>
      </c>
      <c r="J490" s="12">
        <v>157967.0</v>
      </c>
      <c r="K490" s="12"/>
      <c r="L490" s="12"/>
      <c r="M490" s="12"/>
      <c r="N490" s="14">
        <v>0.0</v>
      </c>
      <c r="O490" s="13">
        <v>0.0</v>
      </c>
      <c r="P490" s="14"/>
      <c r="Q490" s="12">
        <v>9750000.0</v>
      </c>
      <c r="R490" s="13">
        <v>0.0</v>
      </c>
      <c r="S490" s="13"/>
      <c r="T490" s="13"/>
      <c r="U490" s="2"/>
      <c r="V490" s="2"/>
      <c r="W490" s="2"/>
      <c r="X490" s="2"/>
      <c r="Y490" s="2"/>
      <c r="Z490" s="2"/>
    </row>
    <row r="491" ht="12.75" customHeight="1">
      <c r="A491" s="1" t="s">
        <v>0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 t="s">
        <v>1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 t="s">
        <v>2</v>
      </c>
      <c r="O492" s="2"/>
      <c r="P492" s="2" t="s">
        <v>3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1" t="s">
        <v>4</v>
      </c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" t="s">
        <v>5</v>
      </c>
      <c r="Q494" s="4">
        <v>2.0</v>
      </c>
      <c r="R494" s="3" t="s">
        <v>6</v>
      </c>
      <c r="S494" s="4">
        <v>2.0</v>
      </c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6" t="s">
        <v>15</v>
      </c>
      <c r="K495" s="6" t="s">
        <v>16</v>
      </c>
      <c r="L495" s="6"/>
      <c r="M495" s="6"/>
      <c r="N495" s="2"/>
      <c r="O495" s="6" t="s">
        <v>20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6" t="s">
        <v>7</v>
      </c>
      <c r="C496" s="6" t="s">
        <v>8</v>
      </c>
      <c r="D496" s="6" t="s">
        <v>9</v>
      </c>
      <c r="E496" s="6" t="s">
        <v>10</v>
      </c>
      <c r="F496" s="6" t="s">
        <v>11</v>
      </c>
      <c r="G496" s="6" t="s">
        <v>12</v>
      </c>
      <c r="H496" s="6" t="s">
        <v>13</v>
      </c>
      <c r="I496" s="6" t="s">
        <v>14</v>
      </c>
      <c r="J496" s="2"/>
      <c r="K496" s="2"/>
      <c r="L496" s="2"/>
      <c r="M496" s="2"/>
      <c r="N496" s="2" t="s">
        <v>19</v>
      </c>
      <c r="O496" s="2"/>
      <c r="P496" s="2"/>
      <c r="Q496" s="6" t="s">
        <v>22</v>
      </c>
      <c r="R496" s="6" t="s">
        <v>23</v>
      </c>
      <c r="S496" s="6" t="s">
        <v>24</v>
      </c>
      <c r="T496" s="6" t="s">
        <v>25</v>
      </c>
      <c r="U496" s="2"/>
      <c r="V496" s="2"/>
      <c r="W496" s="2"/>
      <c r="X496" s="2"/>
      <c r="Y496" s="2"/>
      <c r="Z496" s="2"/>
    </row>
    <row r="497" ht="12.75" customHeight="1">
      <c r="A497" s="16" t="s">
        <v>75</v>
      </c>
      <c r="B497" s="9">
        <v>24.0</v>
      </c>
      <c r="C497" s="12">
        <v>1.24790145E8</v>
      </c>
      <c r="D497" s="12">
        <v>1.15040145E8</v>
      </c>
      <c r="E497" s="20">
        <v>0.0</v>
      </c>
      <c r="F497" s="20">
        <v>0.0</v>
      </c>
      <c r="G497" s="12">
        <v>611045.0</v>
      </c>
      <c r="H497" s="12">
        <v>598038.0</v>
      </c>
      <c r="I497" s="13">
        <v>0.0</v>
      </c>
      <c r="J497" s="12">
        <v>157967.0</v>
      </c>
      <c r="K497" s="12">
        <f t="shared" ref="K497:M497" si="100">SUM(K480,K489)</f>
        <v>4638023</v>
      </c>
      <c r="L497" s="12">
        <f t="shared" si="100"/>
        <v>1110632</v>
      </c>
      <c r="M497" s="12">
        <f t="shared" si="100"/>
        <v>374370</v>
      </c>
      <c r="N497" s="14">
        <v>0.0</v>
      </c>
      <c r="O497" s="13">
        <v>0.0</v>
      </c>
      <c r="P497" s="12">
        <f>SUM(P480,P489)</f>
        <v>0</v>
      </c>
      <c r="Q497" s="12">
        <v>9750000.0</v>
      </c>
      <c r="R497" s="13">
        <v>0.0</v>
      </c>
      <c r="S497" s="12">
        <f t="shared" ref="S497:T497" si="101">SUM(S480,S489)</f>
        <v>1856639</v>
      </c>
      <c r="T497" s="12">
        <f t="shared" si="101"/>
        <v>1856639</v>
      </c>
      <c r="U497" s="18">
        <f>SUM(C497,E497,F497,I497,J497,K497,L497,M497,N497,S497)-SUM(G497,H497)</f>
        <v>131718693</v>
      </c>
      <c r="V497" s="2"/>
      <c r="W497" s="2">
        <v>1.4529859E7</v>
      </c>
      <c r="X497" s="19">
        <f>T497+W497</f>
        <v>16386498</v>
      </c>
      <c r="Y497" s="2"/>
      <c r="Z497" s="2"/>
    </row>
    <row r="498" ht="12.75" customHeight="1">
      <c r="A498" s="2" t="s">
        <v>42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 t="s">
        <v>43</v>
      </c>
      <c r="J499" s="2"/>
      <c r="K499" s="2"/>
      <c r="L499" s="2"/>
      <c r="M499" s="2"/>
      <c r="N499" s="2"/>
      <c r="O499" s="2"/>
      <c r="P499" s="2"/>
      <c r="Q499" s="2"/>
      <c r="R499" s="2" t="s">
        <v>44</v>
      </c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 t="s">
        <v>0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 t="s">
        <v>1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 t="s">
        <v>2</v>
      </c>
      <c r="O501" s="2"/>
      <c r="P501" s="2" t="s">
        <v>3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1" t="s">
        <v>4</v>
      </c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" t="s">
        <v>5</v>
      </c>
      <c r="Q503" s="4">
        <v>1.0</v>
      </c>
      <c r="R503" s="3" t="s">
        <v>6</v>
      </c>
      <c r="S503" s="4">
        <v>2.0</v>
      </c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6" t="s">
        <v>15</v>
      </c>
      <c r="K504" s="6" t="s">
        <v>16</v>
      </c>
      <c r="L504" s="6"/>
      <c r="M504" s="6"/>
      <c r="N504" s="2"/>
      <c r="O504" s="6" t="s">
        <v>20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6" t="s">
        <v>7</v>
      </c>
      <c r="C505" s="6" t="s">
        <v>8</v>
      </c>
      <c r="D505" s="6" t="s">
        <v>9</v>
      </c>
      <c r="E505" s="6" t="s">
        <v>10</v>
      </c>
      <c r="F505" s="6" t="s">
        <v>11</v>
      </c>
      <c r="G505" s="6" t="s">
        <v>12</v>
      </c>
      <c r="H505" s="6" t="s">
        <v>13</v>
      </c>
      <c r="I505" s="6" t="s">
        <v>14</v>
      </c>
      <c r="J505" s="2"/>
      <c r="K505" s="2"/>
      <c r="L505" s="5" t="s">
        <v>17</v>
      </c>
      <c r="M505" s="5" t="s">
        <v>18</v>
      </c>
      <c r="N505" s="2" t="s">
        <v>19</v>
      </c>
      <c r="O505" s="2"/>
      <c r="P505" s="5" t="s">
        <v>21</v>
      </c>
      <c r="Q505" s="6" t="s">
        <v>22</v>
      </c>
      <c r="R505" s="6" t="s">
        <v>23</v>
      </c>
      <c r="S505" s="6" t="s">
        <v>24</v>
      </c>
      <c r="T505" s="6" t="s">
        <v>25</v>
      </c>
      <c r="U505" s="2"/>
      <c r="V505" s="2"/>
      <c r="W505" s="2"/>
      <c r="X505" s="2"/>
      <c r="Y505" s="2"/>
      <c r="Z505" s="2"/>
    </row>
    <row r="506" ht="12.75" customHeight="1">
      <c r="A506" s="1" t="s">
        <v>76</v>
      </c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 t="s">
        <v>30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 t="s">
        <v>33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 t="s">
        <v>32</v>
      </c>
      <c r="B510" s="9">
        <v>2.0</v>
      </c>
      <c r="C510" s="10">
        <v>1.1110009E7</v>
      </c>
      <c r="D510" s="10">
        <v>1.0510009E7</v>
      </c>
      <c r="E510" s="9">
        <v>0.0</v>
      </c>
      <c r="F510" s="9">
        <v>0.0</v>
      </c>
      <c r="G510" s="10">
        <v>16334.0</v>
      </c>
      <c r="H510" s="9">
        <v>0.0</v>
      </c>
      <c r="I510" s="9">
        <v>0.0</v>
      </c>
      <c r="J510" s="10">
        <v>56775.0</v>
      </c>
      <c r="K510" s="10">
        <f>247110*1</f>
        <v>247110</v>
      </c>
      <c r="L510" s="10">
        <v>26664.0</v>
      </c>
      <c r="M510" s="10">
        <v>33330.0</v>
      </c>
      <c r="N510" s="19">
        <v>65000.0</v>
      </c>
      <c r="O510" s="10">
        <v>111100.0</v>
      </c>
      <c r="P510" s="19">
        <v>222200.0</v>
      </c>
      <c r="Q510" s="10">
        <v>600000.0</v>
      </c>
      <c r="R510" s="9">
        <v>0.0</v>
      </c>
      <c r="S510" s="9">
        <v>34028.0</v>
      </c>
      <c r="T510" s="9">
        <v>34028.0</v>
      </c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12">
        <v>1.1110009E7</v>
      </c>
      <c r="D511" s="12">
        <v>1.0510009E7</v>
      </c>
      <c r="E511" s="13">
        <v>0.0</v>
      </c>
      <c r="F511" s="13">
        <v>0.0</v>
      </c>
      <c r="G511" s="12">
        <v>16334.0</v>
      </c>
      <c r="H511" s="13">
        <v>0.0</v>
      </c>
      <c r="I511" s="13">
        <v>0.0</v>
      </c>
      <c r="J511" s="12">
        <v>56775.0</v>
      </c>
      <c r="K511" s="12"/>
      <c r="L511" s="12"/>
      <c r="M511" s="12"/>
      <c r="N511" s="15">
        <v>65000.0</v>
      </c>
      <c r="O511" s="12">
        <v>111100.0</v>
      </c>
      <c r="P511" s="15"/>
      <c r="Q511" s="12">
        <v>600000.0</v>
      </c>
      <c r="R511" s="13">
        <v>0.0</v>
      </c>
      <c r="S511" s="13"/>
      <c r="T511" s="13"/>
      <c r="U511" s="2"/>
      <c r="V511" s="2"/>
      <c r="W511" s="2"/>
      <c r="X511" s="2"/>
      <c r="Y511" s="2"/>
      <c r="Z511" s="2"/>
    </row>
    <row r="512" ht="12.75" customHeight="1">
      <c r="A512" s="2" t="s">
        <v>34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 t="s">
        <v>35</v>
      </c>
      <c r="B513" s="9">
        <v>1.0</v>
      </c>
      <c r="C513" s="10">
        <v>4725479.0</v>
      </c>
      <c r="D513" s="10">
        <v>4725479.0</v>
      </c>
      <c r="E513" s="9">
        <v>0.0</v>
      </c>
      <c r="F513" s="9">
        <v>0.0</v>
      </c>
      <c r="G513" s="9">
        <v>0.0</v>
      </c>
      <c r="H513" s="9">
        <v>0.0</v>
      </c>
      <c r="I513" s="9">
        <v>0.0</v>
      </c>
      <c r="J513" s="9">
        <v>0.0</v>
      </c>
      <c r="K513" s="10">
        <f>247110*1</f>
        <v>247110</v>
      </c>
      <c r="L513" s="10">
        <v>11341.0</v>
      </c>
      <c r="M513" s="10">
        <v>14176.0</v>
      </c>
      <c r="N513" s="9">
        <v>0.0</v>
      </c>
      <c r="O513" s="10">
        <v>47255.0</v>
      </c>
      <c r="P513" s="2">
        <v>94510.0</v>
      </c>
      <c r="Q513" s="9">
        <v>0.0</v>
      </c>
      <c r="R513" s="9">
        <v>0.0</v>
      </c>
      <c r="S513" s="9">
        <v>0.0</v>
      </c>
      <c r="T513" s="9">
        <v>0.0</v>
      </c>
      <c r="U513" s="2"/>
      <c r="V513" s="2"/>
      <c r="W513" s="2"/>
      <c r="X513" s="2"/>
      <c r="Y513" s="2"/>
      <c r="Z513" s="2"/>
    </row>
    <row r="514" ht="12.75" customHeight="1">
      <c r="A514" s="3" t="s">
        <v>36</v>
      </c>
      <c r="B514" s="9">
        <v>5.0</v>
      </c>
      <c r="C514" s="10">
        <v>4.4928928E7</v>
      </c>
      <c r="D514" s="10">
        <v>3.9528928E7</v>
      </c>
      <c r="E514" s="9">
        <v>0.0</v>
      </c>
      <c r="F514" s="9">
        <v>0.0</v>
      </c>
      <c r="G514" s="10">
        <v>94444.0</v>
      </c>
      <c r="H514" s="9">
        <v>0.0</v>
      </c>
      <c r="I514" s="10">
        <v>486731.0</v>
      </c>
      <c r="J514" s="10">
        <v>45292.0</v>
      </c>
      <c r="K514" s="10">
        <f>247110*5</f>
        <v>1235550</v>
      </c>
      <c r="L514" s="10">
        <v>107829.0</v>
      </c>
      <c r="M514" s="10">
        <v>134788.0</v>
      </c>
      <c r="N514" s="19">
        <v>240000.0</v>
      </c>
      <c r="O514" s="10">
        <v>328677.0</v>
      </c>
      <c r="P514" s="19">
        <v>657354.0</v>
      </c>
      <c r="Q514" s="10">
        <v>5400000.0</v>
      </c>
      <c r="R514" s="9">
        <v>0.0</v>
      </c>
      <c r="S514" s="9">
        <v>2364114.0</v>
      </c>
      <c r="T514" s="9">
        <v>2364114.0</v>
      </c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12">
        <v>4.9654407E7</v>
      </c>
      <c r="D515" s="12">
        <v>4.4254407E7</v>
      </c>
      <c r="E515" s="13">
        <v>0.0</v>
      </c>
      <c r="F515" s="13">
        <v>0.0</v>
      </c>
      <c r="G515" s="12">
        <v>94444.0</v>
      </c>
      <c r="H515" s="13">
        <v>0.0</v>
      </c>
      <c r="I515" s="12">
        <v>486731.0</v>
      </c>
      <c r="J515" s="12">
        <v>45292.0</v>
      </c>
      <c r="K515" s="12"/>
      <c r="L515" s="12"/>
      <c r="M515" s="12"/>
      <c r="N515" s="15">
        <v>240000.0</v>
      </c>
      <c r="O515" s="12">
        <v>375932.0</v>
      </c>
      <c r="P515" s="15"/>
      <c r="Q515" s="12">
        <v>5400000.0</v>
      </c>
      <c r="R515" s="13">
        <v>0.0</v>
      </c>
      <c r="S515" s="13"/>
      <c r="T515" s="13"/>
      <c r="U515" s="2"/>
      <c r="V515" s="2"/>
      <c r="W515" s="2"/>
      <c r="X515" s="2"/>
      <c r="Y515" s="2"/>
      <c r="Z515" s="2"/>
    </row>
    <row r="516" ht="12.75" customHeight="1">
      <c r="A516" s="3" t="s">
        <v>37</v>
      </c>
      <c r="B516" s="9">
        <v>8.0</v>
      </c>
      <c r="C516" s="12">
        <v>6.0764416E7</v>
      </c>
      <c r="D516" s="12">
        <v>5.4764416E7</v>
      </c>
      <c r="E516" s="13">
        <v>0.0</v>
      </c>
      <c r="F516" s="13">
        <v>0.0</v>
      </c>
      <c r="G516" s="12">
        <v>110778.0</v>
      </c>
      <c r="H516" s="13">
        <v>0.0</v>
      </c>
      <c r="I516" s="12">
        <v>486731.0</v>
      </c>
      <c r="J516" s="12">
        <v>102067.0</v>
      </c>
      <c r="K516" s="12">
        <f t="shared" ref="K516:M516" si="102">SUM(K510:K515)</f>
        <v>1729770</v>
      </c>
      <c r="L516" s="12">
        <f t="shared" si="102"/>
        <v>145834</v>
      </c>
      <c r="M516" s="12">
        <f t="shared" si="102"/>
        <v>182294</v>
      </c>
      <c r="N516" s="15">
        <v>305000.0</v>
      </c>
      <c r="O516" s="12">
        <v>487032.0</v>
      </c>
      <c r="P516" s="12">
        <f>SUM(P510:P515)</f>
        <v>974064</v>
      </c>
      <c r="Q516" s="12">
        <v>6000000.0</v>
      </c>
      <c r="R516" s="13">
        <v>0.0</v>
      </c>
      <c r="S516" s="12">
        <f t="shared" ref="S516:T516" si="103">SUM(S510:S515)</f>
        <v>2398142</v>
      </c>
      <c r="T516" s="12">
        <f t="shared" si="103"/>
        <v>2398142</v>
      </c>
      <c r="U516" s="2"/>
      <c r="V516" s="2"/>
      <c r="W516" s="2"/>
      <c r="X516" s="2"/>
      <c r="Y516" s="2"/>
      <c r="Z516" s="2"/>
    </row>
    <row r="517" ht="12.75" customHeight="1">
      <c r="A517" s="3" t="s">
        <v>38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 t="s">
        <v>33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 t="s">
        <v>32</v>
      </c>
      <c r="B519" s="9">
        <v>1.0</v>
      </c>
      <c r="C519" s="10">
        <v>4934809.0</v>
      </c>
      <c r="D519" s="10">
        <v>4934809.0</v>
      </c>
      <c r="E519" s="9">
        <v>0.0</v>
      </c>
      <c r="F519" s="9">
        <v>0.0</v>
      </c>
      <c r="G519" s="10">
        <v>6926.0</v>
      </c>
      <c r="H519" s="9">
        <v>0.0</v>
      </c>
      <c r="I519" s="9">
        <v>0.0</v>
      </c>
      <c r="J519" s="10">
        <v>39792.0</v>
      </c>
      <c r="K519" s="10">
        <f>247110*1</f>
        <v>247110</v>
      </c>
      <c r="L519" s="10">
        <v>11844.0</v>
      </c>
      <c r="M519" s="10">
        <v>14804.0</v>
      </c>
      <c r="N519" s="9">
        <v>0.0</v>
      </c>
      <c r="O519" s="10">
        <v>49348.0</v>
      </c>
      <c r="P519" s="2">
        <v>98696.0</v>
      </c>
      <c r="Q519" s="9">
        <v>0.0</v>
      </c>
      <c r="R519" s="9">
        <v>0.0</v>
      </c>
      <c r="S519" s="9">
        <v>0.0</v>
      </c>
      <c r="T519" s="9">
        <v>0.0</v>
      </c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12">
        <v>4934809.0</v>
      </c>
      <c r="D520" s="12">
        <v>4934809.0</v>
      </c>
      <c r="E520" s="13">
        <v>0.0</v>
      </c>
      <c r="F520" s="13">
        <v>0.0</v>
      </c>
      <c r="G520" s="12">
        <v>6926.0</v>
      </c>
      <c r="H520" s="13">
        <v>0.0</v>
      </c>
      <c r="I520" s="13">
        <v>0.0</v>
      </c>
      <c r="J520" s="12">
        <v>39792.0</v>
      </c>
      <c r="K520" s="12"/>
      <c r="L520" s="12"/>
      <c r="M520" s="12"/>
      <c r="N520" s="14">
        <v>0.0</v>
      </c>
      <c r="O520" s="12">
        <v>49348.0</v>
      </c>
      <c r="P520" s="14"/>
      <c r="Q520" s="13">
        <v>0.0</v>
      </c>
      <c r="R520" s="13">
        <v>0.0</v>
      </c>
      <c r="S520" s="13"/>
      <c r="T520" s="13"/>
      <c r="U520" s="2"/>
      <c r="V520" s="2"/>
      <c r="W520" s="2"/>
      <c r="X520" s="2"/>
      <c r="Y520" s="2"/>
      <c r="Z520" s="2"/>
    </row>
    <row r="521" ht="12.75" customHeight="1">
      <c r="A521" s="2" t="s">
        <v>34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 t="s">
        <v>35</v>
      </c>
      <c r="B522" s="9">
        <v>5.0</v>
      </c>
      <c r="C522" s="10">
        <v>2.8203316E7</v>
      </c>
      <c r="D522" s="10">
        <v>2.6603316E7</v>
      </c>
      <c r="E522" s="9">
        <v>0.0</v>
      </c>
      <c r="F522" s="9">
        <v>0.0</v>
      </c>
      <c r="G522" s="9">
        <v>0.0</v>
      </c>
      <c r="H522" s="9">
        <v>0.0</v>
      </c>
      <c r="I522" s="9">
        <v>0.0</v>
      </c>
      <c r="J522" s="10">
        <v>231491.0</v>
      </c>
      <c r="K522" s="10">
        <f>247110*5</f>
        <v>1235550</v>
      </c>
      <c r="L522" s="10">
        <v>67689.0</v>
      </c>
      <c r="M522" s="10">
        <v>84610.0</v>
      </c>
      <c r="N522" s="19">
        <v>300000.0</v>
      </c>
      <c r="O522" s="10">
        <v>282034.0</v>
      </c>
      <c r="P522" s="19">
        <v>564068.0</v>
      </c>
      <c r="Q522" s="10">
        <v>1600000.0</v>
      </c>
      <c r="R522" s="9">
        <v>0.0</v>
      </c>
      <c r="S522" s="9">
        <v>87660.0</v>
      </c>
      <c r="T522" s="9">
        <v>87660.0</v>
      </c>
      <c r="U522" s="2"/>
      <c r="V522" s="2"/>
      <c r="W522" s="2"/>
      <c r="X522" s="2"/>
      <c r="Y522" s="2"/>
      <c r="Z522" s="2"/>
    </row>
    <row r="523" ht="12.75" customHeight="1">
      <c r="A523" s="3" t="s">
        <v>36</v>
      </c>
      <c r="B523" s="9">
        <v>3.0</v>
      </c>
      <c r="C523" s="10">
        <v>2.5583744E7</v>
      </c>
      <c r="D523" s="10">
        <v>2.1083744E7</v>
      </c>
      <c r="E523" s="9">
        <v>0.0</v>
      </c>
      <c r="F523" s="9">
        <v>0.0</v>
      </c>
      <c r="G523" s="10">
        <v>84941.0</v>
      </c>
      <c r="H523" s="9">
        <v>0.0</v>
      </c>
      <c r="I523" s="10">
        <v>2822382.0</v>
      </c>
      <c r="J523" s="10">
        <v>164926.0</v>
      </c>
      <c r="K523" s="10">
        <f>247110*3</f>
        <v>741330</v>
      </c>
      <c r="L523" s="10">
        <v>61400.0</v>
      </c>
      <c r="M523" s="10">
        <v>76751.0</v>
      </c>
      <c r="N523" s="10">
        <v>450000.0</v>
      </c>
      <c r="O523" s="10">
        <v>194041.0</v>
      </c>
      <c r="P523" s="2">
        <v>388082.0</v>
      </c>
      <c r="Q523" s="10">
        <v>4500000.0</v>
      </c>
      <c r="R523" s="9">
        <v>0.0</v>
      </c>
      <c r="S523" s="9">
        <v>1921562.0</v>
      </c>
      <c r="T523" s="9">
        <v>1921562.0</v>
      </c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12">
        <v>5.378706E7</v>
      </c>
      <c r="D524" s="12">
        <v>4.768706E7</v>
      </c>
      <c r="E524" s="13">
        <v>0.0</v>
      </c>
      <c r="F524" s="13">
        <v>0.0</v>
      </c>
      <c r="G524" s="12">
        <v>84941.0</v>
      </c>
      <c r="H524" s="13">
        <v>0.0</v>
      </c>
      <c r="I524" s="12">
        <v>2822382.0</v>
      </c>
      <c r="J524" s="12">
        <v>396417.0</v>
      </c>
      <c r="K524" s="12"/>
      <c r="L524" s="12"/>
      <c r="M524" s="12"/>
      <c r="N524" s="15">
        <v>750000.0</v>
      </c>
      <c r="O524" s="12">
        <v>476075.0</v>
      </c>
      <c r="P524" s="15"/>
      <c r="Q524" s="12">
        <v>6100000.0</v>
      </c>
      <c r="R524" s="13">
        <v>0.0</v>
      </c>
      <c r="S524" s="13"/>
      <c r="T524" s="13"/>
      <c r="U524" s="2"/>
      <c r="V524" s="2"/>
      <c r="W524" s="2"/>
      <c r="X524" s="2"/>
      <c r="Y524" s="2"/>
      <c r="Z524" s="2"/>
    </row>
    <row r="525" ht="12.75" customHeight="1">
      <c r="A525" s="3" t="s">
        <v>39</v>
      </c>
      <c r="B525" s="9">
        <v>9.0</v>
      </c>
      <c r="C525" s="12">
        <v>5.8721869E7</v>
      </c>
      <c r="D525" s="12">
        <v>5.2621869E7</v>
      </c>
      <c r="E525" s="13">
        <v>0.0</v>
      </c>
      <c r="F525" s="13">
        <v>0.0</v>
      </c>
      <c r="G525" s="12">
        <v>91867.0</v>
      </c>
      <c r="H525" s="13">
        <v>0.0</v>
      </c>
      <c r="I525" s="12">
        <v>2822382.0</v>
      </c>
      <c r="J525" s="12">
        <v>436209.0</v>
      </c>
      <c r="K525" s="12">
        <f t="shared" ref="K525:M525" si="104">SUM(K519:K524)</f>
        <v>2223990</v>
      </c>
      <c r="L525" s="12">
        <f t="shared" si="104"/>
        <v>140933</v>
      </c>
      <c r="M525" s="12">
        <f t="shared" si="104"/>
        <v>176165</v>
      </c>
      <c r="N525" s="15">
        <v>750000.0</v>
      </c>
      <c r="O525" s="12">
        <v>525423.0</v>
      </c>
      <c r="P525" s="12">
        <f>SUM(P519:P524)</f>
        <v>1050846</v>
      </c>
      <c r="Q525" s="12">
        <v>6100000.0</v>
      </c>
      <c r="R525" s="13">
        <v>0.0</v>
      </c>
      <c r="S525" s="12">
        <f t="shared" ref="S525:T525" si="105">SUM(S519:S524)</f>
        <v>2009222</v>
      </c>
      <c r="T525" s="12">
        <f t="shared" si="105"/>
        <v>2009222</v>
      </c>
      <c r="U525" s="2"/>
      <c r="V525" s="2"/>
      <c r="W525" s="2"/>
      <c r="X525" s="2"/>
      <c r="Y525" s="2"/>
      <c r="Z525" s="2"/>
    </row>
    <row r="526" ht="12.75" customHeight="1">
      <c r="A526" s="3" t="s">
        <v>28</v>
      </c>
      <c r="B526" s="13">
        <v>17.0</v>
      </c>
      <c r="C526" s="12">
        <v>1.19486285E8</v>
      </c>
      <c r="D526" s="12">
        <v>1.07386285E8</v>
      </c>
      <c r="E526" s="13">
        <v>0.0</v>
      </c>
      <c r="F526" s="13">
        <v>0.0</v>
      </c>
      <c r="G526" s="12">
        <v>202645.0</v>
      </c>
      <c r="H526" s="13">
        <v>0.0</v>
      </c>
      <c r="I526" s="12">
        <v>3309113.0</v>
      </c>
      <c r="J526" s="12">
        <v>538276.0</v>
      </c>
      <c r="K526" s="12"/>
      <c r="L526" s="12"/>
      <c r="M526" s="12"/>
      <c r="N526" s="15">
        <v>1055000.0</v>
      </c>
      <c r="O526" s="12">
        <v>1012455.0</v>
      </c>
      <c r="P526" s="15"/>
      <c r="Q526" s="12">
        <v>1.21E7</v>
      </c>
      <c r="R526" s="13">
        <v>0.0</v>
      </c>
      <c r="S526" s="13"/>
      <c r="T526" s="13"/>
      <c r="U526" s="2"/>
      <c r="V526" s="2"/>
      <c r="W526" s="2"/>
      <c r="X526" s="2"/>
      <c r="Y526" s="2"/>
      <c r="Z526" s="2"/>
    </row>
    <row r="527" ht="12.75" customHeight="1">
      <c r="A527" s="1" t="s">
        <v>0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 t="s">
        <v>2</v>
      </c>
      <c r="O528" s="2"/>
      <c r="P528" s="2" t="s">
        <v>3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1" t="s">
        <v>4</v>
      </c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" t="s">
        <v>5</v>
      </c>
      <c r="Q530" s="4">
        <v>2.0</v>
      </c>
      <c r="R530" s="3" t="s">
        <v>6</v>
      </c>
      <c r="S530" s="4">
        <v>2.0</v>
      </c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6" t="s">
        <v>15</v>
      </c>
      <c r="K531" s="6" t="s">
        <v>16</v>
      </c>
      <c r="L531" s="6"/>
      <c r="M531" s="6"/>
      <c r="N531" s="2"/>
      <c r="O531" s="6" t="s">
        <v>20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6" t="s">
        <v>7</v>
      </c>
      <c r="C532" s="6" t="s">
        <v>8</v>
      </c>
      <c r="D532" s="6" t="s">
        <v>9</v>
      </c>
      <c r="E532" s="6" t="s">
        <v>10</v>
      </c>
      <c r="F532" s="6" t="s">
        <v>11</v>
      </c>
      <c r="G532" s="6" t="s">
        <v>12</v>
      </c>
      <c r="H532" s="6" t="s">
        <v>13</v>
      </c>
      <c r="I532" s="6" t="s">
        <v>14</v>
      </c>
      <c r="J532" s="2"/>
      <c r="K532" s="2"/>
      <c r="L532" s="5" t="s">
        <v>17</v>
      </c>
      <c r="M532" s="5" t="s">
        <v>18</v>
      </c>
      <c r="N532" s="2" t="s">
        <v>19</v>
      </c>
      <c r="O532" s="2"/>
      <c r="P532" s="5" t="s">
        <v>21</v>
      </c>
      <c r="Q532" s="6" t="s">
        <v>22</v>
      </c>
      <c r="R532" s="6" t="s">
        <v>23</v>
      </c>
      <c r="S532" s="6" t="s">
        <v>24</v>
      </c>
      <c r="T532" s="6" t="s">
        <v>25</v>
      </c>
      <c r="U532" s="2"/>
      <c r="V532" s="2"/>
      <c r="W532" s="2"/>
      <c r="X532" s="2"/>
      <c r="Y532" s="2"/>
      <c r="Z532" s="2"/>
    </row>
    <row r="533" ht="12.75" customHeight="1">
      <c r="A533" s="16" t="s">
        <v>77</v>
      </c>
      <c r="B533" s="9">
        <v>17.0</v>
      </c>
      <c r="C533" s="12">
        <v>1.19486285E8</v>
      </c>
      <c r="D533" s="12">
        <v>1.07386285E8</v>
      </c>
      <c r="E533" s="20">
        <v>0.0</v>
      </c>
      <c r="F533" s="20">
        <v>0.0</v>
      </c>
      <c r="G533" s="12">
        <v>202645.0</v>
      </c>
      <c r="H533" s="13">
        <v>0.0</v>
      </c>
      <c r="I533" s="12">
        <v>3309113.0</v>
      </c>
      <c r="J533" s="12">
        <v>538276.0</v>
      </c>
      <c r="K533" s="12">
        <f t="shared" ref="K533:M533" si="106">SUM(K516,K525)</f>
        <v>3953760</v>
      </c>
      <c r="L533" s="12">
        <f t="shared" si="106"/>
        <v>286767</v>
      </c>
      <c r="M533" s="12">
        <f t="shared" si="106"/>
        <v>358459</v>
      </c>
      <c r="N533" s="15">
        <v>1055000.0</v>
      </c>
      <c r="O533" s="12">
        <v>1012455.0</v>
      </c>
      <c r="P533" s="12">
        <f>SUM(P516,P525)</f>
        <v>2024910</v>
      </c>
      <c r="Q533" s="12">
        <v>1.21E7</v>
      </c>
      <c r="R533" s="13">
        <v>0.0</v>
      </c>
      <c r="S533" s="12">
        <f t="shared" ref="S533:T533" si="107">SUM(S516,S525)</f>
        <v>4407364</v>
      </c>
      <c r="T533" s="12">
        <f t="shared" si="107"/>
        <v>4407364</v>
      </c>
      <c r="U533" s="18">
        <f>SUM(C533,E533,F533,I533,J533,K533,L533,M533,N533,S533)-SUM(G533,H533)</f>
        <v>133192379</v>
      </c>
      <c r="V533" s="2"/>
      <c r="W533" s="2">
        <v>1277740.0</v>
      </c>
      <c r="X533" s="19">
        <f>T533+W533</f>
        <v>5685104</v>
      </c>
      <c r="Y533" s="2"/>
      <c r="Z533" s="2"/>
    </row>
    <row r="534" ht="12.75" customHeight="1">
      <c r="A534" s="2" t="s">
        <v>42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 t="s">
        <v>43</v>
      </c>
      <c r="J535" s="2"/>
      <c r="K535" s="2"/>
      <c r="L535" s="2"/>
      <c r="M535" s="2"/>
      <c r="N535" s="2"/>
      <c r="O535" s="2"/>
      <c r="P535" s="2"/>
      <c r="Q535" s="2"/>
      <c r="R535" s="2" t="s">
        <v>44</v>
      </c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 t="s">
        <v>0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 t="s">
        <v>1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 t="s">
        <v>2</v>
      </c>
      <c r="O537" s="2"/>
      <c r="P537" s="2" t="s">
        <v>3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1" t="s">
        <v>4</v>
      </c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" t="s">
        <v>5</v>
      </c>
      <c r="Q539" s="4">
        <v>1.0</v>
      </c>
      <c r="R539" s="3" t="s">
        <v>6</v>
      </c>
      <c r="S539" s="4">
        <v>2.0</v>
      </c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6" t="s">
        <v>15</v>
      </c>
      <c r="K540" s="6" t="s">
        <v>16</v>
      </c>
      <c r="L540" s="6"/>
      <c r="M540" s="6"/>
      <c r="N540" s="2"/>
      <c r="O540" s="6" t="s">
        <v>20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6" t="s">
        <v>7</v>
      </c>
      <c r="C541" s="6" t="s">
        <v>8</v>
      </c>
      <c r="D541" s="6" t="s">
        <v>9</v>
      </c>
      <c r="E541" s="6" t="s">
        <v>10</v>
      </c>
      <c r="F541" s="6" t="s">
        <v>11</v>
      </c>
      <c r="G541" s="6" t="s">
        <v>12</v>
      </c>
      <c r="H541" s="6" t="s">
        <v>13</v>
      </c>
      <c r="I541" s="6" t="s">
        <v>14</v>
      </c>
      <c r="J541" s="2"/>
      <c r="K541" s="2"/>
      <c r="L541" s="5" t="s">
        <v>17</v>
      </c>
      <c r="M541" s="5" t="s">
        <v>18</v>
      </c>
      <c r="N541" s="2" t="s">
        <v>19</v>
      </c>
      <c r="O541" s="2"/>
      <c r="P541" s="5" t="s">
        <v>21</v>
      </c>
      <c r="Q541" s="6" t="s">
        <v>22</v>
      </c>
      <c r="R541" s="6" t="s">
        <v>23</v>
      </c>
      <c r="S541" s="6" t="s">
        <v>24</v>
      </c>
      <c r="T541" s="6" t="s">
        <v>25</v>
      </c>
      <c r="U541" s="2"/>
      <c r="V541" s="2"/>
      <c r="W541" s="2"/>
      <c r="X541" s="2"/>
      <c r="Y541" s="2"/>
      <c r="Z541" s="2"/>
    </row>
    <row r="542" ht="12.75" customHeight="1">
      <c r="A542" s="1" t="s">
        <v>78</v>
      </c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 t="s">
        <v>30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 t="s">
        <v>31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 t="s">
        <v>32</v>
      </c>
      <c r="B546" s="9">
        <v>4.0</v>
      </c>
      <c r="C546" s="10">
        <v>2.0625144E7</v>
      </c>
      <c r="D546" s="10">
        <v>2.0625144E7</v>
      </c>
      <c r="E546" s="10">
        <v>2.6440103E7</v>
      </c>
      <c r="F546" s="10">
        <v>2.161481E7</v>
      </c>
      <c r="G546" s="10">
        <v>21243.0</v>
      </c>
      <c r="H546" s="9">
        <v>0.0</v>
      </c>
      <c r="I546" s="9">
        <v>0.0</v>
      </c>
      <c r="J546" s="10">
        <v>148200.0</v>
      </c>
      <c r="K546" s="10">
        <f>215478*4</f>
        <v>861912</v>
      </c>
      <c r="L546" s="10">
        <v>183564.0</v>
      </c>
      <c r="M546" s="10">
        <v>61876.0</v>
      </c>
      <c r="N546" s="11">
        <v>0.0</v>
      </c>
      <c r="O546" s="10">
        <v>206251.0</v>
      </c>
      <c r="P546" s="11">
        <v>412502.0</v>
      </c>
      <c r="Q546" s="9">
        <v>0.0</v>
      </c>
      <c r="R546" s="9">
        <v>0.0</v>
      </c>
      <c r="S546" s="9">
        <v>5658143.0</v>
      </c>
      <c r="T546" s="9">
        <v>5658143.0</v>
      </c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12">
        <v>2.0625144E7</v>
      </c>
      <c r="D547" s="12">
        <v>2.0625144E7</v>
      </c>
      <c r="E547" s="12">
        <v>2.6440103E7</v>
      </c>
      <c r="F547" s="12">
        <v>2.161481E7</v>
      </c>
      <c r="G547" s="12">
        <v>21243.0</v>
      </c>
      <c r="H547" s="13">
        <v>0.0</v>
      </c>
      <c r="I547" s="13">
        <v>0.0</v>
      </c>
      <c r="J547" s="12">
        <v>148200.0</v>
      </c>
      <c r="K547" s="12"/>
      <c r="L547" s="12"/>
      <c r="M547" s="12"/>
      <c r="N547" s="14">
        <v>0.0</v>
      </c>
      <c r="O547" s="12">
        <v>206251.0</v>
      </c>
      <c r="P547" s="14"/>
      <c r="Q547" s="13">
        <v>0.0</v>
      </c>
      <c r="R547" s="13">
        <v>0.0</v>
      </c>
      <c r="S547" s="13"/>
      <c r="T547" s="13"/>
      <c r="U547" s="2"/>
      <c r="V547" s="2"/>
      <c r="W547" s="2"/>
      <c r="X547" s="2"/>
      <c r="Y547" s="2"/>
      <c r="Z547" s="2"/>
    </row>
    <row r="548" ht="12.75" customHeight="1">
      <c r="A548" s="2" t="s">
        <v>33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 t="s">
        <v>32</v>
      </c>
      <c r="B549" s="9">
        <v>11.0</v>
      </c>
      <c r="C549" s="10">
        <v>7.5835809E7</v>
      </c>
      <c r="D549" s="10">
        <v>6.7035809E7</v>
      </c>
      <c r="E549" s="10">
        <v>3.8329294E7</v>
      </c>
      <c r="F549" s="10">
        <v>2.304684E7</v>
      </c>
      <c r="G549" s="10">
        <v>125757.0</v>
      </c>
      <c r="H549" s="9">
        <v>0.0</v>
      </c>
      <c r="I549" s="10">
        <v>1000000.0</v>
      </c>
      <c r="J549" s="10">
        <v>482676.0</v>
      </c>
      <c r="K549" s="10">
        <f>215478*11</f>
        <v>2370258</v>
      </c>
      <c r="L549" s="10">
        <v>674938.0</v>
      </c>
      <c r="M549" s="10">
        <v>227507.0</v>
      </c>
      <c r="N549" s="9">
        <v>0.0</v>
      </c>
      <c r="O549" s="10">
        <v>747019.0</v>
      </c>
      <c r="P549" s="2">
        <v>1494038.0</v>
      </c>
      <c r="Q549" s="10">
        <v>8800000.0</v>
      </c>
      <c r="R549" s="9">
        <v>0.0</v>
      </c>
      <c r="S549" s="9">
        <v>7409160.0</v>
      </c>
      <c r="T549" s="9">
        <v>7409160.0</v>
      </c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12">
        <v>7.5835809E7</v>
      </c>
      <c r="D550" s="12">
        <v>6.7035809E7</v>
      </c>
      <c r="E550" s="12">
        <v>3.8329294E7</v>
      </c>
      <c r="F550" s="12">
        <v>2.304684E7</v>
      </c>
      <c r="G550" s="12">
        <v>125757.0</v>
      </c>
      <c r="H550" s="13">
        <v>0.0</v>
      </c>
      <c r="I550" s="12">
        <v>1000000.0</v>
      </c>
      <c r="J550" s="12">
        <v>482676.0</v>
      </c>
      <c r="K550" s="12"/>
      <c r="L550" s="12"/>
      <c r="M550" s="12"/>
      <c r="N550" s="14">
        <v>0.0</v>
      </c>
      <c r="O550" s="12">
        <v>747019.0</v>
      </c>
      <c r="P550" s="14"/>
      <c r="Q550" s="12">
        <v>8800000.0</v>
      </c>
      <c r="R550" s="13">
        <v>0.0</v>
      </c>
      <c r="S550" s="13"/>
      <c r="T550" s="13"/>
      <c r="U550" s="2"/>
      <c r="V550" s="2"/>
      <c r="W550" s="2"/>
      <c r="X550" s="2"/>
      <c r="Y550" s="2"/>
      <c r="Z550" s="2"/>
    </row>
    <row r="551" ht="12.75" customHeight="1">
      <c r="A551" s="2" t="s">
        <v>34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 t="s">
        <v>35</v>
      </c>
      <c r="B552" s="9">
        <v>4.0</v>
      </c>
      <c r="C552" s="10">
        <v>2.6858978E7</v>
      </c>
      <c r="D552" s="10">
        <v>2.5258978E7</v>
      </c>
      <c r="E552" s="10">
        <v>3747390.0</v>
      </c>
      <c r="F552" s="10">
        <v>1954961.0</v>
      </c>
      <c r="G552" s="9">
        <v>0.0</v>
      </c>
      <c r="H552" s="9">
        <v>0.0</v>
      </c>
      <c r="I552" s="9">
        <v>0.0</v>
      </c>
      <c r="J552" s="10">
        <v>157517.0</v>
      </c>
      <c r="K552" s="10">
        <f>215478*4</f>
        <v>861912</v>
      </c>
      <c r="L552" s="10">
        <v>239045.0</v>
      </c>
      <c r="M552" s="10">
        <v>80577.0</v>
      </c>
      <c r="N552" s="11">
        <v>0.0</v>
      </c>
      <c r="O552" s="10">
        <v>268589.0</v>
      </c>
      <c r="P552" s="11">
        <v>537178.0</v>
      </c>
      <c r="Q552" s="10">
        <v>1600000.0</v>
      </c>
      <c r="R552" s="9">
        <v>0.0</v>
      </c>
      <c r="S552" s="9">
        <v>602708.0</v>
      </c>
      <c r="T552" s="9">
        <v>602708.0</v>
      </c>
      <c r="U552" s="2"/>
      <c r="V552" s="2"/>
      <c r="W552" s="2"/>
      <c r="X552" s="2"/>
      <c r="Y552" s="2"/>
      <c r="Z552" s="2"/>
    </row>
    <row r="553" ht="12.75" customHeight="1">
      <c r="A553" s="3" t="s">
        <v>36</v>
      </c>
      <c r="B553" s="9">
        <v>8.0</v>
      </c>
      <c r="C553" s="10">
        <v>4.5302374E7</v>
      </c>
      <c r="D553" s="10">
        <v>4.3402374E7</v>
      </c>
      <c r="E553" s="10">
        <v>3860550.0</v>
      </c>
      <c r="F553" s="9">
        <v>0.0</v>
      </c>
      <c r="G553" s="10">
        <v>144747.0</v>
      </c>
      <c r="H553" s="9">
        <v>0.0</v>
      </c>
      <c r="I553" s="9">
        <v>0.0</v>
      </c>
      <c r="J553" s="10">
        <v>155575.0</v>
      </c>
      <c r="K553" s="10">
        <f>215478*7</f>
        <v>1508346</v>
      </c>
      <c r="L553" s="10">
        <v>403193.0</v>
      </c>
      <c r="M553" s="10">
        <v>135907.0</v>
      </c>
      <c r="N553" s="9">
        <v>0.0</v>
      </c>
      <c r="O553" s="10">
        <v>437391.0</v>
      </c>
      <c r="P553" s="2">
        <v>874782.0</v>
      </c>
      <c r="Q553" s="10">
        <v>1900000.0</v>
      </c>
      <c r="R553" s="9">
        <v>0.0</v>
      </c>
      <c r="S553" s="9">
        <v>388126.0</v>
      </c>
      <c r="T553" s="9">
        <v>388126.0</v>
      </c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12">
        <v>7.2161352E7</v>
      </c>
      <c r="D554" s="12">
        <v>6.8661352E7</v>
      </c>
      <c r="E554" s="12">
        <v>7607940.0</v>
      </c>
      <c r="F554" s="12">
        <v>1954961.0</v>
      </c>
      <c r="G554" s="12">
        <v>144747.0</v>
      </c>
      <c r="H554" s="13">
        <v>0.0</v>
      </c>
      <c r="I554" s="13">
        <v>0.0</v>
      </c>
      <c r="J554" s="12">
        <v>313092.0</v>
      </c>
      <c r="K554" s="12"/>
      <c r="L554" s="12"/>
      <c r="M554" s="12"/>
      <c r="N554" s="14">
        <v>0.0</v>
      </c>
      <c r="O554" s="12">
        <v>705980.0</v>
      </c>
      <c r="P554" s="14"/>
      <c r="Q554" s="12">
        <v>3500000.0</v>
      </c>
      <c r="R554" s="13">
        <v>0.0</v>
      </c>
      <c r="S554" s="13"/>
      <c r="T554" s="13"/>
      <c r="U554" s="2"/>
      <c r="V554" s="2"/>
      <c r="W554" s="2"/>
      <c r="X554" s="2"/>
      <c r="Y554" s="2"/>
      <c r="Z554" s="2"/>
    </row>
    <row r="555" ht="12.75" customHeight="1">
      <c r="A555" s="3" t="s">
        <v>37</v>
      </c>
      <c r="B555" s="9">
        <v>27.0</v>
      </c>
      <c r="C555" s="12">
        <v>1.68622305E8</v>
      </c>
      <c r="D555" s="12">
        <v>1.56322305E8</v>
      </c>
      <c r="E555" s="12">
        <v>7.2377337E7</v>
      </c>
      <c r="F555" s="12">
        <v>4.6616611E7</v>
      </c>
      <c r="G555" s="12">
        <v>291747.0</v>
      </c>
      <c r="H555" s="13">
        <v>0.0</v>
      </c>
      <c r="I555" s="12">
        <v>1000000.0</v>
      </c>
      <c r="J555" s="12">
        <v>943968.0</v>
      </c>
      <c r="K555" s="12">
        <f t="shared" ref="K555:M555" si="108">SUM(K546:K554)</f>
        <v>5602428</v>
      </c>
      <c r="L555" s="12">
        <f t="shared" si="108"/>
        <v>1500740</v>
      </c>
      <c r="M555" s="12">
        <f t="shared" si="108"/>
        <v>505867</v>
      </c>
      <c r="N555" s="14">
        <v>0.0</v>
      </c>
      <c r="O555" s="12">
        <v>1659250.0</v>
      </c>
      <c r="P555" s="12">
        <f>SUM(P546:P554)</f>
        <v>3318500</v>
      </c>
      <c r="Q555" s="12">
        <v>1.23E7</v>
      </c>
      <c r="R555" s="13">
        <v>0.0</v>
      </c>
      <c r="S555" s="12">
        <f t="shared" ref="S555:T555" si="109">SUM(S546:S554)</f>
        <v>14058137</v>
      </c>
      <c r="T555" s="12">
        <f t="shared" si="109"/>
        <v>14058137</v>
      </c>
      <c r="U555" s="2"/>
      <c r="V555" s="2"/>
      <c r="W555" s="2"/>
      <c r="X555" s="2"/>
      <c r="Y555" s="2"/>
      <c r="Z555" s="2"/>
    </row>
    <row r="556" ht="12.75" customHeight="1">
      <c r="A556" s="3" t="s">
        <v>38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 t="s">
        <v>31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 t="s">
        <v>32</v>
      </c>
      <c r="B558" s="9">
        <v>43.0</v>
      </c>
      <c r="C558" s="10">
        <v>2.15510425E8</v>
      </c>
      <c r="D558" s="10">
        <v>2.15510425E8</v>
      </c>
      <c r="E558" s="10">
        <v>2.52095199E8</v>
      </c>
      <c r="F558" s="10">
        <v>2.08631979E8</v>
      </c>
      <c r="G558" s="10">
        <v>85861.0</v>
      </c>
      <c r="H558" s="9">
        <v>0.0</v>
      </c>
      <c r="I558" s="10">
        <v>64000.0</v>
      </c>
      <c r="J558" s="10">
        <v>1711081.0</v>
      </c>
      <c r="K558" s="10">
        <f>215478*43</f>
        <v>9265554</v>
      </c>
      <c r="L558" s="10">
        <v>1918045.0</v>
      </c>
      <c r="M558" s="10">
        <v>646529.0</v>
      </c>
      <c r="N558" s="11">
        <v>0.0</v>
      </c>
      <c r="O558" s="10">
        <v>2155107.0</v>
      </c>
      <c r="P558" s="11">
        <v>4310219.0</v>
      </c>
      <c r="Q558" s="9">
        <v>0.0</v>
      </c>
      <c r="R558" s="9">
        <v>0.0</v>
      </c>
      <c r="S558" s="9">
        <v>5.0952809E7</v>
      </c>
      <c r="T558" s="9">
        <v>5.0952809E7</v>
      </c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12">
        <v>2.15510425E8</v>
      </c>
      <c r="D559" s="12">
        <v>2.15510425E8</v>
      </c>
      <c r="E559" s="12">
        <v>2.52095199E8</v>
      </c>
      <c r="F559" s="12">
        <v>2.08631979E8</v>
      </c>
      <c r="G559" s="12">
        <v>85861.0</v>
      </c>
      <c r="H559" s="13">
        <v>0.0</v>
      </c>
      <c r="I559" s="12">
        <v>64000.0</v>
      </c>
      <c r="J559" s="12">
        <v>1711081.0</v>
      </c>
      <c r="K559" s="12"/>
      <c r="L559" s="12"/>
      <c r="M559" s="12"/>
      <c r="N559" s="14">
        <v>0.0</v>
      </c>
      <c r="O559" s="12">
        <v>2155107.0</v>
      </c>
      <c r="P559" s="14"/>
      <c r="Q559" s="13">
        <v>0.0</v>
      </c>
      <c r="R559" s="13">
        <v>0.0</v>
      </c>
      <c r="S559" s="13"/>
      <c r="T559" s="13"/>
      <c r="U559" s="2"/>
      <c r="V559" s="2"/>
      <c r="W559" s="2"/>
      <c r="X559" s="2"/>
      <c r="Y559" s="2"/>
      <c r="Z559" s="2"/>
    </row>
    <row r="560" ht="12.75" customHeight="1">
      <c r="A560" s="2" t="s">
        <v>33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 t="s">
        <v>32</v>
      </c>
      <c r="B561" s="9">
        <v>38.0</v>
      </c>
      <c r="C561" s="10">
        <v>2.15834751E8</v>
      </c>
      <c r="D561" s="10">
        <v>2.07634751E8</v>
      </c>
      <c r="E561" s="10">
        <v>1.69552882E8</v>
      </c>
      <c r="F561" s="10">
        <v>1.20841692E8</v>
      </c>
      <c r="G561" s="10">
        <v>345958.0</v>
      </c>
      <c r="H561" s="9">
        <v>0.0</v>
      </c>
      <c r="I561" s="9">
        <v>0.0</v>
      </c>
      <c r="J561" s="10">
        <v>1635652.0</v>
      </c>
      <c r="K561" s="10">
        <f>215478*38</f>
        <v>8188164</v>
      </c>
      <c r="L561" s="10">
        <v>1920927.0</v>
      </c>
      <c r="M561" s="10">
        <v>647501.0</v>
      </c>
      <c r="N561" s="9">
        <v>0.0</v>
      </c>
      <c r="O561" s="10">
        <v>2158347.0</v>
      </c>
      <c r="P561" s="2">
        <v>4316702.0</v>
      </c>
      <c r="Q561" s="10">
        <v>8200000.0</v>
      </c>
      <c r="R561" s="9">
        <v>0.0</v>
      </c>
      <c r="S561" s="9">
        <v>3.0991501E7</v>
      </c>
      <c r="T561" s="9">
        <v>3.0991501E7</v>
      </c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12">
        <v>2.15834751E8</v>
      </c>
      <c r="D562" s="12">
        <v>2.07634751E8</v>
      </c>
      <c r="E562" s="12">
        <v>1.69552882E8</v>
      </c>
      <c r="F562" s="12">
        <v>1.20841692E8</v>
      </c>
      <c r="G562" s="12">
        <v>345958.0</v>
      </c>
      <c r="H562" s="13">
        <v>0.0</v>
      </c>
      <c r="I562" s="13">
        <v>0.0</v>
      </c>
      <c r="J562" s="12">
        <v>1635652.0</v>
      </c>
      <c r="K562" s="12"/>
      <c r="L562" s="12"/>
      <c r="M562" s="12"/>
      <c r="N562" s="14">
        <v>0.0</v>
      </c>
      <c r="O562" s="12">
        <v>2158347.0</v>
      </c>
      <c r="P562" s="14"/>
      <c r="Q562" s="12">
        <v>8200000.0</v>
      </c>
      <c r="R562" s="13">
        <v>0.0</v>
      </c>
      <c r="S562" s="13"/>
      <c r="T562" s="13"/>
      <c r="U562" s="2"/>
      <c r="V562" s="2"/>
      <c r="W562" s="2"/>
      <c r="X562" s="2"/>
      <c r="Y562" s="2"/>
      <c r="Z562" s="2"/>
    </row>
    <row r="563" ht="12.75" customHeight="1">
      <c r="A563" s="2" t="s">
        <v>34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 t="s">
        <v>35</v>
      </c>
      <c r="B564" s="9">
        <v>13.0</v>
      </c>
      <c r="C564" s="10">
        <v>7.1546964E7</v>
      </c>
      <c r="D564" s="10">
        <v>6.7546964E7</v>
      </c>
      <c r="E564" s="10">
        <v>2.8558278E7</v>
      </c>
      <c r="F564" s="10">
        <v>3.0529313E7</v>
      </c>
      <c r="G564" s="10">
        <v>8321.0</v>
      </c>
      <c r="H564" s="9">
        <v>0.0</v>
      </c>
      <c r="I564" s="10">
        <v>1230073.0</v>
      </c>
      <c r="J564" s="10">
        <v>579168.0</v>
      </c>
      <c r="K564" s="10">
        <f>215478*13</f>
        <v>2801214</v>
      </c>
      <c r="L564" s="10">
        <v>636769.0</v>
      </c>
      <c r="M564" s="10">
        <v>214641.0</v>
      </c>
      <c r="N564" s="11">
        <v>0.0</v>
      </c>
      <c r="O564" s="10">
        <v>715470.0</v>
      </c>
      <c r="P564" s="11">
        <v>1430940.0</v>
      </c>
      <c r="Q564" s="10">
        <v>3500000.0</v>
      </c>
      <c r="R564" s="10">
        <v>500000.0</v>
      </c>
      <c r="S564" s="9">
        <v>5969120.0</v>
      </c>
      <c r="T564" s="9">
        <v>5969120.0</v>
      </c>
      <c r="U564" s="2"/>
      <c r="V564" s="2"/>
      <c r="W564" s="2"/>
      <c r="X564" s="2"/>
      <c r="Y564" s="2"/>
      <c r="Z564" s="2"/>
    </row>
    <row r="565" ht="12.75" customHeight="1">
      <c r="A565" s="3" t="s">
        <v>36</v>
      </c>
      <c r="B565" s="9">
        <v>8.0</v>
      </c>
      <c r="C565" s="10">
        <v>4.2464684E7</v>
      </c>
      <c r="D565" s="10">
        <v>4.1764684E7</v>
      </c>
      <c r="E565" s="10">
        <v>1.3733677E7</v>
      </c>
      <c r="F565" s="10">
        <v>6463133.0</v>
      </c>
      <c r="G565" s="10">
        <v>163078.0</v>
      </c>
      <c r="H565" s="9">
        <v>0.0</v>
      </c>
      <c r="I565" s="10">
        <v>297850.0</v>
      </c>
      <c r="J565" s="10">
        <v>373751.0</v>
      </c>
      <c r="K565" s="10">
        <f>215478*8</f>
        <v>1723824</v>
      </c>
      <c r="L565" s="10">
        <v>377935.0</v>
      </c>
      <c r="M565" s="10">
        <v>127394.0</v>
      </c>
      <c r="N565" s="9">
        <v>0.0</v>
      </c>
      <c r="O565" s="10">
        <v>424647.0</v>
      </c>
      <c r="P565" s="2">
        <v>849294.0</v>
      </c>
      <c r="Q565" s="10">
        <v>700000.0</v>
      </c>
      <c r="R565" s="9">
        <v>0.0</v>
      </c>
      <c r="S565" s="9">
        <v>1514976.0</v>
      </c>
      <c r="T565" s="9">
        <v>1514976.0</v>
      </c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12">
        <v>1.14011648E8</v>
      </c>
      <c r="D566" s="12">
        <v>1.09311648E8</v>
      </c>
      <c r="E566" s="12">
        <v>4.2291955E7</v>
      </c>
      <c r="F566" s="12">
        <v>3.6992446E7</v>
      </c>
      <c r="G566" s="12">
        <v>171399.0</v>
      </c>
      <c r="H566" s="13">
        <v>0.0</v>
      </c>
      <c r="I566" s="12">
        <v>1527923.0</v>
      </c>
      <c r="J566" s="12">
        <v>952919.0</v>
      </c>
      <c r="K566" s="12"/>
      <c r="L566" s="12"/>
      <c r="M566" s="12"/>
      <c r="N566" s="14">
        <v>0.0</v>
      </c>
      <c r="O566" s="12">
        <v>1140117.0</v>
      </c>
      <c r="P566" s="14"/>
      <c r="Q566" s="12">
        <v>4200000.0</v>
      </c>
      <c r="R566" s="12">
        <v>500000.0</v>
      </c>
      <c r="S566" s="13"/>
      <c r="T566" s="13"/>
      <c r="U566" s="2"/>
      <c r="V566" s="2"/>
      <c r="W566" s="2"/>
      <c r="X566" s="2"/>
      <c r="Y566" s="2"/>
      <c r="Z566" s="2"/>
    </row>
    <row r="567" ht="12.75" customHeight="1">
      <c r="A567" s="3" t="s">
        <v>39</v>
      </c>
      <c r="B567" s="9">
        <v>102.0</v>
      </c>
      <c r="C567" s="12">
        <v>5.45356824E8</v>
      </c>
      <c r="D567" s="12">
        <v>5.32456824E8</v>
      </c>
      <c r="E567" s="12">
        <v>4.63940036E8</v>
      </c>
      <c r="F567" s="12">
        <v>3.66466117E8</v>
      </c>
      <c r="G567" s="12">
        <v>603218.0</v>
      </c>
      <c r="H567" s="13">
        <v>0.0</v>
      </c>
      <c r="I567" s="12">
        <v>1591923.0</v>
      </c>
      <c r="J567" s="12">
        <v>4299652.0</v>
      </c>
      <c r="K567" s="12">
        <f t="shared" ref="K567:M567" si="110">SUM(K558:K566)</f>
        <v>21978756</v>
      </c>
      <c r="L567" s="12">
        <f t="shared" si="110"/>
        <v>4853676</v>
      </c>
      <c r="M567" s="12">
        <f t="shared" si="110"/>
        <v>1636065</v>
      </c>
      <c r="N567" s="14">
        <v>0.0</v>
      </c>
      <c r="O567" s="12">
        <v>5453571.0</v>
      </c>
      <c r="P567" s="12">
        <f>SUM(P558:P566)</f>
        <v>10907155</v>
      </c>
      <c r="Q567" s="12">
        <v>1.24E7</v>
      </c>
      <c r="R567" s="12">
        <v>500000.0</v>
      </c>
      <c r="S567" s="12">
        <f t="shared" ref="S567:T567" si="111">SUM(S558:S566)</f>
        <v>89428406</v>
      </c>
      <c r="T567" s="12">
        <f t="shared" si="111"/>
        <v>89428406</v>
      </c>
      <c r="U567" s="2"/>
      <c r="V567" s="2"/>
      <c r="W567" s="2"/>
      <c r="X567" s="2"/>
      <c r="Y567" s="2"/>
      <c r="Z567" s="2"/>
    </row>
    <row r="568" ht="12.75" customHeight="1">
      <c r="A568" s="1" t="s">
        <v>0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 t="s">
        <v>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 t="s">
        <v>2</v>
      </c>
      <c r="O569" s="2"/>
      <c r="P569" s="2" t="s">
        <v>3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1" t="s">
        <v>4</v>
      </c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" t="s">
        <v>5</v>
      </c>
      <c r="Q571" s="4">
        <v>2.0</v>
      </c>
      <c r="R571" s="3" t="s">
        <v>6</v>
      </c>
      <c r="S571" s="4">
        <v>2.0</v>
      </c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6" t="s">
        <v>15</v>
      </c>
      <c r="K572" s="6" t="s">
        <v>16</v>
      </c>
      <c r="L572" s="6"/>
      <c r="M572" s="6"/>
      <c r="N572" s="2"/>
      <c r="O572" s="6" t="s">
        <v>20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6" t="s">
        <v>7</v>
      </c>
      <c r="C573" s="6" t="s">
        <v>8</v>
      </c>
      <c r="D573" s="6" t="s">
        <v>9</v>
      </c>
      <c r="E573" s="6" t="s">
        <v>10</v>
      </c>
      <c r="F573" s="6" t="s">
        <v>11</v>
      </c>
      <c r="G573" s="6" t="s">
        <v>12</v>
      </c>
      <c r="H573" s="6" t="s">
        <v>13</v>
      </c>
      <c r="I573" s="6" t="s">
        <v>14</v>
      </c>
      <c r="J573" s="2"/>
      <c r="K573" s="2"/>
      <c r="L573" s="5" t="s">
        <v>17</v>
      </c>
      <c r="M573" s="5" t="s">
        <v>18</v>
      </c>
      <c r="N573" s="2" t="s">
        <v>19</v>
      </c>
      <c r="O573" s="2"/>
      <c r="P573" s="5" t="s">
        <v>21</v>
      </c>
      <c r="Q573" s="6" t="s">
        <v>22</v>
      </c>
      <c r="R573" s="6" t="s">
        <v>23</v>
      </c>
      <c r="S573" s="6" t="s">
        <v>24</v>
      </c>
      <c r="T573" s="6" t="s">
        <v>25</v>
      </c>
      <c r="U573" s="2"/>
      <c r="V573" s="2"/>
      <c r="W573" s="2"/>
      <c r="X573" s="2"/>
      <c r="Y573" s="2"/>
      <c r="Z573" s="2"/>
    </row>
    <row r="574" ht="12.75" customHeight="1">
      <c r="A574" s="3" t="s">
        <v>28</v>
      </c>
      <c r="B574" s="13">
        <v>129.0</v>
      </c>
      <c r="C574" s="12">
        <v>7.13979129E8</v>
      </c>
      <c r="D574" s="12">
        <v>6.88779129E8</v>
      </c>
      <c r="E574" s="12">
        <v>5.36317373E8</v>
      </c>
      <c r="F574" s="12">
        <v>4.13082728E8</v>
      </c>
      <c r="G574" s="12">
        <v>894965.0</v>
      </c>
      <c r="H574" s="13">
        <v>0.0</v>
      </c>
      <c r="I574" s="12">
        <v>2591923.0</v>
      </c>
      <c r="J574" s="12">
        <v>5243620.0</v>
      </c>
      <c r="K574" s="12"/>
      <c r="L574" s="12"/>
      <c r="M574" s="12"/>
      <c r="N574" s="14">
        <v>0.0</v>
      </c>
      <c r="O574" s="12">
        <v>7112821.0</v>
      </c>
      <c r="P574" s="14"/>
      <c r="Q574" s="12">
        <v>2.47E7</v>
      </c>
      <c r="R574" s="12">
        <v>500000.0</v>
      </c>
      <c r="S574" s="13">
        <v>0.0</v>
      </c>
      <c r="T574" s="13">
        <v>0.0</v>
      </c>
      <c r="U574" s="2"/>
      <c r="V574" s="2"/>
      <c r="W574" s="2"/>
      <c r="X574" s="2"/>
      <c r="Y574" s="2"/>
      <c r="Z574" s="2"/>
    </row>
    <row r="575" ht="12.75" customHeight="1">
      <c r="A575" s="16" t="s">
        <v>79</v>
      </c>
      <c r="B575" s="9">
        <v>129.0</v>
      </c>
      <c r="C575" s="12">
        <v>7.13979129E8</v>
      </c>
      <c r="D575" s="12">
        <v>6.88779129E8</v>
      </c>
      <c r="E575" s="17">
        <v>5.36317373E8</v>
      </c>
      <c r="F575" s="17">
        <v>4.13082728E8</v>
      </c>
      <c r="G575" s="12">
        <v>894965.0</v>
      </c>
      <c r="H575" s="13">
        <v>0.0</v>
      </c>
      <c r="I575" s="12">
        <v>2591923.0</v>
      </c>
      <c r="J575" s="12">
        <v>5243620.0</v>
      </c>
      <c r="K575" s="12">
        <f t="shared" ref="K575:M575" si="112">SUM(K555,K567)</f>
        <v>27581184</v>
      </c>
      <c r="L575" s="12">
        <f t="shared" si="112"/>
        <v>6354416</v>
      </c>
      <c r="M575" s="12">
        <f t="shared" si="112"/>
        <v>2141932</v>
      </c>
      <c r="N575" s="14">
        <v>0.0</v>
      </c>
      <c r="O575" s="12">
        <v>7112821.0</v>
      </c>
      <c r="P575" s="12">
        <f>SUM(P555,P567)</f>
        <v>14225655</v>
      </c>
      <c r="Q575" s="12">
        <v>2.47E7</v>
      </c>
      <c r="R575" s="12">
        <v>500000.0</v>
      </c>
      <c r="S575" s="12">
        <f t="shared" ref="S575:T575" si="113">SUM(S555,S567)</f>
        <v>103486543</v>
      </c>
      <c r="T575" s="12">
        <f t="shared" si="113"/>
        <v>103486543</v>
      </c>
      <c r="U575" s="18">
        <f>SUM(C575,E575,F575,I575,J575,K575,L575,M575,N575,S575)-SUM(G575,H575)</f>
        <v>1809883883</v>
      </c>
      <c r="V575" s="2" t="s">
        <v>80</v>
      </c>
      <c r="W575" s="2"/>
      <c r="X575" s="19">
        <f>T575+W575</f>
        <v>103486543</v>
      </c>
      <c r="Y575" s="2"/>
      <c r="Z575" s="2"/>
    </row>
    <row r="576" ht="12.75" customHeight="1">
      <c r="A576" s="2" t="s">
        <v>42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 t="s">
        <v>43</v>
      </c>
      <c r="J577" s="2"/>
      <c r="K577" s="2"/>
      <c r="L577" s="2"/>
      <c r="M577" s="2"/>
      <c r="N577" s="2"/>
      <c r="O577" s="2"/>
      <c r="P577" s="2"/>
      <c r="Q577" s="2"/>
      <c r="R577" s="2" t="s">
        <v>44</v>
      </c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 t="s">
        <v>81</v>
      </c>
      <c r="B578" s="9">
        <v>496.0</v>
      </c>
      <c r="C578" s="10">
        <v>2.969312679E9</v>
      </c>
      <c r="D578" s="10">
        <v>2.772862679E9</v>
      </c>
      <c r="E578" s="10">
        <v>8.65355351E8</v>
      </c>
      <c r="F578" s="10">
        <v>7.08548947E8</v>
      </c>
      <c r="G578" s="10">
        <v>6507269.0</v>
      </c>
      <c r="H578" s="10">
        <v>2619207.0</v>
      </c>
      <c r="I578" s="10">
        <v>2.2119385E7</v>
      </c>
      <c r="J578" s="10">
        <v>1.8350532E7</v>
      </c>
      <c r="K578" s="22" t="s">
        <v>82</v>
      </c>
      <c r="L578" s="22"/>
      <c r="M578" s="22"/>
      <c r="N578" s="19">
        <v>2.1125E7</v>
      </c>
      <c r="O578" s="10">
        <v>2.5923303E7</v>
      </c>
      <c r="P578" s="19"/>
      <c r="Q578" s="10">
        <v>1.9095E8</v>
      </c>
      <c r="R578" s="10">
        <v>3000000.0</v>
      </c>
      <c r="S578" s="9">
        <v>0.0</v>
      </c>
      <c r="T578" s="9">
        <v>0.0</v>
      </c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0:$U$578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