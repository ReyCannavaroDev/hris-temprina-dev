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BPMP" sheetId="2" r:id="rId6"/>
    <sheet state="visible" name="REF" sheetId="3" r:id="rId7"/>
  </sheets>
  <definedNames/>
  <calcPr/>
</workbook>
</file>

<file path=xl/sharedStrings.xml><?xml version="1.0" encoding="utf-8"?>
<sst xmlns="http://schemas.openxmlformats.org/spreadsheetml/2006/main" count="226" uniqueCount="107">
  <si>
    <t>Kode Objek Pajak</t>
  </si>
  <si>
    <t>Kolom pada excel</t>
  </si>
  <si>
    <t>Nama Objek Pajak</t>
  </si>
  <si>
    <t>Resident</t>
  </si>
  <si>
    <t>TK/0</t>
  </si>
  <si>
    <t>N/A</t>
  </si>
  <si>
    <t>21-100-01</t>
  </si>
  <si>
    <t>Penghasilan yang diterima oleh Pegawai Tetap termasuk Pegawai Negeri Sipil, Anggota Tentara Nasional Indonesia, Anggota Polisi Republik Indonesia atau Pejabat Negara</t>
  </si>
  <si>
    <t>Foreign</t>
  </si>
  <si>
    <t>TK/1</t>
  </si>
  <si>
    <t>DTP</t>
  </si>
  <si>
    <t>Kolom pada xml</t>
  </si>
  <si>
    <t>21-100-02</t>
  </si>
  <si>
    <t>Petunjuk pengisian</t>
  </si>
  <si>
    <t>Penghasilan yang diterima oleh Penerima Pensiun secara  teratur</t>
  </si>
  <si>
    <t>Contoh pengisian</t>
  </si>
  <si>
    <t>TK/2</t>
  </si>
  <si>
    <t>Validasi</t>
  </si>
  <si>
    <t>ETC</t>
  </si>
  <si>
    <t>Keterangan tambahan</t>
  </si>
  <si>
    <t>21-100-32</t>
  </si>
  <si>
    <t>Penghasilan yang diterima oleh Pegawai tetap yang menerima fasilitas di daerah tertentu</t>
  </si>
  <si>
    <t>NPWP Pemotong</t>
  </si>
  <si>
    <t>TK/3</t>
  </si>
  <si>
    <t>TIN</t>
  </si>
  <si>
    <t>Diisi dengan NPWP pemotong</t>
  </si>
  <si>
    <t>K/0</t>
  </si>
  <si>
    <t>K/1</t>
  </si>
  <si>
    <t>1234567890123456</t>
  </si>
  <si>
    <t>K/2</t>
  </si>
  <si>
    <t>NPWP Pemotong harus sama dengan NPWP login</t>
  </si>
  <si>
    <t>K/3</t>
  </si>
  <si>
    <t>HB/0</t>
  </si>
  <si>
    <t>Masa Pajak</t>
  </si>
  <si>
    <t>HB/1</t>
  </si>
  <si>
    <t>TaxPeriodMonth</t>
  </si>
  <si>
    <t>Diisi dengan masa pajak pemotongan</t>
  </si>
  <si>
    <t>1</t>
  </si>
  <si>
    <t>HB/2</t>
  </si>
  <si>
    <t>HB/3</t>
  </si>
  <si>
    <t>Tahun Pajak</t>
  </si>
  <si>
    <t>TaxPeriodYear</t>
  </si>
  <si>
    <t>2025</t>
  </si>
  <si>
    <t>Status Pegawai</t>
  </si>
  <si>
    <t>CounterpartOpt</t>
  </si>
  <si>
    <t>Diisi dengan status kewarganegaraan pegawai (karyawan asing atau tidak)</t>
  </si>
  <si>
    <t>NPWP/NIK/TIN</t>
  </si>
  <si>
    <t>CounterpartTin</t>
  </si>
  <si>
    <t>Diisi dengan NIK pegawai tetap</t>
  </si>
  <si>
    <t>0987654321098765</t>
  </si>
  <si>
    <t>NPWP/NIK wajib valid</t>
  </si>
  <si>
    <t>Nomor Passport</t>
  </si>
  <si>
    <t>CounterpartPassport</t>
  </si>
  <si>
    <t>Diisi dengan nomor paspor pegawai tetap (jika karyawan asing)</t>
  </si>
  <si>
    <t>Status</t>
  </si>
  <si>
    <t>StatusTaxExemption</t>
  </si>
  <si>
    <t>Diisi dengan status PTKP penerima penghasilan</t>
  </si>
  <si>
    <t>Posisi</t>
  </si>
  <si>
    <t>Position</t>
  </si>
  <si>
    <t>Diisi dengan posisi pegawai tetap</t>
  </si>
  <si>
    <t>Staff</t>
  </si>
  <si>
    <t>Sertifikat/Fasilitas</t>
  </si>
  <si>
    <t>TaxCertificate</t>
  </si>
  <si>
    <t>Diisi dengan fasilitas perpajakan yang digunakan</t>
  </si>
  <si>
    <t>TaxObjectCode</t>
  </si>
  <si>
    <t>Diisi dengan kode objek pajak</t>
  </si>
  <si>
    <t>Penghasilan Kotor</t>
  </si>
  <si>
    <t>Gross</t>
  </si>
  <si>
    <t>Diisi dengan penghasilan bruto</t>
  </si>
  <si>
    <t>Tarif</t>
  </si>
  <si>
    <t>Rate</t>
  </si>
  <si>
    <t>Diisi dengan tarif yang sesuai dengan referensi kode objek pajak</t>
  </si>
  <si>
    <t>Jika menggunakan fasilitas perpajakan lainnya, tarif dapat diisi tidak sesuai dengan referensi kode objek pajak</t>
  </si>
  <si>
    <t>Jika tarif menggunakan koma, di export ke xml, excel secara otomatis akan merubah menjadi format desimal menggunakan titik</t>
  </si>
  <si>
    <t>ID TKU</t>
  </si>
  <si>
    <t>IDPlaceOfBusinessActivity</t>
  </si>
  <si>
    <t>Diisi dengan ID TKU pemotong</t>
  </si>
  <si>
    <t>1234567890123456789012</t>
  </si>
  <si>
    <t>Tgl Pemotongan</t>
  </si>
  <si>
    <t>WithholdingDate</t>
  </si>
  <si>
    <t>Diisi dengan tanggal pemotongan</t>
  </si>
  <si>
    <t>Tanggal pemotongan tidak boleh lebih rendah dari masa/tahun pajak bukti potong</t>
  </si>
  <si>
    <t>Saat di export ke xml, excel secara otomatis akan merubah menjadi format YYYY-MM-DD</t>
  </si>
  <si>
    <t>0016815144631000</t>
  </si>
  <si>
    <t>TER A</t>
  </si>
  <si>
    <t>TER B</t>
  </si>
  <si>
    <t>TER C</t>
  </si>
  <si>
    <t>3578063008830009</t>
  </si>
  <si>
    <t>0016815144631000000000</t>
  </si>
  <si>
    <t>3374061705890003</t>
  </si>
  <si>
    <t>3507242308990002</t>
  </si>
  <si>
    <t>Kadiv</t>
  </si>
  <si>
    <t>3515136103950001</t>
  </si>
  <si>
    <t>3515182204910005</t>
  </si>
  <si>
    <t>3506165604870002</t>
  </si>
  <si>
    <t>3578232910800005</t>
  </si>
  <si>
    <t>Karu</t>
  </si>
  <si>
    <t>3515131810830003</t>
  </si>
  <si>
    <t>3509193112760009</t>
  </si>
  <si>
    <t>3509191907930006</t>
  </si>
  <si>
    <t>3578230304780002</t>
  </si>
  <si>
    <t>3573040305860006</t>
  </si>
  <si>
    <t>3578206803980002</t>
  </si>
  <si>
    <t>3510125202920001</t>
  </si>
  <si>
    <t>3576010504810004</t>
  </si>
  <si>
    <t>3515062511930003</t>
  </si>
  <si>
    <t>3515132805800003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</si>
</sst>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FFFFFF"/>
      <name val="Calibri"/>
      <scheme val="minor"/>
    </font>
    <font>
      <sz val="11.0"/>
      <color rgb="FFFFFFFF"/>
      <name val="Calibri"/>
    </font>
    <font>
      <sz val="10.0"/>
      <color theme="1"/>
      <name val="Quattrocento Sans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3" numFmtId="0" xfId="0" applyAlignment="1" applyFont="1">
      <alignment horizontal="right"/>
    </xf>
    <xf quotePrefix="1"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3" numFmtId="14" xfId="0" applyAlignment="1" applyFont="1" applyNumberFormat="1">
      <alignment horizontal="right"/>
    </xf>
    <xf quotePrefix="1" borderId="0" fillId="0" fontId="3" numFmtId="14" xfId="0" applyAlignment="1" applyFont="1" applyNumberFormat="1">
      <alignment horizontal="left"/>
    </xf>
    <xf quotePrefix="1" borderId="0" fillId="0" fontId="3" numFmtId="49" xfId="0" applyFont="1" applyNumberFormat="1"/>
    <xf borderId="0" fillId="0" fontId="4" numFmtId="0" xfId="0" applyFont="1"/>
    <xf borderId="0" fillId="0" fontId="5" numFmtId="0" xfId="0" applyAlignment="1" applyFont="1">
      <alignment horizontal="left"/>
    </xf>
    <xf borderId="0" fillId="0" fontId="1" numFmtId="0" xfId="0" applyFont="1"/>
    <xf borderId="0" fillId="0" fontId="3" numFmtId="49" xfId="0" applyFont="1" applyNumberFormat="1"/>
    <xf borderId="0" fillId="0" fontId="6" numFmtId="0" xfId="0" applyFont="1"/>
    <xf borderId="0" fillId="0" fontId="6" numFmtId="0" xfId="0" applyAlignment="1" applyFont="1">
      <alignment horizontal="left"/>
    </xf>
    <xf borderId="0" fillId="0" fontId="6" numFmtId="1" xfId="0" applyAlignment="1" applyFont="1" applyNumberFormat="1">
      <alignment readingOrder="0"/>
    </xf>
    <xf borderId="0" fillId="0" fontId="3" numFmtId="0" xfId="0" applyAlignment="1" applyFont="1">
      <alignment horizontal="right"/>
    </xf>
    <xf quotePrefix="1" borderId="0" fillId="0" fontId="7" numFmtId="49" xfId="0" applyFont="1" applyNumberFormat="1"/>
    <xf borderId="0" fillId="0" fontId="3" numFmtId="14" xfId="0" applyFont="1" applyNumberFormat="1"/>
    <xf borderId="0" fillId="0" fontId="3" numFmtId="0" xfId="0" applyFont="1"/>
    <xf borderId="0" fillId="0" fontId="6" numFmtId="1" xfId="0" applyFont="1" applyNumberFormat="1"/>
    <xf borderId="0" fillId="0" fontId="3" numFmtId="49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N21" displayName="Table_1" name="Table_1" id="1">
  <tableColumns count="13">
    <tableColumn name="Masa Pajak" id="1"/>
    <tableColumn name="Tahun Pajak" id="2"/>
    <tableColumn name="Status Pegawai" id="3"/>
    <tableColumn name="NPWP/NIK/TIN" id="4"/>
    <tableColumn name="Nomor Passport" id="5"/>
    <tableColumn name="Status" id="6"/>
    <tableColumn name="Posisi" id="7"/>
    <tableColumn name="Sertifikat/Fasilitas" id="8"/>
    <tableColumn name="Kode Objek Pajak" id="9"/>
    <tableColumn name="Penghasilan Kotor" id="10"/>
    <tableColumn name="Tarif" id="11"/>
    <tableColumn name="ID TKU" id="12"/>
    <tableColumn name="Tgl Pemotongan" id="13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7.29"/>
    <col customWidth="1" min="3" max="3" width="13.86"/>
    <col customWidth="1" min="4" max="4" width="16.71"/>
    <col customWidth="1" min="5" max="5" width="25.43"/>
    <col customWidth="1" min="6" max="6" width="17.57"/>
    <col customWidth="1" min="7" max="7" width="8.71"/>
    <col customWidth="1" min="8" max="8" width="10.57"/>
    <col customWidth="1" min="9" max="9" width="19.71"/>
    <col customWidth="1" min="10" max="10" width="18.86"/>
    <col customWidth="1" min="11" max="11" width="19.57"/>
    <col customWidth="1" min="12" max="12" width="7.29"/>
    <col customWidth="1" min="13" max="13" width="24.57"/>
    <col customWidth="1" min="14" max="14" width="17.71"/>
    <col customWidth="1" min="15" max="15" width="8.71"/>
    <col customWidth="1" min="16" max="16" width="10.57"/>
    <col customWidth="1" min="17" max="17" width="8.71"/>
    <col customWidth="1" min="18" max="18" width="10.57"/>
    <col customWidth="1" min="19" max="26" width="8.71"/>
  </cols>
  <sheetData>
    <row r="1" ht="14.25" customHeight="1">
      <c r="A1" s="1" t="s">
        <v>22</v>
      </c>
      <c r="B1" s="8" t="s">
        <v>83</v>
      </c>
      <c r="L1" s="5"/>
    </row>
    <row r="2" ht="14.25" customHeight="1">
      <c r="L2" s="5"/>
    </row>
    <row r="3" ht="14.25" customHeight="1">
      <c r="L3" s="5"/>
    </row>
    <row r="4" ht="14.25" customHeight="1">
      <c r="B4" s="9" t="s">
        <v>33</v>
      </c>
      <c r="C4" s="9" t="s">
        <v>40</v>
      </c>
      <c r="D4" s="9" t="s">
        <v>43</v>
      </c>
      <c r="E4" s="9" t="s">
        <v>46</v>
      </c>
      <c r="F4" s="9" t="s">
        <v>51</v>
      </c>
      <c r="G4" s="9" t="s">
        <v>54</v>
      </c>
      <c r="H4" s="9" t="s">
        <v>57</v>
      </c>
      <c r="I4" s="9" t="s">
        <v>61</v>
      </c>
      <c r="J4" s="9" t="s">
        <v>0</v>
      </c>
      <c r="K4" s="9" t="s">
        <v>66</v>
      </c>
      <c r="L4" s="10" t="s">
        <v>69</v>
      </c>
      <c r="M4" s="9" t="s">
        <v>74</v>
      </c>
      <c r="N4" s="9" t="s">
        <v>78</v>
      </c>
      <c r="P4" s="1" t="s">
        <v>84</v>
      </c>
      <c r="Q4" s="1" t="s">
        <v>85</v>
      </c>
      <c r="R4" s="1" t="s">
        <v>86</v>
      </c>
    </row>
    <row r="5" ht="14.25" customHeight="1">
      <c r="B5" s="11">
        <v>1.0</v>
      </c>
      <c r="C5" s="11">
        <v>2026.0</v>
      </c>
      <c r="D5" s="12" t="s">
        <v>3</v>
      </c>
      <c r="E5" s="13" t="s">
        <v>87</v>
      </c>
      <c r="F5" s="12"/>
      <c r="G5" s="14" t="s">
        <v>4</v>
      </c>
      <c r="H5" s="13" t="s">
        <v>60</v>
      </c>
      <c r="I5" s="12" t="s">
        <v>5</v>
      </c>
      <c r="J5" s="12" t="s">
        <v>6</v>
      </c>
      <c r="K5" s="15">
        <v>6429848.0</v>
      </c>
      <c r="L5" s="16">
        <f t="shared" ref="L5:L21" si="1">IF(OR(G5="TK/0",G5="TK/1",G5="K/0",G5="HB/0",G5="HB/1"),P5,IF(OR(G5="TK/2",G5="TK/3",G5="K/1",G5="K/2",G5="HB/2",G5="HB/3"),Q5,R5))</f>
        <v>1</v>
      </c>
      <c r="M5" s="17" t="s">
        <v>88</v>
      </c>
      <c r="N5" s="18">
        <v>46053.0</v>
      </c>
      <c r="P5" s="19">
        <f t="shared" ref="P5:P21" si="2">IF(K5&lt;=5400000,0,IF(AND(K5&gt;5400000,K5&lt;=5650000),0.25,IF(AND(K5&gt;5650000,K5&lt;=5950000),0.5,IF(AND(K5&gt;5950000,K5&lt;=6300000),0.75,IF(AND(K5&gt;6300000,K5&lt;=6750000),1,IF(AND(K5&gt;6750000,K5&lt;=7500000),1.25,IF(AND(K5&gt;7500000,K5&lt;=8550000),1.5,IF(AND(K5&gt;8550000,K5&lt;=9650000),1.75,IF(AND(K5&gt;9650000,K5&lt;=10050000),2,IF(AND(K5&gt;10050000,K5&lt;=10350000),2.25,IF(AND(K5&gt;10350000,K5&lt;=10700000),2.5,IF(AND(K5&gt;10700000,K5&lt;=11050000),3,IF(AND(K5&gt;11050000,K5&lt;=11600000),3.5,IF(AND(K5&gt;11600000,K5&lt;=12500000),4,IF(AND(K5&gt;12500000,K5&lt;=13750000),5,IF(AND(K5&gt;13750000,K5&lt;=15100000),6,IF(AND(K5&gt;15100000,K5&lt;=16950000),7,IF(AND(K5&gt;16950000,K5&lt;=19750000),8,IF(AND(K5&gt;19750000,K5&lt;=24150000),9,IF(AND(K5&gt;24150000,K5&lt;=26450000),10,IF(AND(K5&gt;26450000,K5&lt;=28000000),11,IF(AND(K5&gt;28000000,K5&lt;=30050000),12,IF(AND(K5&gt;30050000,K5&lt;=32400000),13,IF(AND(K5&gt;32400000,K5&lt;=35400000),14,IF(AND(K5&gt;35400000,K5&lt;=39100000),15,IF(AND(K5&gt;39100000,K5&lt;=43850000),16,IF(AND(K5&gt;43850000,K5&lt;=47800000),17,IF(AND(K5&gt;47800000,K5&lt;=51400000),18,IF(AND(K5&gt;51400000,K5&lt;=56300000),19,IF(AND(K5&gt;56300000,K5&lt;=62200000),20,IF(AND(K5&gt;62200000,K5&lt;=68600000),21,IF(AND(K5&gt;68600000,K5&lt;=77500000),22,IF(AND(K5&gt;77500000,K5&lt;=89000000),23,IF(AND(K5&gt;89000000,K5&lt;=103000000),24,IF(AND(K5&gt;103000000,K5&lt;=125000000),25,IF(AND(K5&gt;125000000,K5&lt;=157000000),26,IF(AND(K5&gt;157000000,K5&lt;=206000000),27,IF(AND(K5&gt;206000000,K5&lt;=337000000),28,IF(AND(K5&gt;337000000,K5&lt;=454000000),29,IF(AND(K5&gt;454000000,K5&lt;=550000000),30,IF(AND(K5&gt;550000000,K5&lt;=695000000),31,IF(AND(K5&gt;695000000,K5&lt;=910000000),32,IF(AND(K5&gt;910000000,K5&lt;=1400000000),33,34)))))))))))))))))))))))))))))))))))))))))))</f>
        <v>1</v>
      </c>
      <c r="Q5" s="19">
        <f t="shared" ref="Q5:Q21" si="3">IF(K5&lt;=6200000,0,IF(AND(K5&gt;6200000,K5&lt;=6500000),0.25,IF(AND(K5&gt;6500000,K5&lt;=6850000),0.5,IF(AND(K5&gt;6850000,K5&lt;=7300000),0.75,IF(AND(K5&gt;7300000,K5&lt;=9200000),1,IF(AND(K5&gt;9200000,K5&lt;=10750000),1.5,IF(AND(K5&gt;10750000,K5&lt;=11250000),2,IF(AND(K5&gt;11250000,K5&lt;=11600000),2.5,IF(AND(K5&gt;11600000,K5&lt;=12600000),3,IF(AND(K5&gt;12600000,K5&lt;=13600000),4,IF(AND(K5&gt;13600000,K5&lt;=14950000),5,IF(AND(K5&gt;14950000,K5&lt;=16400000),6,IF(AND(K5&gt;16400000,K5&lt;=18450000),7,IF(AND(K5&gt;18450000,K5&lt;=21850000),8,IF(AND(K5&gt;21850000,K5&lt;=26000000),9,IF(AND(K5&gt;26000000,K5&lt;=27700000),10,IF(AND(K5&gt;27700000,K5&lt;=29350000),11,IF(AND(K5&gt;29350000,K5&lt;=31450000),12,IF(AND(K5&gt;31450000,K5&lt;=33950000),13,IF(AND(K5&gt;33950000,K5&lt;=37100000),14,IF(AND(K5&gt;37100000,K5&lt;=41100000),15,IF(AND(K5&gt;41100000,K5&lt;=45800000),16,IF(AND(K5&gt;45800000,K5&lt;=49500000),17,IF(AND(K5&gt;49500000,K5&lt;=53800000),18,IF(AND(K5&gt;53800000,K5&lt;=58500000),19,IF(AND(K5&gt;58500000,K5&lt;=64000000),20,IF(AND(K5&gt;64000000,K5&lt;=71000000),21,IF(AND(K5&gt;71000000,K5&lt;=80000000),22,IF(AND(K5&gt;80000000,K5&lt;=93000000),23,IF(AND(K5&gt;93000000,K5&lt;=109000000),24,IF(AND(K5&gt;109000000,K5&lt;=129000000),25,IF(AND(K5&gt;129000000,K5&lt;=163000000),26,IF(AND(K5&gt;163000000,K5&lt;=211000000),27,IF(AND(K5&gt;211000000,K5&lt;=374000000),28,IF(AND(K5&gt;374000000,K5&lt;=459000000),29,IF(AND(K5&gt;459000000,K5&lt;=555000000),30,IF(AND(K5&gt;555000000,K5&lt;=704000000),31,IF(AND(K5&gt;704000000,K5&lt;=957000000),32,IF(AND(K5&gt;957000000,K5&lt;=1405000000),33,34)))))))))))))))))))))))))))))))))))))))</f>
        <v>0.25</v>
      </c>
      <c r="R5" s="19">
        <f t="shared" ref="R5:R21" si="4">IF(K5&lt;=6600000,0,IF(AND(K5&gt;6600000,K5&lt;=6950000),0.25,IF(AND(K5&gt;6950000,K5&lt;=7350000),0.5,IF(AND(K5&gt;7350000,K5&lt;=7800000),0.75,IF(AND(K5&gt;7800000,K5&lt;=8850000),1,IF(AND(K5&gt;8850000,K5&lt;=9800000),1.25,IF(AND(K5&gt;9800000,K5&lt;=10950000),1.5,IF(AND(K5&gt;10950000,K5&lt;=11200000),1.75,IF(AND(K5&gt;11200000,K5&lt;=12050000),2,IF(AND(K5&gt;12050000,K5&lt;=12950000),3,IF(AND(K5&gt;12950000,K5&lt;=14150000),4,IF(AND(K5&gt;14150000,K5&lt;=15550000),5,IF(AND(K5&gt;15550000,K5&lt;=17050000),6,IF(AND(K5&gt;17050000,K5&lt;=19500000),7,IF(AND(K5&gt;19500000,K5&lt;=22700000),8,IF(AND(K5&gt;22700000,K5&lt;=26600000),9,IF(AND(K5&gt;26600000,K5&lt;=28100000),10,IF(AND(K5&gt;28100000,K5&lt;=30100000),11,IF(AND(K5&gt;30100000,K5&lt;=32600000),12,IF(AND(K5&gt;32600000,K5&lt;=35400000),13,IF(AND(K5&gt;35400000,K5&lt;=38900000),14,IF(AND(K5&gt;38900000,K5&lt;=43000000),15,IF(AND(K5&gt;43000000,K5&lt;=47400000),16,IF(AND(K5&gt;47400000,K5&lt;=51200000),17,IF(AND(K5&gt;51200000,K5&lt;=55800000),18,IF(AND(K5&gt;55800000,K5&lt;=60400000),19,IF(AND(K5&gt;60400000,K5&lt;=66700000),20,IF(AND(K5&gt;66700000,K5&lt;=74500000),21,IF(AND(K5&gt;74500000,K5&lt;=83200000),22,IF(AND(K5&gt;83200000,K5&lt;=95600000),23,IF(AND(K5&gt;95600000,K5&lt;=110000000),24,IF(AND(K5&gt;110000000,K5&lt;=134000000),25,IF(AND(K5&gt;134000000,K5&lt;=169000000),26,IF(AND(K5&gt;169000000,K5&lt;=221000000),27,IF(AND(K5&gt;221000000,K5&lt;=390000000),28,IF(AND(K5&gt;390000000,K5&lt;=463000000),29,IF(AND(K5&gt;463000000,K5&lt;=561000000),30,IF(AND(K5&gt;561000000,K5&lt;=709000000),31,IF(AND(K5&gt;709000000,K5&lt;=965000000),32,IF(AND(K5&gt;965000000,K5&lt;=1419000000),33,34))))))))))))))))))))))))))))))))))))))))</f>
        <v>0</v>
      </c>
      <c r="S5" s="19"/>
      <c r="T5" s="19"/>
      <c r="U5" s="19"/>
    </row>
    <row r="6" ht="14.25" customHeight="1">
      <c r="B6" s="11">
        <v>1.0</v>
      </c>
      <c r="C6" s="11">
        <v>2026.0</v>
      </c>
      <c r="D6" s="12" t="s">
        <v>3</v>
      </c>
      <c r="E6" s="13" t="s">
        <v>89</v>
      </c>
      <c r="F6" s="12"/>
      <c r="G6" s="14" t="s">
        <v>9</v>
      </c>
      <c r="H6" s="13" t="s">
        <v>60</v>
      </c>
      <c r="I6" s="12" t="s">
        <v>5</v>
      </c>
      <c r="J6" s="12" t="s">
        <v>6</v>
      </c>
      <c r="K6" s="20">
        <v>5566954.0</v>
      </c>
      <c r="L6" s="16">
        <f t="shared" si="1"/>
        <v>0.25</v>
      </c>
      <c r="M6" s="17" t="s">
        <v>88</v>
      </c>
      <c r="N6" s="18">
        <v>46053.0</v>
      </c>
      <c r="P6" s="19">
        <f t="shared" si="2"/>
        <v>0.25</v>
      </c>
      <c r="Q6" s="19">
        <f t="shared" si="3"/>
        <v>0</v>
      </c>
      <c r="R6" s="19">
        <f t="shared" si="4"/>
        <v>0</v>
      </c>
      <c r="S6" s="19"/>
      <c r="T6" s="19"/>
      <c r="U6" s="19"/>
    </row>
    <row r="7" ht="14.25" customHeight="1">
      <c r="B7" s="11">
        <v>1.0</v>
      </c>
      <c r="C7" s="11">
        <v>2026.0</v>
      </c>
      <c r="D7" s="12" t="s">
        <v>3</v>
      </c>
      <c r="E7" s="13" t="s">
        <v>90</v>
      </c>
      <c r="F7" s="12"/>
      <c r="G7" s="14" t="s">
        <v>4</v>
      </c>
      <c r="H7" s="13" t="s">
        <v>91</v>
      </c>
      <c r="I7" s="12" t="s">
        <v>5</v>
      </c>
      <c r="J7" s="12" t="s">
        <v>6</v>
      </c>
      <c r="K7" s="20">
        <v>8116201.0</v>
      </c>
      <c r="L7" s="16">
        <f t="shared" si="1"/>
        <v>1.5</v>
      </c>
      <c r="M7" s="17" t="s">
        <v>88</v>
      </c>
      <c r="N7" s="18">
        <v>46053.0</v>
      </c>
      <c r="P7" s="19">
        <f t="shared" si="2"/>
        <v>1.5</v>
      </c>
      <c r="Q7" s="19">
        <f t="shared" si="3"/>
        <v>1</v>
      </c>
      <c r="R7" s="19">
        <f t="shared" si="4"/>
        <v>1</v>
      </c>
      <c r="S7" s="19"/>
      <c r="T7" s="19"/>
      <c r="U7" s="19"/>
    </row>
    <row r="8" ht="14.25" customHeight="1">
      <c r="B8" s="11">
        <v>1.0</v>
      </c>
      <c r="C8" s="11">
        <v>2026.0</v>
      </c>
      <c r="D8" s="12" t="s">
        <v>3</v>
      </c>
      <c r="E8" s="13" t="s">
        <v>92</v>
      </c>
      <c r="F8" s="12"/>
      <c r="G8" s="14" t="s">
        <v>4</v>
      </c>
      <c r="H8" s="13" t="s">
        <v>60</v>
      </c>
      <c r="I8" s="12" t="s">
        <v>5</v>
      </c>
      <c r="J8" s="12" t="s">
        <v>6</v>
      </c>
      <c r="K8" s="20">
        <v>5262236.0</v>
      </c>
      <c r="L8" s="16">
        <f t="shared" si="1"/>
        <v>0</v>
      </c>
      <c r="M8" s="17" t="s">
        <v>88</v>
      </c>
      <c r="N8" s="18">
        <v>46053.0</v>
      </c>
      <c r="P8" s="19">
        <f t="shared" si="2"/>
        <v>0</v>
      </c>
      <c r="Q8" s="19">
        <f t="shared" si="3"/>
        <v>0</v>
      </c>
      <c r="R8" s="19">
        <f t="shared" si="4"/>
        <v>0</v>
      </c>
      <c r="S8" s="19"/>
      <c r="T8" s="19"/>
      <c r="U8" s="19"/>
    </row>
    <row r="9" ht="14.25" customHeight="1">
      <c r="B9" s="11">
        <v>1.0</v>
      </c>
      <c r="C9" s="11">
        <v>2026.0</v>
      </c>
      <c r="D9" s="12" t="s">
        <v>3</v>
      </c>
      <c r="E9" s="13" t="s">
        <v>93</v>
      </c>
      <c r="F9" s="12"/>
      <c r="G9" s="14" t="s">
        <v>27</v>
      </c>
      <c r="H9" s="13" t="s">
        <v>60</v>
      </c>
      <c r="I9" s="12" t="s">
        <v>5</v>
      </c>
      <c r="J9" s="12" t="s">
        <v>6</v>
      </c>
      <c r="K9" s="20">
        <v>5945859.0</v>
      </c>
      <c r="L9" s="16">
        <f t="shared" si="1"/>
        <v>0</v>
      </c>
      <c r="M9" s="17" t="s">
        <v>88</v>
      </c>
      <c r="N9" s="18">
        <v>46053.0</v>
      </c>
      <c r="P9" s="19">
        <f t="shared" si="2"/>
        <v>0.5</v>
      </c>
      <c r="Q9" s="19">
        <f t="shared" si="3"/>
        <v>0</v>
      </c>
      <c r="R9" s="19">
        <f t="shared" si="4"/>
        <v>0</v>
      </c>
      <c r="S9" s="19"/>
      <c r="T9" s="19"/>
      <c r="U9" s="19"/>
    </row>
    <row r="10" ht="14.25" customHeight="1">
      <c r="B10" s="11">
        <v>1.0</v>
      </c>
      <c r="C10" s="11">
        <v>2026.0</v>
      </c>
      <c r="D10" s="12" t="s">
        <v>3</v>
      </c>
      <c r="E10" s="13" t="s">
        <v>94</v>
      </c>
      <c r="F10" s="12"/>
      <c r="G10" s="14" t="s">
        <v>4</v>
      </c>
      <c r="H10" s="13" t="s">
        <v>60</v>
      </c>
      <c r="I10" s="12" t="s">
        <v>5</v>
      </c>
      <c r="J10" s="12" t="s">
        <v>6</v>
      </c>
      <c r="K10" s="20">
        <v>5719251.0</v>
      </c>
      <c r="L10" s="16">
        <f t="shared" si="1"/>
        <v>0.5</v>
      </c>
      <c r="M10" s="17" t="s">
        <v>88</v>
      </c>
      <c r="N10" s="18">
        <v>46053.0</v>
      </c>
      <c r="P10" s="19">
        <f t="shared" si="2"/>
        <v>0.5</v>
      </c>
      <c r="Q10" s="19">
        <f t="shared" si="3"/>
        <v>0</v>
      </c>
      <c r="R10" s="19">
        <f t="shared" si="4"/>
        <v>0</v>
      </c>
      <c r="S10" s="19"/>
      <c r="T10" s="19"/>
      <c r="U10" s="19"/>
    </row>
    <row r="11" ht="14.25" customHeight="1">
      <c r="B11" s="11">
        <v>1.0</v>
      </c>
      <c r="C11" s="11">
        <v>2026.0</v>
      </c>
      <c r="D11" s="12" t="s">
        <v>3</v>
      </c>
      <c r="E11" s="13" t="s">
        <v>95</v>
      </c>
      <c r="F11" s="11"/>
      <c r="G11" s="14" t="s">
        <v>27</v>
      </c>
      <c r="H11" s="13" t="s">
        <v>96</v>
      </c>
      <c r="I11" s="12" t="s">
        <v>5</v>
      </c>
      <c r="J11" s="12" t="s">
        <v>6</v>
      </c>
      <c r="K11" s="20">
        <v>5553036.0</v>
      </c>
      <c r="L11" s="21">
        <f t="shared" si="1"/>
        <v>0</v>
      </c>
      <c r="M11" s="17" t="s">
        <v>88</v>
      </c>
      <c r="N11" s="18">
        <v>46053.0</v>
      </c>
      <c r="P11" s="19">
        <f t="shared" si="2"/>
        <v>0.25</v>
      </c>
      <c r="Q11" s="19">
        <f t="shared" si="3"/>
        <v>0</v>
      </c>
      <c r="R11" s="19">
        <f t="shared" si="4"/>
        <v>0</v>
      </c>
    </row>
    <row r="12" ht="14.25" customHeight="1">
      <c r="B12" s="11">
        <v>1.0</v>
      </c>
      <c r="C12" s="11">
        <v>2026.0</v>
      </c>
      <c r="D12" s="12" t="s">
        <v>3</v>
      </c>
      <c r="E12" s="13" t="s">
        <v>97</v>
      </c>
      <c r="F12" s="11"/>
      <c r="G12" s="14" t="s">
        <v>29</v>
      </c>
      <c r="H12" s="13" t="s">
        <v>60</v>
      </c>
      <c r="I12" s="12" t="s">
        <v>5</v>
      </c>
      <c r="J12" s="12" t="s">
        <v>6</v>
      </c>
      <c r="K12" s="20">
        <v>5553036.0</v>
      </c>
      <c r="L12" s="21">
        <f t="shared" si="1"/>
        <v>0</v>
      </c>
      <c r="M12" s="17" t="s">
        <v>88</v>
      </c>
      <c r="N12" s="18">
        <v>46053.0</v>
      </c>
      <c r="P12" s="19">
        <f t="shared" si="2"/>
        <v>0.25</v>
      </c>
      <c r="Q12" s="19">
        <f t="shared" si="3"/>
        <v>0</v>
      </c>
      <c r="R12" s="19">
        <f t="shared" si="4"/>
        <v>0</v>
      </c>
    </row>
    <row r="13" ht="14.25" customHeight="1">
      <c r="B13" s="11">
        <v>1.0</v>
      </c>
      <c r="C13" s="11">
        <v>2026.0</v>
      </c>
      <c r="D13" s="12" t="s">
        <v>3</v>
      </c>
      <c r="E13" s="13" t="s">
        <v>98</v>
      </c>
      <c r="F13" s="11"/>
      <c r="G13" s="14" t="s">
        <v>29</v>
      </c>
      <c r="H13" s="13" t="s">
        <v>96</v>
      </c>
      <c r="I13" s="12" t="s">
        <v>5</v>
      </c>
      <c r="J13" s="12" t="s">
        <v>6</v>
      </c>
      <c r="K13" s="20">
        <v>4520478.0</v>
      </c>
      <c r="L13" s="21">
        <f t="shared" si="1"/>
        <v>0</v>
      </c>
      <c r="M13" s="17" t="s">
        <v>88</v>
      </c>
      <c r="N13" s="18">
        <v>46053.0</v>
      </c>
      <c r="P13" s="19">
        <f t="shared" si="2"/>
        <v>0</v>
      </c>
      <c r="Q13" s="19">
        <f t="shared" si="3"/>
        <v>0</v>
      </c>
      <c r="R13" s="19">
        <f t="shared" si="4"/>
        <v>0</v>
      </c>
    </row>
    <row r="14" ht="14.25" customHeight="1">
      <c r="B14" s="11">
        <v>1.0</v>
      </c>
      <c r="C14" s="11">
        <v>2026.0</v>
      </c>
      <c r="D14" s="12" t="s">
        <v>3</v>
      </c>
      <c r="E14" s="13" t="s">
        <v>99</v>
      </c>
      <c r="F14" s="11"/>
      <c r="G14" s="14" t="s">
        <v>4</v>
      </c>
      <c r="H14" s="13" t="s">
        <v>60</v>
      </c>
      <c r="I14" s="12" t="s">
        <v>5</v>
      </c>
      <c r="J14" s="12" t="s">
        <v>6</v>
      </c>
      <c r="K14" s="20">
        <v>3161587.0</v>
      </c>
      <c r="L14" s="21">
        <f t="shared" si="1"/>
        <v>0</v>
      </c>
      <c r="M14" s="17" t="s">
        <v>88</v>
      </c>
      <c r="N14" s="18">
        <v>46053.0</v>
      </c>
      <c r="P14" s="19">
        <f t="shared" si="2"/>
        <v>0</v>
      </c>
      <c r="Q14" s="19">
        <f t="shared" si="3"/>
        <v>0</v>
      </c>
      <c r="R14" s="19">
        <f t="shared" si="4"/>
        <v>0</v>
      </c>
    </row>
    <row r="15" ht="14.25" customHeight="1">
      <c r="B15" s="11">
        <v>1.0</v>
      </c>
      <c r="C15" s="11">
        <v>2026.0</v>
      </c>
      <c r="D15" s="12" t="s">
        <v>3</v>
      </c>
      <c r="E15" s="13" t="s">
        <v>100</v>
      </c>
      <c r="F15" s="11"/>
      <c r="G15" s="14" t="s">
        <v>27</v>
      </c>
      <c r="H15" s="13" t="s">
        <v>96</v>
      </c>
      <c r="I15" s="12" t="s">
        <v>5</v>
      </c>
      <c r="J15" s="12" t="s">
        <v>6</v>
      </c>
      <c r="K15" s="20">
        <v>6025194.0</v>
      </c>
      <c r="L15" s="21">
        <f t="shared" si="1"/>
        <v>0</v>
      </c>
      <c r="M15" s="17" t="s">
        <v>88</v>
      </c>
      <c r="N15" s="18">
        <v>46053.0</v>
      </c>
      <c r="P15" s="19">
        <f t="shared" si="2"/>
        <v>0.75</v>
      </c>
      <c r="Q15" s="19">
        <f t="shared" si="3"/>
        <v>0</v>
      </c>
      <c r="R15" s="19">
        <f t="shared" si="4"/>
        <v>0</v>
      </c>
    </row>
    <row r="16" ht="14.25" customHeight="1">
      <c r="B16" s="11">
        <v>1.0</v>
      </c>
      <c r="C16" s="11">
        <v>2026.0</v>
      </c>
      <c r="D16" s="12" t="s">
        <v>3</v>
      </c>
      <c r="E16" s="13" t="s">
        <v>101</v>
      </c>
      <c r="F16" s="11"/>
      <c r="G16" s="14" t="s">
        <v>29</v>
      </c>
      <c r="H16" s="13" t="s">
        <v>91</v>
      </c>
      <c r="I16" s="12" t="s">
        <v>5</v>
      </c>
      <c r="J16" s="12" t="s">
        <v>6</v>
      </c>
      <c r="K16" s="20">
        <v>8565106.0</v>
      </c>
      <c r="L16" s="21">
        <f t="shared" si="1"/>
        <v>1</v>
      </c>
      <c r="M16" s="17" t="s">
        <v>88</v>
      </c>
      <c r="N16" s="18">
        <v>46053.0</v>
      </c>
      <c r="P16" s="19">
        <f t="shared" si="2"/>
        <v>1.75</v>
      </c>
      <c r="Q16" s="19">
        <f t="shared" si="3"/>
        <v>1</v>
      </c>
      <c r="R16" s="19">
        <f t="shared" si="4"/>
        <v>1</v>
      </c>
    </row>
    <row r="17" ht="14.25" customHeight="1">
      <c r="B17" s="11">
        <v>1.0</v>
      </c>
      <c r="C17" s="11">
        <v>2026.0</v>
      </c>
      <c r="D17" s="12" t="s">
        <v>3</v>
      </c>
      <c r="E17" s="13" t="s">
        <v>102</v>
      </c>
      <c r="F17" s="11"/>
      <c r="G17" s="14" t="s">
        <v>4</v>
      </c>
      <c r="H17" s="13" t="s">
        <v>60</v>
      </c>
      <c r="I17" s="12" t="s">
        <v>5</v>
      </c>
      <c r="J17" s="12" t="s">
        <v>6</v>
      </c>
      <c r="K17" s="20">
        <v>5566953.0</v>
      </c>
      <c r="L17" s="21">
        <f t="shared" si="1"/>
        <v>0.25</v>
      </c>
      <c r="M17" s="17" t="s">
        <v>88</v>
      </c>
      <c r="N17" s="18">
        <v>46053.0</v>
      </c>
      <c r="P17" s="19">
        <f t="shared" si="2"/>
        <v>0.25</v>
      </c>
      <c r="Q17" s="19">
        <f t="shared" si="3"/>
        <v>0</v>
      </c>
      <c r="R17" s="19">
        <f t="shared" si="4"/>
        <v>0</v>
      </c>
    </row>
    <row r="18" ht="14.25" customHeight="1">
      <c r="B18" s="11">
        <v>1.0</v>
      </c>
      <c r="C18" s="11">
        <v>2026.0</v>
      </c>
      <c r="D18" s="12" t="s">
        <v>3</v>
      </c>
      <c r="E18" s="13" t="s">
        <v>103</v>
      </c>
      <c r="F18" s="11"/>
      <c r="G18" s="14" t="s">
        <v>4</v>
      </c>
      <c r="H18" s="13" t="s">
        <v>60</v>
      </c>
      <c r="I18" s="12" t="s">
        <v>5</v>
      </c>
      <c r="J18" s="12" t="s">
        <v>6</v>
      </c>
      <c r="K18" s="20">
        <v>5566953.0</v>
      </c>
      <c r="L18" s="21">
        <f t="shared" si="1"/>
        <v>0.25</v>
      </c>
      <c r="M18" s="17" t="s">
        <v>88</v>
      </c>
      <c r="N18" s="18">
        <v>46053.0</v>
      </c>
      <c r="P18" s="19">
        <f t="shared" si="2"/>
        <v>0.25</v>
      </c>
      <c r="Q18" s="19">
        <f t="shared" si="3"/>
        <v>0</v>
      </c>
      <c r="R18" s="19">
        <f t="shared" si="4"/>
        <v>0</v>
      </c>
    </row>
    <row r="19" ht="14.25" customHeight="1">
      <c r="B19" s="11">
        <v>1.0</v>
      </c>
      <c r="C19" s="11">
        <v>2026.0</v>
      </c>
      <c r="D19" s="12" t="s">
        <v>3</v>
      </c>
      <c r="E19" s="13" t="s">
        <v>104</v>
      </c>
      <c r="F19" s="11"/>
      <c r="G19" s="14" t="s">
        <v>27</v>
      </c>
      <c r="H19" s="13" t="s">
        <v>60</v>
      </c>
      <c r="I19" s="12" t="s">
        <v>5</v>
      </c>
      <c r="J19" s="12" t="s">
        <v>6</v>
      </c>
      <c r="K19" s="20">
        <v>5553036.0</v>
      </c>
      <c r="L19" s="21">
        <f t="shared" si="1"/>
        <v>0</v>
      </c>
      <c r="M19" s="17" t="s">
        <v>88</v>
      </c>
      <c r="N19" s="18">
        <v>46053.0</v>
      </c>
      <c r="P19" s="19">
        <f t="shared" si="2"/>
        <v>0.25</v>
      </c>
      <c r="Q19" s="19">
        <f t="shared" si="3"/>
        <v>0</v>
      </c>
      <c r="R19" s="19">
        <f t="shared" si="4"/>
        <v>0</v>
      </c>
    </row>
    <row r="20" ht="14.25" customHeight="1">
      <c r="B20" s="11">
        <v>1.0</v>
      </c>
      <c r="C20" s="11">
        <v>2026.0</v>
      </c>
      <c r="D20" s="12" t="s">
        <v>3</v>
      </c>
      <c r="E20" s="13" t="s">
        <v>105</v>
      </c>
      <c r="F20" s="11"/>
      <c r="G20" s="14" t="s">
        <v>4</v>
      </c>
      <c r="H20" s="13" t="s">
        <v>60</v>
      </c>
      <c r="I20" s="12" t="s">
        <v>5</v>
      </c>
      <c r="J20" s="12" t="s">
        <v>6</v>
      </c>
      <c r="K20" s="20">
        <v>5513318.0</v>
      </c>
      <c r="L20" s="21">
        <f t="shared" si="1"/>
        <v>0.25</v>
      </c>
      <c r="M20" s="17" t="s">
        <v>88</v>
      </c>
      <c r="N20" s="18">
        <v>46053.0</v>
      </c>
      <c r="P20" s="19">
        <f t="shared" si="2"/>
        <v>0.25</v>
      </c>
      <c r="Q20" s="19">
        <f t="shared" si="3"/>
        <v>0</v>
      </c>
      <c r="R20" s="19">
        <f t="shared" si="4"/>
        <v>0</v>
      </c>
    </row>
    <row r="21" ht="14.25" customHeight="1">
      <c r="B21" s="11">
        <v>1.0</v>
      </c>
      <c r="C21" s="11">
        <v>2026.0</v>
      </c>
      <c r="D21" s="12" t="s">
        <v>3</v>
      </c>
      <c r="E21" s="13" t="s">
        <v>106</v>
      </c>
      <c r="F21" s="11"/>
      <c r="G21" s="14" t="s">
        <v>31</v>
      </c>
      <c r="H21" s="13" t="s">
        <v>60</v>
      </c>
      <c r="I21" s="12" t="s">
        <v>5</v>
      </c>
      <c r="J21" s="12" t="s">
        <v>6</v>
      </c>
      <c r="K21" s="20">
        <v>5545393.0</v>
      </c>
      <c r="L21" s="21">
        <f t="shared" si="1"/>
        <v>0</v>
      </c>
      <c r="M21" s="17" t="s">
        <v>88</v>
      </c>
      <c r="N21" s="18">
        <v>46053.0</v>
      </c>
      <c r="P21" s="19">
        <f t="shared" si="2"/>
        <v>0.25</v>
      </c>
      <c r="Q21" s="19">
        <f t="shared" si="3"/>
        <v>0</v>
      </c>
      <c r="R21" s="19">
        <f t="shared" si="4"/>
        <v>0</v>
      </c>
    </row>
    <row r="22" ht="14.25" customHeight="1">
      <c r="L22" s="5"/>
    </row>
    <row r="23" ht="14.25" customHeight="1">
      <c r="L23" s="5"/>
    </row>
    <row r="24" ht="14.25" customHeight="1">
      <c r="L24" s="5"/>
    </row>
    <row r="25" ht="14.25" customHeight="1">
      <c r="L25" s="5"/>
    </row>
    <row r="26" ht="14.25" customHeight="1">
      <c r="L26" s="5"/>
    </row>
    <row r="27" ht="14.25" customHeight="1">
      <c r="L27" s="5"/>
    </row>
    <row r="28" ht="14.25" customHeight="1">
      <c r="L28" s="5"/>
    </row>
    <row r="29" ht="14.25" customHeight="1">
      <c r="L29" s="5"/>
    </row>
    <row r="30" ht="14.25" customHeight="1">
      <c r="L30" s="5"/>
    </row>
    <row r="31" ht="14.25" customHeight="1">
      <c r="L31" s="5"/>
    </row>
    <row r="32" ht="14.25" customHeight="1">
      <c r="L32" s="5"/>
    </row>
    <row r="33" ht="14.25" customHeight="1">
      <c r="L33" s="5"/>
    </row>
    <row r="34" ht="14.25" customHeight="1">
      <c r="L34" s="5"/>
    </row>
    <row r="35" ht="14.25" customHeight="1">
      <c r="L35" s="5"/>
    </row>
    <row r="36" ht="14.25" customHeight="1">
      <c r="L36" s="5"/>
    </row>
    <row r="37" ht="14.25" customHeight="1">
      <c r="L37" s="5"/>
    </row>
    <row r="38" ht="14.25" customHeight="1">
      <c r="L38" s="5"/>
    </row>
    <row r="39" ht="14.25" customHeight="1">
      <c r="L39" s="5"/>
    </row>
    <row r="40" ht="14.25" customHeight="1">
      <c r="L40" s="5"/>
    </row>
    <row r="41" ht="14.25" customHeight="1">
      <c r="L41" s="5"/>
    </row>
    <row r="42" ht="14.25" customHeight="1">
      <c r="L42" s="5"/>
    </row>
    <row r="43" ht="14.25" customHeight="1">
      <c r="L43" s="5"/>
    </row>
    <row r="44" ht="14.25" customHeight="1">
      <c r="L44" s="5"/>
    </row>
    <row r="45" ht="14.25" customHeight="1">
      <c r="L45" s="5"/>
    </row>
    <row r="46" ht="14.25" customHeight="1">
      <c r="L46" s="5"/>
    </row>
    <row r="47" ht="14.25" customHeight="1">
      <c r="L47" s="5"/>
    </row>
    <row r="48" ht="14.25" customHeight="1">
      <c r="L48" s="5"/>
    </row>
    <row r="49" ht="14.25" customHeight="1">
      <c r="L49" s="5"/>
    </row>
    <row r="50" ht="14.25" customHeight="1">
      <c r="L50" s="5"/>
    </row>
    <row r="51" ht="14.25" customHeight="1">
      <c r="L51" s="5"/>
    </row>
    <row r="52" ht="14.25" customHeight="1">
      <c r="L52" s="5"/>
    </row>
    <row r="53" ht="14.25" customHeight="1">
      <c r="L53" s="5"/>
    </row>
    <row r="54" ht="14.25" customHeight="1">
      <c r="L54" s="5"/>
    </row>
    <row r="55" ht="14.25" customHeight="1">
      <c r="L55" s="5"/>
    </row>
    <row r="56" ht="14.25" customHeight="1">
      <c r="L56" s="5"/>
    </row>
    <row r="57" ht="14.25" customHeight="1">
      <c r="L57" s="5"/>
    </row>
    <row r="58" ht="14.25" customHeight="1">
      <c r="L58" s="5"/>
    </row>
    <row r="59" ht="14.25" customHeight="1">
      <c r="L59" s="5"/>
    </row>
    <row r="60" ht="14.25" customHeight="1">
      <c r="L60" s="5"/>
    </row>
    <row r="61" ht="14.25" customHeight="1">
      <c r="L61" s="5"/>
    </row>
    <row r="62" ht="14.25" customHeight="1">
      <c r="L62" s="5"/>
    </row>
    <row r="63" ht="14.25" customHeight="1">
      <c r="L63" s="5"/>
    </row>
    <row r="64" ht="14.25" customHeight="1">
      <c r="L64" s="5"/>
    </row>
    <row r="65" ht="14.25" customHeight="1">
      <c r="L65" s="5"/>
    </row>
    <row r="66" ht="14.25" customHeight="1">
      <c r="L66" s="5"/>
    </row>
    <row r="67" ht="14.25" customHeight="1">
      <c r="L67" s="5"/>
    </row>
    <row r="68" ht="14.25" customHeight="1">
      <c r="L68" s="5"/>
    </row>
    <row r="69" ht="14.25" customHeight="1">
      <c r="L69" s="5"/>
    </row>
    <row r="70" ht="14.25" customHeight="1">
      <c r="L70" s="5"/>
    </row>
    <row r="71" ht="14.25" customHeight="1">
      <c r="L71" s="5"/>
    </row>
    <row r="72" ht="14.25" customHeight="1">
      <c r="L72" s="5"/>
    </row>
    <row r="73" ht="14.25" customHeight="1">
      <c r="L73" s="5"/>
    </row>
    <row r="74" ht="14.25" customHeight="1">
      <c r="L74" s="5"/>
    </row>
    <row r="75" ht="14.25" customHeight="1">
      <c r="L75" s="5"/>
    </row>
    <row r="76" ht="14.25" customHeight="1">
      <c r="L76" s="5"/>
    </row>
    <row r="77" ht="14.25" customHeight="1">
      <c r="L77" s="5"/>
    </row>
    <row r="78" ht="14.25" customHeight="1">
      <c r="L78" s="5"/>
    </row>
    <row r="79" ht="14.25" customHeight="1">
      <c r="L79" s="5"/>
    </row>
    <row r="80" ht="14.25" customHeight="1">
      <c r="L80" s="5"/>
    </row>
    <row r="81" ht="14.25" customHeight="1">
      <c r="L81" s="5"/>
    </row>
    <row r="82" ht="14.25" customHeight="1">
      <c r="L82" s="5"/>
    </row>
    <row r="83" ht="14.25" customHeight="1">
      <c r="L83" s="5"/>
    </row>
    <row r="84" ht="14.25" customHeight="1">
      <c r="L84" s="5"/>
    </row>
    <row r="85" ht="14.25" customHeight="1">
      <c r="L85" s="5"/>
    </row>
    <row r="86" ht="14.25" customHeight="1">
      <c r="L86" s="5"/>
    </row>
    <row r="87" ht="14.25" customHeight="1">
      <c r="L87" s="5"/>
    </row>
    <row r="88" ht="14.25" customHeight="1">
      <c r="L88" s="5"/>
    </row>
    <row r="89" ht="14.25" customHeight="1">
      <c r="L89" s="5"/>
    </row>
    <row r="90" ht="14.25" customHeight="1">
      <c r="L90" s="5"/>
    </row>
    <row r="91" ht="14.25" customHeight="1">
      <c r="L91" s="5"/>
    </row>
    <row r="92" ht="14.25" customHeight="1">
      <c r="L92" s="5"/>
    </row>
    <row r="93" ht="14.25" customHeight="1">
      <c r="L93" s="5"/>
    </row>
    <row r="94" ht="14.25" customHeight="1">
      <c r="L94" s="5"/>
    </row>
    <row r="95" ht="14.25" customHeight="1">
      <c r="L95" s="5"/>
    </row>
    <row r="96" ht="14.25" customHeight="1">
      <c r="L96" s="5"/>
    </row>
    <row r="97" ht="14.25" customHeight="1">
      <c r="L97" s="5"/>
    </row>
    <row r="98" ht="14.25" customHeight="1">
      <c r="L98" s="5"/>
    </row>
    <row r="99" ht="14.25" customHeight="1">
      <c r="L99" s="5"/>
    </row>
    <row r="100" ht="14.25" customHeight="1">
      <c r="L100" s="5"/>
    </row>
    <row r="101" ht="14.25" customHeight="1">
      <c r="L101" s="5"/>
    </row>
    <row r="102" ht="14.25" customHeight="1">
      <c r="L102" s="5"/>
    </row>
    <row r="103" ht="14.25" customHeight="1">
      <c r="L103" s="5"/>
    </row>
    <row r="104" ht="14.25" customHeight="1">
      <c r="L104" s="5"/>
    </row>
    <row r="105" ht="14.25" customHeight="1">
      <c r="L105" s="5"/>
    </row>
    <row r="106" ht="14.25" customHeight="1">
      <c r="L106" s="5"/>
    </row>
    <row r="107" ht="14.25" customHeight="1">
      <c r="L107" s="5"/>
    </row>
    <row r="108" ht="14.25" customHeight="1">
      <c r="L108" s="5"/>
    </row>
    <row r="109" ht="14.25" customHeight="1">
      <c r="L109" s="5"/>
    </row>
    <row r="110" ht="14.25" customHeight="1">
      <c r="L110" s="5"/>
    </row>
    <row r="111" ht="14.25" customHeight="1">
      <c r="L111" s="5"/>
    </row>
    <row r="112" ht="14.25" customHeight="1">
      <c r="L112" s="5"/>
    </row>
    <row r="113" ht="14.25" customHeight="1">
      <c r="L113" s="5"/>
    </row>
    <row r="114" ht="14.25" customHeight="1">
      <c r="L114" s="5"/>
    </row>
    <row r="115" ht="14.25" customHeight="1">
      <c r="L115" s="5"/>
    </row>
    <row r="116" ht="14.25" customHeight="1">
      <c r="L116" s="5"/>
    </row>
    <row r="117" ht="14.25" customHeight="1">
      <c r="L117" s="5"/>
    </row>
    <row r="118" ht="14.25" customHeight="1">
      <c r="L118" s="5"/>
    </row>
    <row r="119" ht="14.25" customHeight="1">
      <c r="L119" s="5"/>
    </row>
    <row r="120" ht="14.25" customHeight="1">
      <c r="L120" s="5"/>
    </row>
    <row r="121" ht="14.25" customHeight="1">
      <c r="L121" s="5"/>
    </row>
    <row r="122" ht="14.25" customHeight="1">
      <c r="L122" s="5"/>
    </row>
    <row r="123" ht="14.25" customHeight="1">
      <c r="L123" s="5"/>
    </row>
    <row r="124" ht="14.25" customHeight="1">
      <c r="L124" s="5"/>
    </row>
    <row r="125" ht="14.25" customHeight="1">
      <c r="L125" s="5"/>
    </row>
    <row r="126" ht="14.25" customHeight="1">
      <c r="L126" s="5"/>
    </row>
    <row r="127" ht="14.25" customHeight="1">
      <c r="L127" s="5"/>
    </row>
    <row r="128" ht="14.25" customHeight="1">
      <c r="L128" s="5"/>
    </row>
    <row r="129" ht="14.25" customHeight="1">
      <c r="L129" s="5"/>
    </row>
    <row r="130" ht="14.25" customHeight="1">
      <c r="L130" s="5"/>
    </row>
    <row r="131" ht="14.25" customHeight="1">
      <c r="L131" s="5"/>
    </row>
    <row r="132" ht="14.25" customHeight="1">
      <c r="L132" s="5"/>
    </row>
    <row r="133" ht="14.25" customHeight="1">
      <c r="L133" s="5"/>
    </row>
    <row r="134" ht="14.25" customHeight="1">
      <c r="L134" s="5"/>
    </row>
    <row r="135" ht="14.25" customHeight="1">
      <c r="L135" s="5"/>
    </row>
    <row r="136" ht="14.25" customHeight="1">
      <c r="L136" s="5"/>
    </row>
    <row r="137" ht="14.25" customHeight="1">
      <c r="L137" s="5"/>
    </row>
    <row r="138" ht="14.25" customHeight="1">
      <c r="L138" s="5"/>
    </row>
    <row r="139" ht="14.25" customHeight="1">
      <c r="L139" s="5"/>
    </row>
    <row r="140" ht="14.25" customHeight="1">
      <c r="L140" s="5"/>
    </row>
    <row r="141" ht="14.25" customHeight="1">
      <c r="L141" s="5"/>
    </row>
    <row r="142" ht="14.25" customHeight="1">
      <c r="L142" s="5"/>
    </row>
    <row r="143" ht="14.25" customHeight="1">
      <c r="L143" s="5"/>
    </row>
    <row r="144" ht="14.25" customHeight="1">
      <c r="L144" s="5"/>
    </row>
    <row r="145" ht="14.25" customHeight="1">
      <c r="L145" s="5"/>
    </row>
    <row r="146" ht="14.25" customHeight="1">
      <c r="L146" s="5"/>
    </row>
    <row r="147" ht="14.25" customHeight="1">
      <c r="L147" s="5"/>
    </row>
    <row r="148" ht="14.25" customHeight="1">
      <c r="L148" s="5"/>
    </row>
    <row r="149" ht="14.25" customHeight="1">
      <c r="L149" s="5"/>
    </row>
    <row r="150" ht="14.25" customHeight="1">
      <c r="L150" s="5"/>
    </row>
    <row r="151" ht="14.25" customHeight="1">
      <c r="L151" s="5"/>
    </row>
    <row r="152" ht="14.25" customHeight="1">
      <c r="L152" s="5"/>
    </row>
    <row r="153" ht="14.25" customHeight="1">
      <c r="L153" s="5"/>
    </row>
    <row r="154" ht="14.25" customHeight="1">
      <c r="L154" s="5"/>
    </row>
    <row r="155" ht="14.25" customHeight="1">
      <c r="L155" s="5"/>
    </row>
    <row r="156" ht="14.25" customHeight="1">
      <c r="L156" s="5"/>
    </row>
    <row r="157" ht="14.25" customHeight="1">
      <c r="L157" s="5"/>
    </row>
    <row r="158" ht="14.25" customHeight="1">
      <c r="L158" s="5"/>
    </row>
    <row r="159" ht="14.25" customHeight="1">
      <c r="L159" s="5"/>
    </row>
    <row r="160" ht="14.25" customHeight="1">
      <c r="L160" s="5"/>
    </row>
    <row r="161" ht="14.25" customHeight="1">
      <c r="L161" s="5"/>
    </row>
    <row r="162" ht="14.25" customHeight="1">
      <c r="L162" s="5"/>
    </row>
    <row r="163" ht="14.25" customHeight="1">
      <c r="L163" s="5"/>
    </row>
    <row r="164" ht="14.25" customHeight="1">
      <c r="L164" s="5"/>
    </row>
    <row r="165" ht="14.25" customHeight="1">
      <c r="L165" s="5"/>
    </row>
    <row r="166" ht="14.25" customHeight="1">
      <c r="L166" s="5"/>
    </row>
    <row r="167" ht="14.25" customHeight="1">
      <c r="L167" s="5"/>
    </row>
    <row r="168" ht="14.25" customHeight="1">
      <c r="L168" s="5"/>
    </row>
    <row r="169" ht="14.25" customHeight="1">
      <c r="L169" s="5"/>
    </row>
    <row r="170" ht="14.25" customHeight="1">
      <c r="L170" s="5"/>
    </row>
    <row r="171" ht="14.25" customHeight="1">
      <c r="L171" s="5"/>
    </row>
    <row r="172" ht="14.25" customHeight="1">
      <c r="L172" s="5"/>
    </row>
    <row r="173" ht="14.25" customHeight="1">
      <c r="L173" s="5"/>
    </row>
    <row r="174" ht="14.25" customHeight="1">
      <c r="L174" s="5"/>
    </row>
    <row r="175" ht="14.25" customHeight="1">
      <c r="L175" s="5"/>
    </row>
    <row r="176" ht="14.25" customHeight="1">
      <c r="L176" s="5"/>
    </row>
    <row r="177" ht="14.25" customHeight="1">
      <c r="L177" s="5"/>
    </row>
    <row r="178" ht="14.25" customHeight="1">
      <c r="L178" s="5"/>
    </row>
    <row r="179" ht="14.25" customHeight="1">
      <c r="L179" s="5"/>
    </row>
    <row r="180" ht="14.25" customHeight="1">
      <c r="L180" s="5"/>
    </row>
    <row r="181" ht="14.25" customHeight="1">
      <c r="L181" s="5"/>
    </row>
    <row r="182" ht="14.25" customHeight="1">
      <c r="L182" s="5"/>
    </row>
    <row r="183" ht="14.25" customHeight="1">
      <c r="L183" s="5"/>
    </row>
    <row r="184" ht="14.25" customHeight="1">
      <c r="L184" s="5"/>
    </row>
    <row r="185" ht="14.25" customHeight="1">
      <c r="L185" s="5"/>
    </row>
    <row r="186" ht="14.25" customHeight="1">
      <c r="L186" s="5"/>
    </row>
    <row r="187" ht="14.25" customHeight="1">
      <c r="L187" s="5"/>
    </row>
    <row r="188" ht="14.25" customHeight="1">
      <c r="L188" s="5"/>
    </row>
    <row r="189" ht="14.25" customHeight="1">
      <c r="L189" s="5"/>
    </row>
    <row r="190" ht="14.25" customHeight="1">
      <c r="L190" s="5"/>
    </row>
    <row r="191" ht="14.25" customHeight="1">
      <c r="L191" s="5"/>
    </row>
    <row r="192" ht="14.25" customHeight="1">
      <c r="L192" s="5"/>
    </row>
    <row r="193" ht="14.25" customHeight="1">
      <c r="L193" s="5"/>
    </row>
    <row r="194" ht="14.25" customHeight="1">
      <c r="L194" s="5"/>
    </row>
    <row r="195" ht="14.25" customHeight="1">
      <c r="L195" s="5"/>
    </row>
    <row r="196" ht="14.25" customHeight="1">
      <c r="L196" s="5"/>
    </row>
    <row r="197" ht="14.25" customHeight="1">
      <c r="L197" s="5"/>
    </row>
    <row r="198" ht="14.25" customHeight="1">
      <c r="L198" s="5"/>
    </row>
    <row r="199" ht="14.25" customHeight="1">
      <c r="L199" s="5"/>
    </row>
    <row r="200" ht="14.25" customHeight="1">
      <c r="L200" s="5"/>
    </row>
    <row r="201" ht="14.25" customHeight="1">
      <c r="L201" s="5"/>
    </row>
    <row r="202" ht="14.25" customHeight="1">
      <c r="L202" s="5"/>
    </row>
    <row r="203" ht="14.25" customHeight="1">
      <c r="L203" s="5"/>
    </row>
    <row r="204" ht="14.25" customHeight="1">
      <c r="L204" s="5"/>
    </row>
    <row r="205" ht="14.25" customHeight="1">
      <c r="L205" s="5"/>
    </row>
    <row r="206" ht="14.25" customHeight="1">
      <c r="L206" s="5"/>
    </row>
    <row r="207" ht="14.25" customHeight="1">
      <c r="L207" s="5"/>
    </row>
    <row r="208" ht="14.25" customHeight="1">
      <c r="L208" s="5"/>
    </row>
    <row r="209" ht="14.25" customHeight="1">
      <c r="L209" s="5"/>
    </row>
    <row r="210" ht="14.25" customHeight="1">
      <c r="L210" s="5"/>
    </row>
    <row r="211" ht="14.25" customHeight="1">
      <c r="L211" s="5"/>
    </row>
    <row r="212" ht="14.25" customHeight="1">
      <c r="L212" s="5"/>
    </row>
    <row r="213" ht="14.25" customHeight="1">
      <c r="L213" s="5"/>
    </row>
    <row r="214" ht="14.25" customHeight="1">
      <c r="L214" s="5"/>
    </row>
    <row r="215" ht="14.25" customHeight="1">
      <c r="L215" s="5"/>
    </row>
    <row r="216" ht="14.25" customHeight="1">
      <c r="L216" s="5"/>
    </row>
    <row r="217" ht="14.25" customHeight="1">
      <c r="L217" s="5"/>
    </row>
    <row r="218" ht="14.25" customHeight="1">
      <c r="L218" s="5"/>
    </row>
    <row r="219" ht="14.25" customHeight="1">
      <c r="L219" s="5"/>
    </row>
    <row r="220" ht="14.25" customHeight="1">
      <c r="L220" s="5"/>
    </row>
    <row r="221" ht="14.25" customHeight="1">
      <c r="L221" s="5"/>
    </row>
    <row r="222" ht="14.25" customHeight="1">
      <c r="L222" s="5"/>
    </row>
    <row r="223" ht="14.25" customHeight="1">
      <c r="L223" s="5"/>
    </row>
    <row r="224" ht="14.25" customHeight="1">
      <c r="L224" s="5"/>
    </row>
    <row r="225" ht="14.25" customHeight="1">
      <c r="L225" s="5"/>
    </row>
    <row r="226" ht="14.25" customHeight="1">
      <c r="L226" s="5"/>
    </row>
    <row r="227" ht="14.25" customHeight="1">
      <c r="L227" s="5"/>
    </row>
    <row r="228" ht="14.25" customHeight="1">
      <c r="L228" s="5"/>
    </row>
    <row r="229" ht="14.25" customHeight="1">
      <c r="L229" s="5"/>
    </row>
    <row r="230" ht="14.25" customHeight="1">
      <c r="L230" s="5"/>
    </row>
    <row r="231" ht="14.25" customHeight="1">
      <c r="L231" s="5"/>
    </row>
    <row r="232" ht="14.25" customHeight="1">
      <c r="L232" s="5"/>
    </row>
    <row r="233" ht="14.25" customHeight="1">
      <c r="L233" s="5"/>
    </row>
    <row r="234" ht="14.25" customHeight="1">
      <c r="L234" s="5"/>
    </row>
    <row r="235" ht="14.25" customHeight="1">
      <c r="L235" s="5"/>
    </row>
    <row r="236" ht="14.25" customHeight="1">
      <c r="L236" s="5"/>
    </row>
    <row r="237" ht="14.25" customHeight="1">
      <c r="L237" s="5"/>
    </row>
    <row r="238" ht="14.25" customHeight="1">
      <c r="L238" s="5"/>
    </row>
    <row r="239" ht="14.25" customHeight="1">
      <c r="L239" s="5"/>
    </row>
    <row r="240" ht="14.25" customHeight="1">
      <c r="L240" s="5"/>
    </row>
    <row r="241" ht="14.25" customHeight="1">
      <c r="L241" s="5"/>
    </row>
    <row r="242" ht="14.25" customHeight="1">
      <c r="L242" s="5"/>
    </row>
    <row r="243" ht="14.25" customHeight="1">
      <c r="L243" s="5"/>
    </row>
    <row r="244" ht="14.25" customHeight="1">
      <c r="L244" s="5"/>
    </row>
    <row r="245" ht="14.25" customHeight="1">
      <c r="L245" s="5"/>
    </row>
    <row r="246" ht="14.25" customHeight="1">
      <c r="L246" s="5"/>
    </row>
    <row r="247" ht="14.25" customHeight="1">
      <c r="L247" s="5"/>
    </row>
    <row r="248" ht="14.25" customHeight="1">
      <c r="L248" s="5"/>
    </row>
    <row r="249" ht="14.25" customHeight="1">
      <c r="L249" s="5"/>
    </row>
    <row r="250" ht="14.25" customHeight="1">
      <c r="L250" s="5"/>
    </row>
    <row r="251" ht="14.25" customHeight="1">
      <c r="L251" s="5"/>
    </row>
    <row r="252" ht="14.25" customHeight="1">
      <c r="L252" s="5"/>
    </row>
    <row r="253" ht="14.25" customHeight="1">
      <c r="L253" s="5"/>
    </row>
    <row r="254" ht="14.25" customHeight="1">
      <c r="L254" s="5"/>
    </row>
    <row r="255" ht="14.25" customHeight="1">
      <c r="L255" s="5"/>
    </row>
    <row r="256" ht="14.25" customHeight="1">
      <c r="L256" s="5"/>
    </row>
    <row r="257" ht="14.25" customHeight="1">
      <c r="L257" s="5"/>
    </row>
    <row r="258" ht="14.25" customHeight="1">
      <c r="L258" s="5"/>
    </row>
    <row r="259" ht="14.25" customHeight="1">
      <c r="L259" s="5"/>
    </row>
    <row r="260" ht="14.25" customHeight="1">
      <c r="L260" s="5"/>
    </row>
    <row r="261" ht="14.25" customHeight="1">
      <c r="L261" s="5"/>
    </row>
    <row r="262" ht="14.25" customHeight="1">
      <c r="L262" s="5"/>
    </row>
    <row r="263" ht="14.25" customHeight="1">
      <c r="L263" s="5"/>
    </row>
    <row r="264" ht="14.25" customHeight="1">
      <c r="L264" s="5"/>
    </row>
    <row r="265" ht="14.25" customHeight="1">
      <c r="L265" s="5"/>
    </row>
    <row r="266" ht="14.25" customHeight="1">
      <c r="L266" s="5"/>
    </row>
    <row r="267" ht="14.25" customHeight="1">
      <c r="L267" s="5"/>
    </row>
    <row r="268" ht="14.25" customHeight="1">
      <c r="L268" s="5"/>
    </row>
    <row r="269" ht="14.25" customHeight="1">
      <c r="L269" s="5"/>
    </row>
    <row r="270" ht="14.25" customHeight="1">
      <c r="L270" s="5"/>
    </row>
    <row r="271" ht="14.25" customHeight="1">
      <c r="L271" s="5"/>
    </row>
    <row r="272" ht="14.25" customHeight="1">
      <c r="L272" s="5"/>
    </row>
    <row r="273" ht="14.25" customHeight="1">
      <c r="L273" s="5"/>
    </row>
    <row r="274" ht="14.25" customHeight="1">
      <c r="L274" s="5"/>
    </row>
    <row r="275" ht="14.25" customHeight="1">
      <c r="L275" s="5"/>
    </row>
    <row r="276" ht="14.25" customHeight="1">
      <c r="L276" s="5"/>
    </row>
    <row r="277" ht="14.25" customHeight="1">
      <c r="L277" s="5"/>
    </row>
    <row r="278" ht="14.25" customHeight="1">
      <c r="L278" s="5"/>
    </row>
    <row r="279" ht="14.25" customHeight="1">
      <c r="L279" s="5"/>
    </row>
    <row r="280" ht="14.25" customHeight="1">
      <c r="L280" s="5"/>
    </row>
    <row r="281" ht="14.25" customHeight="1">
      <c r="L281" s="5"/>
    </row>
    <row r="282" ht="14.25" customHeight="1">
      <c r="L282" s="5"/>
    </row>
    <row r="283" ht="14.25" customHeight="1">
      <c r="L283" s="5"/>
    </row>
    <row r="284" ht="14.25" customHeight="1">
      <c r="L284" s="5"/>
    </row>
    <row r="285" ht="14.25" customHeight="1">
      <c r="L285" s="5"/>
    </row>
    <row r="286" ht="14.25" customHeight="1">
      <c r="L286" s="5"/>
    </row>
    <row r="287" ht="14.25" customHeight="1">
      <c r="L287" s="5"/>
    </row>
    <row r="288" ht="14.25" customHeight="1">
      <c r="L288" s="5"/>
    </row>
    <row r="289" ht="14.25" customHeight="1">
      <c r="L289" s="5"/>
    </row>
    <row r="290" ht="14.25" customHeight="1">
      <c r="L290" s="5"/>
    </row>
    <row r="291" ht="14.25" customHeight="1">
      <c r="L291" s="5"/>
    </row>
    <row r="292" ht="14.25" customHeight="1">
      <c r="L292" s="5"/>
    </row>
    <row r="293" ht="14.25" customHeight="1">
      <c r="L293" s="5"/>
    </row>
    <row r="294" ht="14.25" customHeight="1">
      <c r="L294" s="5"/>
    </row>
    <row r="295" ht="14.25" customHeight="1">
      <c r="L295" s="5"/>
    </row>
    <row r="296" ht="14.25" customHeight="1">
      <c r="L296" s="5"/>
    </row>
    <row r="297" ht="14.25" customHeight="1">
      <c r="L297" s="5"/>
    </row>
    <row r="298" ht="14.25" customHeight="1">
      <c r="L298" s="5"/>
    </row>
    <row r="299" ht="14.25" customHeight="1">
      <c r="L299" s="5"/>
    </row>
    <row r="300" ht="14.25" customHeight="1">
      <c r="L300" s="5"/>
    </row>
    <row r="301" ht="14.25" customHeight="1">
      <c r="L301" s="5"/>
    </row>
    <row r="302" ht="14.25" customHeight="1">
      <c r="L302" s="5"/>
    </row>
    <row r="303" ht="14.25" customHeight="1">
      <c r="L303" s="5"/>
    </row>
    <row r="304" ht="14.25" customHeight="1">
      <c r="L304" s="5"/>
    </row>
    <row r="305" ht="14.25" customHeight="1">
      <c r="L305" s="5"/>
    </row>
    <row r="306" ht="14.25" customHeight="1">
      <c r="L306" s="5"/>
    </row>
    <row r="307" ht="14.25" customHeight="1">
      <c r="L307" s="5"/>
    </row>
    <row r="308" ht="14.25" customHeight="1">
      <c r="L308" s="5"/>
    </row>
    <row r="309" ht="14.25" customHeight="1">
      <c r="L309" s="5"/>
    </row>
    <row r="310" ht="14.25" customHeight="1">
      <c r="L310" s="5"/>
    </row>
    <row r="311" ht="14.25" customHeight="1">
      <c r="L311" s="5"/>
    </row>
    <row r="312" ht="14.25" customHeight="1">
      <c r="L312" s="5"/>
    </row>
    <row r="313" ht="14.25" customHeight="1">
      <c r="L313" s="5"/>
    </row>
    <row r="314" ht="14.25" customHeight="1">
      <c r="L314" s="5"/>
    </row>
    <row r="315" ht="14.25" customHeight="1">
      <c r="L315" s="5"/>
    </row>
    <row r="316" ht="14.25" customHeight="1">
      <c r="L316" s="5"/>
    </row>
    <row r="317" ht="14.25" customHeight="1">
      <c r="L317" s="5"/>
    </row>
    <row r="318" ht="14.25" customHeight="1">
      <c r="L318" s="5"/>
    </row>
    <row r="319" ht="14.25" customHeight="1">
      <c r="L319" s="5"/>
    </row>
    <row r="320" ht="14.25" customHeight="1">
      <c r="L320" s="5"/>
    </row>
    <row r="321" ht="14.25" customHeight="1">
      <c r="L321" s="5"/>
    </row>
    <row r="322" ht="14.25" customHeight="1">
      <c r="L322" s="5"/>
    </row>
    <row r="323" ht="14.25" customHeight="1">
      <c r="L323" s="5"/>
    </row>
    <row r="324" ht="14.25" customHeight="1">
      <c r="L324" s="5"/>
    </row>
    <row r="325" ht="14.25" customHeight="1">
      <c r="L325" s="5"/>
    </row>
    <row r="326" ht="14.25" customHeight="1">
      <c r="L326" s="5"/>
    </row>
    <row r="327" ht="14.25" customHeight="1">
      <c r="L327" s="5"/>
    </row>
    <row r="328" ht="14.25" customHeight="1">
      <c r="L328" s="5"/>
    </row>
    <row r="329" ht="14.25" customHeight="1">
      <c r="L329" s="5"/>
    </row>
    <row r="330" ht="14.25" customHeight="1">
      <c r="L330" s="5"/>
    </row>
    <row r="331" ht="14.25" customHeight="1">
      <c r="L331" s="5"/>
    </row>
    <row r="332" ht="14.25" customHeight="1">
      <c r="L332" s="5"/>
    </row>
    <row r="333" ht="14.25" customHeight="1">
      <c r="L333" s="5"/>
    </row>
    <row r="334" ht="14.25" customHeight="1">
      <c r="L334" s="5"/>
    </row>
    <row r="335" ht="14.25" customHeight="1">
      <c r="L335" s="5"/>
    </row>
    <row r="336" ht="14.25" customHeight="1">
      <c r="L336" s="5"/>
    </row>
    <row r="337" ht="14.25" customHeight="1">
      <c r="L337" s="5"/>
    </row>
    <row r="338" ht="14.25" customHeight="1">
      <c r="L338" s="5"/>
    </row>
    <row r="339" ht="14.25" customHeight="1">
      <c r="L339" s="5"/>
    </row>
    <row r="340" ht="14.25" customHeight="1">
      <c r="L340" s="5"/>
    </row>
    <row r="341" ht="14.25" customHeight="1">
      <c r="L341" s="5"/>
    </row>
    <row r="342" ht="14.25" customHeight="1">
      <c r="L342" s="5"/>
    </row>
    <row r="343" ht="14.25" customHeight="1">
      <c r="L343" s="5"/>
    </row>
    <row r="344" ht="14.25" customHeight="1">
      <c r="L344" s="5"/>
    </row>
    <row r="345" ht="14.25" customHeight="1">
      <c r="L345" s="5"/>
    </row>
    <row r="346" ht="14.25" customHeight="1">
      <c r="L346" s="5"/>
    </row>
    <row r="347" ht="14.25" customHeight="1">
      <c r="L347" s="5"/>
    </row>
    <row r="348" ht="14.25" customHeight="1">
      <c r="L348" s="5"/>
    </row>
    <row r="349" ht="14.25" customHeight="1">
      <c r="L349" s="5"/>
    </row>
    <row r="350" ht="14.25" customHeight="1">
      <c r="L350" s="5"/>
    </row>
    <row r="351" ht="14.25" customHeight="1">
      <c r="L351" s="5"/>
    </row>
    <row r="352" ht="14.25" customHeight="1">
      <c r="L352" s="5"/>
    </row>
    <row r="353" ht="14.25" customHeight="1">
      <c r="L353" s="5"/>
    </row>
    <row r="354" ht="14.25" customHeight="1">
      <c r="L354" s="5"/>
    </row>
    <row r="355" ht="14.25" customHeight="1">
      <c r="L355" s="5"/>
    </row>
    <row r="356" ht="14.25" customHeight="1">
      <c r="L356" s="5"/>
    </row>
    <row r="357" ht="14.25" customHeight="1">
      <c r="L357" s="5"/>
    </row>
    <row r="358" ht="14.25" customHeight="1">
      <c r="L358" s="5"/>
    </row>
    <row r="359" ht="14.25" customHeight="1">
      <c r="L359" s="5"/>
    </row>
    <row r="360" ht="14.25" customHeight="1">
      <c r="L360" s="5"/>
    </row>
    <row r="361" ht="14.25" customHeight="1">
      <c r="L361" s="5"/>
    </row>
    <row r="362" ht="14.25" customHeight="1">
      <c r="L362" s="5"/>
    </row>
    <row r="363" ht="14.25" customHeight="1">
      <c r="L363" s="5"/>
    </row>
    <row r="364" ht="14.25" customHeight="1">
      <c r="L364" s="5"/>
    </row>
    <row r="365" ht="14.25" customHeight="1">
      <c r="L365" s="5"/>
    </row>
    <row r="366" ht="14.25" customHeight="1">
      <c r="L366" s="5"/>
    </row>
    <row r="367" ht="14.25" customHeight="1">
      <c r="L367" s="5"/>
    </row>
    <row r="368" ht="14.25" customHeight="1">
      <c r="L368" s="5"/>
    </row>
    <row r="369" ht="14.25" customHeight="1">
      <c r="L369" s="5"/>
    </row>
    <row r="370" ht="14.25" customHeight="1">
      <c r="L370" s="5"/>
    </row>
    <row r="371" ht="14.25" customHeight="1">
      <c r="L371" s="5"/>
    </row>
    <row r="372" ht="14.25" customHeight="1">
      <c r="L372" s="5"/>
    </row>
    <row r="373" ht="14.25" customHeight="1">
      <c r="L373" s="5"/>
    </row>
    <row r="374" ht="14.25" customHeight="1">
      <c r="L374" s="5"/>
    </row>
    <row r="375" ht="14.25" customHeight="1">
      <c r="L375" s="5"/>
    </row>
    <row r="376" ht="14.25" customHeight="1">
      <c r="L376" s="5"/>
    </row>
    <row r="377" ht="14.25" customHeight="1">
      <c r="L377" s="5"/>
    </row>
    <row r="378" ht="14.25" customHeight="1">
      <c r="L378" s="5"/>
    </row>
    <row r="379" ht="14.25" customHeight="1">
      <c r="L379" s="5"/>
    </row>
    <row r="380" ht="14.25" customHeight="1">
      <c r="L380" s="5"/>
    </row>
    <row r="381" ht="14.25" customHeight="1">
      <c r="L381" s="5"/>
    </row>
    <row r="382" ht="14.25" customHeight="1">
      <c r="L382" s="5"/>
    </row>
    <row r="383" ht="14.25" customHeight="1">
      <c r="L383" s="5"/>
    </row>
    <row r="384" ht="14.25" customHeight="1">
      <c r="L384" s="5"/>
    </row>
    <row r="385" ht="14.25" customHeight="1">
      <c r="L385" s="5"/>
    </row>
    <row r="386" ht="14.25" customHeight="1">
      <c r="L386" s="5"/>
    </row>
    <row r="387" ht="14.25" customHeight="1">
      <c r="L387" s="5"/>
    </row>
    <row r="388" ht="14.25" customHeight="1">
      <c r="L388" s="5"/>
    </row>
    <row r="389" ht="14.25" customHeight="1">
      <c r="L389" s="5"/>
    </row>
    <row r="390" ht="14.25" customHeight="1">
      <c r="L390" s="5"/>
    </row>
    <row r="391" ht="14.25" customHeight="1">
      <c r="L391" s="5"/>
    </row>
    <row r="392" ht="14.25" customHeight="1">
      <c r="L392" s="5"/>
    </row>
    <row r="393" ht="14.25" customHeight="1">
      <c r="L393" s="5"/>
    </row>
    <row r="394" ht="14.25" customHeight="1">
      <c r="L394" s="5"/>
    </row>
    <row r="395" ht="14.25" customHeight="1">
      <c r="L395" s="5"/>
    </row>
    <row r="396" ht="14.25" customHeight="1">
      <c r="L396" s="5"/>
    </row>
    <row r="397" ht="14.25" customHeight="1">
      <c r="L397" s="5"/>
    </row>
    <row r="398" ht="14.25" customHeight="1">
      <c r="L398" s="5"/>
    </row>
    <row r="399" ht="14.25" customHeight="1">
      <c r="L399" s="5"/>
    </row>
    <row r="400" ht="14.25" customHeight="1">
      <c r="L400" s="5"/>
    </row>
    <row r="401" ht="14.25" customHeight="1">
      <c r="L401" s="5"/>
    </row>
    <row r="402" ht="14.25" customHeight="1">
      <c r="L402" s="5"/>
    </row>
    <row r="403" ht="14.25" customHeight="1">
      <c r="L403" s="5"/>
    </row>
    <row r="404" ht="14.25" customHeight="1">
      <c r="L404" s="5"/>
    </row>
    <row r="405" ht="14.25" customHeight="1">
      <c r="L405" s="5"/>
    </row>
    <row r="406" ht="14.25" customHeight="1">
      <c r="L406" s="5"/>
    </row>
    <row r="407" ht="14.25" customHeight="1">
      <c r="L407" s="5"/>
    </row>
    <row r="408" ht="14.25" customHeight="1">
      <c r="L408" s="5"/>
    </row>
    <row r="409" ht="14.25" customHeight="1">
      <c r="L409" s="5"/>
    </row>
    <row r="410" ht="14.25" customHeight="1">
      <c r="L410" s="5"/>
    </row>
    <row r="411" ht="14.25" customHeight="1">
      <c r="L411" s="5"/>
    </row>
    <row r="412" ht="14.25" customHeight="1">
      <c r="L412" s="5"/>
    </row>
    <row r="413" ht="14.25" customHeight="1">
      <c r="L413" s="5"/>
    </row>
    <row r="414" ht="14.25" customHeight="1">
      <c r="L414" s="5"/>
    </row>
    <row r="415" ht="14.25" customHeight="1">
      <c r="L415" s="5"/>
    </row>
    <row r="416" ht="14.25" customHeight="1">
      <c r="L416" s="5"/>
    </row>
    <row r="417" ht="14.25" customHeight="1">
      <c r="L417" s="5"/>
    </row>
    <row r="418" ht="14.25" customHeight="1">
      <c r="L418" s="5"/>
    </row>
    <row r="419" ht="14.25" customHeight="1">
      <c r="L419" s="5"/>
    </row>
    <row r="420" ht="14.25" customHeight="1">
      <c r="L420" s="5"/>
    </row>
    <row r="421" ht="14.25" customHeight="1">
      <c r="L421" s="5"/>
    </row>
    <row r="422" ht="14.25" customHeight="1">
      <c r="L422" s="5"/>
    </row>
    <row r="423" ht="14.25" customHeight="1">
      <c r="L423" s="5"/>
    </row>
    <row r="424" ht="14.25" customHeight="1">
      <c r="L424" s="5"/>
    </row>
    <row r="425" ht="14.25" customHeight="1">
      <c r="L425" s="5"/>
    </row>
    <row r="426" ht="14.25" customHeight="1">
      <c r="L426" s="5"/>
    </row>
    <row r="427" ht="14.25" customHeight="1">
      <c r="L427" s="5"/>
    </row>
    <row r="428" ht="14.25" customHeight="1">
      <c r="L428" s="5"/>
    </row>
    <row r="429" ht="14.25" customHeight="1">
      <c r="L429" s="5"/>
    </row>
    <row r="430" ht="14.25" customHeight="1">
      <c r="L430" s="5"/>
    </row>
    <row r="431" ht="14.25" customHeight="1">
      <c r="L431" s="5"/>
    </row>
    <row r="432" ht="14.25" customHeight="1">
      <c r="L432" s="5"/>
    </row>
    <row r="433" ht="14.25" customHeight="1">
      <c r="L433" s="5"/>
    </row>
    <row r="434" ht="14.25" customHeight="1">
      <c r="L434" s="5"/>
    </row>
    <row r="435" ht="14.25" customHeight="1">
      <c r="L435" s="5"/>
    </row>
    <row r="436" ht="14.25" customHeight="1">
      <c r="L436" s="5"/>
    </row>
    <row r="437" ht="14.25" customHeight="1">
      <c r="L437" s="5"/>
    </row>
    <row r="438" ht="14.25" customHeight="1">
      <c r="L438" s="5"/>
    </row>
    <row r="439" ht="14.25" customHeight="1">
      <c r="L439" s="5"/>
    </row>
    <row r="440" ht="14.25" customHeight="1">
      <c r="L440" s="5"/>
    </row>
    <row r="441" ht="14.25" customHeight="1">
      <c r="L441" s="5"/>
    </row>
    <row r="442" ht="14.25" customHeight="1">
      <c r="L442" s="5"/>
    </row>
    <row r="443" ht="14.25" customHeight="1">
      <c r="L443" s="5"/>
    </row>
    <row r="444" ht="14.25" customHeight="1">
      <c r="L444" s="5"/>
    </row>
    <row r="445" ht="14.25" customHeight="1">
      <c r="L445" s="5"/>
    </row>
    <row r="446" ht="14.25" customHeight="1">
      <c r="L446" s="5"/>
    </row>
    <row r="447" ht="14.25" customHeight="1">
      <c r="L447" s="5"/>
    </row>
    <row r="448" ht="14.25" customHeight="1">
      <c r="L448" s="5"/>
    </row>
    <row r="449" ht="14.25" customHeight="1">
      <c r="L449" s="5"/>
    </row>
    <row r="450" ht="14.25" customHeight="1">
      <c r="L450" s="5"/>
    </row>
    <row r="451" ht="14.25" customHeight="1">
      <c r="L451" s="5"/>
    </row>
    <row r="452" ht="14.25" customHeight="1">
      <c r="L452" s="5"/>
    </row>
    <row r="453" ht="14.25" customHeight="1">
      <c r="L453" s="5"/>
    </row>
    <row r="454" ht="14.25" customHeight="1">
      <c r="L454" s="5"/>
    </row>
    <row r="455" ht="14.25" customHeight="1">
      <c r="L455" s="5"/>
    </row>
    <row r="456" ht="14.25" customHeight="1">
      <c r="L456" s="5"/>
    </row>
    <row r="457" ht="14.25" customHeight="1">
      <c r="L457" s="5"/>
    </row>
    <row r="458" ht="14.25" customHeight="1">
      <c r="L458" s="5"/>
    </row>
    <row r="459" ht="14.25" customHeight="1">
      <c r="L459" s="5"/>
    </row>
    <row r="460" ht="14.25" customHeight="1">
      <c r="L460" s="5"/>
    </row>
    <row r="461" ht="14.25" customHeight="1">
      <c r="L461" s="5"/>
    </row>
    <row r="462" ht="14.25" customHeight="1">
      <c r="L462" s="5"/>
    </row>
    <row r="463" ht="14.25" customHeight="1">
      <c r="L463" s="5"/>
    </row>
    <row r="464" ht="14.25" customHeight="1">
      <c r="L464" s="5"/>
    </row>
    <row r="465" ht="14.25" customHeight="1">
      <c r="L465" s="5"/>
    </row>
    <row r="466" ht="14.25" customHeight="1">
      <c r="L466" s="5"/>
    </row>
    <row r="467" ht="14.25" customHeight="1">
      <c r="L467" s="5"/>
    </row>
    <row r="468" ht="14.25" customHeight="1">
      <c r="L468" s="5"/>
    </row>
    <row r="469" ht="14.25" customHeight="1">
      <c r="L469" s="5"/>
    </row>
    <row r="470" ht="14.25" customHeight="1">
      <c r="L470" s="5"/>
    </row>
    <row r="471" ht="14.25" customHeight="1">
      <c r="L471" s="5"/>
    </row>
    <row r="472" ht="14.25" customHeight="1">
      <c r="L472" s="5"/>
    </row>
    <row r="473" ht="14.25" customHeight="1">
      <c r="L473" s="5"/>
    </row>
    <row r="474" ht="14.25" customHeight="1">
      <c r="L474" s="5"/>
    </row>
    <row r="475" ht="14.25" customHeight="1">
      <c r="L475" s="5"/>
    </row>
    <row r="476" ht="14.25" customHeight="1">
      <c r="L476" s="5"/>
    </row>
    <row r="477" ht="14.25" customHeight="1">
      <c r="L477" s="5"/>
    </row>
    <row r="478" ht="14.25" customHeight="1">
      <c r="L478" s="5"/>
    </row>
    <row r="479" ht="14.25" customHeight="1">
      <c r="L479" s="5"/>
    </row>
    <row r="480" ht="14.25" customHeight="1">
      <c r="L480" s="5"/>
    </row>
    <row r="481" ht="14.25" customHeight="1">
      <c r="L481" s="5"/>
    </row>
    <row r="482" ht="14.25" customHeight="1">
      <c r="L482" s="5"/>
    </row>
    <row r="483" ht="14.25" customHeight="1">
      <c r="L483" s="5"/>
    </row>
    <row r="484" ht="14.25" customHeight="1">
      <c r="L484" s="5"/>
    </row>
    <row r="485" ht="14.25" customHeight="1">
      <c r="L485" s="5"/>
    </row>
    <row r="486" ht="14.25" customHeight="1">
      <c r="L486" s="5"/>
    </row>
    <row r="487" ht="14.25" customHeight="1">
      <c r="L487" s="5"/>
    </row>
    <row r="488" ht="14.25" customHeight="1">
      <c r="L488" s="5"/>
    </row>
    <row r="489" ht="14.25" customHeight="1">
      <c r="L489" s="5"/>
    </row>
    <row r="490" ht="14.25" customHeight="1">
      <c r="L490" s="5"/>
    </row>
    <row r="491" ht="14.25" customHeight="1">
      <c r="L491" s="5"/>
    </row>
    <row r="492" ht="14.25" customHeight="1">
      <c r="L492" s="5"/>
    </row>
    <row r="493" ht="14.25" customHeight="1">
      <c r="L493" s="5"/>
    </row>
    <row r="494" ht="14.25" customHeight="1">
      <c r="L494" s="5"/>
    </row>
    <row r="495" ht="14.25" customHeight="1">
      <c r="L495" s="5"/>
    </row>
    <row r="496" ht="14.25" customHeight="1">
      <c r="L496" s="5"/>
    </row>
    <row r="497" ht="14.25" customHeight="1">
      <c r="L497" s="5"/>
    </row>
    <row r="498" ht="14.25" customHeight="1">
      <c r="L498" s="5"/>
    </row>
    <row r="499" ht="14.25" customHeight="1">
      <c r="L499" s="5"/>
    </row>
    <row r="500" ht="14.25" customHeight="1">
      <c r="L500" s="5"/>
    </row>
    <row r="501" ht="14.25" customHeight="1">
      <c r="L501" s="5"/>
    </row>
    <row r="502" ht="14.25" customHeight="1">
      <c r="L502" s="5"/>
    </row>
    <row r="503" ht="14.25" customHeight="1">
      <c r="L503" s="5"/>
    </row>
    <row r="504" ht="14.25" customHeight="1">
      <c r="L504" s="5"/>
    </row>
    <row r="505" ht="14.25" customHeight="1">
      <c r="L505" s="5"/>
    </row>
    <row r="506" ht="14.25" customHeight="1">
      <c r="L506" s="5"/>
    </row>
    <row r="507" ht="14.25" customHeight="1">
      <c r="L507" s="5"/>
    </row>
    <row r="508" ht="14.25" customHeight="1">
      <c r="L508" s="5"/>
    </row>
    <row r="509" ht="14.25" customHeight="1">
      <c r="L509" s="5"/>
    </row>
    <row r="510" ht="14.25" customHeight="1">
      <c r="L510" s="5"/>
    </row>
    <row r="511" ht="14.25" customHeight="1">
      <c r="L511" s="5"/>
    </row>
    <row r="512" ht="14.25" customHeight="1">
      <c r="L512" s="5"/>
    </row>
    <row r="513" ht="14.25" customHeight="1">
      <c r="L513" s="5"/>
    </row>
    <row r="514" ht="14.25" customHeight="1">
      <c r="L514" s="5"/>
    </row>
    <row r="515" ht="14.25" customHeight="1">
      <c r="L515" s="5"/>
    </row>
    <row r="516" ht="14.25" customHeight="1">
      <c r="L516" s="5"/>
    </row>
    <row r="517" ht="14.25" customHeight="1">
      <c r="L517" s="5"/>
    </row>
    <row r="518" ht="14.25" customHeight="1">
      <c r="L518" s="5"/>
    </row>
    <row r="519" ht="14.25" customHeight="1">
      <c r="L519" s="5"/>
    </row>
    <row r="520" ht="14.25" customHeight="1">
      <c r="L520" s="5"/>
    </row>
    <row r="521" ht="14.25" customHeight="1">
      <c r="L521" s="5"/>
    </row>
    <row r="522" ht="14.25" customHeight="1">
      <c r="L522" s="5"/>
    </row>
    <row r="523" ht="14.25" customHeight="1">
      <c r="L523" s="5"/>
    </row>
    <row r="524" ht="14.25" customHeight="1">
      <c r="L524" s="5"/>
    </row>
    <row r="525" ht="14.25" customHeight="1">
      <c r="L525" s="5"/>
    </row>
    <row r="526" ht="14.25" customHeight="1">
      <c r="L526" s="5"/>
    </row>
    <row r="527" ht="14.25" customHeight="1">
      <c r="L527" s="5"/>
    </row>
    <row r="528" ht="14.25" customHeight="1">
      <c r="L528" s="5"/>
    </row>
    <row r="529" ht="14.25" customHeight="1">
      <c r="L529" s="5"/>
    </row>
    <row r="530" ht="14.25" customHeight="1">
      <c r="L530" s="5"/>
    </row>
    <row r="531" ht="14.25" customHeight="1">
      <c r="L531" s="5"/>
    </row>
    <row r="532" ht="14.25" customHeight="1">
      <c r="L532" s="5"/>
    </row>
    <row r="533" ht="14.25" customHeight="1">
      <c r="L533" s="5"/>
    </row>
    <row r="534" ht="14.25" customHeight="1">
      <c r="L534" s="5"/>
    </row>
    <row r="535" ht="14.25" customHeight="1">
      <c r="L535" s="5"/>
    </row>
    <row r="536" ht="14.25" customHeight="1">
      <c r="L536" s="5"/>
    </row>
    <row r="537" ht="14.25" customHeight="1">
      <c r="L537" s="5"/>
    </row>
    <row r="538" ht="14.25" customHeight="1">
      <c r="L538" s="5"/>
    </row>
    <row r="539" ht="14.25" customHeight="1">
      <c r="L539" s="5"/>
    </row>
    <row r="540" ht="14.25" customHeight="1">
      <c r="L540" s="5"/>
    </row>
    <row r="541" ht="14.25" customHeight="1">
      <c r="L541" s="5"/>
    </row>
    <row r="542" ht="14.25" customHeight="1">
      <c r="L542" s="5"/>
    </row>
    <row r="543" ht="14.25" customHeight="1">
      <c r="L543" s="5"/>
    </row>
    <row r="544" ht="14.25" customHeight="1">
      <c r="L544" s="5"/>
    </row>
    <row r="545" ht="14.25" customHeight="1">
      <c r="L545" s="5"/>
    </row>
    <row r="546" ht="14.25" customHeight="1">
      <c r="L546" s="5"/>
    </row>
    <row r="547" ht="14.25" customHeight="1">
      <c r="L547" s="5"/>
    </row>
    <row r="548" ht="14.25" customHeight="1">
      <c r="L548" s="5"/>
    </row>
    <row r="549" ht="14.25" customHeight="1">
      <c r="L549" s="5"/>
    </row>
    <row r="550" ht="14.25" customHeight="1">
      <c r="L550" s="5"/>
    </row>
    <row r="551" ht="14.25" customHeight="1">
      <c r="L551" s="5"/>
    </row>
    <row r="552" ht="14.25" customHeight="1">
      <c r="L552" s="5"/>
    </row>
    <row r="553" ht="14.25" customHeight="1">
      <c r="L553" s="5"/>
    </row>
    <row r="554" ht="14.25" customHeight="1">
      <c r="L554" s="5"/>
    </row>
    <row r="555" ht="14.25" customHeight="1">
      <c r="L555" s="5"/>
    </row>
    <row r="556" ht="14.25" customHeight="1">
      <c r="L556" s="5"/>
    </row>
    <row r="557" ht="14.25" customHeight="1">
      <c r="L557" s="5"/>
    </row>
    <row r="558" ht="14.25" customHeight="1">
      <c r="L558" s="5"/>
    </row>
    <row r="559" ht="14.25" customHeight="1">
      <c r="L559" s="5"/>
    </row>
    <row r="560" ht="14.25" customHeight="1">
      <c r="L560" s="5"/>
    </row>
    <row r="561" ht="14.25" customHeight="1">
      <c r="L561" s="5"/>
    </row>
    <row r="562" ht="14.25" customHeight="1">
      <c r="L562" s="5"/>
    </row>
    <row r="563" ht="14.25" customHeight="1">
      <c r="L563" s="5"/>
    </row>
    <row r="564" ht="14.25" customHeight="1">
      <c r="L564" s="5"/>
    </row>
    <row r="565" ht="14.25" customHeight="1">
      <c r="L565" s="5"/>
    </row>
    <row r="566" ht="14.25" customHeight="1">
      <c r="L566" s="5"/>
    </row>
    <row r="567" ht="14.25" customHeight="1">
      <c r="L567" s="5"/>
    </row>
    <row r="568" ht="14.25" customHeight="1">
      <c r="L568" s="5"/>
    </row>
    <row r="569" ht="14.25" customHeight="1">
      <c r="L569" s="5"/>
    </row>
    <row r="570" ht="14.25" customHeight="1">
      <c r="L570" s="5"/>
    </row>
    <row r="571" ht="14.25" customHeight="1">
      <c r="L571" s="5"/>
    </row>
    <row r="572" ht="14.25" customHeight="1">
      <c r="L572" s="5"/>
    </row>
    <row r="573" ht="14.25" customHeight="1">
      <c r="L573" s="5"/>
    </row>
    <row r="574" ht="14.25" customHeight="1">
      <c r="L574" s="5"/>
    </row>
    <row r="575" ht="14.25" customHeight="1">
      <c r="L575" s="5"/>
    </row>
    <row r="576" ht="14.25" customHeight="1">
      <c r="L576" s="5"/>
    </row>
    <row r="577" ht="14.25" customHeight="1">
      <c r="L577" s="5"/>
    </row>
    <row r="578" ht="14.25" customHeight="1">
      <c r="L578" s="5"/>
    </row>
    <row r="579" ht="14.25" customHeight="1">
      <c r="L579" s="5"/>
    </row>
    <row r="580" ht="14.25" customHeight="1">
      <c r="L580" s="5"/>
    </row>
    <row r="581" ht="14.25" customHeight="1">
      <c r="L581" s="5"/>
    </row>
    <row r="582" ht="14.25" customHeight="1">
      <c r="L582" s="5"/>
    </row>
    <row r="583" ht="14.25" customHeight="1">
      <c r="L583" s="5"/>
    </row>
    <row r="584" ht="14.25" customHeight="1">
      <c r="L584" s="5"/>
    </row>
    <row r="585" ht="14.25" customHeight="1">
      <c r="L585" s="5"/>
    </row>
    <row r="586" ht="14.25" customHeight="1">
      <c r="L586" s="5"/>
    </row>
    <row r="587" ht="14.25" customHeight="1">
      <c r="L587" s="5"/>
    </row>
    <row r="588" ht="14.25" customHeight="1">
      <c r="L588" s="5"/>
    </row>
    <row r="589" ht="14.25" customHeight="1">
      <c r="L589" s="5"/>
    </row>
    <row r="590" ht="14.25" customHeight="1">
      <c r="L590" s="5"/>
    </row>
    <row r="591" ht="14.25" customHeight="1">
      <c r="L591" s="5"/>
    </row>
    <row r="592" ht="14.25" customHeight="1">
      <c r="L592" s="5"/>
    </row>
    <row r="593" ht="14.25" customHeight="1">
      <c r="L593" s="5"/>
    </row>
    <row r="594" ht="14.25" customHeight="1">
      <c r="L594" s="5"/>
    </row>
    <row r="595" ht="14.25" customHeight="1">
      <c r="L595" s="5"/>
    </row>
    <row r="596" ht="14.25" customHeight="1">
      <c r="L596" s="5"/>
    </row>
    <row r="597" ht="14.25" customHeight="1">
      <c r="L597" s="5"/>
    </row>
    <row r="598" ht="14.25" customHeight="1">
      <c r="L598" s="5"/>
    </row>
    <row r="599" ht="14.25" customHeight="1">
      <c r="L599" s="5"/>
    </row>
    <row r="600" ht="14.25" customHeight="1">
      <c r="L600" s="5"/>
    </row>
    <row r="601" ht="14.25" customHeight="1">
      <c r="L601" s="5"/>
    </row>
    <row r="602" ht="14.25" customHeight="1">
      <c r="L602" s="5"/>
    </row>
    <row r="603" ht="14.25" customHeight="1">
      <c r="L603" s="5"/>
    </row>
    <row r="604" ht="14.25" customHeight="1">
      <c r="L604" s="5"/>
    </row>
    <row r="605" ht="14.25" customHeight="1">
      <c r="L605" s="5"/>
    </row>
    <row r="606" ht="14.25" customHeight="1">
      <c r="L606" s="5"/>
    </row>
    <row r="607" ht="14.25" customHeight="1">
      <c r="L607" s="5"/>
    </row>
    <row r="608" ht="14.25" customHeight="1">
      <c r="L608" s="5"/>
    </row>
    <row r="609" ht="14.25" customHeight="1">
      <c r="L609" s="5"/>
    </row>
    <row r="610" ht="14.25" customHeight="1">
      <c r="L610" s="5"/>
    </row>
    <row r="611" ht="14.25" customHeight="1">
      <c r="L611" s="5"/>
    </row>
    <row r="612" ht="14.25" customHeight="1">
      <c r="L612" s="5"/>
    </row>
    <row r="613" ht="14.25" customHeight="1">
      <c r="L613" s="5"/>
    </row>
    <row r="614" ht="14.25" customHeight="1">
      <c r="L614" s="5"/>
    </row>
    <row r="615" ht="14.25" customHeight="1">
      <c r="L615" s="5"/>
    </row>
    <row r="616" ht="14.25" customHeight="1">
      <c r="L616" s="5"/>
    </row>
    <row r="617" ht="14.25" customHeight="1">
      <c r="L617" s="5"/>
    </row>
    <row r="618" ht="14.25" customHeight="1">
      <c r="L618" s="5"/>
    </row>
    <row r="619" ht="14.25" customHeight="1">
      <c r="L619" s="5"/>
    </row>
    <row r="620" ht="14.25" customHeight="1">
      <c r="L620" s="5"/>
    </row>
    <row r="621" ht="14.25" customHeight="1">
      <c r="L621" s="5"/>
    </row>
    <row r="622" ht="14.25" customHeight="1">
      <c r="L622" s="5"/>
    </row>
    <row r="623" ht="14.25" customHeight="1">
      <c r="L623" s="5"/>
    </row>
    <row r="624" ht="14.25" customHeight="1">
      <c r="L624" s="5"/>
    </row>
    <row r="625" ht="14.25" customHeight="1">
      <c r="L625" s="5"/>
    </row>
    <row r="626" ht="14.25" customHeight="1">
      <c r="L626" s="5"/>
    </row>
    <row r="627" ht="14.25" customHeight="1">
      <c r="L627" s="5"/>
    </row>
    <row r="628" ht="14.25" customHeight="1">
      <c r="L628" s="5"/>
    </row>
    <row r="629" ht="14.25" customHeight="1">
      <c r="L629" s="5"/>
    </row>
    <row r="630" ht="14.25" customHeight="1">
      <c r="L630" s="5"/>
    </row>
    <row r="631" ht="14.25" customHeight="1">
      <c r="L631" s="5"/>
    </row>
    <row r="632" ht="14.25" customHeight="1">
      <c r="L632" s="5"/>
    </row>
    <row r="633" ht="14.25" customHeight="1">
      <c r="L633" s="5"/>
    </row>
    <row r="634" ht="14.25" customHeight="1">
      <c r="L634" s="5"/>
    </row>
    <row r="635" ht="14.25" customHeight="1">
      <c r="L635" s="5"/>
    </row>
    <row r="636" ht="14.25" customHeight="1">
      <c r="L636" s="5"/>
    </row>
    <row r="637" ht="14.25" customHeight="1">
      <c r="L637" s="5"/>
    </row>
    <row r="638" ht="14.25" customHeight="1">
      <c r="L638" s="5"/>
    </row>
    <row r="639" ht="14.25" customHeight="1">
      <c r="L639" s="5"/>
    </row>
    <row r="640" ht="14.25" customHeight="1">
      <c r="L640" s="5"/>
    </row>
    <row r="641" ht="14.25" customHeight="1">
      <c r="L641" s="5"/>
    </row>
    <row r="642" ht="14.25" customHeight="1">
      <c r="L642" s="5"/>
    </row>
    <row r="643" ht="14.25" customHeight="1">
      <c r="L643" s="5"/>
    </row>
    <row r="644" ht="14.25" customHeight="1">
      <c r="L644" s="5"/>
    </row>
    <row r="645" ht="14.25" customHeight="1">
      <c r="L645" s="5"/>
    </row>
    <row r="646" ht="14.25" customHeight="1">
      <c r="L646" s="5"/>
    </row>
    <row r="647" ht="14.25" customHeight="1">
      <c r="L647" s="5"/>
    </row>
    <row r="648" ht="14.25" customHeight="1">
      <c r="L648" s="5"/>
    </row>
    <row r="649" ht="14.25" customHeight="1">
      <c r="L649" s="5"/>
    </row>
    <row r="650" ht="14.25" customHeight="1">
      <c r="L650" s="5"/>
    </row>
    <row r="651" ht="14.25" customHeight="1">
      <c r="L651" s="5"/>
    </row>
    <row r="652" ht="14.25" customHeight="1">
      <c r="L652" s="5"/>
    </row>
    <row r="653" ht="14.25" customHeight="1">
      <c r="L653" s="5"/>
    </row>
    <row r="654" ht="14.25" customHeight="1">
      <c r="L654" s="5"/>
    </row>
    <row r="655" ht="14.25" customHeight="1">
      <c r="L655" s="5"/>
    </row>
    <row r="656" ht="14.25" customHeight="1">
      <c r="L656" s="5"/>
    </row>
    <row r="657" ht="14.25" customHeight="1">
      <c r="L657" s="5"/>
    </row>
    <row r="658" ht="14.25" customHeight="1">
      <c r="L658" s="5"/>
    </row>
    <row r="659" ht="14.25" customHeight="1">
      <c r="L659" s="5"/>
    </row>
    <row r="660" ht="14.25" customHeight="1">
      <c r="L660" s="5"/>
    </row>
    <row r="661" ht="14.25" customHeight="1">
      <c r="L661" s="5"/>
    </row>
    <row r="662" ht="14.25" customHeight="1">
      <c r="L662" s="5"/>
    </row>
    <row r="663" ht="14.25" customHeight="1">
      <c r="L663" s="5"/>
    </row>
    <row r="664" ht="14.25" customHeight="1">
      <c r="L664" s="5"/>
    </row>
    <row r="665" ht="14.25" customHeight="1">
      <c r="L665" s="5"/>
    </row>
    <row r="666" ht="14.25" customHeight="1">
      <c r="L666" s="5"/>
    </row>
    <row r="667" ht="14.25" customHeight="1">
      <c r="L667" s="5"/>
    </row>
    <row r="668" ht="14.25" customHeight="1">
      <c r="L668" s="5"/>
    </row>
    <row r="669" ht="14.25" customHeight="1">
      <c r="L669" s="5"/>
    </row>
    <row r="670" ht="14.25" customHeight="1">
      <c r="L670" s="5"/>
    </row>
    <row r="671" ht="14.25" customHeight="1">
      <c r="L671" s="5"/>
    </row>
    <row r="672" ht="14.25" customHeight="1">
      <c r="L672" s="5"/>
    </row>
    <row r="673" ht="14.25" customHeight="1">
      <c r="L673" s="5"/>
    </row>
    <row r="674" ht="14.25" customHeight="1">
      <c r="L674" s="5"/>
    </row>
    <row r="675" ht="14.25" customHeight="1">
      <c r="L675" s="5"/>
    </row>
    <row r="676" ht="14.25" customHeight="1">
      <c r="L676" s="5"/>
    </row>
    <row r="677" ht="14.25" customHeight="1">
      <c r="L677" s="5"/>
    </row>
    <row r="678" ht="14.25" customHeight="1">
      <c r="L678" s="5"/>
    </row>
    <row r="679" ht="14.25" customHeight="1">
      <c r="L679" s="5"/>
    </row>
    <row r="680" ht="14.25" customHeight="1">
      <c r="L680" s="5"/>
    </row>
    <row r="681" ht="14.25" customHeight="1">
      <c r="L681" s="5"/>
    </row>
    <row r="682" ht="14.25" customHeight="1">
      <c r="L682" s="5"/>
    </row>
    <row r="683" ht="14.25" customHeight="1">
      <c r="L683" s="5"/>
    </row>
    <row r="684" ht="14.25" customHeight="1">
      <c r="L684" s="5"/>
    </row>
    <row r="685" ht="14.25" customHeight="1">
      <c r="L685" s="5"/>
    </row>
    <row r="686" ht="14.25" customHeight="1">
      <c r="L686" s="5"/>
    </row>
    <row r="687" ht="14.25" customHeight="1">
      <c r="L687" s="5"/>
    </row>
    <row r="688" ht="14.25" customHeight="1">
      <c r="L688" s="5"/>
    </row>
    <row r="689" ht="14.25" customHeight="1">
      <c r="L689" s="5"/>
    </row>
    <row r="690" ht="14.25" customHeight="1">
      <c r="L690" s="5"/>
    </row>
    <row r="691" ht="14.25" customHeight="1">
      <c r="L691" s="5"/>
    </row>
    <row r="692" ht="14.25" customHeight="1">
      <c r="L692" s="5"/>
    </row>
    <row r="693" ht="14.25" customHeight="1">
      <c r="L693" s="5"/>
    </row>
    <row r="694" ht="14.25" customHeight="1">
      <c r="L694" s="5"/>
    </row>
    <row r="695" ht="14.25" customHeight="1">
      <c r="L695" s="5"/>
    </row>
    <row r="696" ht="14.25" customHeight="1">
      <c r="L696" s="5"/>
    </row>
    <row r="697" ht="14.25" customHeight="1">
      <c r="L697" s="5"/>
    </row>
    <row r="698" ht="14.25" customHeight="1">
      <c r="L698" s="5"/>
    </row>
    <row r="699" ht="14.25" customHeight="1">
      <c r="L699" s="5"/>
    </row>
    <row r="700" ht="14.25" customHeight="1">
      <c r="L700" s="5"/>
    </row>
    <row r="701" ht="14.25" customHeight="1">
      <c r="L701" s="5"/>
    </row>
    <row r="702" ht="14.25" customHeight="1">
      <c r="L702" s="5"/>
    </row>
    <row r="703" ht="14.25" customHeight="1">
      <c r="L703" s="5"/>
    </row>
    <row r="704" ht="14.25" customHeight="1">
      <c r="L704" s="5"/>
    </row>
    <row r="705" ht="14.25" customHeight="1">
      <c r="L705" s="5"/>
    </row>
    <row r="706" ht="14.25" customHeight="1">
      <c r="L706" s="5"/>
    </row>
    <row r="707" ht="14.25" customHeight="1">
      <c r="L707" s="5"/>
    </row>
    <row r="708" ht="14.25" customHeight="1">
      <c r="L708" s="5"/>
    </row>
    <row r="709" ht="14.25" customHeight="1">
      <c r="L709" s="5"/>
    </row>
    <row r="710" ht="14.25" customHeight="1">
      <c r="L710" s="5"/>
    </row>
    <row r="711" ht="14.25" customHeight="1">
      <c r="L711" s="5"/>
    </row>
    <row r="712" ht="14.25" customHeight="1">
      <c r="L712" s="5"/>
    </row>
    <row r="713" ht="14.25" customHeight="1">
      <c r="L713" s="5"/>
    </row>
    <row r="714" ht="14.25" customHeight="1">
      <c r="L714" s="5"/>
    </row>
    <row r="715" ht="14.25" customHeight="1">
      <c r="L715" s="5"/>
    </row>
    <row r="716" ht="14.25" customHeight="1">
      <c r="L716" s="5"/>
    </row>
    <row r="717" ht="14.25" customHeight="1">
      <c r="L717" s="5"/>
    </row>
    <row r="718" ht="14.25" customHeight="1">
      <c r="L718" s="5"/>
    </row>
    <row r="719" ht="14.25" customHeight="1">
      <c r="L719" s="5"/>
    </row>
    <row r="720" ht="14.25" customHeight="1">
      <c r="L720" s="5"/>
    </row>
    <row r="721" ht="14.25" customHeight="1">
      <c r="L721" s="5"/>
    </row>
    <row r="722" ht="14.25" customHeight="1">
      <c r="L722" s="5"/>
    </row>
    <row r="723" ht="14.25" customHeight="1">
      <c r="L723" s="5"/>
    </row>
    <row r="724" ht="14.25" customHeight="1">
      <c r="L724" s="5"/>
    </row>
    <row r="725" ht="14.25" customHeight="1">
      <c r="L725" s="5"/>
    </row>
    <row r="726" ht="14.25" customHeight="1">
      <c r="L726" s="5"/>
    </row>
    <row r="727" ht="14.25" customHeight="1">
      <c r="L727" s="5"/>
    </row>
    <row r="728" ht="14.25" customHeight="1">
      <c r="L728" s="5"/>
    </row>
    <row r="729" ht="14.25" customHeight="1">
      <c r="L729" s="5"/>
    </row>
    <row r="730" ht="14.25" customHeight="1">
      <c r="L730" s="5"/>
    </row>
    <row r="731" ht="14.25" customHeight="1">
      <c r="L731" s="5"/>
    </row>
    <row r="732" ht="14.25" customHeight="1">
      <c r="L732" s="5"/>
    </row>
    <row r="733" ht="14.25" customHeight="1">
      <c r="L733" s="5"/>
    </row>
    <row r="734" ht="14.25" customHeight="1">
      <c r="L734" s="5"/>
    </row>
    <row r="735" ht="14.25" customHeight="1">
      <c r="L735" s="5"/>
    </row>
    <row r="736" ht="14.25" customHeight="1">
      <c r="L736" s="5"/>
    </row>
    <row r="737" ht="14.25" customHeight="1">
      <c r="L737" s="5"/>
    </row>
    <row r="738" ht="14.25" customHeight="1">
      <c r="L738" s="5"/>
    </row>
    <row r="739" ht="14.25" customHeight="1">
      <c r="L739" s="5"/>
    </row>
    <row r="740" ht="14.25" customHeight="1">
      <c r="L740" s="5"/>
    </row>
    <row r="741" ht="14.25" customHeight="1">
      <c r="L741" s="5"/>
    </row>
    <row r="742" ht="14.25" customHeight="1">
      <c r="L742" s="5"/>
    </row>
    <row r="743" ht="14.25" customHeight="1">
      <c r="L743" s="5"/>
    </row>
    <row r="744" ht="14.25" customHeight="1">
      <c r="L744" s="5"/>
    </row>
    <row r="745" ht="14.25" customHeight="1">
      <c r="L745" s="5"/>
    </row>
    <row r="746" ht="14.25" customHeight="1">
      <c r="L746" s="5"/>
    </row>
    <row r="747" ht="14.25" customHeight="1">
      <c r="L747" s="5"/>
    </row>
    <row r="748" ht="14.25" customHeight="1">
      <c r="L748" s="5"/>
    </row>
    <row r="749" ht="14.25" customHeight="1">
      <c r="L749" s="5"/>
    </row>
    <row r="750" ht="14.25" customHeight="1">
      <c r="L750" s="5"/>
    </row>
    <row r="751" ht="14.25" customHeight="1">
      <c r="L751" s="5"/>
    </row>
    <row r="752" ht="14.25" customHeight="1">
      <c r="L752" s="5"/>
    </row>
    <row r="753" ht="14.25" customHeight="1">
      <c r="L753" s="5"/>
    </row>
    <row r="754" ht="14.25" customHeight="1">
      <c r="L754" s="5"/>
    </row>
    <row r="755" ht="14.25" customHeight="1">
      <c r="L755" s="5"/>
    </row>
    <row r="756" ht="14.25" customHeight="1">
      <c r="L756" s="5"/>
    </row>
    <row r="757" ht="14.25" customHeight="1">
      <c r="L757" s="5"/>
    </row>
    <row r="758" ht="14.25" customHeight="1">
      <c r="L758" s="5"/>
    </row>
    <row r="759" ht="14.25" customHeight="1">
      <c r="L759" s="5"/>
    </row>
    <row r="760" ht="14.25" customHeight="1">
      <c r="L760" s="5"/>
    </row>
    <row r="761" ht="14.25" customHeight="1">
      <c r="L761" s="5"/>
    </row>
    <row r="762" ht="14.25" customHeight="1">
      <c r="L762" s="5"/>
    </row>
    <row r="763" ht="14.25" customHeight="1">
      <c r="L763" s="5"/>
    </row>
    <row r="764" ht="14.25" customHeight="1">
      <c r="L764" s="5"/>
    </row>
    <row r="765" ht="14.25" customHeight="1">
      <c r="L765" s="5"/>
    </row>
    <row r="766" ht="14.25" customHeight="1">
      <c r="L766" s="5"/>
    </row>
    <row r="767" ht="14.25" customHeight="1">
      <c r="L767" s="5"/>
    </row>
    <row r="768" ht="14.25" customHeight="1">
      <c r="L768" s="5"/>
    </row>
    <row r="769" ht="14.25" customHeight="1">
      <c r="L769" s="5"/>
    </row>
    <row r="770" ht="14.25" customHeight="1">
      <c r="L770" s="5"/>
    </row>
    <row r="771" ht="14.25" customHeight="1">
      <c r="L771" s="5"/>
    </row>
    <row r="772" ht="14.25" customHeight="1">
      <c r="L772" s="5"/>
    </row>
    <row r="773" ht="14.25" customHeight="1">
      <c r="L773" s="5"/>
    </row>
    <row r="774" ht="14.25" customHeight="1">
      <c r="L774" s="5"/>
    </row>
    <row r="775" ht="14.25" customHeight="1">
      <c r="L775" s="5"/>
    </row>
    <row r="776" ht="14.25" customHeight="1">
      <c r="L776" s="5"/>
    </row>
    <row r="777" ht="14.25" customHeight="1">
      <c r="L777" s="5"/>
    </row>
    <row r="778" ht="14.25" customHeight="1">
      <c r="L778" s="5"/>
    </row>
    <row r="779" ht="14.25" customHeight="1">
      <c r="L779" s="5"/>
    </row>
    <row r="780" ht="14.25" customHeight="1">
      <c r="L780" s="5"/>
    </row>
    <row r="781" ht="14.25" customHeight="1">
      <c r="L781" s="5"/>
    </row>
    <row r="782" ht="14.25" customHeight="1">
      <c r="L782" s="5"/>
    </row>
    <row r="783" ht="14.25" customHeight="1">
      <c r="L783" s="5"/>
    </row>
    <row r="784" ht="14.25" customHeight="1">
      <c r="L784" s="5"/>
    </row>
    <row r="785" ht="14.25" customHeight="1">
      <c r="L785" s="5"/>
    </row>
    <row r="786" ht="14.25" customHeight="1">
      <c r="L786" s="5"/>
    </row>
    <row r="787" ht="14.25" customHeight="1">
      <c r="L787" s="5"/>
    </row>
    <row r="788" ht="14.25" customHeight="1">
      <c r="L788" s="5"/>
    </row>
    <row r="789" ht="14.25" customHeight="1">
      <c r="L789" s="5"/>
    </row>
    <row r="790" ht="14.25" customHeight="1">
      <c r="L790" s="5"/>
    </row>
    <row r="791" ht="14.25" customHeight="1">
      <c r="L791" s="5"/>
    </row>
    <row r="792" ht="14.25" customHeight="1">
      <c r="L792" s="5"/>
    </row>
    <row r="793" ht="14.25" customHeight="1">
      <c r="L793" s="5"/>
    </row>
    <row r="794" ht="14.25" customHeight="1">
      <c r="L794" s="5"/>
    </row>
    <row r="795" ht="14.25" customHeight="1">
      <c r="L795" s="5"/>
    </row>
    <row r="796" ht="14.25" customHeight="1">
      <c r="L796" s="5"/>
    </row>
    <row r="797" ht="14.25" customHeight="1">
      <c r="L797" s="5"/>
    </row>
    <row r="798" ht="14.25" customHeight="1">
      <c r="L798" s="5"/>
    </row>
    <row r="799" ht="14.25" customHeight="1">
      <c r="L799" s="5"/>
    </row>
    <row r="800" ht="14.25" customHeight="1">
      <c r="L800" s="5"/>
    </row>
    <row r="801" ht="14.25" customHeight="1">
      <c r="L801" s="5"/>
    </row>
    <row r="802" ht="14.25" customHeight="1">
      <c r="L802" s="5"/>
    </row>
    <row r="803" ht="14.25" customHeight="1">
      <c r="L803" s="5"/>
    </row>
    <row r="804" ht="14.25" customHeight="1">
      <c r="L804" s="5"/>
    </row>
    <row r="805" ht="14.25" customHeight="1">
      <c r="L805" s="5"/>
    </row>
    <row r="806" ht="14.25" customHeight="1">
      <c r="L806" s="5"/>
    </row>
    <row r="807" ht="14.25" customHeight="1">
      <c r="L807" s="5"/>
    </row>
    <row r="808" ht="14.25" customHeight="1">
      <c r="L808" s="5"/>
    </row>
    <row r="809" ht="14.25" customHeight="1">
      <c r="L809" s="5"/>
    </row>
    <row r="810" ht="14.25" customHeight="1">
      <c r="L810" s="5"/>
    </row>
    <row r="811" ht="14.25" customHeight="1">
      <c r="L811" s="5"/>
    </row>
    <row r="812" ht="14.25" customHeight="1">
      <c r="L812" s="5"/>
    </row>
    <row r="813" ht="14.25" customHeight="1">
      <c r="L813" s="5"/>
    </row>
    <row r="814" ht="14.25" customHeight="1">
      <c r="L814" s="5"/>
    </row>
    <row r="815" ht="14.25" customHeight="1">
      <c r="L815" s="5"/>
    </row>
    <row r="816" ht="14.25" customHeight="1">
      <c r="L816" s="5"/>
    </row>
    <row r="817" ht="14.25" customHeight="1">
      <c r="L817" s="5"/>
    </row>
    <row r="818" ht="14.25" customHeight="1">
      <c r="L818" s="5"/>
    </row>
    <row r="819" ht="14.25" customHeight="1">
      <c r="L819" s="5"/>
    </row>
    <row r="820" ht="14.25" customHeight="1">
      <c r="L820" s="5"/>
    </row>
    <row r="821" ht="14.25" customHeight="1">
      <c r="L821" s="5"/>
    </row>
    <row r="822" ht="14.25" customHeight="1">
      <c r="L822" s="5"/>
    </row>
    <row r="823" ht="14.25" customHeight="1">
      <c r="L823" s="5"/>
    </row>
    <row r="824" ht="14.25" customHeight="1">
      <c r="L824" s="5"/>
    </row>
    <row r="825" ht="14.25" customHeight="1">
      <c r="L825" s="5"/>
    </row>
    <row r="826" ht="14.25" customHeight="1">
      <c r="L826" s="5"/>
    </row>
    <row r="827" ht="14.25" customHeight="1">
      <c r="L827" s="5"/>
    </row>
    <row r="828" ht="14.25" customHeight="1">
      <c r="L828" s="5"/>
    </row>
    <row r="829" ht="14.25" customHeight="1">
      <c r="L829" s="5"/>
    </row>
    <row r="830" ht="14.25" customHeight="1">
      <c r="L830" s="5"/>
    </row>
    <row r="831" ht="14.25" customHeight="1">
      <c r="L831" s="5"/>
    </row>
    <row r="832" ht="14.25" customHeight="1">
      <c r="L832" s="5"/>
    </row>
    <row r="833" ht="14.25" customHeight="1">
      <c r="L833" s="5"/>
    </row>
    <row r="834" ht="14.25" customHeight="1">
      <c r="L834" s="5"/>
    </row>
    <row r="835" ht="14.25" customHeight="1">
      <c r="L835" s="5"/>
    </row>
    <row r="836" ht="14.25" customHeight="1">
      <c r="L836" s="5"/>
    </row>
    <row r="837" ht="14.25" customHeight="1">
      <c r="L837" s="5"/>
    </row>
    <row r="838" ht="14.25" customHeight="1">
      <c r="L838" s="5"/>
    </row>
    <row r="839" ht="14.25" customHeight="1">
      <c r="L839" s="5"/>
    </row>
    <row r="840" ht="14.25" customHeight="1">
      <c r="L840" s="5"/>
    </row>
    <row r="841" ht="14.25" customHeight="1">
      <c r="L841" s="5"/>
    </row>
    <row r="842" ht="14.25" customHeight="1">
      <c r="L842" s="5"/>
    </row>
    <row r="843" ht="14.25" customHeight="1">
      <c r="L843" s="5"/>
    </row>
    <row r="844" ht="14.25" customHeight="1">
      <c r="L844" s="5"/>
    </row>
    <row r="845" ht="14.25" customHeight="1">
      <c r="L845" s="5"/>
    </row>
    <row r="846" ht="14.25" customHeight="1">
      <c r="L846" s="5"/>
    </row>
    <row r="847" ht="14.25" customHeight="1">
      <c r="L847" s="5"/>
    </row>
    <row r="848" ht="14.25" customHeight="1">
      <c r="L848" s="5"/>
    </row>
    <row r="849" ht="14.25" customHeight="1">
      <c r="L849" s="5"/>
    </row>
    <row r="850" ht="14.25" customHeight="1">
      <c r="L850" s="5"/>
    </row>
    <row r="851" ht="14.25" customHeight="1">
      <c r="L851" s="5"/>
    </row>
    <row r="852" ht="14.25" customHeight="1">
      <c r="L852" s="5"/>
    </row>
    <row r="853" ht="14.25" customHeight="1">
      <c r="L853" s="5"/>
    </row>
    <row r="854" ht="14.25" customHeight="1">
      <c r="L854" s="5"/>
    </row>
    <row r="855" ht="14.25" customHeight="1">
      <c r="L855" s="5"/>
    </row>
    <row r="856" ht="14.25" customHeight="1">
      <c r="L856" s="5"/>
    </row>
    <row r="857" ht="14.25" customHeight="1">
      <c r="L857" s="5"/>
    </row>
    <row r="858" ht="14.25" customHeight="1">
      <c r="L858" s="5"/>
    </row>
    <row r="859" ht="14.25" customHeight="1">
      <c r="L859" s="5"/>
    </row>
    <row r="860" ht="14.25" customHeight="1">
      <c r="L860" s="5"/>
    </row>
    <row r="861" ht="14.25" customHeight="1">
      <c r="L861" s="5"/>
    </row>
    <row r="862" ht="14.25" customHeight="1">
      <c r="L862" s="5"/>
    </row>
    <row r="863" ht="14.25" customHeight="1">
      <c r="L863" s="5"/>
    </row>
    <row r="864" ht="14.25" customHeight="1">
      <c r="L864" s="5"/>
    </row>
    <row r="865" ht="14.25" customHeight="1">
      <c r="L865" s="5"/>
    </row>
    <row r="866" ht="14.25" customHeight="1">
      <c r="L866" s="5"/>
    </row>
    <row r="867" ht="14.25" customHeight="1">
      <c r="L867" s="5"/>
    </row>
    <row r="868" ht="14.25" customHeight="1">
      <c r="L868" s="5"/>
    </row>
    <row r="869" ht="14.25" customHeight="1">
      <c r="L869" s="5"/>
    </row>
    <row r="870" ht="14.25" customHeight="1">
      <c r="L870" s="5"/>
    </row>
    <row r="871" ht="14.25" customHeight="1">
      <c r="L871" s="5"/>
    </row>
    <row r="872" ht="14.25" customHeight="1">
      <c r="L872" s="5"/>
    </row>
    <row r="873" ht="14.25" customHeight="1">
      <c r="L873" s="5"/>
    </row>
    <row r="874" ht="14.25" customHeight="1">
      <c r="L874" s="5"/>
    </row>
    <row r="875" ht="14.25" customHeight="1">
      <c r="L875" s="5"/>
    </row>
    <row r="876" ht="14.25" customHeight="1">
      <c r="L876" s="5"/>
    </row>
    <row r="877" ht="14.25" customHeight="1">
      <c r="L877" s="5"/>
    </row>
    <row r="878" ht="14.25" customHeight="1">
      <c r="L878" s="5"/>
    </row>
    <row r="879" ht="14.25" customHeight="1">
      <c r="L879" s="5"/>
    </row>
    <row r="880" ht="14.25" customHeight="1">
      <c r="L880" s="5"/>
    </row>
    <row r="881" ht="14.25" customHeight="1">
      <c r="L881" s="5"/>
    </row>
    <row r="882" ht="14.25" customHeight="1">
      <c r="L882" s="5"/>
    </row>
    <row r="883" ht="14.25" customHeight="1">
      <c r="L883" s="5"/>
    </row>
    <row r="884" ht="14.25" customHeight="1">
      <c r="L884" s="5"/>
    </row>
    <row r="885" ht="14.25" customHeight="1">
      <c r="L885" s="5"/>
    </row>
    <row r="886" ht="14.25" customHeight="1">
      <c r="L886" s="5"/>
    </row>
    <row r="887" ht="14.25" customHeight="1">
      <c r="L887" s="5"/>
    </row>
    <row r="888" ht="14.25" customHeight="1">
      <c r="L888" s="5"/>
    </row>
    <row r="889" ht="14.25" customHeight="1">
      <c r="L889" s="5"/>
    </row>
    <row r="890" ht="14.25" customHeight="1">
      <c r="L890" s="5"/>
    </row>
    <row r="891" ht="14.25" customHeight="1">
      <c r="L891" s="5"/>
    </row>
    <row r="892" ht="14.25" customHeight="1">
      <c r="L892" s="5"/>
    </row>
    <row r="893" ht="14.25" customHeight="1">
      <c r="L893" s="5"/>
    </row>
    <row r="894" ht="14.25" customHeight="1">
      <c r="L894" s="5"/>
    </row>
    <row r="895" ht="14.25" customHeight="1">
      <c r="L895" s="5"/>
    </row>
    <row r="896" ht="14.25" customHeight="1">
      <c r="L896" s="5"/>
    </row>
    <row r="897" ht="14.25" customHeight="1">
      <c r="L897" s="5"/>
    </row>
    <row r="898" ht="14.25" customHeight="1">
      <c r="L898" s="5"/>
    </row>
    <row r="899" ht="14.25" customHeight="1">
      <c r="L899" s="5"/>
    </row>
    <row r="900" ht="14.25" customHeight="1">
      <c r="L900" s="5"/>
    </row>
    <row r="901" ht="14.25" customHeight="1">
      <c r="L901" s="5"/>
    </row>
    <row r="902" ht="14.25" customHeight="1">
      <c r="L902" s="5"/>
    </row>
    <row r="903" ht="14.25" customHeight="1">
      <c r="L903" s="5"/>
    </row>
    <row r="904" ht="14.25" customHeight="1">
      <c r="L904" s="5"/>
    </row>
    <row r="905" ht="14.25" customHeight="1">
      <c r="L905" s="5"/>
    </row>
    <row r="906" ht="14.25" customHeight="1">
      <c r="L906" s="5"/>
    </row>
    <row r="907" ht="14.25" customHeight="1">
      <c r="L907" s="5"/>
    </row>
    <row r="908" ht="14.25" customHeight="1">
      <c r="L908" s="5"/>
    </row>
    <row r="909" ht="14.25" customHeight="1">
      <c r="L909" s="5"/>
    </row>
    <row r="910" ht="14.25" customHeight="1">
      <c r="L910" s="5"/>
    </row>
    <row r="911" ht="14.25" customHeight="1">
      <c r="L911" s="5"/>
    </row>
    <row r="912" ht="14.25" customHeight="1">
      <c r="L912" s="5"/>
    </row>
    <row r="913" ht="14.25" customHeight="1">
      <c r="L913" s="5"/>
    </row>
    <row r="914" ht="14.25" customHeight="1">
      <c r="L914" s="5"/>
    </row>
    <row r="915" ht="14.25" customHeight="1">
      <c r="L915" s="5"/>
    </row>
    <row r="916" ht="14.25" customHeight="1">
      <c r="L916" s="5"/>
    </row>
    <row r="917" ht="14.25" customHeight="1">
      <c r="L917" s="5"/>
    </row>
    <row r="918" ht="14.25" customHeight="1">
      <c r="L918" s="5"/>
    </row>
    <row r="919" ht="14.25" customHeight="1">
      <c r="L919" s="5"/>
    </row>
    <row r="920" ht="14.25" customHeight="1">
      <c r="L920" s="5"/>
    </row>
    <row r="921" ht="14.25" customHeight="1">
      <c r="L921" s="5"/>
    </row>
    <row r="922" ht="14.25" customHeight="1">
      <c r="L922" s="5"/>
    </row>
    <row r="923" ht="14.25" customHeight="1">
      <c r="L923" s="5"/>
    </row>
    <row r="924" ht="14.25" customHeight="1">
      <c r="L924" s="5"/>
    </row>
    <row r="925" ht="14.25" customHeight="1">
      <c r="L925" s="5"/>
    </row>
    <row r="926" ht="14.25" customHeight="1">
      <c r="L926" s="5"/>
    </row>
    <row r="927" ht="14.25" customHeight="1">
      <c r="L927" s="5"/>
    </row>
    <row r="928" ht="14.25" customHeight="1">
      <c r="L928" s="5"/>
    </row>
    <row r="929" ht="14.25" customHeight="1">
      <c r="L929" s="5"/>
    </row>
    <row r="930" ht="14.25" customHeight="1">
      <c r="L930" s="5"/>
    </row>
    <row r="931" ht="14.25" customHeight="1">
      <c r="L931" s="5"/>
    </row>
    <row r="932" ht="14.25" customHeight="1">
      <c r="L932" s="5"/>
    </row>
    <row r="933" ht="14.25" customHeight="1">
      <c r="L933" s="5"/>
    </row>
    <row r="934" ht="14.25" customHeight="1">
      <c r="L934" s="5"/>
    </row>
    <row r="935" ht="14.25" customHeight="1">
      <c r="L935" s="5"/>
    </row>
    <row r="936" ht="14.25" customHeight="1">
      <c r="L936" s="5"/>
    </row>
    <row r="937" ht="14.25" customHeight="1">
      <c r="L937" s="5"/>
    </row>
    <row r="938" ht="14.25" customHeight="1">
      <c r="L938" s="5"/>
    </row>
    <row r="939" ht="14.25" customHeight="1">
      <c r="L939" s="5"/>
    </row>
    <row r="940" ht="14.25" customHeight="1">
      <c r="L940" s="5"/>
    </row>
    <row r="941" ht="14.25" customHeight="1">
      <c r="L941" s="5"/>
    </row>
    <row r="942" ht="14.25" customHeight="1">
      <c r="L942" s="5"/>
    </row>
    <row r="943" ht="14.25" customHeight="1">
      <c r="L943" s="5"/>
    </row>
    <row r="944" ht="14.25" customHeight="1">
      <c r="L944" s="5"/>
    </row>
    <row r="945" ht="14.25" customHeight="1">
      <c r="L945" s="5"/>
    </row>
    <row r="946" ht="14.25" customHeight="1">
      <c r="L946" s="5"/>
    </row>
    <row r="947" ht="14.25" customHeight="1">
      <c r="L947" s="5"/>
    </row>
    <row r="948" ht="14.25" customHeight="1">
      <c r="L948" s="5"/>
    </row>
    <row r="949" ht="14.25" customHeight="1">
      <c r="L949" s="5"/>
    </row>
    <row r="950" ht="14.25" customHeight="1">
      <c r="L950" s="5"/>
    </row>
    <row r="951" ht="14.25" customHeight="1">
      <c r="L951" s="5"/>
    </row>
    <row r="952" ht="14.25" customHeight="1">
      <c r="L952" s="5"/>
    </row>
    <row r="953" ht="14.25" customHeight="1">
      <c r="L953" s="5"/>
    </row>
    <row r="954" ht="14.25" customHeight="1">
      <c r="L954" s="5"/>
    </row>
    <row r="955" ht="14.25" customHeight="1">
      <c r="L955" s="5"/>
    </row>
    <row r="956" ht="14.25" customHeight="1">
      <c r="L956" s="5"/>
    </row>
    <row r="957" ht="14.25" customHeight="1">
      <c r="L957" s="5"/>
    </row>
    <row r="958" ht="14.25" customHeight="1">
      <c r="L958" s="5"/>
    </row>
    <row r="959" ht="14.25" customHeight="1">
      <c r="L959" s="5"/>
    </row>
    <row r="960" ht="14.25" customHeight="1">
      <c r="L960" s="5"/>
    </row>
    <row r="961" ht="14.25" customHeight="1">
      <c r="L961" s="5"/>
    </row>
    <row r="962" ht="14.25" customHeight="1">
      <c r="L962" s="5"/>
    </row>
    <row r="963" ht="14.25" customHeight="1">
      <c r="L963" s="5"/>
    </row>
    <row r="964" ht="14.25" customHeight="1">
      <c r="L964" s="5"/>
    </row>
    <row r="965" ht="14.25" customHeight="1">
      <c r="L965" s="5"/>
    </row>
    <row r="966" ht="14.25" customHeight="1">
      <c r="L966" s="5"/>
    </row>
    <row r="967" ht="14.25" customHeight="1">
      <c r="L967" s="5"/>
    </row>
    <row r="968" ht="14.25" customHeight="1">
      <c r="L968" s="5"/>
    </row>
    <row r="969" ht="14.25" customHeight="1">
      <c r="L969" s="5"/>
    </row>
    <row r="970" ht="14.25" customHeight="1">
      <c r="L970" s="5"/>
    </row>
    <row r="971" ht="14.25" customHeight="1">
      <c r="L971" s="5"/>
    </row>
    <row r="972" ht="14.25" customHeight="1">
      <c r="L972" s="5"/>
    </row>
    <row r="973" ht="14.25" customHeight="1">
      <c r="L973" s="5"/>
    </row>
    <row r="974" ht="14.25" customHeight="1">
      <c r="L974" s="5"/>
    </row>
    <row r="975" ht="14.25" customHeight="1">
      <c r="L975" s="5"/>
    </row>
    <row r="976" ht="14.25" customHeight="1">
      <c r="L976" s="5"/>
    </row>
    <row r="977" ht="14.25" customHeight="1">
      <c r="L977" s="5"/>
    </row>
    <row r="978" ht="14.25" customHeight="1">
      <c r="L978" s="5"/>
    </row>
    <row r="979" ht="14.25" customHeight="1">
      <c r="L979" s="5"/>
    </row>
    <row r="980" ht="14.25" customHeight="1">
      <c r="L980" s="5"/>
    </row>
    <row r="981" ht="14.25" customHeight="1">
      <c r="L981" s="5"/>
    </row>
    <row r="982" ht="14.25" customHeight="1">
      <c r="L982" s="5"/>
    </row>
    <row r="983" ht="14.25" customHeight="1">
      <c r="L983" s="5"/>
    </row>
    <row r="984" ht="14.25" customHeight="1">
      <c r="L984" s="5"/>
    </row>
    <row r="985" ht="14.25" customHeight="1">
      <c r="L985" s="5"/>
    </row>
    <row r="986" ht="14.25" customHeight="1">
      <c r="L986" s="5"/>
    </row>
    <row r="987" ht="14.25" customHeight="1">
      <c r="L987" s="5"/>
    </row>
    <row r="988" ht="14.25" customHeight="1">
      <c r="L988" s="5"/>
    </row>
    <row r="989" ht="14.25" customHeight="1">
      <c r="L989" s="5"/>
    </row>
    <row r="990" ht="14.25" customHeight="1">
      <c r="L990" s="5"/>
    </row>
    <row r="991" ht="14.25" customHeight="1">
      <c r="L991" s="5"/>
    </row>
    <row r="992" ht="14.25" customHeight="1">
      <c r="L992" s="5"/>
    </row>
    <row r="993" ht="14.25" customHeight="1">
      <c r="L993" s="5"/>
    </row>
    <row r="994" ht="14.25" customHeight="1">
      <c r="L994" s="5"/>
    </row>
    <row r="995" ht="14.25" customHeight="1">
      <c r="L995" s="5"/>
    </row>
    <row r="996" ht="14.25" customHeight="1">
      <c r="L996" s="5"/>
    </row>
    <row r="997" ht="14.25" customHeight="1">
      <c r="L997" s="5"/>
    </row>
    <row r="998" ht="14.25" customHeight="1">
      <c r="L998" s="5"/>
    </row>
    <row r="999" ht="14.25" customHeight="1">
      <c r="L999" s="5"/>
    </row>
    <row r="1000" ht="14.25" customHeight="1">
      <c r="L1000" s="5"/>
    </row>
  </sheetData>
  <dataValidations>
    <dataValidation type="list" allowBlank="1" showErrorMessage="1" sqref="G5:G21">
      <formula1>REF!$C$2:$C$13</formula1>
    </dataValidation>
    <dataValidation type="list" allowBlank="1" showErrorMessage="1" sqref="I5:I21">
      <formula1>REF!$D$2:$D$4</formula1>
    </dataValidation>
    <dataValidation type="list" allowBlank="1" showErrorMessage="1" sqref="J5:J21">
      <formula1>"21-100-01,21-100-02,21-100-32"</formula1>
    </dataValidation>
    <dataValidation type="list" allowBlank="1" showErrorMessage="1" sqref="D5:D21">
      <formula1>REF!$B$2:$B$3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4.57"/>
    <col customWidth="1" min="3" max="3" width="67.86"/>
    <col customWidth="1" min="4" max="4" width="23.43"/>
    <col customWidth="1" min="5" max="5" width="100.71"/>
    <col customWidth="1" min="6" max="6" width="105.29"/>
    <col customWidth="1" min="7" max="26" width="8.71"/>
  </cols>
  <sheetData>
    <row r="1" ht="14.25" customHeight="1">
      <c r="A1" s="2" t="s">
        <v>1</v>
      </c>
      <c r="B1" s="2" t="s">
        <v>11</v>
      </c>
      <c r="C1" s="2" t="s">
        <v>13</v>
      </c>
      <c r="D1" s="2" t="s">
        <v>15</v>
      </c>
      <c r="E1" s="2" t="s">
        <v>17</v>
      </c>
      <c r="F1" s="2" t="s">
        <v>19</v>
      </c>
    </row>
    <row r="2" ht="14.25" customHeight="1">
      <c r="A2" s="1" t="s">
        <v>22</v>
      </c>
      <c r="B2" s="1" t="s">
        <v>24</v>
      </c>
      <c r="C2" s="1" t="s">
        <v>25</v>
      </c>
      <c r="D2" s="3" t="s">
        <v>28</v>
      </c>
      <c r="E2" s="4" t="s">
        <v>30</v>
      </c>
    </row>
    <row r="3" ht="14.25" customHeight="1">
      <c r="A3" s="1" t="s">
        <v>33</v>
      </c>
      <c r="B3" s="1" t="s">
        <v>35</v>
      </c>
      <c r="C3" s="1" t="s">
        <v>36</v>
      </c>
      <c r="D3" s="3" t="s">
        <v>37</v>
      </c>
      <c r="E3" s="5"/>
    </row>
    <row r="4" ht="14.25" customHeight="1">
      <c r="A4" s="1" t="s">
        <v>40</v>
      </c>
      <c r="B4" s="1" t="s">
        <v>41</v>
      </c>
      <c r="C4" s="1" t="s">
        <v>36</v>
      </c>
      <c r="D4" s="3" t="s">
        <v>42</v>
      </c>
      <c r="E4" s="5"/>
    </row>
    <row r="5" ht="14.25" customHeight="1">
      <c r="A5" s="1" t="s">
        <v>43</v>
      </c>
      <c r="B5" s="1" t="s">
        <v>44</v>
      </c>
      <c r="C5" s="1" t="s">
        <v>45</v>
      </c>
      <c r="D5" s="5" t="s">
        <v>3</v>
      </c>
      <c r="E5" s="5"/>
    </row>
    <row r="6" ht="14.25" customHeight="1">
      <c r="A6" s="1" t="s">
        <v>46</v>
      </c>
      <c r="B6" s="1" t="s">
        <v>47</v>
      </c>
      <c r="C6" s="1" t="s">
        <v>48</v>
      </c>
      <c r="D6" s="3" t="s">
        <v>49</v>
      </c>
      <c r="E6" s="4" t="s">
        <v>50</v>
      </c>
    </row>
    <row r="7" ht="14.25" customHeight="1">
      <c r="A7" s="1" t="s">
        <v>51</v>
      </c>
      <c r="B7" s="1" t="s">
        <v>52</v>
      </c>
      <c r="C7" s="1" t="s">
        <v>53</v>
      </c>
      <c r="D7" s="5"/>
      <c r="E7" s="5"/>
    </row>
    <row r="8" ht="14.25" customHeight="1">
      <c r="A8" s="1" t="s">
        <v>54</v>
      </c>
      <c r="B8" s="1" t="s">
        <v>55</v>
      </c>
      <c r="C8" s="1" t="s">
        <v>56</v>
      </c>
      <c r="D8" s="5" t="s">
        <v>23</v>
      </c>
      <c r="E8" s="5"/>
    </row>
    <row r="9" ht="14.25" customHeight="1">
      <c r="A9" s="1" t="s">
        <v>57</v>
      </c>
      <c r="B9" s="1" t="s">
        <v>58</v>
      </c>
      <c r="C9" s="1" t="s">
        <v>59</v>
      </c>
      <c r="D9" s="5" t="s">
        <v>60</v>
      </c>
      <c r="E9" s="5"/>
    </row>
    <row r="10" ht="14.25" customHeight="1">
      <c r="A10" s="1" t="s">
        <v>61</v>
      </c>
      <c r="B10" s="1" t="s">
        <v>62</v>
      </c>
      <c r="C10" s="1" t="s">
        <v>63</v>
      </c>
      <c r="D10" s="3" t="s">
        <v>5</v>
      </c>
      <c r="E10" s="5"/>
    </row>
    <row r="11" ht="14.25" customHeight="1">
      <c r="A11" s="1" t="s">
        <v>0</v>
      </c>
      <c r="B11" s="1" t="s">
        <v>64</v>
      </c>
      <c r="C11" s="1" t="s">
        <v>65</v>
      </c>
      <c r="D11" s="3" t="s">
        <v>6</v>
      </c>
      <c r="E11" s="5"/>
    </row>
    <row r="12" ht="14.25" customHeight="1">
      <c r="A12" s="1" t="s">
        <v>66</v>
      </c>
      <c r="B12" s="1" t="s">
        <v>67</v>
      </c>
      <c r="C12" s="1" t="s">
        <v>68</v>
      </c>
      <c r="D12" s="5">
        <v>1.0E7</v>
      </c>
      <c r="E12" s="5"/>
    </row>
    <row r="13" ht="14.25" customHeight="1">
      <c r="A13" s="1" t="s">
        <v>69</v>
      </c>
      <c r="B13" s="1" t="s">
        <v>70</v>
      </c>
      <c r="C13" s="1" t="s">
        <v>71</v>
      </c>
      <c r="D13" s="5">
        <v>2.0</v>
      </c>
      <c r="E13" s="4" t="s">
        <v>72</v>
      </c>
      <c r="F13" s="1" t="s">
        <v>73</v>
      </c>
    </row>
    <row r="14" ht="14.25" customHeight="1">
      <c r="A14" s="1" t="s">
        <v>74</v>
      </c>
      <c r="B14" s="1" t="s">
        <v>75</v>
      </c>
      <c r="C14" s="1" t="s">
        <v>76</v>
      </c>
      <c r="D14" s="3" t="s">
        <v>77</v>
      </c>
      <c r="E14" s="5"/>
    </row>
    <row r="15" ht="14.25" customHeight="1">
      <c r="A15" s="1" t="s">
        <v>78</v>
      </c>
      <c r="B15" s="1" t="s">
        <v>79</v>
      </c>
      <c r="C15" s="1" t="s">
        <v>80</v>
      </c>
      <c r="D15" s="6">
        <v>45673.0</v>
      </c>
      <c r="E15" s="7" t="s">
        <v>81</v>
      </c>
      <c r="F15" s="1" t="s">
        <v>82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57"/>
    <col customWidth="1" min="7" max="7" width="156.14"/>
    <col customWidth="1" min="8" max="26" width="8.71"/>
  </cols>
  <sheetData>
    <row r="1" ht="14.25" customHeight="1">
      <c r="F1" s="1" t="s">
        <v>0</v>
      </c>
      <c r="G1" s="1" t="s">
        <v>2</v>
      </c>
    </row>
    <row r="2" ht="14.25" customHeight="1">
      <c r="B2" s="1" t="s">
        <v>3</v>
      </c>
      <c r="C2" s="1" t="s">
        <v>4</v>
      </c>
      <c r="D2" s="1" t="s">
        <v>5</v>
      </c>
      <c r="F2" s="1" t="s">
        <v>6</v>
      </c>
      <c r="G2" s="1" t="s">
        <v>7</v>
      </c>
    </row>
    <row r="3" ht="14.25" customHeight="1">
      <c r="B3" s="1" t="s">
        <v>8</v>
      </c>
      <c r="C3" s="1" t="s">
        <v>9</v>
      </c>
      <c r="D3" s="1" t="s">
        <v>10</v>
      </c>
      <c r="F3" s="1" t="s">
        <v>12</v>
      </c>
      <c r="G3" s="1" t="s">
        <v>14</v>
      </c>
    </row>
    <row r="4" ht="14.25" customHeight="1">
      <c r="C4" s="1" t="s">
        <v>16</v>
      </c>
      <c r="D4" s="1" t="s">
        <v>18</v>
      </c>
      <c r="F4" s="1" t="s">
        <v>20</v>
      </c>
      <c r="G4" s="1" t="s">
        <v>21</v>
      </c>
    </row>
    <row r="5" ht="14.25" customHeight="1">
      <c r="C5" s="1" t="s">
        <v>23</v>
      </c>
    </row>
    <row r="6" ht="14.25" customHeight="1">
      <c r="C6" s="1" t="s">
        <v>26</v>
      </c>
    </row>
    <row r="7" ht="14.25" customHeight="1">
      <c r="C7" s="1" t="s">
        <v>27</v>
      </c>
    </row>
    <row r="8" ht="14.25" customHeight="1">
      <c r="C8" s="1" t="s">
        <v>29</v>
      </c>
    </row>
    <row r="9" ht="14.25" customHeight="1">
      <c r="C9" s="1" t="s">
        <v>31</v>
      </c>
    </row>
    <row r="10" ht="14.25" customHeight="1">
      <c r="C10" s="1" t="s">
        <v>32</v>
      </c>
    </row>
    <row r="11" ht="14.25" customHeight="1">
      <c r="C11" s="1" t="s">
        <v>34</v>
      </c>
    </row>
    <row r="12" ht="14.25" customHeight="1">
      <c r="C12" s="1" t="s">
        <v>38</v>
      </c>
    </row>
    <row r="13" ht="14.25" customHeight="1">
      <c r="C13" s="1" t="s">
        <v>39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