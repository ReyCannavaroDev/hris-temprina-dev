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5"/>
    <sheet state="visible" name="2024" sheetId="2" r:id="rId6"/>
    <sheet state="visible" name="2023 " sheetId="3" r:id="rId7"/>
    <sheet state="visible" name="2022" sheetId="4" r:id="rId8"/>
  </sheets>
  <definedNames>
    <definedName name="costbegbalCIP">#REF!</definedName>
    <definedName name="LTDDIFFPAYMONFAACQ">#REF!</definedName>
    <definedName name="DUETOCOUNTERPART">#REF!</definedName>
    <definedName name="searchsuratjalan">#REF!</definedName>
    <definedName name="yy">#REF!</definedName>
    <definedName name="Excel_BuiltIn_Print_Titles_18">#REF!</definedName>
    <definedName name="AR">#REF!</definedName>
    <definedName name="CAJE">#REF!</definedName>
    <definedName name="OTHASSETNOTUSED">#REF!</definedName>
    <definedName name="cy_share_equity">#REF!</definedName>
    <definedName name="Print_Titles_MI">#REF!</definedName>
    <definedName name="WAWAW">#REF!</definedName>
    <definedName name="Excel_BuiltIn_Database">#REF!</definedName>
    <definedName name="costbegbalMachineryandequipment">#REF!</definedName>
    <definedName name="ADVANCES">#REF!</definedName>
    <definedName name="n">#REF!</definedName>
    <definedName name="N1C">#REF!</definedName>
    <definedName name="kopRIN">#REF!</definedName>
    <definedName name="H1A">#REF!</definedName>
    <definedName name="py_share_equity">#REF!</definedName>
    <definedName name="accumdeprbegbalTransportationequipment">#REF!</definedName>
    <definedName name="SHORTERMINVESTMENT">#REF!</definedName>
    <definedName name="DUETOSTOCKHOLDER">#REF!</definedName>
    <definedName name="LTDOTHER">#REF!</definedName>
    <definedName name="_R1A">#REF!</definedName>
    <definedName name="OTHDUEFROMPLASMAPROJECT">#REF!</definedName>
    <definedName name="CASHTIMEDEPOSIT">#REF!</definedName>
    <definedName name="ref_transportation_cost">#REF!</definedName>
    <definedName name="IMMATUREPLANTATION">#REF!</definedName>
    <definedName name="saldo">#REF!</definedName>
    <definedName name="BONDPAYABLE">#REF!</definedName>
    <definedName name="APMINORITYINTEREST">#REF!</definedName>
    <definedName name="READJDUETOASSETSREVALUATION">#REF!</definedName>
    <definedName name="INTEREST">#REF!</definedName>
    <definedName name="CURRLTDRELATED">#REF!</definedName>
    <definedName name="OTHDEPOSITRECEIVABLE">#REF!</definedName>
    <definedName name="copy">#REF!</definedName>
    <definedName name="CUSTOMERDEPOSIT">#REF!</definedName>
    <definedName name="DUEFROMAFFCO">#REF!</definedName>
    <definedName name="APSUBSCON">#REF!</definedName>
    <definedName name="STANDARD_ROW">#REF!</definedName>
    <definedName name="NERACA_2">#REF!</definedName>
    <definedName name="DUETOAFFCO">#REF!</definedName>
    <definedName name="cy_net_income">#REF!</definedName>
    <definedName name="accumdeprbegbalCIP">#REF!</definedName>
    <definedName name="AAA">#REF!</definedName>
    <definedName name="ccc">#REF!</definedName>
    <definedName name="Excel_BuiltIn_Print_Area_11">#REF!</definedName>
    <definedName name="Excel_BuiltIn_Print_Titles_4">#REF!</definedName>
    <definedName name="BLANK">#REF!</definedName>
    <definedName name="CURRLTDDEBTS">#REF!</definedName>
    <definedName name="KKM">#REF!</definedName>
    <definedName name="AROTHTHIRD">#REF!</definedName>
    <definedName name="DUEFROMAFFCON">#REF!</definedName>
    <definedName name="LIABFORRETIREMENTBENEFIT">#REF!</definedName>
    <definedName name="op">#REF!</definedName>
    <definedName name="DIFFRESULTFROMEQUITYTRANSACTIONOFSUBS">#REF!</definedName>
    <definedName name="DIFFINVALUEOFTRANSACTIONWITHUCC">#REF!</definedName>
    <definedName name="Excel_BuiltIn_Print_Titles_15">#REF!</definedName>
    <definedName name="E1A">#REF!</definedName>
    <definedName name="Excel_BuiltIn_Print_Area_6">#REF!</definedName>
    <definedName name="D1B">#REF!</definedName>
    <definedName name="OTHADVANCEFORINVESTMENT">#REF!</definedName>
    <definedName name="Excel_BuiltIn_Print_Area_13">#REF!</definedName>
    <definedName name="accumdeprbegbalBuildingsandimprovements">#REF!</definedName>
    <definedName name="OTHRESTRICTEDFUND">#REF!</definedName>
    <definedName name="UNREALIZEDPROFIT">#REF!</definedName>
    <definedName name="OTHSECURITYDEPOSIT">#REF!</definedName>
    <definedName name="DUEFROMSTOCKHOLDER">#REF!</definedName>
    <definedName name="AAAA">#REF!</definedName>
    <definedName name="calculation">#REF!</definedName>
    <definedName name="NEW">#REF!</definedName>
    <definedName name="xsx">#REF!</definedName>
    <definedName name="CURRMATURITIESOFDUEFROMSTOCKHOLDER">#REF!</definedName>
    <definedName name="ref_office_Misc">#REF!</definedName>
    <definedName name="costbegbalOfficeequipment">#REF!</definedName>
    <definedName name="FA2ACCUMDEPR">#REF!</definedName>
    <definedName name="ref_personnel_expense">#REF!</definedName>
    <definedName name="Neraca1">#REF!</definedName>
    <definedName name="APTRADRELATED">#REF!</definedName>
    <definedName name="ASSETUNDERCAPITALLEASE">#REF!</definedName>
    <definedName name="dd">#REF!</definedName>
    <definedName name="DUEFROMCOUNTERPART">#REF!</definedName>
    <definedName name="N1B">#REF!</definedName>
    <definedName name="Excel_BuiltIn_Print_Area_20">#REF!</definedName>
    <definedName name="Excel_BuiltIn_Print_Area_8">#REF!</definedName>
    <definedName name="Excel_BuiltIn_Print_Titles_16">#REF!</definedName>
    <definedName name="CURRLTDLOAN">#REF!</definedName>
    <definedName name="DEFERREDTAX">#REF!</definedName>
    <definedName name="G1A">#REF!</definedName>
    <definedName name="SECURITIESPAYABLE">#REF!</definedName>
    <definedName name="STK">#REF!</definedName>
    <definedName name="Excel_BuiltIn_Print_Area_12">#REF!</definedName>
    <definedName name="OTHDEFCHARGE">#REF!</definedName>
    <definedName name="L1A">#REF!</definedName>
    <definedName name="ACCRUEDEXPENSE">#REF!</definedName>
    <definedName name="COMM">#REF!</definedName>
    <definedName name="J1B">#REF!</definedName>
    <definedName name="NOTESPAYABLE">#REF!</definedName>
    <definedName name="accumdeprbegbalLandimprovements">#REF!</definedName>
    <definedName name="CAPPAIDINEXCESSOFPARVALUE">#REF!</definedName>
    <definedName name="APOTHTHIRD">#REF!</definedName>
    <definedName name="DIVIDENPAYABLE">#REF!</definedName>
    <definedName name="hh">#REF!</definedName>
    <definedName name="ADVFORACQUISITIONOFINVESTMENT">#REF!</definedName>
    <definedName name="ddddd">#REF!</definedName>
    <definedName name="CURRLTDOBLIGATION">#REF!</definedName>
    <definedName name="READJDUETOTRANSLATIONOFBEGYEAR">#REF!</definedName>
    <definedName name="kabkota">#REF!</definedName>
    <definedName name="accumdeprbegbalMatureplantations">#REF!</definedName>
    <definedName name="costbegbalBuildingsandimprovements">#REF!</definedName>
    <definedName name="Excel_BuiltIn_Print_Area_15">#REF!</definedName>
    <definedName name="FA1CARRYINGVALUE">#REF!</definedName>
    <definedName name="SHORTERMLOAN">#REF!</definedName>
    <definedName name="cmr_co">#REF!</definedName>
    <definedName name="INVENTORIES">#REF!</definedName>
    <definedName name="TBSRTBOkForBL">#REF!</definedName>
    <definedName name="Excel_BuiltIn_Print_Area_9_1">#REF!</definedName>
    <definedName name="jjddll">#REF!</definedName>
    <definedName name="accumdeprbegbalTelecommunicationsequipment">#REF!</definedName>
    <definedName name="CURRLTDDIFFPAYMONFAACQ">#REF!</definedName>
    <definedName name="ref_SBLC">#REF!</definedName>
    <definedName name="Print_Area_MI">#REF!</definedName>
    <definedName name="Excel_BuiltIn_Print_Area_14">#REF!</definedName>
    <definedName name="costbegbalLandimprovements">#REF!</definedName>
    <definedName name="accumdeprbegbalfurniture_Fixture">#REF!</definedName>
    <definedName name="LONGTERMRECEIVABLE">#REF!</definedName>
    <definedName name="py_net_income">#REF!</definedName>
    <definedName name="Report">#REF!</definedName>
    <definedName name="FA1ACCUMDEPR">#REF!</definedName>
    <definedName name="DAYS">#REF!</definedName>
    <definedName name="DUETOAFFCON">#REF!</definedName>
    <definedName name="CASHFLOW">#REF!</definedName>
    <definedName name="ODTR">#REF!</definedName>
    <definedName name="OTHSEEDLING">#REF!</definedName>
    <definedName name="OFFFIN">#REF!</definedName>
    <definedName name="D">#REF!</definedName>
    <definedName name="Monthof2004">#REF!</definedName>
    <definedName name="Excel_BuiltIn_Print_Area_10">#REF!</definedName>
    <definedName name="X1A">#REF!</definedName>
    <definedName name="OUTPUT">#REF!</definedName>
    <definedName name="PROJECTINPROGRESS">#REF!</definedName>
    <definedName name="PREPAIDEXPENSES">#REF!</definedName>
    <definedName name="ARTRADRELATED">#REF!</definedName>
    <definedName name="APDEFERREDTAX">#REF!</definedName>
    <definedName name="OTHPREOPERATINGEXPENSE">#REF!</definedName>
    <definedName name="COMMSTOCKSUBSCRIPTIONRECEIVABLE">#REF!</definedName>
    <definedName name="cy_ret_earn_beg">#REF!</definedName>
    <definedName name="_CA110">#REF!</definedName>
    <definedName name="Page_1_of_6">#REF!</definedName>
    <definedName name="NPRSHN">#REF!</definedName>
    <definedName name="asdasd">#REF!</definedName>
    <definedName name="M1A">#REF!</definedName>
    <definedName name="QUOTEDINV">#REF!</definedName>
    <definedName name="CRECOVERABLE">#REF!</definedName>
    <definedName name="ETB">#REF!</definedName>
    <definedName name="costbegbalfurniture_Fixture">#REF!</definedName>
    <definedName name="searchbantu">#REF!</definedName>
    <definedName name="costbegbalTelecommunicationsequipment">#REF!</definedName>
    <definedName name="Prd_CopyAll">#REF!</definedName>
    <definedName name="OTHOTHER">#REF!</definedName>
    <definedName name="CASH">#REF!</definedName>
    <definedName name="Excel_BuiltIn_Print_Area_4">#REF!</definedName>
    <definedName name="Excel_BuiltIn_Print_Area_17">#REF!</definedName>
    <definedName name="OTHGUARANTEELC">#REF!</definedName>
    <definedName name="accumdeprbegbalMachineryandequipment">#REF!</definedName>
    <definedName name="Excel_BuiltIn_Print_Area_18">#REF!</definedName>
    <definedName name="Excel_BuiltIn_Print_Titles_3">#REF!</definedName>
    <definedName name="a">#REF!</definedName>
    <definedName name="Excel_BuiltIn_Print_Titles_12">#REF!</definedName>
    <definedName name="_DAT11">#REF!</definedName>
    <definedName name="APINTERCOMPANYACCOUNT">#REF!</definedName>
    <definedName name="Excel_BuiltIn_Print_Titles_13">#REF!</definedName>
    <definedName name="OK">#REF!</definedName>
    <definedName name="LTDOBLIGATION">#REF!</definedName>
    <definedName name="Excel_BuiltIn_Print_Area_7">#REF!</definedName>
    <definedName name="Excel_BuiltIn_Print_Area_11_1">#REF!</definedName>
    <definedName name="OTHBONDSINGKINGFUND">#REF!</definedName>
    <definedName name="AROTHRELATED">#REF!</definedName>
    <definedName name="ARA_Threshold">#REF!</definedName>
    <definedName name="DUEFROMSUBSCO">#REF!</definedName>
    <definedName name="F1B">#REF!</definedName>
    <definedName name="Excel_BuiltIn_Print_Titles_14">#REF!</definedName>
    <definedName name="as">#REF!</definedName>
    <definedName name="K1A">#REF!</definedName>
    <definedName name="OTHDEFERREDPROJECT">#REF!</definedName>
    <definedName name="ABC">#REF!</definedName>
    <definedName name="ADVANCEFORSALE">#REF!</definedName>
    <definedName name="cy_retained_earnings">#REF!</definedName>
    <definedName name="ARAFFCON">#REF!</definedName>
    <definedName name="jddl">#REF!</definedName>
    <definedName name="CONS">#REF!</definedName>
    <definedName name="M1B">#REF!</definedName>
    <definedName name="OTHLOANTOEMPLOYEE">#REF!</definedName>
    <definedName name="RETAINEDEARNINGS">#REF!</definedName>
    <definedName name="ADDPAININCAPITAL">#REF!</definedName>
    <definedName name="jjddll2">#REF!</definedName>
    <definedName name="Excel_BuiltIn_Print_Titles_17">#REF!</definedName>
    <definedName name="READJUSTMENT">#REF!</definedName>
    <definedName name="Attach_to_1_of__6">#REF!</definedName>
    <definedName name="AVSC">#REF!</definedName>
    <definedName name="GovtLifting">#REF!</definedName>
    <definedName name="OCREDITOR">#REF!</definedName>
    <definedName name="Excel_BuiltIn_Print_Area_5">#REF!</definedName>
    <definedName name="liftingsum">#REF!</definedName>
    <definedName name="ref_materialwo">#REF!</definedName>
    <definedName name="ref_technical_spt_svc">#REF!</definedName>
    <definedName name="CURRLTDOTHER">#REF!</definedName>
    <definedName name="FA2CARRYINGVALUE">#REF!</definedName>
    <definedName name="DUETOPLASMAPROJECT">#REF!</definedName>
    <definedName name="OTHBANKGUARANTEE">#REF!</definedName>
    <definedName name="EXCESSOFCONSTRUCTIONOVERCLAIM">#REF!</definedName>
    <definedName name="APTRADTHIRD">#REF!</definedName>
    <definedName name="accumdeprbegbalLease">#REF!</definedName>
    <definedName name="searchsp">#REF!</definedName>
    <definedName name="JudulKolom">#REF!</definedName>
    <definedName name="PAGEALL">#REF!</definedName>
    <definedName name="DIFFRESULTFROMFOREXTRANSLATION">#REF!</definedName>
    <definedName name="py_retained_earnings">#REF!</definedName>
    <definedName name="costbegbalLandandlandrights">#REF!</definedName>
    <definedName name="F1A">#REF!</definedName>
    <definedName name="BALSHT">#REF!</definedName>
    <definedName name="PAIDUPCAPITAL">#REF!</definedName>
    <definedName name="OTHBUSINESSDEVELPMENTPROJECT">#REF!</definedName>
    <definedName name="TAXESPAYABLE">#REF!</definedName>
    <definedName name="O1A">#REF!</definedName>
    <definedName name="ARP_Threshold">#REF!</definedName>
    <definedName name="TY">#REF!</definedName>
    <definedName name="py_ret_earn_beg">#REF!</definedName>
    <definedName name="DUETOSTOCKSUBSCON">#REF!</definedName>
    <definedName name="Excel_BuiltIn_Print_Area_16">#REF!</definedName>
    <definedName name="CONVERTIBLENOTES">#REF!</definedName>
    <definedName name="INVESTMENTINSHAREOFSTOCKS">#REF!</definedName>
    <definedName name="Excel_BuiltIn_Print_Area_1_1">#REF!</definedName>
    <definedName name="BS">#REF!</definedName>
    <definedName name="P1A">#REF!</definedName>
    <definedName name="N1A">#REF!</definedName>
    <definedName name="LTDFOREXTRANSLATION">#REF!</definedName>
    <definedName name="RECOVERABLE">#REF!</definedName>
    <definedName name="Attachment_16.2">#REF!</definedName>
    <definedName name="PAGEBS">#REF!</definedName>
    <definedName name="Excel_BuiltIn_Print_Area_26">#REF!</definedName>
    <definedName name="laba">#REF!</definedName>
    <definedName name="ARTRADTHIRD">#REF!</definedName>
    <definedName name="APAFFCON">#REF!</definedName>
    <definedName name="Excel_BuiltIn_Print_Titles_20">#REF!</definedName>
    <definedName name="APOTHRELATED">#REF!</definedName>
    <definedName name="costbegbalLease">#REF!</definedName>
    <definedName name="READJDUETOSHIFTOFDEFTAX">#REF!</definedName>
    <definedName name="PAJE">#REF!</definedName>
    <definedName name="ref_material_services">#REF!</definedName>
    <definedName name="accumdeprbegbalOfficeequipment">#REF!</definedName>
    <definedName name="costbegbalMatureplantations">#REF!</definedName>
    <definedName name="SGH">#REF!</definedName>
    <definedName name="OFFICE">#REF!</definedName>
    <definedName name="accumdeprbegbalLandandlandrights">#REF!</definedName>
    <definedName name="OTHADVANCEFORPURCHASE">#REF!</definedName>
    <definedName name="ALL">#REF!</definedName>
    <definedName name="BANK">#REF!</definedName>
    <definedName name="GOODWILL">#REF!</definedName>
    <definedName name="ref_supervision">#REF!</definedName>
    <definedName name="Excel_BuiltIn_Print_Titles_10">#REF!</definedName>
    <definedName name="OTHTAXREFUND">#REF!</definedName>
    <definedName name="adffa">#REF!</definedName>
    <definedName name="LY">#REF!</definedName>
    <definedName name="J1A">#REF!</definedName>
    <definedName name="Excel_BuiltIn_Print_Area_7_1">#REF!</definedName>
    <definedName name="DETAILS">#REF!</definedName>
    <definedName name="LTDLOAN">#REF!</definedName>
    <definedName name="AFDA">#REF!</definedName>
    <definedName name="AFES">#REF!</definedName>
    <definedName name="LTDRELATED">#REF!</definedName>
    <definedName name="UNEARNEDINCOME">#REF!</definedName>
    <definedName name="TextRefCopy1">#REF!</definedName>
    <definedName name="EXCESSOFBOOKVALUEOVERCOST">#REF!</definedName>
    <definedName name="I1A">#REF!</definedName>
    <definedName name="W">#REF!</definedName>
    <definedName name="DUEFROMOTHSTOCKHOLDER">#REF!</definedName>
    <definedName name="PREPAIDTAX">#REF!</definedName>
    <definedName name="TRAVEL">#REF!</definedName>
    <definedName name="datas">#REF!</definedName>
    <definedName name="costbegbalTransportationequipment">#REF!</definedName>
    <definedName name="dddd">#REF!</definedName>
    <definedName name="ref_maintenance">#REF!</definedName>
    <definedName name="PrintArea">#REF!</definedName>
    <definedName name="PAGEIS">#REF!</definedName>
    <definedName name="dhjk">#REF!</definedName>
    <definedName name="Excel_BuiltIn_Print_Area_3">#REF!</definedName>
    <definedName name="D1A">#REF!</definedName>
    <definedName name="DEFERREDGAINONSALE">#REF!</definedName>
    <definedName name="ref_insurance">#REF!</definedName>
    <definedName name="aa">#REF!</definedName>
    <definedName hidden="1" localSheetId="0" name="_xlnm._FilterDatabase">'2025'!$A$88:$R$127</definedName>
    <definedName hidden="1" localSheetId="1" name="_xlnm._FilterDatabase">'2024'!$A$4:$L$109</definedName>
  </definedNames>
  <calcPr/>
</workbook>
</file>

<file path=xl/sharedStrings.xml><?xml version="1.0" encoding="utf-8"?>
<sst xmlns="http://schemas.openxmlformats.org/spreadsheetml/2006/main" count="1591" uniqueCount="298">
  <si>
    <t>DATA KARYAWAN SBU PUBLISHING</t>
  </si>
  <si>
    <t>PEMETAAN SDM BUSINESS SERVICE</t>
  </si>
  <si>
    <t>DATA KARYAWAN SBU BUSINESS SERVICE</t>
  </si>
  <si>
    <t>PERIODE FEBRUARI 2022</t>
  </si>
  <si>
    <t>KRY+HL</t>
  </si>
  <si>
    <t>PERIODE FEBRUARI 2023</t>
  </si>
  <si>
    <t>PERIODE TAHUN 2024</t>
  </si>
  <si>
    <t>PERIODE TAHUN 2025</t>
  </si>
  <si>
    <t>DEPARTEMEN</t>
  </si>
  <si>
    <t>BAGIAN</t>
  </si>
  <si>
    <t>JABATAN</t>
  </si>
  <si>
    <t>KEBUTUHAN</t>
  </si>
  <si>
    <t>Cabang</t>
  </si>
  <si>
    <t>JUMLAH</t>
  </si>
  <si>
    <t>EXISTING</t>
  </si>
  <si>
    <t>No</t>
  </si>
  <si>
    <t>SELISIH</t>
  </si>
  <si>
    <t>Nama Pegawai</t>
  </si>
  <si>
    <t>Jabatan</t>
  </si>
  <si>
    <t>Level</t>
  </si>
  <si>
    <t>Departemen</t>
  </si>
  <si>
    <t>Cost Center</t>
  </si>
  <si>
    <t>SDM HL</t>
  </si>
  <si>
    <t>status</t>
  </si>
  <si>
    <t>JOBDESC 2022</t>
  </si>
  <si>
    <t>TETAP FIX</t>
  </si>
  <si>
    <t>Keterangan</t>
  </si>
  <si>
    <t>KONTRAK FIX</t>
  </si>
  <si>
    <t>PHL</t>
  </si>
  <si>
    <t>BIAYA</t>
  </si>
  <si>
    <t>Divisi 2023</t>
  </si>
  <si>
    <t>JOBDESC 2023</t>
  </si>
  <si>
    <t>Holding</t>
  </si>
  <si>
    <t>Direksi</t>
  </si>
  <si>
    <t>MPGS</t>
  </si>
  <si>
    <t>LIBERT HUTAHAEAN</t>
  </si>
  <si>
    <t>Umum</t>
  </si>
  <si>
    <t>Tetap</t>
  </si>
  <si>
    <t>SRI MULAT CHICHI</t>
  </si>
  <si>
    <t>AURA ANDINI</t>
  </si>
  <si>
    <t>Marketing Support MPGS</t>
  </si>
  <si>
    <t>Staff</t>
  </si>
  <si>
    <t>Staff/Operator</t>
  </si>
  <si>
    <t>Administrasi Pemasaran</t>
  </si>
  <si>
    <t>KRISTIANTO INDRAWAN</t>
  </si>
  <si>
    <t>Kontrak 3</t>
  </si>
  <si>
    <t>SIPLAH</t>
  </si>
  <si>
    <t>Siplah, Bantu Keuangan</t>
  </si>
  <si>
    <t>DEVI NOVARIA PURNAMASARI</t>
  </si>
  <si>
    <t>Manager</t>
  </si>
  <si>
    <t>Kontrak pasca pensiun</t>
  </si>
  <si>
    <t>EKO BAGUS PRAMUDIYO</t>
  </si>
  <si>
    <t>HC</t>
  </si>
  <si>
    <t>Konsol, backup cabang</t>
  </si>
  <si>
    <t>Kadiv Gudang Sentral MPGS</t>
  </si>
  <si>
    <t>Kadiv</t>
  </si>
  <si>
    <t>Kasi/Wakasi/Kadiv/Wakad</t>
  </si>
  <si>
    <t>General Manager</t>
  </si>
  <si>
    <t>Gudang B.Jadi</t>
  </si>
  <si>
    <t>GM</t>
  </si>
  <si>
    <t>Kontrak 2</t>
  </si>
  <si>
    <t>RIANISKA ALIVIA RUMSTIKASANY</t>
  </si>
  <si>
    <t>Gudang Sentral</t>
  </si>
  <si>
    <t>Gudang Sentral, Gudang All SBU</t>
  </si>
  <si>
    <t>Kontrak 1</t>
  </si>
  <si>
    <t>Recruitment, Aliansi, temapack, backup cabang</t>
  </si>
  <si>
    <t>ANDIK WALOYO</t>
  </si>
  <si>
    <t>Driver</t>
  </si>
  <si>
    <t>PERMANA TEDJO DWI PAMUNGKAS</t>
  </si>
  <si>
    <t>Assistant Manager Keuangan dan Account</t>
  </si>
  <si>
    <t>Assistant Manager</t>
  </si>
  <si>
    <t>ACC/KEU</t>
  </si>
  <si>
    <t>Accounting</t>
  </si>
  <si>
    <t>Manager/Asmen</t>
  </si>
  <si>
    <t>ANGGA ASTIKA DEVI</t>
  </si>
  <si>
    <t>Sekretaris</t>
  </si>
  <si>
    <t>Sekretaris, Siplah, ISO, Umum</t>
  </si>
  <si>
    <t>Konsol Keuangan All SBU</t>
  </si>
  <si>
    <t>RIRIS SUBEKTI</t>
  </si>
  <si>
    <t>Konsol</t>
  </si>
  <si>
    <t>IWAN BUDI PRASETYO</t>
  </si>
  <si>
    <t>Kadiv/Wakadiv</t>
  </si>
  <si>
    <t>Assistant Manager Purchasing Holding</t>
  </si>
  <si>
    <t>PERMANA TEDJO DWI PAMUNGK</t>
  </si>
  <si>
    <t>Konsol, JO</t>
  </si>
  <si>
    <t>NURUL IRMA WATI</t>
  </si>
  <si>
    <t>Direktur Keuangan, Treasure &amp; SDM</t>
  </si>
  <si>
    <t>Karu/Wakaru</t>
  </si>
  <si>
    <t>Holding, Siplah, Trading, Audit Report DCP</t>
  </si>
  <si>
    <t>HORIYATUR RAHMAH</t>
  </si>
  <si>
    <t>Keuangan</t>
  </si>
  <si>
    <t>Keu holding&amp;sby</t>
  </si>
  <si>
    <t>Direktur Pemasaran &amp; Protek</t>
  </si>
  <si>
    <t>MUTIAH</t>
  </si>
  <si>
    <t>Keu holding&amp;cabang, siplah</t>
  </si>
  <si>
    <t>Pemasaran</t>
  </si>
  <si>
    <t>Direktur Utama</t>
  </si>
  <si>
    <t>DIMAS SYARIF HIDAYAT</t>
  </si>
  <si>
    <t>Pajak</t>
  </si>
  <si>
    <t>MUCHAMAD AFIF FELANI</t>
  </si>
  <si>
    <t>PAJAK</t>
  </si>
  <si>
    <t>General Manager Business Services</t>
  </si>
  <si>
    <t>AGUNG ROMI IRFAN MANURUN</t>
  </si>
  <si>
    <t>Treasury</t>
  </si>
  <si>
    <t>Treasury, Keuangan wilayah Barat</t>
  </si>
  <si>
    <t>REZKY NANDA HENDRATA</t>
  </si>
  <si>
    <t>DISSY ARDJANI</t>
  </si>
  <si>
    <t>Penagihan Pusat</t>
  </si>
  <si>
    <t>Kadiv HC Holding</t>
  </si>
  <si>
    <t>JOKO NURHADI</t>
  </si>
  <si>
    <t>Konsol, Payroll, backup cabang</t>
  </si>
  <si>
    <t>ADITYA KRISMA NANDA</t>
  </si>
  <si>
    <t>TURIKAN</t>
  </si>
  <si>
    <t>Kadiv IT Holding</t>
  </si>
  <si>
    <t>IT</t>
  </si>
  <si>
    <t>Programmer ERP Konsol</t>
  </si>
  <si>
    <t>Kadiv Keuangan Holding</t>
  </si>
  <si>
    <t>RENDRA MAULANA PURWANTAR</t>
  </si>
  <si>
    <t>M RIFAI SUSANTO. SE. MM</t>
  </si>
  <si>
    <t>Kadiv Marketing Holding</t>
  </si>
  <si>
    <t>Programmer Lap Produksi</t>
  </si>
  <si>
    <t>Marketing</t>
  </si>
  <si>
    <t>RIEFKI ZULKARNAEN</t>
  </si>
  <si>
    <t>Programmer ERP HC, Android</t>
  </si>
  <si>
    <t>Kadiv Pajak Holding</t>
  </si>
  <si>
    <t>HRD</t>
  </si>
  <si>
    <t>SARIF HIDAYAT TULLAH</t>
  </si>
  <si>
    <t>Programmer Web, Online Shopping</t>
  </si>
  <si>
    <t>RIDDE BHAKTIYAR RIWANTO</t>
  </si>
  <si>
    <t>AGUNG ROMI IRFAN MANURUNG</t>
  </si>
  <si>
    <t>Manager Treasury dan Collection</t>
  </si>
  <si>
    <t>Programmer Android, Online Shopping</t>
  </si>
  <si>
    <t>ANUGRAH ADI PUTRO SOEWANDI</t>
  </si>
  <si>
    <t>Legal</t>
  </si>
  <si>
    <t>Legal, Penagihan Macet</t>
  </si>
  <si>
    <t>Staff Accounting Holding</t>
  </si>
  <si>
    <t>ELBRIANT RAMEDHAN</t>
  </si>
  <si>
    <t>DGM</t>
  </si>
  <si>
    <t>GA</t>
  </si>
  <si>
    <t>Pembelian</t>
  </si>
  <si>
    <t>Konsol Pembelian</t>
  </si>
  <si>
    <t>NANANG EKO TANOYO</t>
  </si>
  <si>
    <t>Staff Badan Pengawas &amp; Pembina</t>
  </si>
  <si>
    <t>BPP</t>
  </si>
  <si>
    <t>Konsol, ISO, AK3, R&amp;D</t>
  </si>
  <si>
    <t>Konsol, DC, Perijinan</t>
  </si>
  <si>
    <t>ETOS TELEVOLTI</t>
  </si>
  <si>
    <t>RIANISKA ALIVIA RUMSTIKASAN</t>
  </si>
  <si>
    <t>Staff Human Capital</t>
  </si>
  <si>
    <t>RULLY PRAYOGO PRASOJO</t>
  </si>
  <si>
    <t>Konsol, ISO FSC</t>
  </si>
  <si>
    <t>SUKIP</t>
  </si>
  <si>
    <t>RENDRA MAULANA PURWANTARA</t>
  </si>
  <si>
    <t>Teknik</t>
  </si>
  <si>
    <t>Staff IT Holding</t>
  </si>
  <si>
    <t>ANTON NARIMO UTOMO</t>
  </si>
  <si>
    <t>Produksi Langsun</t>
  </si>
  <si>
    <t>AGUS PURNOMO</t>
  </si>
  <si>
    <t>Mekanik</t>
  </si>
  <si>
    <t>YOPPY HARTANTIO</t>
  </si>
  <si>
    <t>Wakaru Elektrik Holding</t>
  </si>
  <si>
    <t>Elektrik</t>
  </si>
  <si>
    <t>Staff Keuangan Holding</t>
  </si>
  <si>
    <t>Staff Pajak</t>
  </si>
  <si>
    <t>Wakaru</t>
  </si>
  <si>
    <t>Produksi Tdk Langsung</t>
  </si>
  <si>
    <t>Driver Holding</t>
  </si>
  <si>
    <t>Kontrak 4</t>
  </si>
  <si>
    <t>HADIYANTO</t>
  </si>
  <si>
    <t>Kadiv Teknik Holding</t>
  </si>
  <si>
    <t>Produksi Langsung</t>
  </si>
  <si>
    <t>Kontrak pasca pensi</t>
  </si>
  <si>
    <t>Manager IT</t>
  </si>
  <si>
    <t>Purchasing</t>
  </si>
  <si>
    <t>PUTUT SUHARTO PUTRO</t>
  </si>
  <si>
    <t>Manager Purchasing Holding</t>
  </si>
  <si>
    <t>Kontrak 5</t>
  </si>
  <si>
    <t>Konsol, ISO, K3</t>
  </si>
  <si>
    <t>Konsol, ISO, DC, FSC</t>
  </si>
  <si>
    <t>Vice GM Business Services</t>
  </si>
  <si>
    <t>Konsol Produksi dan Teknik All SBU</t>
  </si>
  <si>
    <t>Legal Treasury</t>
  </si>
  <si>
    <t>Total SDM</t>
  </si>
  <si>
    <t>Total Biaya Gaji SDM</t>
  </si>
  <si>
    <t>Tenaga Ahli</t>
  </si>
  <si>
    <t>PERIODE FEBRUARI 2024</t>
  </si>
  <si>
    <t>KRY+HL+Recruit</t>
  </si>
  <si>
    <t>JOBDESC 2024</t>
  </si>
  <si>
    <t>Siplah, Bantu Keuangan, Projek</t>
  </si>
  <si>
    <t>RICARDO SITOMPUL</t>
  </si>
  <si>
    <t>CI</t>
  </si>
  <si>
    <r>
      <rPr>
        <rFont val="Segoe UI"/>
        <color theme="1"/>
        <sz val="10.0"/>
      </rPr>
      <t>Wakadiv Gudang Sentral
MPGS</t>
    </r>
  </si>
  <si>
    <r>
      <rPr>
        <rFont val="Segoe UI"/>
        <color theme="1"/>
        <sz val="10.0"/>
      </rPr>
      <t>Kasi/Wakasi/Kadiv/W
akadiv/Koordinator</t>
    </r>
  </si>
  <si>
    <r>
      <rPr>
        <rFont val="Segoe UI"/>
        <color theme="1"/>
        <sz val="10.0"/>
      </rPr>
      <t>Product Planning
Control</t>
    </r>
  </si>
  <si>
    <t>Gudang Sentral, Gudang Pack Bekasi, Shopbag Temapack</t>
  </si>
  <si>
    <r>
      <rPr>
        <rFont val="Segoe UI"/>
        <color theme="1"/>
        <sz val="10.0"/>
      </rPr>
      <t>PERMANA TEDJO DWI
PAMUNGKAS SANTOSO</t>
    </r>
  </si>
  <si>
    <r>
      <rPr>
        <rFont val="Segoe UI"/>
        <color theme="1"/>
        <sz val="10.0"/>
      </rPr>
      <t>Assistant Manager Keuangan
dan Accounting Holding</t>
    </r>
  </si>
  <si>
    <r>
      <rPr>
        <rFont val="Segoe UI"/>
        <color theme="1"/>
        <sz val="10.0"/>
      </rPr>
      <t>Assistant Manager
Purchasing Holding</t>
    </r>
  </si>
  <si>
    <r>
      <rPr>
        <rFont val="Segoe UI"/>
        <color theme="1"/>
        <sz val="10.0"/>
      </rPr>
      <t>KRISTIANTO
INDRAWAN</t>
    </r>
  </si>
  <si>
    <r>
      <rPr>
        <rFont val="Segoe UI"/>
        <color theme="1"/>
        <sz val="10.0"/>
      </rPr>
      <t>General Manager Business
Services</t>
    </r>
  </si>
  <si>
    <r>
      <rPr>
        <rFont val="Segoe UI"/>
        <color theme="1"/>
        <sz val="10.0"/>
      </rPr>
      <t>Kasi/Wakasi/Kadiv/W
akadiv/Koordinator</t>
    </r>
  </si>
  <si>
    <t>Konsol, Payroll, Development</t>
  </si>
  <si>
    <t>Kasi/Wakasi/Kadiv/W akadiv/Koordinator</t>
  </si>
  <si>
    <r>
      <rPr>
        <rFont val="Segoe UI"/>
        <color theme="1"/>
        <sz val="10.0"/>
      </rPr>
      <t>Kasi/Wakasi/Kadiv/W
akadiv/Koordinator</t>
    </r>
  </si>
  <si>
    <t>BIAYA GAJI PER BULAN BUSSEV 2025</t>
  </si>
  <si>
    <r>
      <rPr>
        <rFont val="Segoe UI"/>
        <color theme="1"/>
        <sz val="10.0"/>
      </rPr>
      <t>REZKY NANDA
HENDRATA</t>
    </r>
  </si>
  <si>
    <r>
      <rPr>
        <rFont val="Segoe UI"/>
        <color theme="1"/>
        <sz val="10.0"/>
      </rPr>
      <t>Kadiv Legal &amp; Treasure
Holding</t>
    </r>
  </si>
  <si>
    <r>
      <rPr>
        <rFont val="Segoe UI"/>
        <color theme="1"/>
        <sz val="10.0"/>
      </rPr>
      <t>Kasi/Wakasi/Kadiv/W
akadiv/Koordinator</t>
    </r>
  </si>
  <si>
    <t>STATUS</t>
  </si>
  <si>
    <t>Legal &amp; Treasury</t>
  </si>
  <si>
    <r>
      <rPr>
        <rFont val="Segoe UI"/>
        <color theme="1"/>
        <sz val="10.0"/>
      </rPr>
      <t>M RIFAI SUSANTO. SE.
MM</t>
    </r>
  </si>
  <si>
    <r>
      <rPr>
        <rFont val="Segoe UI"/>
        <color theme="1"/>
        <sz val="10.0"/>
      </rPr>
      <t>Kasi/Wakasi/Kadiv/W
akadiv/Koordinator</t>
    </r>
  </si>
  <si>
    <r>
      <rPr>
        <rFont val="Segoe UI"/>
        <color theme="1"/>
        <sz val="10.0"/>
      </rPr>
      <t>DIMAS SYARIF
HIDAYAT</t>
    </r>
  </si>
  <si>
    <r>
      <rPr>
        <rFont val="Segoe UI"/>
        <color theme="1"/>
        <sz val="10.0"/>
      </rPr>
      <t>Kasi/Wakasi/Kadiv/W
akadiv/Koordinator</t>
    </r>
  </si>
  <si>
    <t>SDM</t>
  </si>
  <si>
    <t>RP</t>
  </si>
  <si>
    <r>
      <rPr>
        <rFont val="Segoe UI"/>
        <color theme="1"/>
        <sz val="10.0"/>
      </rPr>
      <t>Karu Acc &amp; Keuangan
Holding</t>
    </r>
  </si>
  <si>
    <r>
      <rPr>
        <rFont val="Segoe UI"/>
        <color theme="1"/>
        <sz val="10.0"/>
      </rPr>
      <t>AGUNG ROMI IRFAN
MANURUNG</t>
    </r>
  </si>
  <si>
    <r>
      <rPr>
        <rFont val="Segoe UI"/>
        <color theme="1"/>
        <sz val="10.0"/>
      </rPr>
      <t>Manager Treasury dan
Collection</t>
    </r>
  </si>
  <si>
    <t>Konsol, JPM</t>
  </si>
  <si>
    <t>RIANISKA ALIVIA R</t>
  </si>
  <si>
    <r>
      <rPr>
        <rFont val="Segoe UI"/>
        <color theme="1"/>
        <sz val="10.0"/>
      </rPr>
      <t>RENDRA MAULANA
PURWANTARA</t>
    </r>
  </si>
  <si>
    <t>Kontrak</t>
  </si>
  <si>
    <r>
      <rPr>
        <rFont val="Segoe UI"/>
        <color theme="1"/>
        <sz val="10.0"/>
      </rPr>
      <t>RIDDE BHAKTIYAR
RIWANTO</t>
    </r>
  </si>
  <si>
    <r>
      <rPr>
        <rFont val="Segoe UI"/>
        <color theme="1"/>
        <sz val="10.0"/>
      </rPr>
      <t>SARIF HIDAYAT
TULLAH</t>
    </r>
  </si>
  <si>
    <r>
      <rPr>
        <rFont val="Segoe UI"/>
        <color theme="1"/>
        <sz val="10.0"/>
      </rPr>
      <t>MUCHAMAD AFIF
FELANI</t>
    </r>
  </si>
  <si>
    <t>Outsourcing</t>
  </si>
  <si>
    <r>
      <rPr>
        <rFont val="Segoe UI"/>
        <color theme="1"/>
        <sz val="10.0"/>
      </rPr>
      <t>Produksi Tdk
Langsung</t>
    </r>
  </si>
  <si>
    <t>Teknik All SBU</t>
  </si>
  <si>
    <t>WACHDOKO</t>
  </si>
  <si>
    <t>Kadiv Badan Pengawas &amp;</t>
  </si>
  <si>
    <t>Kasi/Wakasi/Kadiv/W</t>
  </si>
  <si>
    <r>
      <rPr>
        <rFont val="Segoe UI"/>
        <color theme="1"/>
        <sz val="10.0"/>
      </rPr>
      <t>SAMUEL AFRIANDI
TAMBUNAN</t>
    </r>
  </si>
  <si>
    <t>Legal Collection</t>
  </si>
  <si>
    <t>Gaji Saja</t>
  </si>
  <si>
    <t>Per Bulan</t>
  </si>
  <si>
    <t>Penagihan</t>
  </si>
  <si>
    <t>THR</t>
  </si>
  <si>
    <t>RESTI DWI HARSIWI</t>
  </si>
  <si>
    <r>
      <rPr>
        <rFont val="Segoe UI"/>
        <color theme="1"/>
        <sz val="10.0"/>
      </rPr>
      <t>RULLY PRAYOGO
PRASOJO</t>
    </r>
  </si>
  <si>
    <r>
      <rPr>
        <rFont val="Segoe UI"/>
        <color theme="1"/>
        <sz val="10.0"/>
      </rPr>
      <t>Staff Badan Pengawas &amp;
Pembina</t>
    </r>
  </si>
  <si>
    <t>BPJS (Perusahaan)</t>
  </si>
  <si>
    <t>ADI WIEL JARNI</t>
  </si>
  <si>
    <t>Programmer, JPM</t>
  </si>
  <si>
    <t>DJAKA MARISTA</t>
  </si>
  <si>
    <t>Staff Tenaga Ahli Mekanik</t>
  </si>
  <si>
    <r>
      <rPr>
        <rFont val="Segoe UI"/>
        <color theme="1"/>
        <sz val="10.0"/>
      </rPr>
      <t>Produksi Tdk
Langsung</t>
    </r>
  </si>
  <si>
    <t>Rawat Jalan</t>
  </si>
  <si>
    <t>Tenaga Ahli Teknik</t>
  </si>
  <si>
    <r>
      <rPr>
        <rFont val="Segoe UI"/>
        <color theme="1"/>
        <sz val="10.0"/>
      </rPr>
      <t>Kasi/Wakasi/Kadiv/W
akadiv/Koordinator</t>
    </r>
  </si>
  <si>
    <r>
      <rPr>
        <rFont val="Segoe UI"/>
        <color theme="1"/>
        <sz val="10.0"/>
      </rPr>
      <t>Produksi Tdk
Langsung</t>
    </r>
  </si>
  <si>
    <t>Rawat Inap</t>
  </si>
  <si>
    <t>PENAMBAHAN</t>
  </si>
  <si>
    <t xml:space="preserve">Legal </t>
  </si>
  <si>
    <t>PERIODE SEPTEMBER 2024</t>
  </si>
  <si>
    <t>CABANG</t>
  </si>
  <si>
    <t>NIP</t>
  </si>
  <si>
    <t>Status Karyawan</t>
  </si>
  <si>
    <t>AwalMasuk</t>
  </si>
  <si>
    <t>AwalDiangkat</t>
  </si>
  <si>
    <t>Status</t>
  </si>
  <si>
    <t>Pendidikan</t>
  </si>
  <si>
    <t>L/P</t>
  </si>
  <si>
    <t>TanggalLahir</t>
  </si>
  <si>
    <t>Masa Kerja</t>
  </si>
  <si>
    <t>Usia</t>
  </si>
  <si>
    <t>Job Desc</t>
  </si>
  <si>
    <t>Product Planning Control</t>
  </si>
  <si>
    <t>TK / 1</t>
  </si>
  <si>
    <t>D3</t>
  </si>
  <si>
    <t>L</t>
  </si>
  <si>
    <t>PUJIANTORO</t>
  </si>
  <si>
    <t>Karu Gudang Sentral MPGS</t>
  </si>
  <si>
    <t>K / 2</t>
  </si>
  <si>
    <t>D1</t>
  </si>
  <si>
    <t>TK / 0</t>
  </si>
  <si>
    <t>P</t>
  </si>
  <si>
    <t>Wakadiv Gudang Sentral MPGS</t>
  </si>
  <si>
    <t>S1</t>
  </si>
  <si>
    <t>HLD</t>
  </si>
  <si>
    <t>K / 3</t>
  </si>
  <si>
    <t>PERMANA TEDJO DWI PAMUNGKAS SANTOSO</t>
  </si>
  <si>
    <t>Assistant Manager Keuangan dan Accounting Holding</t>
  </si>
  <si>
    <t>MM</t>
  </si>
  <si>
    <t>TK / 2</t>
  </si>
  <si>
    <t>K / 1</t>
  </si>
  <si>
    <t>0400213</t>
  </si>
  <si>
    <t>Kadiv Legal &amp; Treasure Holding</t>
  </si>
  <si>
    <t>Karu Acc &amp; Keuangan Holding</t>
  </si>
  <si>
    <t>0800841</t>
  </si>
  <si>
    <t>ABDUL AZIS</t>
  </si>
  <si>
    <t>Data Analyst</t>
  </si>
  <si>
    <t>SMP</t>
  </si>
  <si>
    <t>FARID AMIR MARZELLY</t>
  </si>
  <si>
    <t>Elektrik Holding</t>
  </si>
  <si>
    <t>Kadiv Badan Pengawas &amp; Pembina</t>
  </si>
  <si>
    <t>SAMUEL AFRIANDI TAMBUNAN</t>
  </si>
  <si>
    <t>STM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</si>
</sst>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#_);\(#,###\)"/>
    <numFmt numFmtId="165" formatCode="0_ "/>
    <numFmt numFmtId="166" formatCode="_(* #,##0_);_(* \(#,##0\);_(* &quot;-&quot;??_);_(@_)"/>
  </numFmts>
  <fonts count="4">
    <font>
      <sz val="11.0"/>
      <color theme="1"/>
      <name val="Calibri"/>
      <scheme val="minor"/>
    </font>
    <font>
      <b/>
      <sz val="10.0"/>
      <color theme="1"/>
      <name val="Quattrocento Sans"/>
    </font>
    <font>
      <sz val="10.0"/>
      <color theme="1"/>
      <name val="Quattrocento Sans"/>
    </font>
    <font/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66FFFF"/>
        <bgColor rgb="FF66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10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1" fillId="2" fontId="2" numFmtId="0" xfId="0" applyBorder="1" applyFill="1" applyFont="1"/>
    <xf borderId="2" fillId="0" fontId="1" numFmtId="0" xfId="0" applyAlignment="1" applyBorder="1" applyFont="1">
      <alignment horizontal="center" vertical="center"/>
    </xf>
    <xf borderId="0" fillId="0" fontId="2" numFmtId="9" xfId="0" applyFont="1" applyNumberFormat="1"/>
    <xf borderId="3" fillId="0" fontId="1" numFmtId="0" xfId="0" applyAlignment="1" applyBorder="1" applyFont="1">
      <alignment horizontal="center" vertical="center"/>
    </xf>
    <xf borderId="4" fillId="0" fontId="3" numFmtId="0" xfId="0" applyBorder="1" applyFont="1"/>
    <xf borderId="5" fillId="0" fontId="3" numFmtId="0" xfId="0" applyBorder="1" applyFont="1"/>
    <xf borderId="2" fillId="0" fontId="1" numFmtId="0" xfId="0" applyBorder="1" applyFont="1"/>
    <xf borderId="6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/>
    </xf>
    <xf borderId="2" fillId="0" fontId="2" numFmtId="0" xfId="0" applyBorder="1" applyFont="1"/>
    <xf borderId="2" fillId="0" fontId="2" numFmtId="0" xfId="0" applyAlignment="1" applyBorder="1" applyFont="1">
      <alignment horizontal="left"/>
    </xf>
    <xf borderId="6" fillId="2" fontId="1" numFmtId="0" xfId="0" applyAlignment="1" applyBorder="1" applyFill="1" applyFont="1">
      <alignment horizontal="center" vertical="center"/>
    </xf>
    <xf borderId="2" fillId="0" fontId="2" numFmtId="164" xfId="0" applyAlignment="1" applyBorder="1" applyFont="1" applyNumberFormat="1">
      <alignment horizontal="center"/>
    </xf>
    <xf borderId="7" fillId="0" fontId="3" numFmtId="0" xfId="0" applyBorder="1" applyFont="1"/>
    <xf borderId="2" fillId="0" fontId="2" numFmtId="165" xfId="0" applyAlignment="1" applyBorder="1" applyFont="1" applyNumberFormat="1">
      <alignment horizontal="right"/>
    </xf>
    <xf borderId="2" fillId="0" fontId="2" numFmtId="0" xfId="0" applyAlignment="1" applyBorder="1" applyFont="1">
      <alignment horizontal="center"/>
    </xf>
    <xf borderId="2" fillId="0" fontId="1" numFmtId="164" xfId="0" applyAlignment="1" applyBorder="1" applyFont="1" applyNumberFormat="1">
      <alignment horizontal="center"/>
    </xf>
    <xf borderId="8" fillId="2" fontId="1" numFmtId="164" xfId="0" applyAlignment="1" applyBorder="1" applyFill="1" applyFont="1" applyNumberFormat="1">
      <alignment horizontal="center"/>
    </xf>
    <xf borderId="2" fillId="3" fontId="1" numFmtId="164" xfId="0" applyAlignment="1" applyBorder="1" applyFill="1" applyFont="1" applyNumberFormat="1">
      <alignment horizontal="center"/>
    </xf>
    <xf borderId="2" fillId="0" fontId="2" numFmtId="166" xfId="0" applyBorder="1" applyFont="1" applyNumberFormat="1"/>
    <xf borderId="2" fillId="4" fontId="1" numFmtId="0" xfId="0" applyAlignment="1" applyBorder="1" applyFill="1" applyFont="1">
      <alignment horizontal="center"/>
    </xf>
    <xf borderId="2" fillId="4" fontId="1" numFmtId="164" xfId="0" applyAlignment="1" applyBorder="1" applyFill="1" applyFont="1" applyNumberFormat="1">
      <alignment horizontal="center"/>
    </xf>
    <xf borderId="2" fillId="0" fontId="1" numFmtId="3" xfId="0" applyAlignment="1" applyBorder="1" applyFont="1" applyNumberFormat="1">
      <alignment horizontal="center"/>
    </xf>
    <xf borderId="0" fillId="0" fontId="2" numFmtId="0" xfId="0" applyAlignment="1" applyFont="1">
      <alignment horizontal="left"/>
    </xf>
    <xf borderId="2" fillId="0" fontId="2" numFmtId="0" xfId="0" applyAlignment="1" applyBorder="1" applyFont="1">
      <alignment horizontal="left" vertical="top"/>
    </xf>
    <xf borderId="2" fillId="0" fontId="2" numFmtId="0" xfId="0" applyAlignment="1" applyBorder="1" applyFont="1">
      <alignment horizontal="center" vertical="top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6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left"/>
    </xf>
    <xf borderId="2" fillId="0" fontId="2" numFmtId="166" xfId="0" applyAlignment="1" applyBorder="1" applyFont="1" applyNumberFormat="1">
      <alignment horizontal="center"/>
    </xf>
    <xf borderId="6" fillId="0" fontId="1" numFmtId="164" xfId="0" applyAlignment="1" applyBorder="1" applyFont="1" applyNumberFormat="1">
      <alignment horizontal="center"/>
    </xf>
    <xf borderId="6" fillId="0" fontId="1" numFmtId="166" xfId="0" applyAlignment="1" applyBorder="1" applyFont="1" applyNumberFormat="1">
      <alignment horizontal="center"/>
    </xf>
    <xf borderId="2" fillId="0" fontId="1" numFmtId="166" xfId="0" applyAlignment="1" applyBorder="1" applyFont="1" applyNumberFormat="1">
      <alignment horizontal="center"/>
    </xf>
    <xf borderId="0" fillId="0" fontId="1" numFmtId="166" xfId="0" applyAlignment="1" applyFont="1" applyNumberFormat="1">
      <alignment horizontal="center"/>
    </xf>
    <xf borderId="2" fillId="0" fontId="1" numFmtId="166" xfId="0" applyBorder="1" applyFont="1" applyNumberFormat="1"/>
    <xf borderId="1" fillId="5" fontId="2" numFmtId="0" xfId="0" applyBorder="1" applyFill="1" applyFont="1"/>
    <xf borderId="0" fillId="0" fontId="1" numFmtId="166" xfId="0" applyFont="1" applyNumberFormat="1"/>
    <xf borderId="0" fillId="0" fontId="2" numFmtId="0" xfId="0" applyAlignment="1" applyFont="1">
      <alignment horizontal="center" vertical="top"/>
    </xf>
    <xf borderId="2" fillId="0" fontId="2" numFmtId="0" xfId="0" applyAlignment="1" applyBorder="1" applyFont="1">
      <alignment horizontal="center" shrinkToFit="0" wrapText="1"/>
    </xf>
    <xf borderId="2" fillId="2" fontId="2" numFmtId="0" xfId="0" applyAlignment="1" applyBorder="1" applyFill="1" applyFont="1">
      <alignment horizontal="center"/>
    </xf>
    <xf borderId="9" fillId="5" fontId="1" numFmtId="14" xfId="0" applyAlignment="1" applyBorder="1" applyFill="1" applyFont="1" applyNumberFormat="1">
      <alignment horizontal="center" shrinkToFit="0" vertical="center" wrapText="1"/>
    </xf>
    <xf borderId="2" fillId="0" fontId="2" numFmtId="165" xfId="0" applyAlignment="1" applyBorder="1" applyFont="1" applyNumberFormat="1">
      <alignment horizontal="center"/>
    </xf>
    <xf borderId="2" fillId="0" fontId="2" numFmtId="14" xfId="0" applyAlignment="1" applyBorder="1" applyFont="1" applyNumberFormat="1">
      <alignment horizontal="center"/>
    </xf>
    <xf borderId="2" fillId="0" fontId="2" numFmtId="2" xfId="0" applyAlignment="1" applyBorder="1" applyFont="1" applyNumberFormat="1">
      <alignment horizontal="center"/>
    </xf>
    <xf borderId="2" fillId="2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20.29"/>
    <col customWidth="1" min="2" max="2" width="14.14"/>
    <col customWidth="1" min="3" max="3" width="16.29"/>
    <col customWidth="1" min="4" max="4" width="31.29"/>
    <col customWidth="1" min="5" max="5" width="19.43"/>
    <col customWidth="1" min="6" max="7" width="26.14"/>
    <col customWidth="1" min="8" max="8" width="16.71"/>
    <col customWidth="1" min="9" max="12" width="12.71"/>
    <col customWidth="1" min="13" max="13" width="14.29"/>
    <col customWidth="1" min="14" max="14" width="20.71"/>
    <col customWidth="1" min="15" max="15" width="12.0"/>
    <col customWidth="1" min="16" max="16" width="10.71"/>
    <col customWidth="1" min="17" max="17" width="8.71"/>
    <col customWidth="1" min="18" max="18" width="19.71"/>
    <col customWidth="1" min="19" max="19" width="10.57"/>
    <col customWidth="1" min="20" max="27" width="8.71"/>
  </cols>
  <sheetData>
    <row r="1">
      <c r="A1" s="1" t="s">
        <v>1</v>
      </c>
      <c r="B1" s="3"/>
      <c r="C1" s="2"/>
      <c r="D1" s="2"/>
      <c r="E1" s="2"/>
      <c r="F1" s="2"/>
      <c r="G1" s="2"/>
      <c r="H1" s="2"/>
      <c r="I1" s="2"/>
      <c r="J1" s="2"/>
      <c r="K1" s="2"/>
      <c r="L1" s="2"/>
      <c r="M1" s="5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7</v>
      </c>
      <c r="B2" s="3"/>
      <c r="C2" s="2"/>
      <c r="D2" s="2"/>
      <c r="E2" s="2"/>
      <c r="F2" s="2"/>
      <c r="G2" s="7">
        <v>0.04</v>
      </c>
      <c r="H2" s="2"/>
      <c r="I2" s="2"/>
      <c r="J2" s="2"/>
      <c r="K2" s="2"/>
      <c r="L2" s="2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3"/>
      <c r="C3" s="2"/>
      <c r="D3" s="2"/>
      <c r="E3" s="2"/>
      <c r="F3" s="2"/>
      <c r="G3" s="2"/>
      <c r="H3" s="2"/>
      <c r="I3" s="2"/>
      <c r="J3" s="2"/>
      <c r="K3" s="2"/>
      <c r="L3" s="2"/>
      <c r="M3" s="5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4.25" customHeight="1">
      <c r="A4" s="12" t="s">
        <v>8</v>
      </c>
      <c r="B4" s="12" t="s">
        <v>9</v>
      </c>
      <c r="C4" s="12" t="s">
        <v>10</v>
      </c>
      <c r="D4" s="8" t="s">
        <v>11</v>
      </c>
      <c r="E4" s="9"/>
      <c r="F4" s="10"/>
      <c r="G4" s="12" t="s">
        <v>29</v>
      </c>
      <c r="H4" s="12" t="s">
        <v>13</v>
      </c>
      <c r="I4" s="8" t="s">
        <v>14</v>
      </c>
      <c r="J4" s="9"/>
      <c r="K4" s="10"/>
      <c r="L4" s="12" t="s">
        <v>13</v>
      </c>
      <c r="M4" s="16" t="s">
        <v>16</v>
      </c>
      <c r="N4" s="12" t="s">
        <v>29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8"/>
      <c r="B5" s="18"/>
      <c r="C5" s="18"/>
      <c r="D5" s="6" t="s">
        <v>25</v>
      </c>
      <c r="E5" s="6" t="s">
        <v>27</v>
      </c>
      <c r="F5" s="6" t="s">
        <v>28</v>
      </c>
      <c r="G5" s="18"/>
      <c r="H5" s="18"/>
      <c r="I5" s="6" t="s">
        <v>25</v>
      </c>
      <c r="J5" s="6" t="s">
        <v>27</v>
      </c>
      <c r="K5" s="6" t="s">
        <v>28</v>
      </c>
      <c r="L5" s="18"/>
      <c r="M5" s="18"/>
      <c r="N5" s="18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5" t="s">
        <v>33</v>
      </c>
      <c r="B6" s="20" t="s">
        <v>33</v>
      </c>
      <c r="C6" s="15" t="s">
        <v>33</v>
      </c>
      <c r="D6" s="17">
        <v>3.0</v>
      </c>
      <c r="E6" s="17"/>
      <c r="F6" s="17"/>
      <c r="G6" s="17">
        <f t="shared" ref="G6:G10" si="1">N6+(N6*$G$2)</f>
        <v>142150320</v>
      </c>
      <c r="H6" s="21">
        <f t="shared" ref="H6:H65" si="2">SUM(D6:F6)</f>
        <v>3</v>
      </c>
      <c r="I6" s="17">
        <v>3.0</v>
      </c>
      <c r="J6" s="17"/>
      <c r="K6" s="17"/>
      <c r="L6" s="21">
        <f t="shared" ref="L6:L65" si="3">SUM(I6:K6)</f>
        <v>3</v>
      </c>
      <c r="M6" s="22">
        <f t="shared" ref="M6:M65" si="4">H6-L6</f>
        <v>0</v>
      </c>
      <c r="N6" s="24">
        <f>44738000+47207000+44738000</f>
        <v>136683000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5" t="s">
        <v>57</v>
      </c>
      <c r="B7" s="20" t="s">
        <v>59</v>
      </c>
      <c r="C7" s="15" t="s">
        <v>59</v>
      </c>
      <c r="D7" s="17">
        <v>1.0</v>
      </c>
      <c r="E7" s="17">
        <v>1.0</v>
      </c>
      <c r="F7" s="17"/>
      <c r="G7" s="17">
        <f t="shared" si="1"/>
        <v>39878564.96</v>
      </c>
      <c r="H7" s="21">
        <f t="shared" si="2"/>
        <v>2</v>
      </c>
      <c r="I7" s="17">
        <v>1.0</v>
      </c>
      <c r="J7" s="17">
        <v>1.0</v>
      </c>
      <c r="K7" s="17"/>
      <c r="L7" s="21">
        <f t="shared" si="3"/>
        <v>2</v>
      </c>
      <c r="M7" s="22">
        <f t="shared" si="4"/>
        <v>0</v>
      </c>
      <c r="N7" s="24">
        <f>20797456+17547318</f>
        <v>38344774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5" t="s">
        <v>71</v>
      </c>
      <c r="B8" s="20" t="s">
        <v>72</v>
      </c>
      <c r="C8" s="15" t="s">
        <v>73</v>
      </c>
      <c r="D8" s="17">
        <v>1.0</v>
      </c>
      <c r="E8" s="17"/>
      <c r="F8" s="17"/>
      <c r="G8" s="17">
        <f t="shared" si="1"/>
        <v>10690369.04</v>
      </c>
      <c r="H8" s="21">
        <f t="shared" si="2"/>
        <v>1</v>
      </c>
      <c r="I8" s="17">
        <v>1.0</v>
      </c>
      <c r="J8" s="17"/>
      <c r="K8" s="17"/>
      <c r="L8" s="21">
        <f t="shared" si="3"/>
        <v>1</v>
      </c>
      <c r="M8" s="22">
        <f t="shared" si="4"/>
        <v>0</v>
      </c>
      <c r="N8" s="24">
        <f>10279201</f>
        <v>10279201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5"/>
      <c r="B9" s="20"/>
      <c r="C9" s="15" t="s">
        <v>81</v>
      </c>
      <c r="D9" s="17"/>
      <c r="E9" s="17"/>
      <c r="F9" s="17"/>
      <c r="G9" s="17">
        <f t="shared" si="1"/>
        <v>0</v>
      </c>
      <c r="H9" s="21">
        <f t="shared" si="2"/>
        <v>0</v>
      </c>
      <c r="I9" s="17"/>
      <c r="J9" s="17"/>
      <c r="K9" s="17"/>
      <c r="L9" s="21">
        <f t="shared" si="3"/>
        <v>0</v>
      </c>
      <c r="M9" s="22">
        <f t="shared" si="4"/>
        <v>0</v>
      </c>
      <c r="N9" s="24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5"/>
      <c r="B10" s="20"/>
      <c r="C10" s="15" t="s">
        <v>87</v>
      </c>
      <c r="D10" s="17">
        <v>1.0</v>
      </c>
      <c r="E10" s="17"/>
      <c r="F10" s="17"/>
      <c r="G10" s="17">
        <f t="shared" si="1"/>
        <v>6051794.32</v>
      </c>
      <c r="H10" s="21">
        <f t="shared" si="2"/>
        <v>1</v>
      </c>
      <c r="I10" s="17">
        <v>1.0</v>
      </c>
      <c r="J10" s="17"/>
      <c r="K10" s="17"/>
      <c r="L10" s="21">
        <f t="shared" si="3"/>
        <v>1</v>
      </c>
      <c r="M10" s="22">
        <f t="shared" si="4"/>
        <v>0</v>
      </c>
      <c r="N10" s="24">
        <f>5819033</f>
        <v>5819033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5"/>
      <c r="B11" s="20"/>
      <c r="C11" s="15" t="s">
        <v>41</v>
      </c>
      <c r="D11" s="17"/>
      <c r="E11" s="17">
        <v>1.0</v>
      </c>
      <c r="F11" s="17"/>
      <c r="G11" s="17">
        <f>5000000</f>
        <v>5000000</v>
      </c>
      <c r="H11" s="21">
        <f t="shared" si="2"/>
        <v>1</v>
      </c>
      <c r="I11" s="17"/>
      <c r="J11" s="17"/>
      <c r="K11" s="17"/>
      <c r="L11" s="21">
        <f t="shared" si="3"/>
        <v>0</v>
      </c>
      <c r="M11" s="22">
        <f t="shared" si="4"/>
        <v>1</v>
      </c>
      <c r="N11" s="24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5"/>
      <c r="B12" s="20" t="s">
        <v>90</v>
      </c>
      <c r="C12" s="15" t="s">
        <v>73</v>
      </c>
      <c r="D12" s="17"/>
      <c r="E12" s="17"/>
      <c r="F12" s="17"/>
      <c r="G12" s="17">
        <f t="shared" ref="G12:G14" si="5">N12+(N12*$G$2)</f>
        <v>0</v>
      </c>
      <c r="H12" s="21">
        <f t="shared" si="2"/>
        <v>0</v>
      </c>
      <c r="I12" s="17"/>
      <c r="J12" s="17"/>
      <c r="K12" s="17"/>
      <c r="L12" s="21">
        <f t="shared" si="3"/>
        <v>0</v>
      </c>
      <c r="M12" s="22">
        <f t="shared" si="4"/>
        <v>0</v>
      </c>
      <c r="N12" s="24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5"/>
      <c r="B13" s="20"/>
      <c r="C13" s="15" t="s">
        <v>81</v>
      </c>
      <c r="D13" s="17">
        <v>1.0</v>
      </c>
      <c r="E13" s="17"/>
      <c r="F13" s="17"/>
      <c r="G13" s="17">
        <f t="shared" si="5"/>
        <v>8126226.16</v>
      </c>
      <c r="H13" s="21">
        <f t="shared" si="2"/>
        <v>1</v>
      </c>
      <c r="I13" s="17">
        <v>1.0</v>
      </c>
      <c r="J13" s="17"/>
      <c r="K13" s="17"/>
      <c r="L13" s="21">
        <f t="shared" si="3"/>
        <v>1</v>
      </c>
      <c r="M13" s="22">
        <f t="shared" si="4"/>
        <v>0</v>
      </c>
      <c r="N13" s="24">
        <f>7813679</f>
        <v>7813679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5"/>
      <c r="B14" s="20"/>
      <c r="C14" s="15" t="s">
        <v>87</v>
      </c>
      <c r="D14" s="17"/>
      <c r="E14" s="17"/>
      <c r="F14" s="17"/>
      <c r="G14" s="17">
        <f t="shared" si="5"/>
        <v>0</v>
      </c>
      <c r="H14" s="21">
        <f t="shared" si="2"/>
        <v>0</v>
      </c>
      <c r="I14" s="17"/>
      <c r="J14" s="17"/>
      <c r="K14" s="17"/>
      <c r="L14" s="21">
        <f t="shared" si="3"/>
        <v>0</v>
      </c>
      <c r="M14" s="22">
        <f t="shared" si="4"/>
        <v>0</v>
      </c>
      <c r="N14" s="24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5"/>
      <c r="B15" s="20"/>
      <c r="C15" s="15" t="s">
        <v>41</v>
      </c>
      <c r="D15" s="17">
        <v>1.0</v>
      </c>
      <c r="E15" s="17">
        <v>1.0</v>
      </c>
      <c r="F15" s="17"/>
      <c r="G15" s="17">
        <f>N15+(N15*$G$2)+4900000</f>
        <v>10543346.8</v>
      </c>
      <c r="H15" s="21">
        <f t="shared" si="2"/>
        <v>2</v>
      </c>
      <c r="I15" s="17">
        <v>1.0</v>
      </c>
      <c r="J15" s="17"/>
      <c r="K15" s="17"/>
      <c r="L15" s="21">
        <f t="shared" si="3"/>
        <v>1</v>
      </c>
      <c r="M15" s="22">
        <f t="shared" si="4"/>
        <v>1</v>
      </c>
      <c r="N15" s="24">
        <f>5426295</f>
        <v>5426295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5"/>
      <c r="B16" s="20" t="s">
        <v>98</v>
      </c>
      <c r="C16" s="15" t="s">
        <v>73</v>
      </c>
      <c r="D16" s="17"/>
      <c r="E16" s="17"/>
      <c r="F16" s="17"/>
      <c r="G16" s="17">
        <f t="shared" ref="G16:G19" si="6">N16+(N16*$G$2)</f>
        <v>0</v>
      </c>
      <c r="H16" s="21">
        <f t="shared" si="2"/>
        <v>0</v>
      </c>
      <c r="I16" s="17"/>
      <c r="J16" s="17"/>
      <c r="K16" s="17"/>
      <c r="L16" s="21">
        <f t="shared" si="3"/>
        <v>0</v>
      </c>
      <c r="M16" s="22">
        <f t="shared" si="4"/>
        <v>0</v>
      </c>
      <c r="N16" s="24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5"/>
      <c r="B17" s="20"/>
      <c r="C17" s="15" t="s">
        <v>81</v>
      </c>
      <c r="D17" s="17">
        <v>1.0</v>
      </c>
      <c r="E17" s="17"/>
      <c r="F17" s="17"/>
      <c r="G17" s="17">
        <f t="shared" si="6"/>
        <v>7514722.8</v>
      </c>
      <c r="H17" s="21">
        <f t="shared" si="2"/>
        <v>1</v>
      </c>
      <c r="I17" s="17">
        <v>1.0</v>
      </c>
      <c r="J17" s="17"/>
      <c r="K17" s="17"/>
      <c r="L17" s="21">
        <f t="shared" si="3"/>
        <v>1</v>
      </c>
      <c r="M17" s="22">
        <f t="shared" si="4"/>
        <v>0</v>
      </c>
      <c r="N17" s="24">
        <f>7225695</f>
        <v>7225695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5"/>
      <c r="B18" s="20"/>
      <c r="C18" s="15" t="s">
        <v>87</v>
      </c>
      <c r="D18" s="17"/>
      <c r="E18" s="17"/>
      <c r="F18" s="17"/>
      <c r="G18" s="17">
        <f t="shared" si="6"/>
        <v>0</v>
      </c>
      <c r="H18" s="21">
        <f t="shared" si="2"/>
        <v>0</v>
      </c>
      <c r="I18" s="17"/>
      <c r="J18" s="17"/>
      <c r="K18" s="17"/>
      <c r="L18" s="21">
        <f t="shared" si="3"/>
        <v>0</v>
      </c>
      <c r="M18" s="22">
        <f t="shared" si="4"/>
        <v>0</v>
      </c>
      <c r="N18" s="24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5"/>
      <c r="B19" s="20"/>
      <c r="C19" s="15" t="s">
        <v>41</v>
      </c>
      <c r="D19" s="17">
        <v>1.0</v>
      </c>
      <c r="E19" s="17"/>
      <c r="F19" s="17"/>
      <c r="G19" s="17">
        <f t="shared" si="6"/>
        <v>5522696.4</v>
      </c>
      <c r="H19" s="21">
        <f t="shared" si="2"/>
        <v>1</v>
      </c>
      <c r="I19" s="17">
        <v>1.0</v>
      </c>
      <c r="J19" s="17"/>
      <c r="K19" s="17"/>
      <c r="L19" s="21">
        <f t="shared" si="3"/>
        <v>1</v>
      </c>
      <c r="M19" s="22">
        <f t="shared" si="4"/>
        <v>0</v>
      </c>
      <c r="N19" s="24">
        <f>5310285</f>
        <v>5310285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5" t="s">
        <v>125</v>
      </c>
      <c r="B20" s="20" t="s">
        <v>125</v>
      </c>
      <c r="C20" s="15" t="s">
        <v>73</v>
      </c>
      <c r="D20" s="17"/>
      <c r="E20" s="17">
        <v>1.0</v>
      </c>
      <c r="F20" s="17"/>
      <c r="G20" s="17">
        <v>1.0E7</v>
      </c>
      <c r="H20" s="21">
        <f t="shared" si="2"/>
        <v>1</v>
      </c>
      <c r="I20" s="17"/>
      <c r="J20" s="17"/>
      <c r="K20" s="17"/>
      <c r="L20" s="21">
        <f t="shared" si="3"/>
        <v>0</v>
      </c>
      <c r="M20" s="22">
        <f t="shared" si="4"/>
        <v>1</v>
      </c>
      <c r="N20" s="24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15"/>
      <c r="B21" s="20"/>
      <c r="C21" s="15" t="s">
        <v>81</v>
      </c>
      <c r="D21" s="17">
        <v>1.0</v>
      </c>
      <c r="E21" s="17"/>
      <c r="F21" s="17"/>
      <c r="G21" s="17">
        <f t="shared" ref="G21:G28" si="7">N21+(N21*$G$2)</f>
        <v>7182534.32</v>
      </c>
      <c r="H21" s="21">
        <f t="shared" si="2"/>
        <v>1</v>
      </c>
      <c r="I21" s="17">
        <v>1.0</v>
      </c>
      <c r="J21" s="17"/>
      <c r="K21" s="17"/>
      <c r="L21" s="21">
        <f t="shared" si="3"/>
        <v>1</v>
      </c>
      <c r="M21" s="22">
        <f t="shared" si="4"/>
        <v>0</v>
      </c>
      <c r="N21" s="24">
        <f>6906283</f>
        <v>6906283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15"/>
      <c r="B22" s="20"/>
      <c r="C22" s="15" t="s">
        <v>87</v>
      </c>
      <c r="D22" s="17"/>
      <c r="E22" s="17"/>
      <c r="F22" s="17"/>
      <c r="G22" s="17">
        <f t="shared" si="7"/>
        <v>0</v>
      </c>
      <c r="H22" s="21">
        <f t="shared" si="2"/>
        <v>0</v>
      </c>
      <c r="I22" s="17"/>
      <c r="J22" s="17"/>
      <c r="K22" s="17"/>
      <c r="L22" s="21">
        <f t="shared" si="3"/>
        <v>0</v>
      </c>
      <c r="M22" s="22">
        <f t="shared" si="4"/>
        <v>0</v>
      </c>
      <c r="N22" s="24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15"/>
      <c r="B23" s="20"/>
      <c r="C23" s="15" t="s">
        <v>41</v>
      </c>
      <c r="D23" s="17">
        <v>1.0</v>
      </c>
      <c r="E23" s="17"/>
      <c r="F23" s="17"/>
      <c r="G23" s="17">
        <f t="shared" si="7"/>
        <v>5460431.6</v>
      </c>
      <c r="H23" s="21">
        <f t="shared" si="2"/>
        <v>1</v>
      </c>
      <c r="I23" s="17">
        <v>1.0</v>
      </c>
      <c r="J23" s="17"/>
      <c r="K23" s="17"/>
      <c r="L23" s="21">
        <f t="shared" si="3"/>
        <v>1</v>
      </c>
      <c r="M23" s="22">
        <f t="shared" si="4"/>
        <v>0</v>
      </c>
      <c r="N23" s="24">
        <f>5250415</f>
        <v>5250415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15"/>
      <c r="B24" s="20" t="s">
        <v>138</v>
      </c>
      <c r="C24" s="15" t="s">
        <v>73</v>
      </c>
      <c r="D24" s="17"/>
      <c r="E24" s="17"/>
      <c r="F24" s="17"/>
      <c r="G24" s="17">
        <f t="shared" si="7"/>
        <v>0</v>
      </c>
      <c r="H24" s="21">
        <f t="shared" si="2"/>
        <v>0</v>
      </c>
      <c r="I24" s="17"/>
      <c r="J24" s="17"/>
      <c r="K24" s="17"/>
      <c r="L24" s="21">
        <f t="shared" si="3"/>
        <v>0</v>
      </c>
      <c r="M24" s="22">
        <f t="shared" si="4"/>
        <v>0</v>
      </c>
      <c r="N24" s="24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15"/>
      <c r="B25" s="20"/>
      <c r="C25" s="15" t="s">
        <v>81</v>
      </c>
      <c r="D25" s="17"/>
      <c r="E25" s="17"/>
      <c r="F25" s="17"/>
      <c r="G25" s="17">
        <f t="shared" si="7"/>
        <v>0</v>
      </c>
      <c r="H25" s="21">
        <f t="shared" si="2"/>
        <v>0</v>
      </c>
      <c r="I25" s="17"/>
      <c r="J25" s="17"/>
      <c r="K25" s="17"/>
      <c r="L25" s="21">
        <f t="shared" si="3"/>
        <v>0</v>
      </c>
      <c r="M25" s="22">
        <f t="shared" si="4"/>
        <v>0</v>
      </c>
      <c r="N25" s="24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15"/>
      <c r="B26" s="20"/>
      <c r="C26" s="15" t="s">
        <v>87</v>
      </c>
      <c r="D26" s="17"/>
      <c r="E26" s="17"/>
      <c r="F26" s="17"/>
      <c r="G26" s="17">
        <f t="shared" si="7"/>
        <v>0</v>
      </c>
      <c r="H26" s="21">
        <f t="shared" si="2"/>
        <v>0</v>
      </c>
      <c r="I26" s="17"/>
      <c r="J26" s="17"/>
      <c r="K26" s="17"/>
      <c r="L26" s="21">
        <f t="shared" si="3"/>
        <v>0</v>
      </c>
      <c r="M26" s="22">
        <f t="shared" si="4"/>
        <v>0</v>
      </c>
      <c r="N26" s="24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15"/>
      <c r="B27" s="20"/>
      <c r="C27" s="15" t="s">
        <v>41</v>
      </c>
      <c r="D27" s="17"/>
      <c r="E27" s="17">
        <v>1.0</v>
      </c>
      <c r="F27" s="17">
        <v>1.0</v>
      </c>
      <c r="G27" s="17">
        <f t="shared" si="7"/>
        <v>9787753.04</v>
      </c>
      <c r="H27" s="21">
        <f t="shared" si="2"/>
        <v>2</v>
      </c>
      <c r="I27" s="17"/>
      <c r="J27" s="17">
        <v>1.0</v>
      </c>
      <c r="K27" s="17">
        <v>1.0</v>
      </c>
      <c r="L27" s="21">
        <f t="shared" si="3"/>
        <v>2</v>
      </c>
      <c r="M27" s="22">
        <f t="shared" si="4"/>
        <v>0</v>
      </c>
      <c r="N27" s="24">
        <f>4911301+4500000</f>
        <v>9411301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15"/>
      <c r="B28" s="20" t="s">
        <v>75</v>
      </c>
      <c r="C28" s="15" t="s">
        <v>41</v>
      </c>
      <c r="D28" s="17">
        <v>1.0</v>
      </c>
      <c r="E28" s="17"/>
      <c r="F28" s="17"/>
      <c r="G28" s="17">
        <f t="shared" si="7"/>
        <v>6760000</v>
      </c>
      <c r="H28" s="21">
        <f t="shared" si="2"/>
        <v>1</v>
      </c>
      <c r="I28" s="17"/>
      <c r="J28" s="17">
        <v>1.0</v>
      </c>
      <c r="K28" s="17"/>
      <c r="L28" s="21">
        <f t="shared" si="3"/>
        <v>1</v>
      </c>
      <c r="M28" s="22">
        <f t="shared" si="4"/>
        <v>0</v>
      </c>
      <c r="N28" s="24">
        <f>6500000</f>
        <v>6500000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15" t="s">
        <v>95</v>
      </c>
      <c r="B29" s="20" t="s">
        <v>95</v>
      </c>
      <c r="C29" s="15" t="s">
        <v>73</v>
      </c>
      <c r="D29" s="17"/>
      <c r="E29" s="17">
        <v>1.0</v>
      </c>
      <c r="F29" s="17"/>
      <c r="G29" s="17">
        <v>1.2E7</v>
      </c>
      <c r="H29" s="21">
        <f t="shared" si="2"/>
        <v>1</v>
      </c>
      <c r="I29" s="17"/>
      <c r="J29" s="17"/>
      <c r="K29" s="17"/>
      <c r="L29" s="21">
        <f t="shared" si="3"/>
        <v>0</v>
      </c>
      <c r="M29" s="22">
        <f t="shared" si="4"/>
        <v>1</v>
      </c>
      <c r="N29" s="24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15"/>
      <c r="B30" s="20"/>
      <c r="C30" s="15" t="s">
        <v>81</v>
      </c>
      <c r="D30" s="17">
        <v>1.0</v>
      </c>
      <c r="E30" s="17"/>
      <c r="F30" s="17"/>
      <c r="G30" s="17">
        <f t="shared" ref="G30:G35" si="8">N30+(N30*$G$2)</f>
        <v>8966026.16</v>
      </c>
      <c r="H30" s="21">
        <f t="shared" si="2"/>
        <v>1</v>
      </c>
      <c r="I30" s="17">
        <v>1.0</v>
      </c>
      <c r="J30" s="17"/>
      <c r="K30" s="17"/>
      <c r="L30" s="21">
        <f t="shared" si="3"/>
        <v>1</v>
      </c>
      <c r="M30" s="22">
        <f t="shared" si="4"/>
        <v>0</v>
      </c>
      <c r="N30" s="24">
        <f>8621179</f>
        <v>8621179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15"/>
      <c r="B31" s="20"/>
      <c r="C31" s="15" t="s">
        <v>87</v>
      </c>
      <c r="D31" s="17"/>
      <c r="E31" s="17"/>
      <c r="F31" s="17"/>
      <c r="G31" s="17">
        <f t="shared" si="8"/>
        <v>0</v>
      </c>
      <c r="H31" s="21">
        <f t="shared" si="2"/>
        <v>0</v>
      </c>
      <c r="I31" s="17"/>
      <c r="J31" s="17"/>
      <c r="K31" s="17"/>
      <c r="L31" s="21">
        <f t="shared" si="3"/>
        <v>0</v>
      </c>
      <c r="M31" s="22">
        <f t="shared" si="4"/>
        <v>0</v>
      </c>
      <c r="N31" s="24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15"/>
      <c r="B32" s="20"/>
      <c r="C32" s="15" t="s">
        <v>41</v>
      </c>
      <c r="D32" s="17"/>
      <c r="E32" s="17"/>
      <c r="F32" s="17"/>
      <c r="G32" s="17">
        <f t="shared" si="8"/>
        <v>0</v>
      </c>
      <c r="H32" s="21">
        <f t="shared" si="2"/>
        <v>0</v>
      </c>
      <c r="I32" s="17"/>
      <c r="J32" s="17"/>
      <c r="K32" s="17"/>
      <c r="L32" s="21">
        <f t="shared" si="3"/>
        <v>0</v>
      </c>
      <c r="M32" s="22">
        <f t="shared" si="4"/>
        <v>0</v>
      </c>
      <c r="N32" s="24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15" t="s">
        <v>114</v>
      </c>
      <c r="B33" s="20" t="s">
        <v>114</v>
      </c>
      <c r="C33" s="15" t="s">
        <v>73</v>
      </c>
      <c r="D33" s="17"/>
      <c r="E33" s="17">
        <v>1.0</v>
      </c>
      <c r="F33" s="17"/>
      <c r="G33" s="17">
        <f t="shared" si="8"/>
        <v>14847997.84</v>
      </c>
      <c r="H33" s="21">
        <f t="shared" si="2"/>
        <v>1</v>
      </c>
      <c r="I33" s="17"/>
      <c r="J33" s="17">
        <v>1.0</v>
      </c>
      <c r="K33" s="17"/>
      <c r="L33" s="21">
        <f t="shared" si="3"/>
        <v>1</v>
      </c>
      <c r="M33" s="22">
        <f t="shared" si="4"/>
        <v>0</v>
      </c>
      <c r="N33" s="24">
        <f>14276921</f>
        <v>14276921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15"/>
      <c r="B34" s="20"/>
      <c r="C34" s="15" t="s">
        <v>81</v>
      </c>
      <c r="D34" s="17">
        <v>1.0</v>
      </c>
      <c r="E34" s="17"/>
      <c r="F34" s="17"/>
      <c r="G34" s="17">
        <f t="shared" si="8"/>
        <v>10504840.32</v>
      </c>
      <c r="H34" s="21">
        <f t="shared" si="2"/>
        <v>1</v>
      </c>
      <c r="I34" s="17">
        <v>1.0</v>
      </c>
      <c r="J34" s="17"/>
      <c r="K34" s="17"/>
      <c r="L34" s="21">
        <f t="shared" si="3"/>
        <v>1</v>
      </c>
      <c r="M34" s="22">
        <f t="shared" si="4"/>
        <v>0</v>
      </c>
      <c r="N34" s="24">
        <f>10100808</f>
        <v>10100808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15"/>
      <c r="B35" s="20"/>
      <c r="C35" s="15" t="s">
        <v>87</v>
      </c>
      <c r="D35" s="17"/>
      <c r="E35" s="17"/>
      <c r="F35" s="17"/>
      <c r="G35" s="17">
        <f t="shared" si="8"/>
        <v>0</v>
      </c>
      <c r="H35" s="21">
        <f t="shared" si="2"/>
        <v>0</v>
      </c>
      <c r="I35" s="17"/>
      <c r="J35" s="17"/>
      <c r="K35" s="17"/>
      <c r="L35" s="21">
        <f t="shared" si="3"/>
        <v>0</v>
      </c>
      <c r="M35" s="22">
        <f t="shared" si="4"/>
        <v>0</v>
      </c>
      <c r="N35" s="24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15"/>
      <c r="B36" s="20"/>
      <c r="C36" s="15" t="s">
        <v>41</v>
      </c>
      <c r="D36" s="17">
        <v>4.0</v>
      </c>
      <c r="E36" s="17">
        <v>1.0</v>
      </c>
      <c r="F36" s="17"/>
      <c r="G36" s="17">
        <f>N36+(N36*$G$2)+6000000</f>
        <v>31291958.64</v>
      </c>
      <c r="H36" s="21">
        <f t="shared" si="2"/>
        <v>5</v>
      </c>
      <c r="I36" s="17">
        <v>4.0</v>
      </c>
      <c r="J36" s="17"/>
      <c r="K36" s="17"/>
      <c r="L36" s="21">
        <f t="shared" si="3"/>
        <v>4</v>
      </c>
      <c r="M36" s="22">
        <f t="shared" si="4"/>
        <v>1</v>
      </c>
      <c r="N36" s="24">
        <f>5781877+5872954+6280752+6383608</f>
        <v>24319191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15" t="s">
        <v>173</v>
      </c>
      <c r="B37" s="20" t="s">
        <v>173</v>
      </c>
      <c r="C37" s="15" t="s">
        <v>73</v>
      </c>
      <c r="D37" s="17">
        <v>1.0</v>
      </c>
      <c r="E37" s="17">
        <v>1.0</v>
      </c>
      <c r="F37" s="17"/>
      <c r="G37" s="17">
        <f t="shared" ref="G37:G44" si="9">N37+(N37*$G$2)</f>
        <v>26454286.56</v>
      </c>
      <c r="H37" s="21">
        <f t="shared" si="2"/>
        <v>2</v>
      </c>
      <c r="I37" s="17">
        <v>1.0</v>
      </c>
      <c r="J37" s="17">
        <v>1.0</v>
      </c>
      <c r="K37" s="17"/>
      <c r="L37" s="21">
        <f t="shared" si="3"/>
        <v>2</v>
      </c>
      <c r="M37" s="22">
        <f t="shared" si="4"/>
        <v>0</v>
      </c>
      <c r="N37" s="24">
        <f>9936814+15500000</f>
        <v>25436814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15"/>
      <c r="B38" s="20"/>
      <c r="C38" s="15" t="s">
        <v>81</v>
      </c>
      <c r="D38" s="17"/>
      <c r="E38" s="17"/>
      <c r="F38" s="17"/>
      <c r="G38" s="17">
        <f t="shared" si="9"/>
        <v>0</v>
      </c>
      <c r="H38" s="21">
        <f t="shared" si="2"/>
        <v>0</v>
      </c>
      <c r="I38" s="17"/>
      <c r="J38" s="17"/>
      <c r="K38" s="17"/>
      <c r="L38" s="21">
        <f t="shared" si="3"/>
        <v>0</v>
      </c>
      <c r="M38" s="22">
        <f t="shared" si="4"/>
        <v>0</v>
      </c>
      <c r="N38" s="24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15"/>
      <c r="B39" s="20"/>
      <c r="C39" s="15" t="s">
        <v>87</v>
      </c>
      <c r="D39" s="17"/>
      <c r="E39" s="17"/>
      <c r="F39" s="17"/>
      <c r="G39" s="17">
        <f t="shared" si="9"/>
        <v>0</v>
      </c>
      <c r="H39" s="21">
        <f t="shared" si="2"/>
        <v>0</v>
      </c>
      <c r="I39" s="17"/>
      <c r="J39" s="17"/>
      <c r="K39" s="17"/>
      <c r="L39" s="21">
        <f t="shared" si="3"/>
        <v>0</v>
      </c>
      <c r="M39" s="22">
        <f t="shared" si="4"/>
        <v>0</v>
      </c>
      <c r="N39" s="24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15"/>
      <c r="B40" s="20"/>
      <c r="C40" s="15" t="s">
        <v>41</v>
      </c>
      <c r="D40" s="17"/>
      <c r="E40" s="17"/>
      <c r="F40" s="17"/>
      <c r="G40" s="17">
        <f t="shared" si="9"/>
        <v>0</v>
      </c>
      <c r="H40" s="21">
        <f t="shared" si="2"/>
        <v>0</v>
      </c>
      <c r="I40" s="17"/>
      <c r="J40" s="17"/>
      <c r="K40" s="17"/>
      <c r="L40" s="21">
        <f t="shared" si="3"/>
        <v>0</v>
      </c>
      <c r="M40" s="22">
        <f t="shared" si="4"/>
        <v>0</v>
      </c>
      <c r="N40" s="24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15" t="s">
        <v>143</v>
      </c>
      <c r="B41" s="20" t="s">
        <v>143</v>
      </c>
      <c r="C41" s="15" t="s">
        <v>73</v>
      </c>
      <c r="D41" s="17"/>
      <c r="E41" s="17"/>
      <c r="F41" s="17"/>
      <c r="G41" s="17">
        <f t="shared" si="9"/>
        <v>0</v>
      </c>
      <c r="H41" s="21">
        <f t="shared" si="2"/>
        <v>0</v>
      </c>
      <c r="I41" s="17"/>
      <c r="J41" s="17"/>
      <c r="K41" s="17"/>
      <c r="L41" s="21">
        <f t="shared" si="3"/>
        <v>0</v>
      </c>
      <c r="M41" s="22">
        <f t="shared" si="4"/>
        <v>0</v>
      </c>
      <c r="N41" s="24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15"/>
      <c r="B42" s="20"/>
      <c r="C42" s="15" t="s">
        <v>81</v>
      </c>
      <c r="D42" s="17"/>
      <c r="E42" s="17">
        <v>1.0</v>
      </c>
      <c r="F42" s="17"/>
      <c r="G42" s="17">
        <f t="shared" si="9"/>
        <v>6475110.72</v>
      </c>
      <c r="H42" s="21">
        <f t="shared" si="2"/>
        <v>1</v>
      </c>
      <c r="I42" s="17"/>
      <c r="J42" s="17">
        <v>1.0</v>
      </c>
      <c r="K42" s="17"/>
      <c r="L42" s="21">
        <f t="shared" si="3"/>
        <v>1</v>
      </c>
      <c r="M42" s="22">
        <f t="shared" si="4"/>
        <v>0</v>
      </c>
      <c r="N42" s="24">
        <f>6226068</f>
        <v>6226068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15"/>
      <c r="B43" s="20"/>
      <c r="C43" s="15" t="s">
        <v>87</v>
      </c>
      <c r="D43" s="17"/>
      <c r="E43" s="17"/>
      <c r="F43" s="17"/>
      <c r="G43" s="17">
        <f t="shared" si="9"/>
        <v>0</v>
      </c>
      <c r="H43" s="21">
        <f t="shared" si="2"/>
        <v>0</v>
      </c>
      <c r="I43" s="17"/>
      <c r="J43" s="17"/>
      <c r="K43" s="17"/>
      <c r="L43" s="21">
        <f t="shared" si="3"/>
        <v>0</v>
      </c>
      <c r="M43" s="22">
        <f t="shared" si="4"/>
        <v>0</v>
      </c>
      <c r="N43" s="24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15"/>
      <c r="B44" s="20"/>
      <c r="C44" s="15" t="s">
        <v>41</v>
      </c>
      <c r="D44" s="17">
        <v>1.0</v>
      </c>
      <c r="E44" s="17">
        <v>1.0</v>
      </c>
      <c r="F44" s="17"/>
      <c r="G44" s="17">
        <f t="shared" si="9"/>
        <v>11933040.08</v>
      </c>
      <c r="H44" s="21">
        <f t="shared" si="2"/>
        <v>2</v>
      </c>
      <c r="I44" s="17">
        <v>1.0</v>
      </c>
      <c r="J44" s="17">
        <v>1.0</v>
      </c>
      <c r="K44" s="17"/>
      <c r="L44" s="21">
        <f t="shared" si="3"/>
        <v>2</v>
      </c>
      <c r="M44" s="22">
        <f t="shared" si="4"/>
        <v>0</v>
      </c>
      <c r="N44" s="24">
        <f>6009168+5464909</f>
        <v>11474077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15" t="s">
        <v>153</v>
      </c>
      <c r="B45" s="20" t="s">
        <v>153</v>
      </c>
      <c r="C45" s="15" t="s">
        <v>73</v>
      </c>
      <c r="D45" s="17"/>
      <c r="E45" s="17">
        <v>1.0</v>
      </c>
      <c r="F45" s="17"/>
      <c r="G45" s="17">
        <v>1.1E7</v>
      </c>
      <c r="H45" s="21">
        <f t="shared" si="2"/>
        <v>1</v>
      </c>
      <c r="I45" s="17"/>
      <c r="J45" s="17"/>
      <c r="K45" s="17"/>
      <c r="L45" s="21">
        <f t="shared" si="3"/>
        <v>0</v>
      </c>
      <c r="M45" s="22">
        <f t="shared" si="4"/>
        <v>1</v>
      </c>
      <c r="N45" s="24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15"/>
      <c r="B46" s="20"/>
      <c r="C46" s="15" t="s">
        <v>81</v>
      </c>
      <c r="D46" s="17"/>
      <c r="E46" s="17"/>
      <c r="F46" s="17"/>
      <c r="G46" s="17">
        <f t="shared" ref="G46:G56" si="10">N46+(N46*$G$2)</f>
        <v>0</v>
      </c>
      <c r="H46" s="21">
        <f t="shared" si="2"/>
        <v>0</v>
      </c>
      <c r="I46" s="17"/>
      <c r="J46" s="17"/>
      <c r="K46" s="17"/>
      <c r="L46" s="21">
        <f t="shared" si="3"/>
        <v>0</v>
      </c>
      <c r="M46" s="22">
        <f t="shared" si="4"/>
        <v>0</v>
      </c>
      <c r="N46" s="24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15"/>
      <c r="B47" s="20"/>
      <c r="C47" s="15" t="s">
        <v>87</v>
      </c>
      <c r="D47" s="17">
        <v>1.0</v>
      </c>
      <c r="E47" s="17"/>
      <c r="F47" s="17"/>
      <c r="G47" s="17">
        <f t="shared" si="10"/>
        <v>7100960.88</v>
      </c>
      <c r="H47" s="21">
        <f t="shared" si="2"/>
        <v>1</v>
      </c>
      <c r="I47" s="17">
        <v>1.0</v>
      </c>
      <c r="J47" s="17"/>
      <c r="K47" s="17"/>
      <c r="L47" s="21">
        <f t="shared" si="3"/>
        <v>1</v>
      </c>
      <c r="M47" s="22">
        <f t="shared" si="4"/>
        <v>0</v>
      </c>
      <c r="N47" s="24">
        <f>6827847</f>
        <v>6827847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15"/>
      <c r="B48" s="20"/>
      <c r="C48" s="15" t="s">
        <v>41</v>
      </c>
      <c r="D48" s="17"/>
      <c r="E48" s="17">
        <v>1.0</v>
      </c>
      <c r="F48" s="17"/>
      <c r="G48" s="17">
        <f t="shared" si="10"/>
        <v>5512000</v>
      </c>
      <c r="H48" s="21">
        <f t="shared" si="2"/>
        <v>1</v>
      </c>
      <c r="I48" s="17"/>
      <c r="J48" s="17">
        <v>1.0</v>
      </c>
      <c r="K48" s="17"/>
      <c r="L48" s="21">
        <f t="shared" si="3"/>
        <v>1</v>
      </c>
      <c r="M48" s="22">
        <f t="shared" si="4"/>
        <v>0</v>
      </c>
      <c r="N48" s="24">
        <f>5300000</f>
        <v>5300000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15"/>
      <c r="B49" s="20"/>
      <c r="C49" s="15" t="s">
        <v>184</v>
      </c>
      <c r="D49" s="17"/>
      <c r="E49" s="17">
        <v>1.0</v>
      </c>
      <c r="F49" s="17"/>
      <c r="G49" s="17">
        <f t="shared" si="10"/>
        <v>12365799.68</v>
      </c>
      <c r="H49" s="21">
        <f t="shared" si="2"/>
        <v>1</v>
      </c>
      <c r="I49" s="17"/>
      <c r="J49" s="17">
        <v>1.0</v>
      </c>
      <c r="K49" s="17"/>
      <c r="L49" s="21">
        <f t="shared" si="3"/>
        <v>1</v>
      </c>
      <c r="M49" s="22">
        <f t="shared" si="4"/>
        <v>0</v>
      </c>
      <c r="N49" s="24">
        <f>11890192</f>
        <v>11890192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15" t="s">
        <v>62</v>
      </c>
      <c r="B50" s="20" t="s">
        <v>62</v>
      </c>
      <c r="C50" s="15" t="s">
        <v>73</v>
      </c>
      <c r="D50" s="17"/>
      <c r="E50" s="17"/>
      <c r="F50" s="17"/>
      <c r="G50" s="17">
        <f t="shared" si="10"/>
        <v>0</v>
      </c>
      <c r="H50" s="21">
        <f t="shared" si="2"/>
        <v>0</v>
      </c>
      <c r="I50" s="17"/>
      <c r="J50" s="17"/>
      <c r="K50" s="17"/>
      <c r="L50" s="21">
        <f t="shared" si="3"/>
        <v>0</v>
      </c>
      <c r="M50" s="22">
        <f t="shared" si="4"/>
        <v>0</v>
      </c>
      <c r="N50" s="24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15"/>
      <c r="B51" s="20"/>
      <c r="C51" s="15" t="s">
        <v>81</v>
      </c>
      <c r="D51" s="17">
        <v>1.0</v>
      </c>
      <c r="E51" s="17">
        <v>1.0</v>
      </c>
      <c r="F51" s="17"/>
      <c r="G51" s="17">
        <f t="shared" si="10"/>
        <v>15311362.56</v>
      </c>
      <c r="H51" s="21">
        <f t="shared" si="2"/>
        <v>2</v>
      </c>
      <c r="I51" s="17">
        <v>1.0</v>
      </c>
      <c r="J51" s="17">
        <v>1.0</v>
      </c>
      <c r="K51" s="17"/>
      <c r="L51" s="21">
        <f t="shared" si="3"/>
        <v>2</v>
      </c>
      <c r="M51" s="22">
        <f t="shared" si="4"/>
        <v>0</v>
      </c>
      <c r="N51" s="24">
        <f>7722464+7000000</f>
        <v>14722464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15"/>
      <c r="B52" s="20"/>
      <c r="C52" s="15" t="s">
        <v>87</v>
      </c>
      <c r="D52" s="17">
        <v>1.0</v>
      </c>
      <c r="E52" s="17"/>
      <c r="F52" s="17"/>
      <c r="G52" s="17">
        <f t="shared" si="10"/>
        <v>3878572.88</v>
      </c>
      <c r="H52" s="21">
        <f t="shared" si="2"/>
        <v>1</v>
      </c>
      <c r="I52" s="17">
        <v>1.0</v>
      </c>
      <c r="J52" s="17"/>
      <c r="K52" s="17"/>
      <c r="L52" s="21">
        <f t="shared" si="3"/>
        <v>1</v>
      </c>
      <c r="M52" s="22">
        <f t="shared" si="4"/>
        <v>0</v>
      </c>
      <c r="N52" s="24">
        <f>3729397</f>
        <v>3729397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15"/>
      <c r="B53" s="20"/>
      <c r="C53" s="15" t="s">
        <v>41</v>
      </c>
      <c r="D53" s="17"/>
      <c r="E53" s="17">
        <v>1.0</v>
      </c>
      <c r="F53" s="17"/>
      <c r="G53" s="17">
        <f t="shared" si="10"/>
        <v>4983928.56</v>
      </c>
      <c r="H53" s="21">
        <f t="shared" si="2"/>
        <v>1</v>
      </c>
      <c r="I53" s="17"/>
      <c r="J53" s="17">
        <v>1.0</v>
      </c>
      <c r="K53" s="17"/>
      <c r="L53" s="21">
        <f t="shared" si="3"/>
        <v>1</v>
      </c>
      <c r="M53" s="22">
        <f t="shared" si="4"/>
        <v>0</v>
      </c>
      <c r="N53" s="24">
        <f>4792239</f>
        <v>4792239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15" t="s">
        <v>181</v>
      </c>
      <c r="B54" s="20" t="s">
        <v>133</v>
      </c>
      <c r="C54" s="15" t="s">
        <v>73</v>
      </c>
      <c r="D54" s="17"/>
      <c r="E54" s="17"/>
      <c r="F54" s="17"/>
      <c r="G54" s="17">
        <f t="shared" si="10"/>
        <v>0</v>
      </c>
      <c r="H54" s="21">
        <f t="shared" si="2"/>
        <v>0</v>
      </c>
      <c r="I54" s="17"/>
      <c r="J54" s="17"/>
      <c r="K54" s="17"/>
      <c r="L54" s="21">
        <f t="shared" si="3"/>
        <v>0</v>
      </c>
      <c r="M54" s="22">
        <f t="shared" si="4"/>
        <v>0</v>
      </c>
      <c r="N54" s="24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15"/>
      <c r="B55" s="20"/>
      <c r="C55" s="15" t="s">
        <v>81</v>
      </c>
      <c r="D55" s="17"/>
      <c r="E55" s="17"/>
      <c r="F55" s="17"/>
      <c r="G55" s="17">
        <f t="shared" si="10"/>
        <v>0</v>
      </c>
      <c r="H55" s="21">
        <f t="shared" si="2"/>
        <v>0</v>
      </c>
      <c r="I55" s="17"/>
      <c r="J55" s="17"/>
      <c r="K55" s="17"/>
      <c r="L55" s="21">
        <f t="shared" si="3"/>
        <v>0</v>
      </c>
      <c r="M55" s="22">
        <f t="shared" si="4"/>
        <v>0</v>
      </c>
      <c r="N55" s="24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15"/>
      <c r="B56" s="20"/>
      <c r="C56" s="15" t="s">
        <v>87</v>
      </c>
      <c r="D56" s="17"/>
      <c r="E56" s="17"/>
      <c r="F56" s="17"/>
      <c r="G56" s="17">
        <f t="shared" si="10"/>
        <v>0</v>
      </c>
      <c r="H56" s="21">
        <f t="shared" si="2"/>
        <v>0</v>
      </c>
      <c r="I56" s="17"/>
      <c r="J56" s="17"/>
      <c r="K56" s="17"/>
      <c r="L56" s="21">
        <f t="shared" si="3"/>
        <v>0</v>
      </c>
      <c r="M56" s="22">
        <f t="shared" si="4"/>
        <v>0</v>
      </c>
      <c r="N56" s="24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15"/>
      <c r="B57" s="20"/>
      <c r="C57" s="15" t="s">
        <v>41</v>
      </c>
      <c r="D57" s="17"/>
      <c r="E57" s="17">
        <v>2.0</v>
      </c>
      <c r="F57" s="17"/>
      <c r="G57" s="17">
        <f>N57+(N57*$G$2)+5750000</f>
        <v>12250000</v>
      </c>
      <c r="H57" s="21">
        <f t="shared" si="2"/>
        <v>2</v>
      </c>
      <c r="I57" s="17"/>
      <c r="J57" s="17">
        <v>1.0</v>
      </c>
      <c r="K57" s="17"/>
      <c r="L57" s="21">
        <f t="shared" si="3"/>
        <v>1</v>
      </c>
      <c r="M57" s="22">
        <f t="shared" si="4"/>
        <v>1</v>
      </c>
      <c r="N57" s="24">
        <f>6250000</f>
        <v>6250000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15"/>
      <c r="B58" s="20" t="s">
        <v>103</v>
      </c>
      <c r="C58" s="15" t="s">
        <v>73</v>
      </c>
      <c r="D58" s="17">
        <v>1.0</v>
      </c>
      <c r="E58" s="17"/>
      <c r="F58" s="17"/>
      <c r="G58" s="17">
        <f t="shared" ref="G58:G64" si="11">N58+(N58*$G$2)</f>
        <v>15902533.92</v>
      </c>
      <c r="H58" s="21">
        <f t="shared" si="2"/>
        <v>1</v>
      </c>
      <c r="I58" s="17">
        <v>1.0</v>
      </c>
      <c r="J58" s="17"/>
      <c r="K58" s="17"/>
      <c r="L58" s="21">
        <f t="shared" si="3"/>
        <v>1</v>
      </c>
      <c r="M58" s="22">
        <f t="shared" si="4"/>
        <v>0</v>
      </c>
      <c r="N58" s="24">
        <f>15290898</f>
        <v>15290898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15"/>
      <c r="B59" s="20"/>
      <c r="C59" s="15" t="s">
        <v>81</v>
      </c>
      <c r="D59" s="17">
        <v>1.0</v>
      </c>
      <c r="E59" s="17"/>
      <c r="F59" s="17"/>
      <c r="G59" s="17">
        <f t="shared" si="11"/>
        <v>7877257.44</v>
      </c>
      <c r="H59" s="21">
        <f t="shared" si="2"/>
        <v>1</v>
      </c>
      <c r="I59" s="17">
        <v>1.0</v>
      </c>
      <c r="J59" s="17"/>
      <c r="K59" s="17"/>
      <c r="L59" s="21">
        <f t="shared" si="3"/>
        <v>1</v>
      </c>
      <c r="M59" s="22">
        <f t="shared" si="4"/>
        <v>0</v>
      </c>
      <c r="N59" s="24">
        <f>7574286</f>
        <v>7574286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15"/>
      <c r="B60" s="20"/>
      <c r="C60" s="15" t="s">
        <v>87</v>
      </c>
      <c r="D60" s="17"/>
      <c r="E60" s="17"/>
      <c r="F60" s="17"/>
      <c r="G60" s="17">
        <f t="shared" si="11"/>
        <v>0</v>
      </c>
      <c r="H60" s="21">
        <f t="shared" si="2"/>
        <v>0</v>
      </c>
      <c r="I60" s="17"/>
      <c r="J60" s="17"/>
      <c r="K60" s="17"/>
      <c r="L60" s="21">
        <f t="shared" si="3"/>
        <v>0</v>
      </c>
      <c r="M60" s="22">
        <f t="shared" si="4"/>
        <v>0</v>
      </c>
      <c r="N60" s="24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15"/>
      <c r="B61" s="20"/>
      <c r="C61" s="15" t="s">
        <v>41</v>
      </c>
      <c r="D61" s="17"/>
      <c r="E61" s="17">
        <v>1.0</v>
      </c>
      <c r="F61" s="17"/>
      <c r="G61" s="17">
        <f t="shared" si="11"/>
        <v>5783946.48</v>
      </c>
      <c r="H61" s="21">
        <f t="shared" si="2"/>
        <v>1</v>
      </c>
      <c r="I61" s="17"/>
      <c r="J61" s="17">
        <v>1.0</v>
      </c>
      <c r="K61" s="17"/>
      <c r="L61" s="21">
        <f t="shared" si="3"/>
        <v>1</v>
      </c>
      <c r="M61" s="22">
        <f t="shared" si="4"/>
        <v>0</v>
      </c>
      <c r="N61" s="24">
        <f>5561487</f>
        <v>5561487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15" t="s">
        <v>190</v>
      </c>
      <c r="B62" s="20" t="s">
        <v>190</v>
      </c>
      <c r="C62" s="15" t="s">
        <v>73</v>
      </c>
      <c r="D62" s="17"/>
      <c r="E62" s="17"/>
      <c r="F62" s="17"/>
      <c r="G62" s="17">
        <f t="shared" si="11"/>
        <v>0</v>
      </c>
      <c r="H62" s="21">
        <f t="shared" si="2"/>
        <v>0</v>
      </c>
      <c r="I62" s="17"/>
      <c r="J62" s="17"/>
      <c r="K62" s="17"/>
      <c r="L62" s="21">
        <f t="shared" si="3"/>
        <v>0</v>
      </c>
      <c r="M62" s="22">
        <f t="shared" si="4"/>
        <v>0</v>
      </c>
      <c r="N62" s="24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15"/>
      <c r="B63" s="20"/>
      <c r="C63" s="15" t="s">
        <v>81</v>
      </c>
      <c r="D63" s="17"/>
      <c r="E63" s="17"/>
      <c r="F63" s="17"/>
      <c r="G63" s="17">
        <f t="shared" si="11"/>
        <v>0</v>
      </c>
      <c r="H63" s="21">
        <f t="shared" si="2"/>
        <v>0</v>
      </c>
      <c r="I63" s="17"/>
      <c r="J63" s="17"/>
      <c r="K63" s="17"/>
      <c r="L63" s="21">
        <f t="shared" si="3"/>
        <v>0</v>
      </c>
      <c r="M63" s="22">
        <f t="shared" si="4"/>
        <v>0</v>
      </c>
      <c r="N63" s="24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15"/>
      <c r="B64" s="20"/>
      <c r="C64" s="15" t="s">
        <v>87</v>
      </c>
      <c r="D64" s="17"/>
      <c r="E64" s="17"/>
      <c r="F64" s="17"/>
      <c r="G64" s="17">
        <f t="shared" si="11"/>
        <v>0</v>
      </c>
      <c r="H64" s="21">
        <f t="shared" si="2"/>
        <v>0</v>
      </c>
      <c r="I64" s="17"/>
      <c r="J64" s="17"/>
      <c r="K64" s="17"/>
      <c r="L64" s="21">
        <f t="shared" si="3"/>
        <v>0</v>
      </c>
      <c r="M64" s="22">
        <f t="shared" si="4"/>
        <v>0</v>
      </c>
      <c r="N64" s="24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15"/>
      <c r="B65" s="20"/>
      <c r="C65" s="15" t="s">
        <v>41</v>
      </c>
      <c r="D65" s="17"/>
      <c r="E65" s="17">
        <v>2.0</v>
      </c>
      <c r="F65" s="17"/>
      <c r="G65" s="17">
        <f>N65+(N65*$G$2)+7850000</f>
        <v>16014000</v>
      </c>
      <c r="H65" s="21">
        <f t="shared" si="2"/>
        <v>2</v>
      </c>
      <c r="I65" s="17"/>
      <c r="J65" s="17">
        <v>1.0</v>
      </c>
      <c r="K65" s="17"/>
      <c r="L65" s="21">
        <f t="shared" si="3"/>
        <v>1</v>
      </c>
      <c r="M65" s="22">
        <f t="shared" si="4"/>
        <v>1</v>
      </c>
      <c r="N65" s="24">
        <f>7850000</f>
        <v>7850000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25" t="s">
        <v>182</v>
      </c>
      <c r="B66" s="25"/>
      <c r="C66" s="25"/>
      <c r="D66" s="26">
        <f t="shared" ref="D66:N66" si="12">SUM(D6:D65)</f>
        <v>26</v>
      </c>
      <c r="E66" s="26">
        <f t="shared" si="12"/>
        <v>21</v>
      </c>
      <c r="F66" s="26">
        <f t="shared" si="12"/>
        <v>1</v>
      </c>
      <c r="G66" s="26">
        <f t="shared" si="12"/>
        <v>515122382.2</v>
      </c>
      <c r="H66" s="26">
        <f t="shared" si="12"/>
        <v>48</v>
      </c>
      <c r="I66" s="26">
        <f t="shared" si="12"/>
        <v>25</v>
      </c>
      <c r="J66" s="26">
        <f t="shared" si="12"/>
        <v>14</v>
      </c>
      <c r="K66" s="26">
        <f t="shared" si="12"/>
        <v>1</v>
      </c>
      <c r="L66" s="26">
        <f t="shared" si="12"/>
        <v>40</v>
      </c>
      <c r="M66" s="26">
        <f t="shared" si="12"/>
        <v>8</v>
      </c>
      <c r="N66" s="26">
        <f t="shared" si="12"/>
        <v>435213829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4"/>
      <c r="B67" s="4"/>
      <c r="C67" s="4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4"/>
      <c r="B68" s="4"/>
      <c r="C68" s="4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32" t="s">
        <v>204</v>
      </c>
      <c r="B69" s="4"/>
      <c r="C69" s="4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33" t="s">
        <v>208</v>
      </c>
      <c r="B70" s="34" t="s">
        <v>11</v>
      </c>
      <c r="C70" s="10"/>
      <c r="D70" s="34" t="s">
        <v>14</v>
      </c>
      <c r="E70" s="10"/>
      <c r="F70" s="31"/>
      <c r="G70" s="31"/>
      <c r="H70" s="31"/>
      <c r="I70" s="31"/>
      <c r="J70" s="31"/>
      <c r="K70" s="31"/>
      <c r="L70" s="31"/>
      <c r="M70" s="31"/>
      <c r="N70" s="31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35"/>
      <c r="B71" s="13" t="s">
        <v>214</v>
      </c>
      <c r="C71" s="13" t="s">
        <v>215</v>
      </c>
      <c r="D71" s="13" t="s">
        <v>214</v>
      </c>
      <c r="E71" s="13" t="s">
        <v>215</v>
      </c>
      <c r="F71" s="31"/>
      <c r="G71" s="31"/>
      <c r="H71" s="31"/>
      <c r="I71" s="31"/>
      <c r="J71" s="31"/>
      <c r="K71" s="31"/>
      <c r="L71" s="31"/>
      <c r="M71" s="31"/>
      <c r="N71" s="31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36" t="s">
        <v>37</v>
      </c>
      <c r="B72" s="17">
        <f>D66</f>
        <v>26</v>
      </c>
      <c r="C72" s="37">
        <f>E72+(5%*E72)</f>
        <v>338985418.8</v>
      </c>
      <c r="D72" s="17">
        <f>I66</f>
        <v>25</v>
      </c>
      <c r="E72" s="37">
        <f>308393256+14450000</f>
        <v>322843256</v>
      </c>
      <c r="F72" s="31"/>
      <c r="G72" s="31"/>
      <c r="H72" s="31"/>
      <c r="I72" s="31"/>
      <c r="J72" s="31"/>
      <c r="K72" s="31"/>
      <c r="L72" s="31"/>
      <c r="M72" s="31"/>
      <c r="N72" s="31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36" t="s">
        <v>222</v>
      </c>
      <c r="B73" s="17">
        <f>E66</f>
        <v>21</v>
      </c>
      <c r="C73" s="37">
        <f>E73+(5%*E73)+7850000+5750000+11000000+6000000+10000000+12000000+4900000+5000000</f>
        <v>194874101.7</v>
      </c>
      <c r="D73" s="17">
        <f>J66</f>
        <v>14</v>
      </c>
      <c r="E73" s="37">
        <f>122320573+3750000</f>
        <v>126070573</v>
      </c>
      <c r="F73" s="31"/>
      <c r="G73" s="31"/>
      <c r="H73" s="31"/>
      <c r="I73" s="31"/>
      <c r="J73" s="31"/>
      <c r="K73" s="31"/>
      <c r="L73" s="31"/>
      <c r="M73" s="31"/>
      <c r="N73" s="31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36" t="s">
        <v>226</v>
      </c>
      <c r="B74" s="17">
        <f>F66</f>
        <v>1</v>
      </c>
      <c r="C74" s="37">
        <f>E74+(5%*E74)</f>
        <v>4725000</v>
      </c>
      <c r="D74" s="17">
        <f>K66</f>
        <v>1</v>
      </c>
      <c r="E74" s="37">
        <v>4500000.0</v>
      </c>
      <c r="F74" s="31"/>
      <c r="G74" s="31"/>
      <c r="H74" s="31"/>
      <c r="I74" s="31"/>
      <c r="J74" s="31"/>
      <c r="K74" s="31"/>
      <c r="L74" s="31"/>
      <c r="M74" s="31"/>
      <c r="N74" s="31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4"/>
      <c r="B75" s="38">
        <f t="shared" ref="B75:E75" si="13">SUM(B72:B74)</f>
        <v>48</v>
      </c>
      <c r="C75" s="39">
        <f t="shared" si="13"/>
        <v>538584520.5</v>
      </c>
      <c r="D75" s="21">
        <f t="shared" si="13"/>
        <v>40</v>
      </c>
      <c r="E75" s="40">
        <f t="shared" si="13"/>
        <v>453413829</v>
      </c>
      <c r="F75" s="31"/>
      <c r="G75" s="31"/>
      <c r="H75" s="31"/>
      <c r="I75" s="31"/>
      <c r="J75" s="31"/>
      <c r="K75" s="31"/>
      <c r="L75" s="31"/>
      <c r="M75" s="31"/>
      <c r="N75" s="31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36" t="s">
        <v>234</v>
      </c>
      <c r="B76" s="20" t="s">
        <v>235</v>
      </c>
      <c r="C76" s="40">
        <f>323812918.8+190936601.65</f>
        <v>514749520.5</v>
      </c>
      <c r="D76" s="4"/>
      <c r="E76" s="41"/>
      <c r="F76" s="31"/>
      <c r="G76" s="31"/>
      <c r="H76" s="31"/>
      <c r="I76" s="31"/>
      <c r="J76" s="31"/>
      <c r="K76" s="31"/>
      <c r="L76" s="31"/>
      <c r="M76" s="31"/>
      <c r="N76" s="31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11" t="s">
        <v>237</v>
      </c>
      <c r="B77" s="20" t="s">
        <v>235</v>
      </c>
      <c r="C77" s="42">
        <f>C75/12</f>
        <v>44882043.37</v>
      </c>
      <c r="D77" s="28"/>
      <c r="E77" s="2"/>
      <c r="F77" s="28"/>
      <c r="G77" s="28"/>
      <c r="H77" s="28"/>
      <c r="I77" s="2"/>
      <c r="J77" s="3"/>
      <c r="K77" s="2"/>
      <c r="L77" s="2"/>
      <c r="M77" s="5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11" t="s">
        <v>241</v>
      </c>
      <c r="B78" s="20" t="s">
        <v>235</v>
      </c>
      <c r="C78" s="42">
        <f>(10.89%*SUM(C72:C73))+(2%*C74)</f>
        <v>58231801.78</v>
      </c>
      <c r="D78" s="28"/>
      <c r="E78" s="2"/>
      <c r="F78" s="28"/>
      <c r="G78" s="28"/>
      <c r="H78" s="28"/>
      <c r="I78" s="2"/>
      <c r="J78" s="3"/>
      <c r="K78" s="2"/>
      <c r="L78" s="2"/>
      <c r="M78" s="5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11" t="s">
        <v>247</v>
      </c>
      <c r="B79" s="20" t="s">
        <v>235</v>
      </c>
      <c r="C79" s="42">
        <f>1%*SUM(C72:C73)</f>
        <v>5338595.205</v>
      </c>
      <c r="D79" s="28"/>
      <c r="E79" s="2"/>
      <c r="F79" s="28"/>
      <c r="G79" s="28"/>
      <c r="H79" s="28"/>
      <c r="I79" s="2"/>
      <c r="J79" s="3"/>
      <c r="K79" s="2"/>
      <c r="L79" s="2"/>
      <c r="M79" s="5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11" t="s">
        <v>251</v>
      </c>
      <c r="B80" s="20" t="s">
        <v>235</v>
      </c>
      <c r="C80" s="42">
        <f>1.5%*SUM(C72:C73)</f>
        <v>8007892.807</v>
      </c>
      <c r="D80" s="28"/>
      <c r="E80" s="2"/>
      <c r="F80" s="28"/>
      <c r="G80" s="28"/>
      <c r="H80" s="28"/>
      <c r="I80" s="2"/>
      <c r="J80" s="3"/>
      <c r="K80" s="2"/>
      <c r="L80" s="2"/>
      <c r="M80" s="5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1"/>
      <c r="B81" s="3"/>
      <c r="C81" s="44"/>
      <c r="D81" s="28"/>
      <c r="E81" s="2"/>
      <c r="F81" s="28"/>
      <c r="G81" s="28"/>
      <c r="H81" s="28"/>
      <c r="I81" s="2"/>
      <c r="J81" s="3"/>
      <c r="K81" s="2"/>
      <c r="L81" s="2"/>
      <c r="M81" s="5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1"/>
      <c r="B82" s="3"/>
      <c r="C82" s="44"/>
      <c r="D82" s="28"/>
      <c r="E82" s="2"/>
      <c r="F82" s="28"/>
      <c r="G82" s="28"/>
      <c r="H82" s="28"/>
      <c r="I82" s="2"/>
      <c r="J82" s="3"/>
      <c r="K82" s="2"/>
      <c r="L82" s="2"/>
      <c r="M82" s="5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/>
      <c r="B83" s="3"/>
      <c r="C83" s="2"/>
      <c r="D83" s="28"/>
      <c r="E83" s="2"/>
      <c r="F83" s="28"/>
      <c r="G83" s="28"/>
      <c r="H83" s="28"/>
      <c r="I83" s="2"/>
      <c r="J83" s="3"/>
      <c r="K83" s="2"/>
      <c r="L83" s="2"/>
      <c r="M83" s="5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3"/>
      <c r="C84" s="2"/>
      <c r="D84" s="28"/>
      <c r="E84" s="2"/>
      <c r="F84" s="28"/>
      <c r="G84" s="28"/>
      <c r="H84" s="28"/>
      <c r="I84" s="2"/>
      <c r="J84" s="3"/>
      <c r="K84" s="2"/>
      <c r="L84" s="2"/>
      <c r="M84" s="5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1" t="s">
        <v>2</v>
      </c>
      <c r="B85" s="3"/>
      <c r="C85" s="2"/>
      <c r="D85" s="28"/>
      <c r="E85" s="2"/>
      <c r="F85" s="28"/>
      <c r="G85" s="28"/>
      <c r="H85" s="28"/>
      <c r="I85" s="2"/>
      <c r="J85" s="3"/>
      <c r="K85" s="2"/>
      <c r="L85" s="2"/>
      <c r="M85" s="5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1" t="s">
        <v>254</v>
      </c>
      <c r="B86" s="3"/>
      <c r="C86" s="2"/>
      <c r="D86" s="28"/>
      <c r="E86" s="2"/>
      <c r="F86" s="28"/>
      <c r="G86" s="28"/>
      <c r="H86" s="28"/>
      <c r="I86" s="2"/>
      <c r="J86" s="4" t="s">
        <v>186</v>
      </c>
      <c r="K86" s="2"/>
      <c r="L86" s="2"/>
      <c r="M86" s="5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3"/>
      <c r="C87" s="2"/>
      <c r="D87" s="1">
        <f>SUBTOTAL(103,D89:D127)</f>
        <v>39</v>
      </c>
      <c r="E87" s="2"/>
      <c r="F87" s="28"/>
      <c r="G87" s="28"/>
      <c r="H87" s="28"/>
      <c r="I87" s="1" t="str">
        <f>SUBTOTAL(109,#REF!)</f>
        <v>#VALUE!</v>
      </c>
      <c r="J87" s="4" t="str">
        <f>D87+I87+D93</f>
        <v>#VALUE!</v>
      </c>
      <c r="K87" s="2"/>
      <c r="L87" s="2"/>
      <c r="M87" s="5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14" t="s">
        <v>255</v>
      </c>
      <c r="B88" s="20" t="s">
        <v>15</v>
      </c>
      <c r="C88" s="20" t="s">
        <v>256</v>
      </c>
      <c r="D88" s="20" t="s">
        <v>17</v>
      </c>
      <c r="E88" s="46" t="s">
        <v>18</v>
      </c>
      <c r="F88" s="20" t="s">
        <v>20</v>
      </c>
      <c r="G88" s="20" t="s">
        <v>21</v>
      </c>
      <c r="H88" s="14" t="s">
        <v>257</v>
      </c>
      <c r="I88" s="14" t="s">
        <v>258</v>
      </c>
      <c r="J88" s="20" t="s">
        <v>259</v>
      </c>
      <c r="K88" s="20" t="s">
        <v>260</v>
      </c>
      <c r="L88" s="47" t="s">
        <v>261</v>
      </c>
      <c r="M88" s="20" t="s">
        <v>262</v>
      </c>
      <c r="N88" s="20" t="s">
        <v>263</v>
      </c>
      <c r="O88" s="20" t="s">
        <v>264</v>
      </c>
      <c r="P88" s="20" t="s">
        <v>265</v>
      </c>
      <c r="Q88" s="20" t="s">
        <v>266</v>
      </c>
      <c r="R88" s="48">
        <v>45657.0</v>
      </c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14" t="s">
        <v>34</v>
      </c>
      <c r="B89" s="49">
        <v>1.0</v>
      </c>
      <c r="C89" s="49">
        <v>2214748.0</v>
      </c>
      <c r="D89" s="15" t="s">
        <v>51</v>
      </c>
      <c r="E89" s="46" t="s">
        <v>54</v>
      </c>
      <c r="F89" s="20" t="s">
        <v>267</v>
      </c>
      <c r="G89" s="20" t="s">
        <v>58</v>
      </c>
      <c r="H89" s="20" t="s">
        <v>37</v>
      </c>
      <c r="I89" s="50">
        <v>44713.0</v>
      </c>
      <c r="J89" s="49">
        <v>2024.0</v>
      </c>
      <c r="K89" s="20" t="s">
        <v>268</v>
      </c>
      <c r="L89" s="47" t="s">
        <v>269</v>
      </c>
      <c r="M89" s="20" t="s">
        <v>270</v>
      </c>
      <c r="N89" s="50">
        <v>32399.0</v>
      </c>
      <c r="O89" s="51">
        <f t="shared" ref="O89:O127" si="14">YEARFRAC(I89,$R$88,3)</f>
        <v>2.58630137</v>
      </c>
      <c r="P89" s="51">
        <f t="shared" ref="P89:P127" si="15">YEARFRAC(N89,$R$88,3)</f>
        <v>36.32328767</v>
      </c>
      <c r="Q89" s="14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14" t="s">
        <v>34</v>
      </c>
      <c r="B90" s="49">
        <f t="shared" ref="B90:B127" si="16">B89+1</f>
        <v>2</v>
      </c>
      <c r="C90" s="49">
        <v>1014326.0</v>
      </c>
      <c r="D90" s="15" t="s">
        <v>271</v>
      </c>
      <c r="E90" s="46" t="s">
        <v>272</v>
      </c>
      <c r="F90" s="20" t="s">
        <v>267</v>
      </c>
      <c r="G90" s="20" t="s">
        <v>58</v>
      </c>
      <c r="H90" s="20" t="s">
        <v>37</v>
      </c>
      <c r="I90" s="50">
        <v>40422.0</v>
      </c>
      <c r="J90" s="49">
        <v>2014.0</v>
      </c>
      <c r="K90" s="20" t="s">
        <v>273</v>
      </c>
      <c r="L90" s="47" t="s">
        <v>274</v>
      </c>
      <c r="M90" s="20" t="s">
        <v>270</v>
      </c>
      <c r="N90" s="50">
        <v>32614.0</v>
      </c>
      <c r="O90" s="51">
        <f t="shared" si="14"/>
        <v>14.34246575</v>
      </c>
      <c r="P90" s="51">
        <f t="shared" si="15"/>
        <v>35.73424658</v>
      </c>
      <c r="Q90" s="14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14" t="s">
        <v>34</v>
      </c>
      <c r="B91" s="49">
        <f t="shared" si="16"/>
        <v>3</v>
      </c>
      <c r="C91" s="49">
        <v>2114586.0</v>
      </c>
      <c r="D91" s="15" t="s">
        <v>39</v>
      </c>
      <c r="E91" s="46" t="s">
        <v>40</v>
      </c>
      <c r="F91" s="20" t="s">
        <v>95</v>
      </c>
      <c r="G91" s="20" t="s">
        <v>43</v>
      </c>
      <c r="H91" s="20" t="s">
        <v>167</v>
      </c>
      <c r="I91" s="50">
        <v>44409.0</v>
      </c>
      <c r="J91" s="14"/>
      <c r="K91" s="20" t="s">
        <v>275</v>
      </c>
      <c r="L91" s="47" t="s">
        <v>269</v>
      </c>
      <c r="M91" s="20" t="s">
        <v>276</v>
      </c>
      <c r="N91" s="50">
        <v>36554.0</v>
      </c>
      <c r="O91" s="51">
        <f t="shared" si="14"/>
        <v>3.419178082</v>
      </c>
      <c r="P91" s="51">
        <f t="shared" si="15"/>
        <v>24.93972603</v>
      </c>
      <c r="Q91" s="14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14" t="s">
        <v>34</v>
      </c>
      <c r="B92" s="49">
        <f t="shared" si="16"/>
        <v>4</v>
      </c>
      <c r="C92" s="49">
        <v>2314821.0</v>
      </c>
      <c r="D92" s="15" t="s">
        <v>189</v>
      </c>
      <c r="E92" s="46" t="s">
        <v>277</v>
      </c>
      <c r="F92" s="20" t="s">
        <v>267</v>
      </c>
      <c r="G92" s="20" t="s">
        <v>58</v>
      </c>
      <c r="H92" s="20" t="s">
        <v>60</v>
      </c>
      <c r="I92" s="50">
        <v>45170.0</v>
      </c>
      <c r="J92" s="14"/>
      <c r="K92" s="20" t="s">
        <v>275</v>
      </c>
      <c r="L92" s="47" t="s">
        <v>278</v>
      </c>
      <c r="M92" s="20" t="s">
        <v>270</v>
      </c>
      <c r="N92" s="50">
        <v>31222.0</v>
      </c>
      <c r="O92" s="51">
        <f t="shared" si="14"/>
        <v>1.334246575</v>
      </c>
      <c r="P92" s="51">
        <f t="shared" si="15"/>
        <v>39.54794521</v>
      </c>
      <c r="Q92" s="14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14" t="s">
        <v>279</v>
      </c>
      <c r="B93" s="49">
        <f t="shared" si="16"/>
        <v>5</v>
      </c>
      <c r="C93" s="49">
        <v>2114667.0</v>
      </c>
      <c r="D93" s="15" t="s">
        <v>112</v>
      </c>
      <c r="E93" s="46" t="s">
        <v>172</v>
      </c>
      <c r="F93" s="20" t="s">
        <v>32</v>
      </c>
      <c r="G93" s="20" t="s">
        <v>36</v>
      </c>
      <c r="H93" s="20" t="s">
        <v>50</v>
      </c>
      <c r="I93" s="50">
        <v>44409.0</v>
      </c>
      <c r="J93" s="14"/>
      <c r="K93" s="20" t="s">
        <v>280</v>
      </c>
      <c r="L93" s="47" t="s">
        <v>278</v>
      </c>
      <c r="M93" s="20" t="s">
        <v>270</v>
      </c>
      <c r="N93" s="50">
        <v>26877.0</v>
      </c>
      <c r="O93" s="51">
        <f t="shared" si="14"/>
        <v>3.419178082</v>
      </c>
      <c r="P93" s="51">
        <f t="shared" si="15"/>
        <v>51.45205479</v>
      </c>
      <c r="Q93" s="14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14" t="s">
        <v>279</v>
      </c>
      <c r="B94" s="49">
        <f t="shared" si="16"/>
        <v>6</v>
      </c>
      <c r="C94" s="49">
        <v>1914380.0</v>
      </c>
      <c r="D94" s="15" t="s">
        <v>281</v>
      </c>
      <c r="E94" s="46" t="s">
        <v>282</v>
      </c>
      <c r="F94" s="20" t="s">
        <v>32</v>
      </c>
      <c r="G94" s="20" t="s">
        <v>36</v>
      </c>
      <c r="H94" s="20" t="s">
        <v>37</v>
      </c>
      <c r="I94" s="50">
        <v>43647.0</v>
      </c>
      <c r="J94" s="49">
        <v>2020.0</v>
      </c>
      <c r="K94" s="20" t="s">
        <v>268</v>
      </c>
      <c r="L94" s="47" t="s">
        <v>283</v>
      </c>
      <c r="M94" s="20" t="s">
        <v>270</v>
      </c>
      <c r="N94" s="50">
        <v>33163.0</v>
      </c>
      <c r="O94" s="51">
        <f t="shared" si="14"/>
        <v>5.506849315</v>
      </c>
      <c r="P94" s="51">
        <f t="shared" si="15"/>
        <v>34.23013699</v>
      </c>
      <c r="Q94" s="14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14" t="s">
        <v>279</v>
      </c>
      <c r="B95" s="49">
        <f t="shared" si="16"/>
        <v>7</v>
      </c>
      <c r="C95" s="49">
        <v>2114668.0</v>
      </c>
      <c r="D95" s="15" t="s">
        <v>80</v>
      </c>
      <c r="E95" s="46" t="s">
        <v>82</v>
      </c>
      <c r="F95" s="20" t="s">
        <v>32</v>
      </c>
      <c r="G95" s="20" t="s">
        <v>36</v>
      </c>
      <c r="H95" s="20" t="s">
        <v>37</v>
      </c>
      <c r="I95" s="50">
        <v>44409.0</v>
      </c>
      <c r="J95" s="49">
        <v>2023.0</v>
      </c>
      <c r="K95" s="20" t="s">
        <v>273</v>
      </c>
      <c r="L95" s="47" t="s">
        <v>278</v>
      </c>
      <c r="M95" s="20" t="s">
        <v>270</v>
      </c>
      <c r="N95" s="50">
        <v>27905.0</v>
      </c>
      <c r="O95" s="51">
        <f t="shared" si="14"/>
        <v>3.419178082</v>
      </c>
      <c r="P95" s="51">
        <f t="shared" si="15"/>
        <v>48.63561644</v>
      </c>
      <c r="Q95" s="14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14" t="s">
        <v>279</v>
      </c>
      <c r="B96" s="49">
        <f t="shared" si="16"/>
        <v>8</v>
      </c>
      <c r="C96" s="49">
        <v>1601306.0</v>
      </c>
      <c r="D96" s="15" t="s">
        <v>35</v>
      </c>
      <c r="E96" s="46" t="s">
        <v>86</v>
      </c>
      <c r="F96" s="20" t="s">
        <v>32</v>
      </c>
      <c r="G96" s="20" t="s">
        <v>36</v>
      </c>
      <c r="H96" s="20" t="s">
        <v>37</v>
      </c>
      <c r="I96" s="50">
        <v>42644.0</v>
      </c>
      <c r="J96" s="49">
        <v>2017.0</v>
      </c>
      <c r="K96" s="20" t="s">
        <v>273</v>
      </c>
      <c r="L96" s="52"/>
      <c r="M96" s="20" t="s">
        <v>270</v>
      </c>
      <c r="N96" s="50">
        <v>27601.0</v>
      </c>
      <c r="O96" s="51">
        <f t="shared" si="14"/>
        <v>8.254794521</v>
      </c>
      <c r="P96" s="51">
        <f t="shared" si="15"/>
        <v>49.46849315</v>
      </c>
      <c r="Q96" s="14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14" t="s">
        <v>279</v>
      </c>
      <c r="B97" s="49">
        <f t="shared" si="16"/>
        <v>9</v>
      </c>
      <c r="C97" s="49">
        <v>9814663.0</v>
      </c>
      <c r="D97" s="15" t="s">
        <v>38</v>
      </c>
      <c r="E97" s="46" t="s">
        <v>92</v>
      </c>
      <c r="F97" s="20" t="s">
        <v>32</v>
      </c>
      <c r="G97" s="20" t="s">
        <v>36</v>
      </c>
      <c r="H97" s="20" t="s">
        <v>37</v>
      </c>
      <c r="I97" s="50">
        <v>36130.0</v>
      </c>
      <c r="J97" s="49">
        <v>2000.0</v>
      </c>
      <c r="K97" s="20" t="s">
        <v>284</v>
      </c>
      <c r="L97" s="47" t="s">
        <v>278</v>
      </c>
      <c r="M97" s="20" t="s">
        <v>276</v>
      </c>
      <c r="N97" s="50">
        <v>28420.0</v>
      </c>
      <c r="O97" s="51">
        <f t="shared" si="14"/>
        <v>26.10136986</v>
      </c>
      <c r="P97" s="51">
        <f t="shared" si="15"/>
        <v>47.22465753</v>
      </c>
      <c r="Q97" s="14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14" t="s">
        <v>279</v>
      </c>
      <c r="B98" s="49">
        <f t="shared" si="16"/>
        <v>10</v>
      </c>
      <c r="C98" s="49">
        <v>1814227.0</v>
      </c>
      <c r="D98" s="15" t="s">
        <v>44</v>
      </c>
      <c r="E98" s="46" t="s">
        <v>96</v>
      </c>
      <c r="F98" s="20" t="s">
        <v>32</v>
      </c>
      <c r="G98" s="20" t="s">
        <v>36</v>
      </c>
      <c r="H98" s="20" t="s">
        <v>37</v>
      </c>
      <c r="I98" s="50">
        <v>43282.0</v>
      </c>
      <c r="J98" s="49">
        <v>2018.0</v>
      </c>
      <c r="K98" s="20" t="s">
        <v>275</v>
      </c>
      <c r="L98" s="47" t="s">
        <v>283</v>
      </c>
      <c r="M98" s="20" t="s">
        <v>270</v>
      </c>
      <c r="N98" s="50">
        <v>24038.0</v>
      </c>
      <c r="O98" s="51">
        <f t="shared" si="14"/>
        <v>6.506849315</v>
      </c>
      <c r="P98" s="51">
        <f t="shared" si="15"/>
        <v>59.23013699</v>
      </c>
      <c r="Q98" s="14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14" t="s">
        <v>279</v>
      </c>
      <c r="B99" s="49">
        <f t="shared" si="16"/>
        <v>11</v>
      </c>
      <c r="C99" s="49">
        <v>2114587.0</v>
      </c>
      <c r="D99" s="15" t="s">
        <v>78</v>
      </c>
      <c r="E99" s="46" t="s">
        <v>101</v>
      </c>
      <c r="F99" s="20" t="s">
        <v>32</v>
      </c>
      <c r="G99" s="20" t="s">
        <v>36</v>
      </c>
      <c r="H99" s="20" t="s">
        <v>37</v>
      </c>
      <c r="I99" s="50">
        <v>44409.0</v>
      </c>
      <c r="J99" s="49">
        <v>2023.0</v>
      </c>
      <c r="K99" s="20" t="s">
        <v>268</v>
      </c>
      <c r="L99" s="47" t="s">
        <v>278</v>
      </c>
      <c r="M99" s="20" t="s">
        <v>276</v>
      </c>
      <c r="N99" s="50">
        <v>28453.0</v>
      </c>
      <c r="O99" s="51">
        <f t="shared" si="14"/>
        <v>3.419178082</v>
      </c>
      <c r="P99" s="51">
        <f t="shared" si="15"/>
        <v>47.13424658</v>
      </c>
      <c r="Q99" s="14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14" t="s">
        <v>279</v>
      </c>
      <c r="B100" s="49">
        <f t="shared" si="16"/>
        <v>12</v>
      </c>
      <c r="C100" s="49">
        <v>1000997.0</v>
      </c>
      <c r="D100" s="15" t="s">
        <v>106</v>
      </c>
      <c r="E100" s="46" t="s">
        <v>108</v>
      </c>
      <c r="F100" s="20" t="s">
        <v>32</v>
      </c>
      <c r="G100" s="20" t="s">
        <v>36</v>
      </c>
      <c r="H100" s="20" t="s">
        <v>37</v>
      </c>
      <c r="I100" s="50">
        <v>40483.0</v>
      </c>
      <c r="J100" s="49">
        <v>2015.0</v>
      </c>
      <c r="K100" s="20" t="s">
        <v>275</v>
      </c>
      <c r="L100" s="47" t="s">
        <v>278</v>
      </c>
      <c r="M100" s="20" t="s">
        <v>276</v>
      </c>
      <c r="N100" s="50">
        <v>32544.0</v>
      </c>
      <c r="O100" s="51">
        <f t="shared" si="14"/>
        <v>14.17534247</v>
      </c>
      <c r="P100" s="51">
        <f t="shared" si="15"/>
        <v>35.9260274</v>
      </c>
      <c r="Q100" s="14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14" t="s">
        <v>279</v>
      </c>
      <c r="B101" s="49">
        <f t="shared" si="16"/>
        <v>13</v>
      </c>
      <c r="C101" s="49">
        <v>1000986.0</v>
      </c>
      <c r="D101" s="15" t="s">
        <v>111</v>
      </c>
      <c r="E101" s="46" t="s">
        <v>113</v>
      </c>
      <c r="F101" s="20" t="s">
        <v>32</v>
      </c>
      <c r="G101" s="20" t="s">
        <v>36</v>
      </c>
      <c r="H101" s="20" t="s">
        <v>37</v>
      </c>
      <c r="I101" s="50">
        <v>40392.0</v>
      </c>
      <c r="J101" s="49">
        <v>2013.0</v>
      </c>
      <c r="K101" s="20" t="s">
        <v>285</v>
      </c>
      <c r="L101" s="47" t="s">
        <v>278</v>
      </c>
      <c r="M101" s="20" t="s">
        <v>270</v>
      </c>
      <c r="N101" s="50">
        <v>30009.0</v>
      </c>
      <c r="O101" s="51">
        <f t="shared" si="14"/>
        <v>14.42465753</v>
      </c>
      <c r="P101" s="51">
        <f t="shared" si="15"/>
        <v>42.87123288</v>
      </c>
      <c r="Q101" s="14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14" t="s">
        <v>279</v>
      </c>
      <c r="B102" s="49">
        <f t="shared" si="16"/>
        <v>14</v>
      </c>
      <c r="C102" s="49">
        <v>2114617.0</v>
      </c>
      <c r="D102" s="15" t="s">
        <v>89</v>
      </c>
      <c r="E102" s="46" t="s">
        <v>116</v>
      </c>
      <c r="F102" s="20" t="s">
        <v>32</v>
      </c>
      <c r="G102" s="20" t="s">
        <v>36</v>
      </c>
      <c r="H102" s="20" t="s">
        <v>37</v>
      </c>
      <c r="I102" s="50">
        <v>44409.0</v>
      </c>
      <c r="J102" s="49">
        <v>2023.0</v>
      </c>
      <c r="K102" s="20" t="s">
        <v>284</v>
      </c>
      <c r="L102" s="47" t="s">
        <v>278</v>
      </c>
      <c r="M102" s="20" t="s">
        <v>276</v>
      </c>
      <c r="N102" s="50">
        <v>28400.0</v>
      </c>
      <c r="O102" s="51">
        <f t="shared" si="14"/>
        <v>3.419178082</v>
      </c>
      <c r="P102" s="51">
        <f t="shared" si="15"/>
        <v>47.27945205</v>
      </c>
      <c r="Q102" s="14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14" t="s">
        <v>279</v>
      </c>
      <c r="B103" s="49">
        <f t="shared" si="16"/>
        <v>15</v>
      </c>
      <c r="C103" s="20" t="s">
        <v>286</v>
      </c>
      <c r="D103" s="15" t="s">
        <v>105</v>
      </c>
      <c r="E103" s="46" t="s">
        <v>287</v>
      </c>
      <c r="F103" s="20" t="s">
        <v>32</v>
      </c>
      <c r="G103" s="20" t="s">
        <v>36</v>
      </c>
      <c r="H103" s="20" t="s">
        <v>37</v>
      </c>
      <c r="I103" s="50">
        <v>36982.0</v>
      </c>
      <c r="J103" s="49">
        <v>2004.0</v>
      </c>
      <c r="K103" s="20" t="s">
        <v>285</v>
      </c>
      <c r="L103" s="47" t="s">
        <v>278</v>
      </c>
      <c r="M103" s="20" t="s">
        <v>270</v>
      </c>
      <c r="N103" s="50">
        <v>30024.0</v>
      </c>
      <c r="O103" s="51">
        <f t="shared" si="14"/>
        <v>23.76712329</v>
      </c>
      <c r="P103" s="51">
        <f t="shared" si="15"/>
        <v>42.83013699</v>
      </c>
      <c r="Q103" s="14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14" t="s">
        <v>279</v>
      </c>
      <c r="B104" s="49">
        <f t="shared" si="16"/>
        <v>16</v>
      </c>
      <c r="C104" s="49">
        <v>1814233.0</v>
      </c>
      <c r="D104" s="15" t="s">
        <v>118</v>
      </c>
      <c r="E104" s="46" t="s">
        <v>119</v>
      </c>
      <c r="F104" s="20" t="s">
        <v>32</v>
      </c>
      <c r="G104" s="20" t="s">
        <v>95</v>
      </c>
      <c r="H104" s="20" t="s">
        <v>37</v>
      </c>
      <c r="I104" s="50">
        <v>43304.0</v>
      </c>
      <c r="J104" s="49">
        <v>2019.0</v>
      </c>
      <c r="K104" s="20" t="s">
        <v>268</v>
      </c>
      <c r="L104" s="47" t="s">
        <v>283</v>
      </c>
      <c r="M104" s="20" t="s">
        <v>270</v>
      </c>
      <c r="N104" s="50">
        <v>31425.0</v>
      </c>
      <c r="O104" s="51">
        <f t="shared" si="14"/>
        <v>6.446575342</v>
      </c>
      <c r="P104" s="51">
        <f t="shared" si="15"/>
        <v>38.99178082</v>
      </c>
      <c r="Q104" s="14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14" t="s">
        <v>279</v>
      </c>
      <c r="B105" s="49">
        <f t="shared" si="16"/>
        <v>17</v>
      </c>
      <c r="C105" s="49">
        <v>1000979.0</v>
      </c>
      <c r="D105" s="15" t="s">
        <v>97</v>
      </c>
      <c r="E105" s="46" t="s">
        <v>124</v>
      </c>
      <c r="F105" s="20" t="s">
        <v>32</v>
      </c>
      <c r="G105" s="20" t="s">
        <v>36</v>
      </c>
      <c r="H105" s="20" t="s">
        <v>37</v>
      </c>
      <c r="I105" s="50">
        <v>40330.0</v>
      </c>
      <c r="J105" s="49">
        <v>2012.0</v>
      </c>
      <c r="K105" s="20" t="s">
        <v>273</v>
      </c>
      <c r="L105" s="47" t="s">
        <v>269</v>
      </c>
      <c r="M105" s="20" t="s">
        <v>270</v>
      </c>
      <c r="N105" s="50">
        <v>32020.0</v>
      </c>
      <c r="O105" s="51">
        <f t="shared" si="14"/>
        <v>14.59452055</v>
      </c>
      <c r="P105" s="51">
        <f t="shared" si="15"/>
        <v>37.36164384</v>
      </c>
      <c r="Q105" s="14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14" t="s">
        <v>279</v>
      </c>
      <c r="B106" s="49">
        <f t="shared" si="16"/>
        <v>18</v>
      </c>
      <c r="C106" s="49">
        <v>1601303.0</v>
      </c>
      <c r="D106" s="15" t="s">
        <v>85</v>
      </c>
      <c r="E106" s="46" t="s">
        <v>288</v>
      </c>
      <c r="F106" s="20" t="s">
        <v>32</v>
      </c>
      <c r="G106" s="20" t="s">
        <v>36</v>
      </c>
      <c r="H106" s="20" t="s">
        <v>37</v>
      </c>
      <c r="I106" s="50">
        <v>42627.0</v>
      </c>
      <c r="J106" s="49">
        <v>2019.0</v>
      </c>
      <c r="K106" s="20" t="s">
        <v>275</v>
      </c>
      <c r="L106" s="47" t="s">
        <v>278</v>
      </c>
      <c r="M106" s="20" t="s">
        <v>276</v>
      </c>
      <c r="N106" s="50">
        <v>34614.0</v>
      </c>
      <c r="O106" s="51">
        <f t="shared" si="14"/>
        <v>8.301369863</v>
      </c>
      <c r="P106" s="51">
        <f t="shared" si="15"/>
        <v>30.25479452</v>
      </c>
      <c r="Q106" s="14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14" t="s">
        <v>279</v>
      </c>
      <c r="B107" s="49">
        <f t="shared" si="16"/>
        <v>19</v>
      </c>
      <c r="C107" s="49">
        <v>1201284.0</v>
      </c>
      <c r="D107" s="15" t="s">
        <v>129</v>
      </c>
      <c r="E107" s="46" t="s">
        <v>130</v>
      </c>
      <c r="F107" s="20" t="s">
        <v>32</v>
      </c>
      <c r="G107" s="20" t="s">
        <v>36</v>
      </c>
      <c r="H107" s="20" t="s">
        <v>37</v>
      </c>
      <c r="I107" s="50">
        <v>42430.0</v>
      </c>
      <c r="J107" s="49">
        <v>2016.0</v>
      </c>
      <c r="K107" s="20" t="s">
        <v>273</v>
      </c>
      <c r="L107" s="47" t="s">
        <v>278</v>
      </c>
      <c r="M107" s="20" t="s">
        <v>270</v>
      </c>
      <c r="N107" s="50">
        <v>29491.0</v>
      </c>
      <c r="O107" s="51">
        <f t="shared" si="14"/>
        <v>8.84109589</v>
      </c>
      <c r="P107" s="51">
        <f t="shared" si="15"/>
        <v>44.29041096</v>
      </c>
      <c r="Q107" s="14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14" t="s">
        <v>279</v>
      </c>
      <c r="B108" s="49">
        <f t="shared" si="16"/>
        <v>20</v>
      </c>
      <c r="C108" s="20" t="s">
        <v>289</v>
      </c>
      <c r="D108" s="15" t="s">
        <v>141</v>
      </c>
      <c r="E108" s="46" t="s">
        <v>142</v>
      </c>
      <c r="F108" s="20" t="s">
        <v>32</v>
      </c>
      <c r="G108" s="20" t="s">
        <v>36</v>
      </c>
      <c r="H108" s="20" t="s">
        <v>37</v>
      </c>
      <c r="I108" s="50">
        <v>39766.0</v>
      </c>
      <c r="J108" s="49">
        <v>2011.0</v>
      </c>
      <c r="K108" s="20" t="s">
        <v>273</v>
      </c>
      <c r="L108" s="47" t="s">
        <v>278</v>
      </c>
      <c r="M108" s="20" t="s">
        <v>270</v>
      </c>
      <c r="N108" s="50">
        <v>30156.0</v>
      </c>
      <c r="O108" s="51">
        <f t="shared" si="14"/>
        <v>16.13972603</v>
      </c>
      <c r="P108" s="51">
        <f t="shared" si="15"/>
        <v>42.46849315</v>
      </c>
      <c r="Q108" s="14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14" t="s">
        <v>279</v>
      </c>
      <c r="B109" s="49">
        <f t="shared" si="16"/>
        <v>21</v>
      </c>
      <c r="C109" s="49">
        <v>2114545.0</v>
      </c>
      <c r="D109" s="15" t="s">
        <v>220</v>
      </c>
      <c r="E109" s="46" t="s">
        <v>148</v>
      </c>
      <c r="F109" s="20" t="s">
        <v>32</v>
      </c>
      <c r="G109" s="20" t="s">
        <v>36</v>
      </c>
      <c r="H109" s="20" t="s">
        <v>37</v>
      </c>
      <c r="I109" s="50">
        <v>44256.0</v>
      </c>
      <c r="J109" s="49">
        <v>2023.0</v>
      </c>
      <c r="K109" s="20" t="s">
        <v>275</v>
      </c>
      <c r="L109" s="47" t="s">
        <v>278</v>
      </c>
      <c r="M109" s="20" t="s">
        <v>276</v>
      </c>
      <c r="N109" s="50">
        <v>35300.0</v>
      </c>
      <c r="O109" s="51">
        <f t="shared" si="14"/>
        <v>3.838356164</v>
      </c>
      <c r="P109" s="51">
        <f t="shared" si="15"/>
        <v>28.37534247</v>
      </c>
      <c r="Q109" s="14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14" t="s">
        <v>279</v>
      </c>
      <c r="B110" s="49">
        <f t="shared" si="16"/>
        <v>22</v>
      </c>
      <c r="C110" s="49">
        <v>2314819.0</v>
      </c>
      <c r="D110" s="15" t="s">
        <v>242</v>
      </c>
      <c r="E110" s="46" t="s">
        <v>154</v>
      </c>
      <c r="F110" s="20" t="s">
        <v>32</v>
      </c>
      <c r="G110" s="20" t="s">
        <v>36</v>
      </c>
      <c r="H110" s="20" t="s">
        <v>37</v>
      </c>
      <c r="I110" s="50">
        <v>45139.0</v>
      </c>
      <c r="J110" s="49">
        <v>2024.0</v>
      </c>
      <c r="K110" s="20" t="s">
        <v>275</v>
      </c>
      <c r="L110" s="47" t="s">
        <v>278</v>
      </c>
      <c r="M110" s="20" t="s">
        <v>270</v>
      </c>
      <c r="N110" s="50">
        <v>35030.0</v>
      </c>
      <c r="O110" s="51">
        <f t="shared" si="14"/>
        <v>1.419178082</v>
      </c>
      <c r="P110" s="51">
        <f t="shared" si="15"/>
        <v>29.11506849</v>
      </c>
      <c r="Q110" s="14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14" t="s">
        <v>279</v>
      </c>
      <c r="B111" s="49">
        <f t="shared" si="16"/>
        <v>23</v>
      </c>
      <c r="C111" s="49">
        <v>1401204.0</v>
      </c>
      <c r="D111" s="15" t="s">
        <v>152</v>
      </c>
      <c r="E111" s="46" t="s">
        <v>154</v>
      </c>
      <c r="F111" s="20" t="s">
        <v>32</v>
      </c>
      <c r="G111" s="20" t="s">
        <v>36</v>
      </c>
      <c r="H111" s="20" t="s">
        <v>37</v>
      </c>
      <c r="I111" s="50">
        <v>41929.0</v>
      </c>
      <c r="J111" s="49">
        <v>2017.0</v>
      </c>
      <c r="K111" s="20" t="s">
        <v>273</v>
      </c>
      <c r="L111" s="47" t="s">
        <v>278</v>
      </c>
      <c r="M111" s="20" t="s">
        <v>270</v>
      </c>
      <c r="N111" s="50">
        <v>32977.0</v>
      </c>
      <c r="O111" s="51">
        <f t="shared" si="14"/>
        <v>10.21369863</v>
      </c>
      <c r="P111" s="51">
        <f t="shared" si="15"/>
        <v>34.73972603</v>
      </c>
      <c r="Q111" s="14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14" t="s">
        <v>279</v>
      </c>
      <c r="B112" s="49">
        <f t="shared" si="16"/>
        <v>24</v>
      </c>
      <c r="C112" s="49">
        <v>2214700.0</v>
      </c>
      <c r="D112" s="15" t="s">
        <v>128</v>
      </c>
      <c r="E112" s="46" t="s">
        <v>154</v>
      </c>
      <c r="F112" s="20" t="s">
        <v>32</v>
      </c>
      <c r="G112" s="20" t="s">
        <v>36</v>
      </c>
      <c r="H112" s="20" t="s">
        <v>37</v>
      </c>
      <c r="I112" s="50">
        <v>44562.0</v>
      </c>
      <c r="J112" s="49">
        <v>2022.0</v>
      </c>
      <c r="K112" s="20" t="s">
        <v>268</v>
      </c>
      <c r="L112" s="47" t="s">
        <v>278</v>
      </c>
      <c r="M112" s="20" t="s">
        <v>270</v>
      </c>
      <c r="N112" s="50">
        <v>32885.0</v>
      </c>
      <c r="O112" s="51">
        <f t="shared" si="14"/>
        <v>3</v>
      </c>
      <c r="P112" s="51">
        <f t="shared" si="15"/>
        <v>34.99178082</v>
      </c>
      <c r="Q112" s="14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14" t="s">
        <v>279</v>
      </c>
      <c r="B113" s="49">
        <f t="shared" si="16"/>
        <v>25</v>
      </c>
      <c r="C113" s="49">
        <v>1701340.0</v>
      </c>
      <c r="D113" s="15" t="s">
        <v>126</v>
      </c>
      <c r="E113" s="46" t="s">
        <v>154</v>
      </c>
      <c r="F113" s="20" t="s">
        <v>32</v>
      </c>
      <c r="G113" s="20" t="s">
        <v>36</v>
      </c>
      <c r="H113" s="20" t="s">
        <v>37</v>
      </c>
      <c r="I113" s="50">
        <v>42948.0</v>
      </c>
      <c r="J113" s="49">
        <v>2019.0</v>
      </c>
      <c r="K113" s="20" t="s">
        <v>284</v>
      </c>
      <c r="L113" s="47" t="s">
        <v>278</v>
      </c>
      <c r="M113" s="20" t="s">
        <v>270</v>
      </c>
      <c r="N113" s="50">
        <v>32898.0</v>
      </c>
      <c r="O113" s="51">
        <f t="shared" si="14"/>
        <v>7.421917808</v>
      </c>
      <c r="P113" s="51">
        <f t="shared" si="15"/>
        <v>34.95616438</v>
      </c>
      <c r="Q113" s="14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14" t="s">
        <v>279</v>
      </c>
      <c r="B114" s="49">
        <f t="shared" si="16"/>
        <v>26</v>
      </c>
      <c r="C114" s="49">
        <v>1401160.0</v>
      </c>
      <c r="D114" s="15" t="s">
        <v>93</v>
      </c>
      <c r="E114" s="46" t="s">
        <v>162</v>
      </c>
      <c r="F114" s="20" t="s">
        <v>32</v>
      </c>
      <c r="G114" s="20" t="s">
        <v>36</v>
      </c>
      <c r="H114" s="20" t="s">
        <v>37</v>
      </c>
      <c r="I114" s="50">
        <v>41641.0</v>
      </c>
      <c r="J114" s="49">
        <v>2016.0</v>
      </c>
      <c r="K114" s="20" t="s">
        <v>268</v>
      </c>
      <c r="L114" s="47" t="s">
        <v>278</v>
      </c>
      <c r="M114" s="20" t="s">
        <v>276</v>
      </c>
      <c r="N114" s="50">
        <v>32174.0</v>
      </c>
      <c r="O114" s="51">
        <f t="shared" si="14"/>
        <v>11.00273973</v>
      </c>
      <c r="P114" s="51">
        <f t="shared" si="15"/>
        <v>36.93972603</v>
      </c>
      <c r="Q114" s="14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14" t="s">
        <v>279</v>
      </c>
      <c r="B115" s="49">
        <f t="shared" si="16"/>
        <v>27</v>
      </c>
      <c r="C115" s="49">
        <v>1801356.0</v>
      </c>
      <c r="D115" s="15" t="s">
        <v>99</v>
      </c>
      <c r="E115" s="46" t="s">
        <v>163</v>
      </c>
      <c r="F115" s="20" t="s">
        <v>32</v>
      </c>
      <c r="G115" s="20" t="s">
        <v>36</v>
      </c>
      <c r="H115" s="20" t="s">
        <v>37</v>
      </c>
      <c r="I115" s="50">
        <v>43102.0</v>
      </c>
      <c r="J115" s="49">
        <v>2020.0</v>
      </c>
      <c r="K115" s="20" t="s">
        <v>273</v>
      </c>
      <c r="L115" s="47" t="s">
        <v>278</v>
      </c>
      <c r="M115" s="20" t="s">
        <v>270</v>
      </c>
      <c r="N115" s="50">
        <v>33704.0</v>
      </c>
      <c r="O115" s="51">
        <f t="shared" si="14"/>
        <v>7</v>
      </c>
      <c r="P115" s="51">
        <f t="shared" si="15"/>
        <v>32.74794521</v>
      </c>
      <c r="Q115" s="14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14" t="s">
        <v>279</v>
      </c>
      <c r="B116" s="49">
        <f t="shared" si="16"/>
        <v>28</v>
      </c>
      <c r="C116" s="49">
        <v>1401206.0</v>
      </c>
      <c r="D116" s="15" t="s">
        <v>159</v>
      </c>
      <c r="E116" s="46" t="s">
        <v>160</v>
      </c>
      <c r="F116" s="20" t="s">
        <v>32</v>
      </c>
      <c r="G116" s="20" t="s">
        <v>165</v>
      </c>
      <c r="H116" s="20" t="s">
        <v>37</v>
      </c>
      <c r="I116" s="50">
        <v>41982.0</v>
      </c>
      <c r="J116" s="49">
        <v>2016.0</v>
      </c>
      <c r="K116" s="20" t="s">
        <v>285</v>
      </c>
      <c r="L116" s="47" t="s">
        <v>283</v>
      </c>
      <c r="M116" s="20" t="s">
        <v>270</v>
      </c>
      <c r="N116" s="50">
        <v>33330.0</v>
      </c>
      <c r="O116" s="51">
        <f t="shared" si="14"/>
        <v>10.06849315</v>
      </c>
      <c r="P116" s="51">
        <f t="shared" si="15"/>
        <v>33.77260274</v>
      </c>
      <c r="Q116" s="14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14" t="s">
        <v>279</v>
      </c>
      <c r="B117" s="49">
        <f t="shared" si="16"/>
        <v>29</v>
      </c>
      <c r="C117" s="49">
        <v>2414886.0</v>
      </c>
      <c r="D117" s="15" t="s">
        <v>290</v>
      </c>
      <c r="E117" s="46" t="s">
        <v>291</v>
      </c>
      <c r="F117" s="20" t="s">
        <v>32</v>
      </c>
      <c r="G117" s="20" t="s">
        <v>36</v>
      </c>
      <c r="H117" s="20" t="s">
        <v>64</v>
      </c>
      <c r="I117" s="50">
        <v>45536.0</v>
      </c>
      <c r="J117" s="14"/>
      <c r="K117" s="20" t="s">
        <v>268</v>
      </c>
      <c r="L117" s="47" t="s">
        <v>278</v>
      </c>
      <c r="M117" s="20" t="s">
        <v>270</v>
      </c>
      <c r="N117" s="50">
        <v>35205.0</v>
      </c>
      <c r="O117" s="51">
        <f t="shared" si="14"/>
        <v>0.3315068493</v>
      </c>
      <c r="P117" s="51">
        <f t="shared" si="15"/>
        <v>28.63561644</v>
      </c>
      <c r="Q117" s="14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14" t="s">
        <v>279</v>
      </c>
      <c r="B118" s="49">
        <f t="shared" si="16"/>
        <v>30</v>
      </c>
      <c r="C118" s="49">
        <v>1914396.0</v>
      </c>
      <c r="D118" s="15" t="s">
        <v>66</v>
      </c>
      <c r="E118" s="46" t="s">
        <v>166</v>
      </c>
      <c r="F118" s="20" t="s">
        <v>32</v>
      </c>
      <c r="G118" s="20" t="s">
        <v>36</v>
      </c>
      <c r="H118" s="20" t="s">
        <v>64</v>
      </c>
      <c r="I118" s="50">
        <v>43709.0</v>
      </c>
      <c r="J118" s="14"/>
      <c r="K118" s="20" t="s">
        <v>273</v>
      </c>
      <c r="L118" s="47" t="s">
        <v>292</v>
      </c>
      <c r="M118" s="20" t="s">
        <v>270</v>
      </c>
      <c r="N118" s="50">
        <v>30769.0</v>
      </c>
      <c r="O118" s="51">
        <f t="shared" si="14"/>
        <v>5.336986301</v>
      </c>
      <c r="P118" s="51">
        <f t="shared" si="15"/>
        <v>40.7890411</v>
      </c>
      <c r="Q118" s="14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14" t="s">
        <v>279</v>
      </c>
      <c r="B119" s="49">
        <f t="shared" si="16"/>
        <v>31</v>
      </c>
      <c r="C119" s="49">
        <v>2414882.0</v>
      </c>
      <c r="D119" s="15" t="s">
        <v>293</v>
      </c>
      <c r="E119" s="46" t="s">
        <v>294</v>
      </c>
      <c r="F119" s="20" t="s">
        <v>32</v>
      </c>
      <c r="G119" s="20" t="s">
        <v>165</v>
      </c>
      <c r="H119" s="20" t="s">
        <v>64</v>
      </c>
      <c r="I119" s="50">
        <v>45474.0</v>
      </c>
      <c r="J119" s="14"/>
      <c r="K119" s="20" t="s">
        <v>275</v>
      </c>
      <c r="L119" s="47" t="s">
        <v>278</v>
      </c>
      <c r="M119" s="20" t="s">
        <v>270</v>
      </c>
      <c r="N119" s="50">
        <v>35410.0</v>
      </c>
      <c r="O119" s="51">
        <f t="shared" si="14"/>
        <v>0.501369863</v>
      </c>
      <c r="P119" s="51">
        <f t="shared" si="15"/>
        <v>28.0739726</v>
      </c>
      <c r="Q119" s="14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14" t="s">
        <v>279</v>
      </c>
      <c r="B120" s="49">
        <f t="shared" si="16"/>
        <v>32</v>
      </c>
      <c r="C120" s="49">
        <v>2214761.0</v>
      </c>
      <c r="D120" s="15" t="s">
        <v>229</v>
      </c>
      <c r="E120" s="46" t="s">
        <v>295</v>
      </c>
      <c r="F120" s="20" t="s">
        <v>32</v>
      </c>
      <c r="G120" s="20" t="s">
        <v>36</v>
      </c>
      <c r="H120" s="20" t="s">
        <v>167</v>
      </c>
      <c r="I120" s="50">
        <v>44835.0</v>
      </c>
      <c r="J120" s="14"/>
      <c r="K120" s="20" t="s">
        <v>284</v>
      </c>
      <c r="L120" s="47" t="s">
        <v>278</v>
      </c>
      <c r="M120" s="20" t="s">
        <v>270</v>
      </c>
      <c r="N120" s="50">
        <v>29923.0</v>
      </c>
      <c r="O120" s="51">
        <f t="shared" si="14"/>
        <v>2.252054795</v>
      </c>
      <c r="P120" s="51">
        <f t="shared" si="15"/>
        <v>43.10684932</v>
      </c>
      <c r="Q120" s="14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14" t="s">
        <v>279</v>
      </c>
      <c r="B121" s="49">
        <f t="shared" si="16"/>
        <v>33</v>
      </c>
      <c r="C121" s="49">
        <v>2314798.0</v>
      </c>
      <c r="D121" s="15" t="s">
        <v>296</v>
      </c>
      <c r="E121" s="46" t="s">
        <v>233</v>
      </c>
      <c r="F121" s="20" t="s">
        <v>32</v>
      </c>
      <c r="G121" s="20" t="s">
        <v>36</v>
      </c>
      <c r="H121" s="20" t="s">
        <v>60</v>
      </c>
      <c r="I121" s="50">
        <v>45047.0</v>
      </c>
      <c r="J121" s="14"/>
      <c r="K121" s="20" t="s">
        <v>275</v>
      </c>
      <c r="L121" s="47" t="s">
        <v>278</v>
      </c>
      <c r="M121" s="20" t="s">
        <v>270</v>
      </c>
      <c r="N121" s="50">
        <v>35892.0</v>
      </c>
      <c r="O121" s="51">
        <f t="shared" si="14"/>
        <v>1.671232877</v>
      </c>
      <c r="P121" s="51">
        <f t="shared" si="15"/>
        <v>26.75342466</v>
      </c>
      <c r="Q121" s="14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14" t="s">
        <v>279</v>
      </c>
      <c r="B122" s="49">
        <f t="shared" si="16"/>
        <v>34</v>
      </c>
      <c r="C122" s="49">
        <v>2314788.0</v>
      </c>
      <c r="D122" s="15" t="s">
        <v>174</v>
      </c>
      <c r="E122" s="46" t="s">
        <v>175</v>
      </c>
      <c r="F122" s="20" t="s">
        <v>32</v>
      </c>
      <c r="G122" s="20" t="s">
        <v>36</v>
      </c>
      <c r="H122" s="20" t="s">
        <v>60</v>
      </c>
      <c r="I122" s="50">
        <v>44958.0</v>
      </c>
      <c r="J122" s="14"/>
      <c r="K122" s="20" t="s">
        <v>284</v>
      </c>
      <c r="L122" s="47" t="s">
        <v>283</v>
      </c>
      <c r="M122" s="20" t="s">
        <v>270</v>
      </c>
      <c r="N122" s="50">
        <v>24779.0</v>
      </c>
      <c r="O122" s="51">
        <f t="shared" si="14"/>
        <v>1.915068493</v>
      </c>
      <c r="P122" s="51">
        <f t="shared" si="15"/>
        <v>57.2</v>
      </c>
      <c r="Q122" s="14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14" t="s">
        <v>279</v>
      </c>
      <c r="B123" s="49">
        <f t="shared" si="16"/>
        <v>35</v>
      </c>
      <c r="C123" s="49">
        <v>2114618.0</v>
      </c>
      <c r="D123" s="15" t="s">
        <v>109</v>
      </c>
      <c r="E123" s="46" t="s">
        <v>107</v>
      </c>
      <c r="F123" s="20" t="s">
        <v>32</v>
      </c>
      <c r="G123" s="20" t="s">
        <v>36</v>
      </c>
      <c r="H123" s="20" t="s">
        <v>50</v>
      </c>
      <c r="I123" s="50">
        <v>44409.0</v>
      </c>
      <c r="J123" s="14"/>
      <c r="K123" s="20" t="s">
        <v>273</v>
      </c>
      <c r="L123" s="47" t="s">
        <v>297</v>
      </c>
      <c r="M123" s="20" t="s">
        <v>270</v>
      </c>
      <c r="N123" s="50">
        <v>29703.0</v>
      </c>
      <c r="O123" s="51">
        <f t="shared" si="14"/>
        <v>3.419178082</v>
      </c>
      <c r="P123" s="51">
        <f t="shared" si="15"/>
        <v>43.70958904</v>
      </c>
      <c r="Q123" s="14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14" t="s">
        <v>279</v>
      </c>
      <c r="B124" s="49">
        <f t="shared" si="16"/>
        <v>36</v>
      </c>
      <c r="C124" s="49">
        <v>2314813.0</v>
      </c>
      <c r="D124" s="15" t="s">
        <v>238</v>
      </c>
      <c r="E124" s="46" t="s">
        <v>75</v>
      </c>
      <c r="F124" s="20" t="s">
        <v>32</v>
      </c>
      <c r="G124" s="20" t="s">
        <v>36</v>
      </c>
      <c r="H124" s="20" t="s">
        <v>60</v>
      </c>
      <c r="I124" s="50">
        <v>45108.0</v>
      </c>
      <c r="J124" s="14"/>
      <c r="K124" s="20" t="s">
        <v>275</v>
      </c>
      <c r="L124" s="47" t="s">
        <v>278</v>
      </c>
      <c r="M124" s="20" t="s">
        <v>276</v>
      </c>
      <c r="N124" s="50">
        <v>34172.0</v>
      </c>
      <c r="O124" s="51">
        <f t="shared" si="14"/>
        <v>1.504109589</v>
      </c>
      <c r="P124" s="51">
        <f t="shared" si="15"/>
        <v>31.46575342</v>
      </c>
      <c r="Q124" s="14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14" t="s">
        <v>279</v>
      </c>
      <c r="B125" s="49">
        <f t="shared" si="16"/>
        <v>37</v>
      </c>
      <c r="C125" s="49">
        <v>2114666.0</v>
      </c>
      <c r="D125" s="15" t="s">
        <v>149</v>
      </c>
      <c r="E125" s="46" t="s">
        <v>142</v>
      </c>
      <c r="F125" s="20" t="s">
        <v>32</v>
      </c>
      <c r="G125" s="20" t="s">
        <v>36</v>
      </c>
      <c r="H125" s="20" t="s">
        <v>50</v>
      </c>
      <c r="I125" s="50">
        <v>44409.0</v>
      </c>
      <c r="J125" s="14"/>
      <c r="K125" s="20" t="s">
        <v>285</v>
      </c>
      <c r="L125" s="47" t="s">
        <v>278</v>
      </c>
      <c r="M125" s="20" t="s">
        <v>270</v>
      </c>
      <c r="N125" s="50">
        <v>28487.0</v>
      </c>
      <c r="O125" s="51">
        <f t="shared" si="14"/>
        <v>3.419178082</v>
      </c>
      <c r="P125" s="51">
        <f t="shared" si="15"/>
        <v>47.04109589</v>
      </c>
      <c r="Q125" s="14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14" t="s">
        <v>279</v>
      </c>
      <c r="B126" s="49">
        <f t="shared" si="16"/>
        <v>38</v>
      </c>
      <c r="C126" s="49">
        <v>2114609.0</v>
      </c>
      <c r="D126" s="15" t="s">
        <v>155</v>
      </c>
      <c r="E126" s="46" t="s">
        <v>248</v>
      </c>
      <c r="F126" s="20" t="s">
        <v>32</v>
      </c>
      <c r="G126" s="20" t="s">
        <v>165</v>
      </c>
      <c r="H126" s="20" t="s">
        <v>50</v>
      </c>
      <c r="I126" s="50">
        <v>44409.0</v>
      </c>
      <c r="J126" s="14"/>
      <c r="K126" s="20" t="s">
        <v>285</v>
      </c>
      <c r="L126" s="47" t="s">
        <v>269</v>
      </c>
      <c r="M126" s="20" t="s">
        <v>270</v>
      </c>
      <c r="N126" s="50">
        <v>26197.0</v>
      </c>
      <c r="O126" s="51">
        <f t="shared" si="14"/>
        <v>3.419178082</v>
      </c>
      <c r="P126" s="51">
        <f t="shared" si="15"/>
        <v>53.31506849</v>
      </c>
      <c r="Q126" s="14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14" t="s">
        <v>279</v>
      </c>
      <c r="B127" s="49">
        <f t="shared" si="16"/>
        <v>39</v>
      </c>
      <c r="C127" s="49">
        <v>9300043.0</v>
      </c>
      <c r="D127" s="15" t="s">
        <v>151</v>
      </c>
      <c r="E127" s="46" t="s">
        <v>179</v>
      </c>
      <c r="F127" s="20" t="s">
        <v>32</v>
      </c>
      <c r="G127" s="20" t="s">
        <v>36</v>
      </c>
      <c r="H127" s="20" t="s">
        <v>50</v>
      </c>
      <c r="I127" s="50">
        <v>33848.0</v>
      </c>
      <c r="J127" s="49">
        <v>1993.0</v>
      </c>
      <c r="K127" s="20" t="s">
        <v>273</v>
      </c>
      <c r="L127" s="47" t="s">
        <v>297</v>
      </c>
      <c r="M127" s="20" t="s">
        <v>270</v>
      </c>
      <c r="N127" s="50">
        <v>25774.0</v>
      </c>
      <c r="O127" s="51">
        <f t="shared" si="14"/>
        <v>32.35342466</v>
      </c>
      <c r="P127" s="51">
        <f t="shared" si="15"/>
        <v>54.4739726</v>
      </c>
      <c r="Q127" s="14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3"/>
      <c r="C128" s="2"/>
      <c r="D128" s="28"/>
      <c r="E128" s="2"/>
      <c r="F128" s="28"/>
      <c r="G128" s="28"/>
      <c r="H128" s="28"/>
      <c r="I128" s="2"/>
      <c r="J128" s="3"/>
      <c r="K128" s="2"/>
      <c r="L128" s="2"/>
      <c r="M128" s="5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3"/>
      <c r="C129" s="2"/>
      <c r="D129" s="28"/>
      <c r="E129" s="2"/>
      <c r="F129" s="28"/>
      <c r="G129" s="28"/>
      <c r="H129" s="28"/>
      <c r="I129" s="2"/>
      <c r="J129" s="3"/>
      <c r="K129" s="2"/>
      <c r="L129" s="2"/>
      <c r="M129" s="5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3"/>
      <c r="C130" s="2"/>
      <c r="D130" s="28"/>
      <c r="E130" s="2"/>
      <c r="F130" s="28"/>
      <c r="G130" s="28"/>
      <c r="H130" s="28"/>
      <c r="I130" s="2"/>
      <c r="J130" s="3"/>
      <c r="K130" s="2"/>
      <c r="L130" s="2"/>
      <c r="M130" s="5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3"/>
      <c r="C131" s="2"/>
      <c r="D131" s="28"/>
      <c r="E131" s="2"/>
      <c r="F131" s="28"/>
      <c r="G131" s="28"/>
      <c r="H131" s="28"/>
      <c r="I131" s="2"/>
      <c r="J131" s="3"/>
      <c r="K131" s="2"/>
      <c r="L131" s="2"/>
      <c r="M131" s="5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3"/>
      <c r="C132" s="2"/>
      <c r="D132" s="28"/>
      <c r="E132" s="2"/>
      <c r="F132" s="28"/>
      <c r="G132" s="28"/>
      <c r="H132" s="28"/>
      <c r="I132" s="2"/>
      <c r="J132" s="3"/>
      <c r="K132" s="2"/>
      <c r="L132" s="2"/>
      <c r="M132" s="5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3"/>
      <c r="C133" s="2"/>
      <c r="D133" s="28"/>
      <c r="E133" s="2"/>
      <c r="F133" s="28"/>
      <c r="G133" s="28"/>
      <c r="H133" s="28"/>
      <c r="I133" s="2"/>
      <c r="J133" s="3"/>
      <c r="K133" s="2"/>
      <c r="L133" s="2"/>
      <c r="M133" s="5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3"/>
      <c r="C134" s="2"/>
      <c r="D134" s="28"/>
      <c r="E134" s="2"/>
      <c r="F134" s="28"/>
      <c r="G134" s="28"/>
      <c r="H134" s="28"/>
      <c r="I134" s="2"/>
      <c r="J134" s="3"/>
      <c r="K134" s="2"/>
      <c r="L134" s="2"/>
      <c r="M134" s="5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3"/>
      <c r="C135" s="2"/>
      <c r="D135" s="28"/>
      <c r="E135" s="2"/>
      <c r="F135" s="28"/>
      <c r="G135" s="28"/>
      <c r="H135" s="28"/>
      <c r="I135" s="2"/>
      <c r="J135" s="3"/>
      <c r="K135" s="2"/>
      <c r="L135" s="2"/>
      <c r="M135" s="5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3"/>
      <c r="C136" s="2"/>
      <c r="D136" s="28"/>
      <c r="E136" s="2"/>
      <c r="F136" s="28"/>
      <c r="G136" s="28"/>
      <c r="H136" s="28"/>
      <c r="I136" s="2"/>
      <c r="J136" s="3"/>
      <c r="K136" s="2"/>
      <c r="L136" s="2"/>
      <c r="M136" s="5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3"/>
      <c r="C137" s="2"/>
      <c r="D137" s="28"/>
      <c r="E137" s="2"/>
      <c r="F137" s="28"/>
      <c r="G137" s="28"/>
      <c r="H137" s="28"/>
      <c r="I137" s="2"/>
      <c r="J137" s="3"/>
      <c r="K137" s="2"/>
      <c r="L137" s="2"/>
      <c r="M137" s="5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3"/>
      <c r="C138" s="2"/>
      <c r="D138" s="28"/>
      <c r="E138" s="2"/>
      <c r="F138" s="28"/>
      <c r="G138" s="28"/>
      <c r="H138" s="28"/>
      <c r="I138" s="2"/>
      <c r="J138" s="3"/>
      <c r="K138" s="2"/>
      <c r="L138" s="2"/>
      <c r="M138" s="5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3"/>
      <c r="C139" s="2"/>
      <c r="D139" s="28"/>
      <c r="E139" s="2"/>
      <c r="F139" s="28"/>
      <c r="G139" s="28"/>
      <c r="H139" s="28"/>
      <c r="I139" s="2"/>
      <c r="J139" s="3"/>
      <c r="K139" s="2"/>
      <c r="L139" s="2"/>
      <c r="M139" s="5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3"/>
      <c r="C140" s="2"/>
      <c r="D140" s="28"/>
      <c r="E140" s="2"/>
      <c r="F140" s="28"/>
      <c r="G140" s="28"/>
      <c r="H140" s="28"/>
      <c r="I140" s="2"/>
      <c r="J140" s="3"/>
      <c r="K140" s="2"/>
      <c r="L140" s="2"/>
      <c r="M140" s="5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3"/>
      <c r="C141" s="2"/>
      <c r="D141" s="28"/>
      <c r="E141" s="2"/>
      <c r="F141" s="28"/>
      <c r="G141" s="28"/>
      <c r="H141" s="28"/>
      <c r="I141" s="2"/>
      <c r="J141" s="3"/>
      <c r="K141" s="2"/>
      <c r="L141" s="2"/>
      <c r="M141" s="5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3"/>
      <c r="C142" s="2"/>
      <c r="D142" s="28"/>
      <c r="E142" s="2"/>
      <c r="F142" s="28"/>
      <c r="G142" s="28"/>
      <c r="H142" s="28"/>
      <c r="I142" s="2"/>
      <c r="J142" s="3"/>
      <c r="K142" s="2"/>
      <c r="L142" s="2"/>
      <c r="M142" s="5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3"/>
      <c r="C143" s="2"/>
      <c r="D143" s="28"/>
      <c r="E143" s="2"/>
      <c r="F143" s="28"/>
      <c r="G143" s="28"/>
      <c r="H143" s="28"/>
      <c r="I143" s="2"/>
      <c r="J143" s="3"/>
      <c r="K143" s="2"/>
      <c r="L143" s="2"/>
      <c r="M143" s="5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3"/>
      <c r="C144" s="2"/>
      <c r="D144" s="28"/>
      <c r="E144" s="2"/>
      <c r="F144" s="28"/>
      <c r="G144" s="28"/>
      <c r="H144" s="28"/>
      <c r="I144" s="2"/>
      <c r="J144" s="3"/>
      <c r="K144" s="2"/>
      <c r="L144" s="2"/>
      <c r="M144" s="5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3"/>
      <c r="C145" s="2"/>
      <c r="D145" s="28"/>
      <c r="E145" s="2"/>
      <c r="F145" s="28"/>
      <c r="G145" s="28"/>
      <c r="H145" s="28"/>
      <c r="I145" s="2"/>
      <c r="J145" s="3"/>
      <c r="K145" s="2"/>
      <c r="L145" s="2"/>
      <c r="M145" s="5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3"/>
      <c r="C146" s="2"/>
      <c r="D146" s="28"/>
      <c r="E146" s="2"/>
      <c r="F146" s="28"/>
      <c r="G146" s="28"/>
      <c r="H146" s="28"/>
      <c r="I146" s="2"/>
      <c r="J146" s="3"/>
      <c r="K146" s="2"/>
      <c r="L146" s="2"/>
      <c r="M146" s="5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3"/>
      <c r="C147" s="2"/>
      <c r="D147" s="28"/>
      <c r="E147" s="2"/>
      <c r="F147" s="28"/>
      <c r="G147" s="28"/>
      <c r="H147" s="28"/>
      <c r="I147" s="2"/>
      <c r="J147" s="3"/>
      <c r="K147" s="2"/>
      <c r="L147" s="2"/>
      <c r="M147" s="5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3"/>
      <c r="C148" s="2"/>
      <c r="D148" s="28"/>
      <c r="E148" s="2"/>
      <c r="F148" s="28"/>
      <c r="G148" s="28"/>
      <c r="H148" s="28"/>
      <c r="I148" s="2"/>
      <c r="J148" s="3"/>
      <c r="K148" s="2"/>
      <c r="L148" s="2"/>
      <c r="M148" s="5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3"/>
      <c r="C149" s="2"/>
      <c r="D149" s="28"/>
      <c r="E149" s="2"/>
      <c r="F149" s="28"/>
      <c r="G149" s="28"/>
      <c r="H149" s="28"/>
      <c r="I149" s="2"/>
      <c r="J149" s="3"/>
      <c r="K149" s="2"/>
      <c r="L149" s="2"/>
      <c r="M149" s="5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3"/>
      <c r="C150" s="2"/>
      <c r="D150" s="28"/>
      <c r="E150" s="2"/>
      <c r="F150" s="28"/>
      <c r="G150" s="28"/>
      <c r="H150" s="28"/>
      <c r="I150" s="2"/>
      <c r="J150" s="3"/>
      <c r="K150" s="2"/>
      <c r="L150" s="2"/>
      <c r="M150" s="5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3"/>
      <c r="C151" s="2"/>
      <c r="D151" s="28"/>
      <c r="E151" s="2"/>
      <c r="F151" s="28"/>
      <c r="G151" s="28"/>
      <c r="H151" s="28"/>
      <c r="I151" s="2"/>
      <c r="J151" s="3"/>
      <c r="K151" s="2"/>
      <c r="L151" s="2"/>
      <c r="M151" s="5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3"/>
      <c r="C152" s="2"/>
      <c r="D152" s="28"/>
      <c r="E152" s="2"/>
      <c r="F152" s="28"/>
      <c r="G152" s="28"/>
      <c r="H152" s="28"/>
      <c r="I152" s="2"/>
      <c r="J152" s="3"/>
      <c r="K152" s="2"/>
      <c r="L152" s="2"/>
      <c r="M152" s="5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3"/>
      <c r="C153" s="2"/>
      <c r="D153" s="28"/>
      <c r="E153" s="2"/>
      <c r="F153" s="28"/>
      <c r="G153" s="28"/>
      <c r="H153" s="28"/>
      <c r="I153" s="2"/>
      <c r="J153" s="3"/>
      <c r="K153" s="2"/>
      <c r="L153" s="2"/>
      <c r="M153" s="5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3"/>
      <c r="C154" s="2"/>
      <c r="D154" s="28"/>
      <c r="E154" s="2"/>
      <c r="F154" s="28"/>
      <c r="G154" s="28"/>
      <c r="H154" s="28"/>
      <c r="I154" s="2"/>
      <c r="J154" s="3"/>
      <c r="K154" s="2"/>
      <c r="L154" s="2"/>
      <c r="M154" s="5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3"/>
      <c r="C155" s="2"/>
      <c r="D155" s="28"/>
      <c r="E155" s="2"/>
      <c r="F155" s="28"/>
      <c r="G155" s="28"/>
      <c r="H155" s="28"/>
      <c r="I155" s="2"/>
      <c r="J155" s="3"/>
      <c r="K155" s="2"/>
      <c r="L155" s="2"/>
      <c r="M155" s="5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3"/>
      <c r="C156" s="2"/>
      <c r="D156" s="28"/>
      <c r="E156" s="2"/>
      <c r="F156" s="28"/>
      <c r="G156" s="28"/>
      <c r="H156" s="28"/>
      <c r="I156" s="2"/>
      <c r="J156" s="3"/>
      <c r="K156" s="2"/>
      <c r="L156" s="2"/>
      <c r="M156" s="5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3"/>
      <c r="C157" s="2"/>
      <c r="D157" s="28"/>
      <c r="E157" s="2"/>
      <c r="F157" s="28"/>
      <c r="G157" s="28"/>
      <c r="H157" s="28"/>
      <c r="I157" s="2"/>
      <c r="J157" s="3"/>
      <c r="K157" s="2"/>
      <c r="L157" s="2"/>
      <c r="M157" s="5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3"/>
      <c r="C158" s="2"/>
      <c r="D158" s="28"/>
      <c r="E158" s="2"/>
      <c r="F158" s="28"/>
      <c r="G158" s="28"/>
      <c r="H158" s="28"/>
      <c r="I158" s="2"/>
      <c r="J158" s="3"/>
      <c r="K158" s="2"/>
      <c r="L158" s="2"/>
      <c r="M158" s="5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3"/>
      <c r="C159" s="2"/>
      <c r="D159" s="28"/>
      <c r="E159" s="2"/>
      <c r="F159" s="28"/>
      <c r="G159" s="28"/>
      <c r="H159" s="28"/>
      <c r="I159" s="2"/>
      <c r="J159" s="3"/>
      <c r="K159" s="2"/>
      <c r="L159" s="2"/>
      <c r="M159" s="5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3"/>
      <c r="C160" s="2"/>
      <c r="D160" s="28"/>
      <c r="E160" s="2"/>
      <c r="F160" s="28"/>
      <c r="G160" s="28"/>
      <c r="H160" s="28"/>
      <c r="I160" s="2"/>
      <c r="J160" s="3"/>
      <c r="K160" s="2"/>
      <c r="L160" s="2"/>
      <c r="M160" s="5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3"/>
      <c r="C161" s="2"/>
      <c r="D161" s="28"/>
      <c r="E161" s="2"/>
      <c r="F161" s="28"/>
      <c r="G161" s="28"/>
      <c r="H161" s="28"/>
      <c r="I161" s="2"/>
      <c r="J161" s="3"/>
      <c r="K161" s="2"/>
      <c r="L161" s="2"/>
      <c r="M161" s="5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3"/>
      <c r="C162" s="2"/>
      <c r="D162" s="28"/>
      <c r="E162" s="2"/>
      <c r="F162" s="28"/>
      <c r="G162" s="28"/>
      <c r="H162" s="28"/>
      <c r="I162" s="2"/>
      <c r="J162" s="3"/>
      <c r="K162" s="2"/>
      <c r="L162" s="2"/>
      <c r="M162" s="5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3"/>
      <c r="C163" s="2"/>
      <c r="D163" s="28"/>
      <c r="E163" s="2"/>
      <c r="F163" s="28"/>
      <c r="G163" s="28"/>
      <c r="H163" s="28"/>
      <c r="I163" s="2"/>
      <c r="J163" s="3"/>
      <c r="K163" s="2"/>
      <c r="L163" s="2"/>
      <c r="M163" s="5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3"/>
      <c r="C164" s="2"/>
      <c r="D164" s="28"/>
      <c r="E164" s="2"/>
      <c r="F164" s="28"/>
      <c r="G164" s="28"/>
      <c r="H164" s="28"/>
      <c r="I164" s="2"/>
      <c r="J164" s="3"/>
      <c r="K164" s="2"/>
      <c r="L164" s="2"/>
      <c r="M164" s="5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3"/>
      <c r="C165" s="2"/>
      <c r="D165" s="28"/>
      <c r="E165" s="2"/>
      <c r="F165" s="28"/>
      <c r="G165" s="28"/>
      <c r="H165" s="28"/>
      <c r="I165" s="2"/>
      <c r="J165" s="3"/>
      <c r="K165" s="2"/>
      <c r="L165" s="2"/>
      <c r="M165" s="5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3"/>
      <c r="C166" s="2"/>
      <c r="D166" s="28"/>
      <c r="E166" s="2"/>
      <c r="F166" s="28"/>
      <c r="G166" s="28"/>
      <c r="H166" s="28"/>
      <c r="I166" s="2"/>
      <c r="J166" s="3"/>
      <c r="K166" s="2"/>
      <c r="L166" s="2"/>
      <c r="M166" s="5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3"/>
      <c r="C167" s="2"/>
      <c r="D167" s="28"/>
      <c r="E167" s="2"/>
      <c r="F167" s="28"/>
      <c r="G167" s="28"/>
      <c r="H167" s="28"/>
      <c r="I167" s="2"/>
      <c r="J167" s="3"/>
      <c r="K167" s="2"/>
      <c r="L167" s="2"/>
      <c r="M167" s="5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3"/>
      <c r="C168" s="2"/>
      <c r="D168" s="28"/>
      <c r="E168" s="2"/>
      <c r="F168" s="28"/>
      <c r="G168" s="28"/>
      <c r="H168" s="28"/>
      <c r="I168" s="2"/>
      <c r="J168" s="3"/>
      <c r="K168" s="2"/>
      <c r="L168" s="2"/>
      <c r="M168" s="5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3"/>
      <c r="C169" s="2"/>
      <c r="D169" s="28"/>
      <c r="E169" s="2"/>
      <c r="F169" s="28"/>
      <c r="G169" s="28"/>
      <c r="H169" s="28"/>
      <c r="I169" s="2"/>
      <c r="J169" s="3"/>
      <c r="K169" s="2"/>
      <c r="L169" s="2"/>
      <c r="M169" s="5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3"/>
      <c r="C170" s="2"/>
      <c r="D170" s="28"/>
      <c r="E170" s="2"/>
      <c r="F170" s="28"/>
      <c r="G170" s="28"/>
      <c r="H170" s="28"/>
      <c r="I170" s="2"/>
      <c r="J170" s="3"/>
      <c r="K170" s="2"/>
      <c r="L170" s="2"/>
      <c r="M170" s="5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3"/>
      <c r="C171" s="2"/>
      <c r="D171" s="28"/>
      <c r="E171" s="2"/>
      <c r="F171" s="28"/>
      <c r="G171" s="28"/>
      <c r="H171" s="28"/>
      <c r="I171" s="2"/>
      <c r="J171" s="3"/>
      <c r="K171" s="2"/>
      <c r="L171" s="2"/>
      <c r="M171" s="5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3"/>
      <c r="C172" s="2"/>
      <c r="D172" s="28"/>
      <c r="E172" s="2"/>
      <c r="F172" s="28"/>
      <c r="G172" s="28"/>
      <c r="H172" s="28"/>
      <c r="I172" s="2"/>
      <c r="J172" s="3"/>
      <c r="K172" s="2"/>
      <c r="L172" s="2"/>
      <c r="M172" s="5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3"/>
      <c r="C173" s="2"/>
      <c r="D173" s="28"/>
      <c r="E173" s="2"/>
      <c r="F173" s="28"/>
      <c r="G173" s="28"/>
      <c r="H173" s="28"/>
      <c r="I173" s="2"/>
      <c r="J173" s="3"/>
      <c r="K173" s="2"/>
      <c r="L173" s="2"/>
      <c r="M173" s="5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3"/>
      <c r="C174" s="2"/>
      <c r="D174" s="28"/>
      <c r="E174" s="2"/>
      <c r="F174" s="28"/>
      <c r="G174" s="28"/>
      <c r="H174" s="28"/>
      <c r="I174" s="2"/>
      <c r="J174" s="3"/>
      <c r="K174" s="2"/>
      <c r="L174" s="2"/>
      <c r="M174" s="5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3"/>
      <c r="C175" s="2"/>
      <c r="D175" s="28"/>
      <c r="E175" s="2"/>
      <c r="F175" s="28"/>
      <c r="G175" s="28"/>
      <c r="H175" s="28"/>
      <c r="I175" s="2"/>
      <c r="J175" s="3"/>
      <c r="K175" s="2"/>
      <c r="L175" s="2"/>
      <c r="M175" s="5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3"/>
      <c r="C176" s="2"/>
      <c r="D176" s="28"/>
      <c r="E176" s="2"/>
      <c r="F176" s="28"/>
      <c r="G176" s="28"/>
      <c r="H176" s="28"/>
      <c r="I176" s="2"/>
      <c r="J176" s="3"/>
      <c r="K176" s="2"/>
      <c r="L176" s="2"/>
      <c r="M176" s="5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3"/>
      <c r="C177" s="2"/>
      <c r="D177" s="28"/>
      <c r="E177" s="2"/>
      <c r="F177" s="28"/>
      <c r="G177" s="28"/>
      <c r="H177" s="28"/>
      <c r="I177" s="2"/>
      <c r="J177" s="3"/>
      <c r="K177" s="2"/>
      <c r="L177" s="2"/>
      <c r="M177" s="5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3"/>
      <c r="C178" s="2"/>
      <c r="D178" s="28"/>
      <c r="E178" s="2"/>
      <c r="F178" s="28"/>
      <c r="G178" s="28"/>
      <c r="H178" s="28"/>
      <c r="I178" s="2"/>
      <c r="J178" s="3"/>
      <c r="K178" s="2"/>
      <c r="L178" s="2"/>
      <c r="M178" s="5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3"/>
      <c r="C179" s="2"/>
      <c r="D179" s="28"/>
      <c r="E179" s="2"/>
      <c r="F179" s="28"/>
      <c r="G179" s="28"/>
      <c r="H179" s="28"/>
      <c r="I179" s="2"/>
      <c r="J179" s="3"/>
      <c r="K179" s="2"/>
      <c r="L179" s="2"/>
      <c r="M179" s="5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3"/>
      <c r="C180" s="2"/>
      <c r="D180" s="28"/>
      <c r="E180" s="2"/>
      <c r="F180" s="28"/>
      <c r="G180" s="28"/>
      <c r="H180" s="28"/>
      <c r="I180" s="2"/>
      <c r="J180" s="3"/>
      <c r="K180" s="2"/>
      <c r="L180" s="2"/>
      <c r="M180" s="5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3"/>
      <c r="C181" s="2"/>
      <c r="D181" s="28"/>
      <c r="E181" s="2"/>
      <c r="F181" s="28"/>
      <c r="G181" s="28"/>
      <c r="H181" s="28"/>
      <c r="I181" s="2"/>
      <c r="J181" s="3"/>
      <c r="K181" s="2"/>
      <c r="L181" s="2"/>
      <c r="M181" s="5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3"/>
      <c r="C182" s="2"/>
      <c r="D182" s="28"/>
      <c r="E182" s="2"/>
      <c r="F182" s="28"/>
      <c r="G182" s="28"/>
      <c r="H182" s="28"/>
      <c r="I182" s="2"/>
      <c r="J182" s="3"/>
      <c r="K182" s="2"/>
      <c r="L182" s="2"/>
      <c r="M182" s="5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3"/>
      <c r="C183" s="2"/>
      <c r="D183" s="28"/>
      <c r="E183" s="2"/>
      <c r="F183" s="28"/>
      <c r="G183" s="28"/>
      <c r="H183" s="28"/>
      <c r="I183" s="2"/>
      <c r="J183" s="3"/>
      <c r="K183" s="2"/>
      <c r="L183" s="2"/>
      <c r="M183" s="5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3"/>
      <c r="C184" s="2"/>
      <c r="D184" s="28"/>
      <c r="E184" s="2"/>
      <c r="F184" s="28"/>
      <c r="G184" s="28"/>
      <c r="H184" s="28"/>
      <c r="I184" s="2"/>
      <c r="J184" s="3"/>
      <c r="K184" s="2"/>
      <c r="L184" s="2"/>
      <c r="M184" s="5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3"/>
      <c r="C185" s="2"/>
      <c r="D185" s="28"/>
      <c r="E185" s="2"/>
      <c r="F185" s="28"/>
      <c r="G185" s="28"/>
      <c r="H185" s="28"/>
      <c r="I185" s="2"/>
      <c r="J185" s="3"/>
      <c r="K185" s="2"/>
      <c r="L185" s="2"/>
      <c r="M185" s="5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3"/>
      <c r="C186" s="2"/>
      <c r="D186" s="28"/>
      <c r="E186" s="2"/>
      <c r="F186" s="28"/>
      <c r="G186" s="28"/>
      <c r="H186" s="28"/>
      <c r="I186" s="2"/>
      <c r="J186" s="3"/>
      <c r="K186" s="2"/>
      <c r="L186" s="2"/>
      <c r="M186" s="5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3"/>
      <c r="C187" s="2"/>
      <c r="D187" s="28"/>
      <c r="E187" s="2"/>
      <c r="F187" s="28"/>
      <c r="G187" s="28"/>
      <c r="H187" s="28"/>
      <c r="I187" s="2"/>
      <c r="J187" s="3"/>
      <c r="K187" s="2"/>
      <c r="L187" s="2"/>
      <c r="M187" s="5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3"/>
      <c r="C188" s="2"/>
      <c r="D188" s="28"/>
      <c r="E188" s="2"/>
      <c r="F188" s="28"/>
      <c r="G188" s="28"/>
      <c r="H188" s="28"/>
      <c r="I188" s="2"/>
      <c r="J188" s="3"/>
      <c r="K188" s="2"/>
      <c r="L188" s="2"/>
      <c r="M188" s="5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3"/>
      <c r="C189" s="2"/>
      <c r="D189" s="28"/>
      <c r="E189" s="2"/>
      <c r="F189" s="28"/>
      <c r="G189" s="28"/>
      <c r="H189" s="28"/>
      <c r="I189" s="2"/>
      <c r="J189" s="3"/>
      <c r="K189" s="2"/>
      <c r="L189" s="2"/>
      <c r="M189" s="5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3"/>
      <c r="C190" s="2"/>
      <c r="D190" s="28"/>
      <c r="E190" s="2"/>
      <c r="F190" s="28"/>
      <c r="G190" s="28"/>
      <c r="H190" s="28"/>
      <c r="I190" s="2"/>
      <c r="J190" s="3"/>
      <c r="K190" s="2"/>
      <c r="L190" s="2"/>
      <c r="M190" s="5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3"/>
      <c r="C191" s="2"/>
      <c r="D191" s="28"/>
      <c r="E191" s="2"/>
      <c r="F191" s="28"/>
      <c r="G191" s="28"/>
      <c r="H191" s="28"/>
      <c r="I191" s="2"/>
      <c r="J191" s="3"/>
      <c r="K191" s="2"/>
      <c r="L191" s="2"/>
      <c r="M191" s="5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3"/>
      <c r="C192" s="2"/>
      <c r="D192" s="28"/>
      <c r="E192" s="2"/>
      <c r="F192" s="28"/>
      <c r="G192" s="28"/>
      <c r="H192" s="28"/>
      <c r="I192" s="2"/>
      <c r="J192" s="3"/>
      <c r="K192" s="2"/>
      <c r="L192" s="2"/>
      <c r="M192" s="5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3"/>
      <c r="C193" s="2"/>
      <c r="D193" s="28"/>
      <c r="E193" s="2"/>
      <c r="F193" s="28"/>
      <c r="G193" s="28"/>
      <c r="H193" s="28"/>
      <c r="I193" s="2"/>
      <c r="J193" s="3"/>
      <c r="K193" s="2"/>
      <c r="L193" s="2"/>
      <c r="M193" s="5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3"/>
      <c r="C194" s="2"/>
      <c r="D194" s="28"/>
      <c r="E194" s="2"/>
      <c r="F194" s="28"/>
      <c r="G194" s="28"/>
      <c r="H194" s="28"/>
      <c r="I194" s="2"/>
      <c r="J194" s="3"/>
      <c r="K194" s="2"/>
      <c r="L194" s="2"/>
      <c r="M194" s="5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3"/>
      <c r="C195" s="2"/>
      <c r="D195" s="28"/>
      <c r="E195" s="2"/>
      <c r="F195" s="28"/>
      <c r="G195" s="28"/>
      <c r="H195" s="28"/>
      <c r="I195" s="2"/>
      <c r="J195" s="3"/>
      <c r="K195" s="2"/>
      <c r="L195" s="2"/>
      <c r="M195" s="5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3"/>
      <c r="C196" s="2"/>
      <c r="D196" s="28"/>
      <c r="E196" s="2"/>
      <c r="F196" s="28"/>
      <c r="G196" s="28"/>
      <c r="H196" s="28"/>
      <c r="I196" s="2"/>
      <c r="J196" s="3"/>
      <c r="K196" s="2"/>
      <c r="L196" s="2"/>
      <c r="M196" s="5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3"/>
      <c r="C197" s="2"/>
      <c r="D197" s="28"/>
      <c r="E197" s="2"/>
      <c r="F197" s="28"/>
      <c r="G197" s="28"/>
      <c r="H197" s="28"/>
      <c r="I197" s="2"/>
      <c r="J197" s="3"/>
      <c r="K197" s="2"/>
      <c r="L197" s="2"/>
      <c r="M197" s="5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3"/>
      <c r="C198" s="2"/>
      <c r="D198" s="28"/>
      <c r="E198" s="2"/>
      <c r="F198" s="28"/>
      <c r="G198" s="28"/>
      <c r="H198" s="28"/>
      <c r="I198" s="2"/>
      <c r="J198" s="3"/>
      <c r="K198" s="2"/>
      <c r="L198" s="2"/>
      <c r="M198" s="5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3"/>
      <c r="C199" s="2"/>
      <c r="D199" s="28"/>
      <c r="E199" s="2"/>
      <c r="F199" s="28"/>
      <c r="G199" s="28"/>
      <c r="H199" s="28"/>
      <c r="I199" s="2"/>
      <c r="J199" s="3"/>
      <c r="K199" s="2"/>
      <c r="L199" s="2"/>
      <c r="M199" s="5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3"/>
      <c r="C200" s="2"/>
      <c r="D200" s="28"/>
      <c r="E200" s="2"/>
      <c r="F200" s="28"/>
      <c r="G200" s="28"/>
      <c r="H200" s="28"/>
      <c r="I200" s="2"/>
      <c r="J200" s="3"/>
      <c r="K200" s="2"/>
      <c r="L200" s="2"/>
      <c r="M200" s="5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3"/>
      <c r="C201" s="2"/>
      <c r="D201" s="28"/>
      <c r="E201" s="2"/>
      <c r="F201" s="28"/>
      <c r="G201" s="28"/>
      <c r="H201" s="28"/>
      <c r="I201" s="2"/>
      <c r="J201" s="3"/>
      <c r="K201" s="2"/>
      <c r="L201" s="2"/>
      <c r="M201" s="5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3"/>
      <c r="C202" s="2"/>
      <c r="D202" s="28"/>
      <c r="E202" s="2"/>
      <c r="F202" s="28"/>
      <c r="G202" s="28"/>
      <c r="H202" s="28"/>
      <c r="I202" s="2"/>
      <c r="J202" s="3"/>
      <c r="K202" s="2"/>
      <c r="L202" s="2"/>
      <c r="M202" s="5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3"/>
      <c r="C203" s="2"/>
      <c r="D203" s="28"/>
      <c r="E203" s="2"/>
      <c r="F203" s="28"/>
      <c r="G203" s="28"/>
      <c r="H203" s="28"/>
      <c r="I203" s="2"/>
      <c r="J203" s="3"/>
      <c r="K203" s="2"/>
      <c r="L203" s="2"/>
      <c r="M203" s="5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3"/>
      <c r="C204" s="2"/>
      <c r="D204" s="28"/>
      <c r="E204" s="2"/>
      <c r="F204" s="28"/>
      <c r="G204" s="28"/>
      <c r="H204" s="28"/>
      <c r="I204" s="2"/>
      <c r="J204" s="3"/>
      <c r="K204" s="2"/>
      <c r="L204" s="2"/>
      <c r="M204" s="5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3"/>
      <c r="C205" s="2"/>
      <c r="D205" s="28"/>
      <c r="E205" s="2"/>
      <c r="F205" s="28"/>
      <c r="G205" s="28"/>
      <c r="H205" s="28"/>
      <c r="I205" s="2"/>
      <c r="J205" s="3"/>
      <c r="K205" s="2"/>
      <c r="L205" s="2"/>
      <c r="M205" s="5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3"/>
      <c r="C206" s="2"/>
      <c r="D206" s="28"/>
      <c r="E206" s="2"/>
      <c r="F206" s="28"/>
      <c r="G206" s="28"/>
      <c r="H206" s="28"/>
      <c r="I206" s="2"/>
      <c r="J206" s="3"/>
      <c r="K206" s="2"/>
      <c r="L206" s="2"/>
      <c r="M206" s="5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3"/>
      <c r="C207" s="2"/>
      <c r="D207" s="28"/>
      <c r="E207" s="2"/>
      <c r="F207" s="28"/>
      <c r="G207" s="28"/>
      <c r="H207" s="28"/>
      <c r="I207" s="2"/>
      <c r="J207" s="3"/>
      <c r="K207" s="2"/>
      <c r="L207" s="2"/>
      <c r="M207" s="5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3"/>
      <c r="C208" s="2"/>
      <c r="D208" s="28"/>
      <c r="E208" s="2"/>
      <c r="F208" s="28"/>
      <c r="G208" s="28"/>
      <c r="H208" s="28"/>
      <c r="I208" s="2"/>
      <c r="J208" s="3"/>
      <c r="K208" s="2"/>
      <c r="L208" s="2"/>
      <c r="M208" s="5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3"/>
      <c r="C209" s="2"/>
      <c r="D209" s="28"/>
      <c r="E209" s="2"/>
      <c r="F209" s="28"/>
      <c r="G209" s="28"/>
      <c r="H209" s="28"/>
      <c r="I209" s="2"/>
      <c r="J209" s="3"/>
      <c r="K209" s="2"/>
      <c r="L209" s="2"/>
      <c r="M209" s="5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3"/>
      <c r="C210" s="2"/>
      <c r="D210" s="28"/>
      <c r="E210" s="2"/>
      <c r="F210" s="28"/>
      <c r="G210" s="28"/>
      <c r="H210" s="28"/>
      <c r="I210" s="2"/>
      <c r="J210" s="3"/>
      <c r="K210" s="2"/>
      <c r="L210" s="2"/>
      <c r="M210" s="5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3"/>
      <c r="C211" s="2"/>
      <c r="D211" s="28"/>
      <c r="E211" s="2"/>
      <c r="F211" s="28"/>
      <c r="G211" s="28"/>
      <c r="H211" s="28"/>
      <c r="I211" s="2"/>
      <c r="J211" s="3"/>
      <c r="K211" s="2"/>
      <c r="L211" s="2"/>
      <c r="M211" s="5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3"/>
      <c r="C212" s="2"/>
      <c r="D212" s="28"/>
      <c r="E212" s="2"/>
      <c r="F212" s="28"/>
      <c r="G212" s="28"/>
      <c r="H212" s="28"/>
      <c r="I212" s="2"/>
      <c r="J212" s="3"/>
      <c r="K212" s="2"/>
      <c r="L212" s="2"/>
      <c r="M212" s="5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3"/>
      <c r="C213" s="2"/>
      <c r="D213" s="28"/>
      <c r="E213" s="2"/>
      <c r="F213" s="28"/>
      <c r="G213" s="28"/>
      <c r="H213" s="28"/>
      <c r="I213" s="2"/>
      <c r="J213" s="3"/>
      <c r="K213" s="2"/>
      <c r="L213" s="2"/>
      <c r="M213" s="5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3"/>
      <c r="C214" s="2"/>
      <c r="D214" s="28"/>
      <c r="E214" s="2"/>
      <c r="F214" s="28"/>
      <c r="G214" s="28"/>
      <c r="H214" s="28"/>
      <c r="I214" s="2"/>
      <c r="J214" s="3"/>
      <c r="K214" s="2"/>
      <c r="L214" s="2"/>
      <c r="M214" s="5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3"/>
      <c r="C215" s="2"/>
      <c r="D215" s="28"/>
      <c r="E215" s="2"/>
      <c r="F215" s="28"/>
      <c r="G215" s="28"/>
      <c r="H215" s="28"/>
      <c r="I215" s="2"/>
      <c r="J215" s="3"/>
      <c r="K215" s="2"/>
      <c r="L215" s="2"/>
      <c r="M215" s="5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3"/>
      <c r="C216" s="2"/>
      <c r="D216" s="28"/>
      <c r="E216" s="2"/>
      <c r="F216" s="28"/>
      <c r="G216" s="28"/>
      <c r="H216" s="28"/>
      <c r="I216" s="2"/>
      <c r="J216" s="3"/>
      <c r="K216" s="2"/>
      <c r="L216" s="2"/>
      <c r="M216" s="5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3"/>
      <c r="C217" s="2"/>
      <c r="D217" s="28"/>
      <c r="E217" s="2"/>
      <c r="F217" s="28"/>
      <c r="G217" s="28"/>
      <c r="H217" s="28"/>
      <c r="I217" s="2"/>
      <c r="J217" s="3"/>
      <c r="K217" s="2"/>
      <c r="L217" s="2"/>
      <c r="M217" s="5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3"/>
      <c r="C218" s="2"/>
      <c r="D218" s="28"/>
      <c r="E218" s="2"/>
      <c r="F218" s="28"/>
      <c r="G218" s="28"/>
      <c r="H218" s="28"/>
      <c r="I218" s="2"/>
      <c r="J218" s="3"/>
      <c r="K218" s="2"/>
      <c r="L218" s="2"/>
      <c r="M218" s="5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3"/>
      <c r="C219" s="2"/>
      <c r="D219" s="28"/>
      <c r="E219" s="2"/>
      <c r="F219" s="28"/>
      <c r="G219" s="28"/>
      <c r="H219" s="28"/>
      <c r="I219" s="2"/>
      <c r="J219" s="3"/>
      <c r="K219" s="2"/>
      <c r="L219" s="2"/>
      <c r="M219" s="5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3"/>
      <c r="C220" s="2"/>
      <c r="D220" s="28"/>
      <c r="E220" s="2"/>
      <c r="F220" s="28"/>
      <c r="G220" s="28"/>
      <c r="H220" s="28"/>
      <c r="I220" s="2"/>
      <c r="J220" s="3"/>
      <c r="K220" s="2"/>
      <c r="L220" s="2"/>
      <c r="M220" s="5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3"/>
      <c r="C221" s="2"/>
      <c r="D221" s="28"/>
      <c r="E221" s="2"/>
      <c r="F221" s="28"/>
      <c r="G221" s="28"/>
      <c r="H221" s="28"/>
      <c r="I221" s="2"/>
      <c r="J221" s="3"/>
      <c r="K221" s="2"/>
      <c r="L221" s="2"/>
      <c r="M221" s="5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3"/>
      <c r="C222" s="2"/>
      <c r="D222" s="28"/>
      <c r="E222" s="2"/>
      <c r="F222" s="28"/>
      <c r="G222" s="28"/>
      <c r="H222" s="28"/>
      <c r="I222" s="2"/>
      <c r="J222" s="3"/>
      <c r="K222" s="2"/>
      <c r="L222" s="2"/>
      <c r="M222" s="5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3"/>
      <c r="C223" s="2"/>
      <c r="D223" s="28"/>
      <c r="E223" s="2"/>
      <c r="F223" s="28"/>
      <c r="G223" s="28"/>
      <c r="H223" s="28"/>
      <c r="I223" s="2"/>
      <c r="J223" s="3"/>
      <c r="K223" s="2"/>
      <c r="L223" s="2"/>
      <c r="M223" s="5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3"/>
      <c r="C224" s="2"/>
      <c r="D224" s="28"/>
      <c r="E224" s="2"/>
      <c r="F224" s="28"/>
      <c r="G224" s="28"/>
      <c r="H224" s="28"/>
      <c r="I224" s="2"/>
      <c r="J224" s="3"/>
      <c r="K224" s="2"/>
      <c r="L224" s="2"/>
      <c r="M224" s="5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3"/>
      <c r="C225" s="2"/>
      <c r="D225" s="28"/>
      <c r="E225" s="2"/>
      <c r="F225" s="28"/>
      <c r="G225" s="28"/>
      <c r="H225" s="28"/>
      <c r="I225" s="2"/>
      <c r="J225" s="3"/>
      <c r="K225" s="2"/>
      <c r="L225" s="2"/>
      <c r="M225" s="5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/>
      <c r="B226" s="3"/>
      <c r="C226" s="2"/>
      <c r="D226" s="28"/>
      <c r="E226" s="2"/>
      <c r="F226" s="28"/>
      <c r="G226" s="28"/>
      <c r="H226" s="28"/>
      <c r="I226" s="2"/>
      <c r="J226" s="3"/>
      <c r="K226" s="2"/>
      <c r="L226" s="2"/>
      <c r="M226" s="5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3"/>
      <c r="C227" s="2"/>
      <c r="D227" s="28"/>
      <c r="E227" s="2"/>
      <c r="F227" s="28"/>
      <c r="G227" s="28"/>
      <c r="H227" s="28"/>
      <c r="I227" s="2"/>
      <c r="J227" s="3"/>
      <c r="K227" s="2"/>
      <c r="L227" s="2"/>
      <c r="M227" s="5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3"/>
      <c r="C228" s="2"/>
      <c r="D228" s="28"/>
      <c r="E228" s="2"/>
      <c r="F228" s="28"/>
      <c r="G228" s="28"/>
      <c r="H228" s="28"/>
      <c r="I228" s="2"/>
      <c r="J228" s="3"/>
      <c r="K228" s="2"/>
      <c r="L228" s="2"/>
      <c r="M228" s="5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3"/>
      <c r="C229" s="2"/>
      <c r="D229" s="28"/>
      <c r="E229" s="2"/>
      <c r="F229" s="28"/>
      <c r="G229" s="28"/>
      <c r="H229" s="28"/>
      <c r="I229" s="2"/>
      <c r="J229" s="3"/>
      <c r="K229" s="2"/>
      <c r="L229" s="2"/>
      <c r="M229" s="5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3"/>
      <c r="C230" s="2"/>
      <c r="D230" s="28"/>
      <c r="E230" s="2"/>
      <c r="F230" s="28"/>
      <c r="G230" s="28"/>
      <c r="H230" s="28"/>
      <c r="I230" s="2"/>
      <c r="J230" s="3"/>
      <c r="K230" s="2"/>
      <c r="L230" s="2"/>
      <c r="M230" s="5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3"/>
      <c r="C231" s="2"/>
      <c r="D231" s="28"/>
      <c r="E231" s="2"/>
      <c r="F231" s="28"/>
      <c r="G231" s="28"/>
      <c r="H231" s="28"/>
      <c r="I231" s="2"/>
      <c r="J231" s="3"/>
      <c r="K231" s="2"/>
      <c r="L231" s="2"/>
      <c r="M231" s="5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3"/>
      <c r="C232" s="2"/>
      <c r="D232" s="28"/>
      <c r="E232" s="2"/>
      <c r="F232" s="28"/>
      <c r="G232" s="28"/>
      <c r="H232" s="28"/>
      <c r="I232" s="2"/>
      <c r="J232" s="3"/>
      <c r="K232" s="2"/>
      <c r="L232" s="2"/>
      <c r="M232" s="5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/>
      <c r="B233" s="3"/>
      <c r="C233" s="2"/>
      <c r="D233" s="28"/>
      <c r="E233" s="2"/>
      <c r="F233" s="28"/>
      <c r="G233" s="28"/>
      <c r="H233" s="28"/>
      <c r="I233" s="2"/>
      <c r="J233" s="3"/>
      <c r="K233" s="2"/>
      <c r="L233" s="2"/>
      <c r="M233" s="5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/>
      <c r="B234" s="3"/>
      <c r="C234" s="2"/>
      <c r="D234" s="28"/>
      <c r="E234" s="2"/>
      <c r="F234" s="28"/>
      <c r="G234" s="28"/>
      <c r="H234" s="28"/>
      <c r="I234" s="2"/>
      <c r="J234" s="3"/>
      <c r="K234" s="2"/>
      <c r="L234" s="2"/>
      <c r="M234" s="5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/>
      <c r="B235" s="3"/>
      <c r="C235" s="2"/>
      <c r="D235" s="28"/>
      <c r="E235" s="2"/>
      <c r="F235" s="28"/>
      <c r="G235" s="28"/>
      <c r="H235" s="28"/>
      <c r="I235" s="2"/>
      <c r="J235" s="3"/>
      <c r="K235" s="2"/>
      <c r="L235" s="2"/>
      <c r="M235" s="5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/>
      <c r="B236" s="3"/>
      <c r="C236" s="2"/>
      <c r="D236" s="28"/>
      <c r="E236" s="2"/>
      <c r="F236" s="28"/>
      <c r="G236" s="28"/>
      <c r="H236" s="28"/>
      <c r="I236" s="2"/>
      <c r="J236" s="3"/>
      <c r="K236" s="2"/>
      <c r="L236" s="2"/>
      <c r="M236" s="5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/>
      <c r="B237" s="3"/>
      <c r="C237" s="2"/>
      <c r="D237" s="28"/>
      <c r="E237" s="2"/>
      <c r="F237" s="28"/>
      <c r="G237" s="28"/>
      <c r="H237" s="28"/>
      <c r="I237" s="2"/>
      <c r="J237" s="3"/>
      <c r="K237" s="2"/>
      <c r="L237" s="2"/>
      <c r="M237" s="5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/>
      <c r="B238" s="3"/>
      <c r="C238" s="2"/>
      <c r="D238" s="28"/>
      <c r="E238" s="2"/>
      <c r="F238" s="28"/>
      <c r="G238" s="28"/>
      <c r="H238" s="28"/>
      <c r="I238" s="2"/>
      <c r="J238" s="3"/>
      <c r="K238" s="2"/>
      <c r="L238" s="2"/>
      <c r="M238" s="5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/>
      <c r="B239" s="3"/>
      <c r="C239" s="2"/>
      <c r="D239" s="28"/>
      <c r="E239" s="2"/>
      <c r="F239" s="28"/>
      <c r="G239" s="28"/>
      <c r="H239" s="28"/>
      <c r="I239" s="2"/>
      <c r="J239" s="3"/>
      <c r="K239" s="2"/>
      <c r="L239" s="2"/>
      <c r="M239" s="5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/>
      <c r="B240" s="3"/>
      <c r="C240" s="2"/>
      <c r="D240" s="28"/>
      <c r="E240" s="2"/>
      <c r="F240" s="28"/>
      <c r="G240" s="28"/>
      <c r="H240" s="28"/>
      <c r="I240" s="2"/>
      <c r="J240" s="3"/>
      <c r="K240" s="2"/>
      <c r="L240" s="2"/>
      <c r="M240" s="5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/>
      <c r="B241" s="3"/>
      <c r="C241" s="2"/>
      <c r="D241" s="28"/>
      <c r="E241" s="2"/>
      <c r="F241" s="28"/>
      <c r="G241" s="28"/>
      <c r="H241" s="28"/>
      <c r="I241" s="2"/>
      <c r="J241" s="3"/>
      <c r="K241" s="2"/>
      <c r="L241" s="2"/>
      <c r="M241" s="5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/>
      <c r="B242" s="3"/>
      <c r="C242" s="2"/>
      <c r="D242" s="28"/>
      <c r="E242" s="2"/>
      <c r="F242" s="28"/>
      <c r="G242" s="28"/>
      <c r="H242" s="28"/>
      <c r="I242" s="2"/>
      <c r="J242" s="3"/>
      <c r="K242" s="2"/>
      <c r="L242" s="2"/>
      <c r="M242" s="5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/>
      <c r="B243" s="3"/>
      <c r="C243" s="2"/>
      <c r="D243" s="28"/>
      <c r="E243" s="2"/>
      <c r="F243" s="28"/>
      <c r="G243" s="28"/>
      <c r="H243" s="28"/>
      <c r="I243" s="2"/>
      <c r="J243" s="3"/>
      <c r="K243" s="2"/>
      <c r="L243" s="2"/>
      <c r="M243" s="5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/>
      <c r="B244" s="3"/>
      <c r="C244" s="2"/>
      <c r="D244" s="28"/>
      <c r="E244" s="2"/>
      <c r="F244" s="28"/>
      <c r="G244" s="28"/>
      <c r="H244" s="28"/>
      <c r="I244" s="2"/>
      <c r="J244" s="3"/>
      <c r="K244" s="2"/>
      <c r="L244" s="2"/>
      <c r="M244" s="5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/>
      <c r="B245" s="3"/>
      <c r="C245" s="2"/>
      <c r="D245" s="28"/>
      <c r="E245" s="2"/>
      <c r="F245" s="28"/>
      <c r="G245" s="28"/>
      <c r="H245" s="28"/>
      <c r="I245" s="2"/>
      <c r="J245" s="3"/>
      <c r="K245" s="2"/>
      <c r="L245" s="2"/>
      <c r="M245" s="5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/>
      <c r="B246" s="3"/>
      <c r="C246" s="2"/>
      <c r="D246" s="28"/>
      <c r="E246" s="2"/>
      <c r="F246" s="28"/>
      <c r="G246" s="28"/>
      <c r="H246" s="28"/>
      <c r="I246" s="2"/>
      <c r="J246" s="3"/>
      <c r="K246" s="2"/>
      <c r="L246" s="2"/>
      <c r="M246" s="5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/>
      <c r="B247" s="3"/>
      <c r="C247" s="2"/>
      <c r="D247" s="28"/>
      <c r="E247" s="2"/>
      <c r="F247" s="28"/>
      <c r="G247" s="28"/>
      <c r="H247" s="28"/>
      <c r="I247" s="2"/>
      <c r="J247" s="3"/>
      <c r="K247" s="2"/>
      <c r="L247" s="2"/>
      <c r="M247" s="5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/>
      <c r="B248" s="3"/>
      <c r="C248" s="2"/>
      <c r="D248" s="28"/>
      <c r="E248" s="2"/>
      <c r="F248" s="28"/>
      <c r="G248" s="28"/>
      <c r="H248" s="28"/>
      <c r="I248" s="2"/>
      <c r="J248" s="3"/>
      <c r="K248" s="2"/>
      <c r="L248" s="2"/>
      <c r="M248" s="5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/>
      <c r="B249" s="3"/>
      <c r="C249" s="2"/>
      <c r="D249" s="28"/>
      <c r="E249" s="2"/>
      <c r="F249" s="28"/>
      <c r="G249" s="28"/>
      <c r="H249" s="28"/>
      <c r="I249" s="2"/>
      <c r="J249" s="3"/>
      <c r="K249" s="2"/>
      <c r="L249" s="2"/>
      <c r="M249" s="5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/>
      <c r="B250" s="3"/>
      <c r="C250" s="2"/>
      <c r="D250" s="28"/>
      <c r="E250" s="2"/>
      <c r="F250" s="28"/>
      <c r="G250" s="28"/>
      <c r="H250" s="28"/>
      <c r="I250" s="2"/>
      <c r="J250" s="3"/>
      <c r="K250" s="2"/>
      <c r="L250" s="2"/>
      <c r="M250" s="5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/>
      <c r="B251" s="3"/>
      <c r="C251" s="2"/>
      <c r="D251" s="28"/>
      <c r="E251" s="2"/>
      <c r="F251" s="28"/>
      <c r="G251" s="28"/>
      <c r="H251" s="28"/>
      <c r="I251" s="2"/>
      <c r="J251" s="3"/>
      <c r="K251" s="2"/>
      <c r="L251" s="2"/>
      <c r="M251" s="5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/>
      <c r="B252" s="3"/>
      <c r="C252" s="2"/>
      <c r="D252" s="28"/>
      <c r="E252" s="2"/>
      <c r="F252" s="28"/>
      <c r="G252" s="28"/>
      <c r="H252" s="28"/>
      <c r="I252" s="2"/>
      <c r="J252" s="3"/>
      <c r="K252" s="2"/>
      <c r="L252" s="2"/>
      <c r="M252" s="5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/>
      <c r="B253" s="3"/>
      <c r="C253" s="2"/>
      <c r="D253" s="28"/>
      <c r="E253" s="2"/>
      <c r="F253" s="28"/>
      <c r="G253" s="28"/>
      <c r="H253" s="28"/>
      <c r="I253" s="2"/>
      <c r="J253" s="3"/>
      <c r="K253" s="2"/>
      <c r="L253" s="2"/>
      <c r="M253" s="5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/>
      <c r="B254" s="3"/>
      <c r="C254" s="2"/>
      <c r="D254" s="28"/>
      <c r="E254" s="2"/>
      <c r="F254" s="28"/>
      <c r="G254" s="28"/>
      <c r="H254" s="28"/>
      <c r="I254" s="2"/>
      <c r="J254" s="3"/>
      <c r="K254" s="2"/>
      <c r="L254" s="2"/>
      <c r="M254" s="5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/>
      <c r="B255" s="3"/>
      <c r="C255" s="2"/>
      <c r="D255" s="28"/>
      <c r="E255" s="2"/>
      <c r="F255" s="28"/>
      <c r="G255" s="28"/>
      <c r="H255" s="28"/>
      <c r="I255" s="2"/>
      <c r="J255" s="3"/>
      <c r="K255" s="2"/>
      <c r="L255" s="2"/>
      <c r="M255" s="5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/>
      <c r="B256" s="3"/>
      <c r="C256" s="2"/>
      <c r="D256" s="28"/>
      <c r="E256" s="2"/>
      <c r="F256" s="28"/>
      <c r="G256" s="28"/>
      <c r="H256" s="28"/>
      <c r="I256" s="2"/>
      <c r="J256" s="3"/>
      <c r="K256" s="2"/>
      <c r="L256" s="2"/>
      <c r="M256" s="5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3"/>
      <c r="C257" s="2"/>
      <c r="D257" s="28"/>
      <c r="E257" s="2"/>
      <c r="F257" s="28"/>
      <c r="G257" s="28"/>
      <c r="H257" s="28"/>
      <c r="I257" s="2"/>
      <c r="J257" s="3"/>
      <c r="K257" s="2"/>
      <c r="L257" s="2"/>
      <c r="M257" s="5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3"/>
      <c r="C258" s="2"/>
      <c r="D258" s="28"/>
      <c r="E258" s="2"/>
      <c r="F258" s="28"/>
      <c r="G258" s="28"/>
      <c r="H258" s="28"/>
      <c r="I258" s="2"/>
      <c r="J258" s="3"/>
      <c r="K258" s="2"/>
      <c r="L258" s="2"/>
      <c r="M258" s="5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3"/>
      <c r="C259" s="2"/>
      <c r="D259" s="28"/>
      <c r="E259" s="2"/>
      <c r="F259" s="28"/>
      <c r="G259" s="28"/>
      <c r="H259" s="28"/>
      <c r="I259" s="2"/>
      <c r="J259" s="3"/>
      <c r="K259" s="2"/>
      <c r="L259" s="2"/>
      <c r="M259" s="5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/>
      <c r="B260" s="3"/>
      <c r="C260" s="2"/>
      <c r="D260" s="28"/>
      <c r="E260" s="2"/>
      <c r="F260" s="28"/>
      <c r="G260" s="28"/>
      <c r="H260" s="28"/>
      <c r="I260" s="2"/>
      <c r="J260" s="3"/>
      <c r="K260" s="2"/>
      <c r="L260" s="2"/>
      <c r="M260" s="5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/>
      <c r="B261" s="3"/>
      <c r="C261" s="2"/>
      <c r="D261" s="28"/>
      <c r="E261" s="2"/>
      <c r="F261" s="28"/>
      <c r="G261" s="28"/>
      <c r="H261" s="28"/>
      <c r="I261" s="2"/>
      <c r="J261" s="3"/>
      <c r="K261" s="2"/>
      <c r="L261" s="2"/>
      <c r="M261" s="5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/>
      <c r="B262" s="3"/>
      <c r="C262" s="2"/>
      <c r="D262" s="28"/>
      <c r="E262" s="2"/>
      <c r="F262" s="28"/>
      <c r="G262" s="28"/>
      <c r="H262" s="28"/>
      <c r="I262" s="2"/>
      <c r="J262" s="3"/>
      <c r="K262" s="2"/>
      <c r="L262" s="2"/>
      <c r="M262" s="5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/>
      <c r="B263" s="3"/>
      <c r="C263" s="2"/>
      <c r="D263" s="28"/>
      <c r="E263" s="2"/>
      <c r="F263" s="28"/>
      <c r="G263" s="28"/>
      <c r="H263" s="28"/>
      <c r="I263" s="2"/>
      <c r="J263" s="3"/>
      <c r="K263" s="2"/>
      <c r="L263" s="2"/>
      <c r="M263" s="5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/>
      <c r="B264" s="3"/>
      <c r="C264" s="2"/>
      <c r="D264" s="28"/>
      <c r="E264" s="2"/>
      <c r="F264" s="28"/>
      <c r="G264" s="28"/>
      <c r="H264" s="28"/>
      <c r="I264" s="2"/>
      <c r="J264" s="3"/>
      <c r="K264" s="2"/>
      <c r="L264" s="2"/>
      <c r="M264" s="5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/>
      <c r="B265" s="3"/>
      <c r="C265" s="2"/>
      <c r="D265" s="28"/>
      <c r="E265" s="2"/>
      <c r="F265" s="28"/>
      <c r="G265" s="28"/>
      <c r="H265" s="28"/>
      <c r="I265" s="2"/>
      <c r="J265" s="3"/>
      <c r="K265" s="2"/>
      <c r="L265" s="2"/>
      <c r="M265" s="5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/>
      <c r="B266" s="3"/>
      <c r="C266" s="2"/>
      <c r="D266" s="28"/>
      <c r="E266" s="2"/>
      <c r="F266" s="28"/>
      <c r="G266" s="28"/>
      <c r="H266" s="28"/>
      <c r="I266" s="2"/>
      <c r="J266" s="3"/>
      <c r="K266" s="2"/>
      <c r="L266" s="2"/>
      <c r="M266" s="5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/>
      <c r="B267" s="3"/>
      <c r="C267" s="2"/>
      <c r="D267" s="28"/>
      <c r="E267" s="2"/>
      <c r="F267" s="28"/>
      <c r="G267" s="28"/>
      <c r="H267" s="28"/>
      <c r="I267" s="2"/>
      <c r="J267" s="3"/>
      <c r="K267" s="2"/>
      <c r="L267" s="2"/>
      <c r="M267" s="5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/>
      <c r="B268" s="3"/>
      <c r="C268" s="2"/>
      <c r="D268" s="28"/>
      <c r="E268" s="2"/>
      <c r="F268" s="28"/>
      <c r="G268" s="28"/>
      <c r="H268" s="28"/>
      <c r="I268" s="2"/>
      <c r="J268" s="3"/>
      <c r="K268" s="2"/>
      <c r="L268" s="2"/>
      <c r="M268" s="5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/>
      <c r="B269" s="3"/>
      <c r="C269" s="2"/>
      <c r="D269" s="28"/>
      <c r="E269" s="2"/>
      <c r="F269" s="28"/>
      <c r="G269" s="28"/>
      <c r="H269" s="28"/>
      <c r="I269" s="2"/>
      <c r="J269" s="3"/>
      <c r="K269" s="2"/>
      <c r="L269" s="2"/>
      <c r="M269" s="5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/>
      <c r="B270" s="3"/>
      <c r="C270" s="2"/>
      <c r="D270" s="28"/>
      <c r="E270" s="2"/>
      <c r="F270" s="28"/>
      <c r="G270" s="28"/>
      <c r="H270" s="28"/>
      <c r="I270" s="2"/>
      <c r="J270" s="3"/>
      <c r="K270" s="2"/>
      <c r="L270" s="2"/>
      <c r="M270" s="5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/>
      <c r="B271" s="3"/>
      <c r="C271" s="2"/>
      <c r="D271" s="28"/>
      <c r="E271" s="2"/>
      <c r="F271" s="28"/>
      <c r="G271" s="28"/>
      <c r="H271" s="28"/>
      <c r="I271" s="2"/>
      <c r="J271" s="3"/>
      <c r="K271" s="2"/>
      <c r="L271" s="2"/>
      <c r="M271" s="5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/>
      <c r="B272" s="3"/>
      <c r="C272" s="2"/>
      <c r="D272" s="28"/>
      <c r="E272" s="2"/>
      <c r="F272" s="28"/>
      <c r="G272" s="28"/>
      <c r="H272" s="28"/>
      <c r="I272" s="2"/>
      <c r="J272" s="3"/>
      <c r="K272" s="2"/>
      <c r="L272" s="2"/>
      <c r="M272" s="5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/>
      <c r="B273" s="3"/>
      <c r="C273" s="2"/>
      <c r="D273" s="28"/>
      <c r="E273" s="2"/>
      <c r="F273" s="28"/>
      <c r="G273" s="28"/>
      <c r="H273" s="28"/>
      <c r="I273" s="2"/>
      <c r="J273" s="3"/>
      <c r="K273" s="2"/>
      <c r="L273" s="2"/>
      <c r="M273" s="5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/>
      <c r="B274" s="3"/>
      <c r="C274" s="2"/>
      <c r="D274" s="28"/>
      <c r="E274" s="2"/>
      <c r="F274" s="28"/>
      <c r="G274" s="28"/>
      <c r="H274" s="28"/>
      <c r="I274" s="2"/>
      <c r="J274" s="3"/>
      <c r="K274" s="2"/>
      <c r="L274" s="2"/>
      <c r="M274" s="5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/>
      <c r="B275" s="3"/>
      <c r="C275" s="2"/>
      <c r="D275" s="28"/>
      <c r="E275" s="2"/>
      <c r="F275" s="28"/>
      <c r="G275" s="28"/>
      <c r="H275" s="28"/>
      <c r="I275" s="2"/>
      <c r="J275" s="3"/>
      <c r="K275" s="2"/>
      <c r="L275" s="2"/>
      <c r="M275" s="5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/>
      <c r="B276" s="3"/>
      <c r="C276" s="2"/>
      <c r="D276" s="28"/>
      <c r="E276" s="2"/>
      <c r="F276" s="28"/>
      <c r="G276" s="28"/>
      <c r="H276" s="28"/>
      <c r="I276" s="2"/>
      <c r="J276" s="3"/>
      <c r="K276" s="2"/>
      <c r="L276" s="2"/>
      <c r="M276" s="5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/>
      <c r="B277" s="3"/>
      <c r="C277" s="2"/>
      <c r="D277" s="28"/>
      <c r="E277" s="2"/>
      <c r="F277" s="28"/>
      <c r="G277" s="28"/>
      <c r="H277" s="28"/>
      <c r="I277" s="2"/>
      <c r="J277" s="3"/>
      <c r="K277" s="2"/>
      <c r="L277" s="2"/>
      <c r="M277" s="5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/>
      <c r="B278" s="3"/>
      <c r="C278" s="2"/>
      <c r="D278" s="28"/>
      <c r="E278" s="2"/>
      <c r="F278" s="28"/>
      <c r="G278" s="28"/>
      <c r="H278" s="28"/>
      <c r="I278" s="2"/>
      <c r="J278" s="3"/>
      <c r="K278" s="2"/>
      <c r="L278" s="2"/>
      <c r="M278" s="5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/>
      <c r="B279" s="3"/>
      <c r="C279" s="2"/>
      <c r="D279" s="28"/>
      <c r="E279" s="2"/>
      <c r="F279" s="28"/>
      <c r="G279" s="28"/>
      <c r="H279" s="28"/>
      <c r="I279" s="2"/>
      <c r="J279" s="3"/>
      <c r="K279" s="2"/>
      <c r="L279" s="2"/>
      <c r="M279" s="5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/>
      <c r="B280" s="3"/>
      <c r="C280" s="2"/>
      <c r="D280" s="28"/>
      <c r="E280" s="2"/>
      <c r="F280" s="28"/>
      <c r="G280" s="28"/>
      <c r="H280" s="28"/>
      <c r="I280" s="2"/>
      <c r="J280" s="3"/>
      <c r="K280" s="2"/>
      <c r="L280" s="2"/>
      <c r="M280" s="5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"/>
      <c r="B281" s="3"/>
      <c r="C281" s="2"/>
      <c r="D281" s="28"/>
      <c r="E281" s="2"/>
      <c r="F281" s="28"/>
      <c r="G281" s="28"/>
      <c r="H281" s="28"/>
      <c r="I281" s="2"/>
      <c r="J281" s="3"/>
      <c r="K281" s="2"/>
      <c r="L281" s="2"/>
      <c r="M281" s="5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"/>
      <c r="B282" s="3"/>
      <c r="C282" s="2"/>
      <c r="D282" s="28"/>
      <c r="E282" s="2"/>
      <c r="F282" s="28"/>
      <c r="G282" s="28"/>
      <c r="H282" s="28"/>
      <c r="I282" s="2"/>
      <c r="J282" s="3"/>
      <c r="K282" s="2"/>
      <c r="L282" s="2"/>
      <c r="M282" s="5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"/>
      <c r="B283" s="3"/>
      <c r="C283" s="2"/>
      <c r="D283" s="28"/>
      <c r="E283" s="2"/>
      <c r="F283" s="28"/>
      <c r="G283" s="28"/>
      <c r="H283" s="28"/>
      <c r="I283" s="2"/>
      <c r="J283" s="3"/>
      <c r="K283" s="2"/>
      <c r="L283" s="2"/>
      <c r="M283" s="5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"/>
      <c r="B284" s="3"/>
      <c r="C284" s="2"/>
      <c r="D284" s="28"/>
      <c r="E284" s="2"/>
      <c r="F284" s="28"/>
      <c r="G284" s="28"/>
      <c r="H284" s="28"/>
      <c r="I284" s="2"/>
      <c r="J284" s="3"/>
      <c r="K284" s="2"/>
      <c r="L284" s="2"/>
      <c r="M284" s="5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"/>
      <c r="B285" s="3"/>
      <c r="C285" s="2"/>
      <c r="D285" s="28"/>
      <c r="E285" s="2"/>
      <c r="F285" s="28"/>
      <c r="G285" s="28"/>
      <c r="H285" s="28"/>
      <c r="I285" s="2"/>
      <c r="J285" s="3"/>
      <c r="K285" s="2"/>
      <c r="L285" s="2"/>
      <c r="M285" s="5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"/>
      <c r="B286" s="3"/>
      <c r="C286" s="2"/>
      <c r="D286" s="28"/>
      <c r="E286" s="2"/>
      <c r="F286" s="28"/>
      <c r="G286" s="28"/>
      <c r="H286" s="28"/>
      <c r="I286" s="2"/>
      <c r="J286" s="3"/>
      <c r="K286" s="2"/>
      <c r="L286" s="2"/>
      <c r="M286" s="5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"/>
      <c r="B287" s="3"/>
      <c r="C287" s="2"/>
      <c r="D287" s="28"/>
      <c r="E287" s="2"/>
      <c r="F287" s="28"/>
      <c r="G287" s="28"/>
      <c r="H287" s="28"/>
      <c r="I287" s="2"/>
      <c r="J287" s="3"/>
      <c r="K287" s="2"/>
      <c r="L287" s="2"/>
      <c r="M287" s="5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"/>
      <c r="B288" s="3"/>
      <c r="C288" s="2"/>
      <c r="D288" s="28"/>
      <c r="E288" s="2"/>
      <c r="F288" s="28"/>
      <c r="G288" s="28"/>
      <c r="H288" s="28"/>
      <c r="I288" s="2"/>
      <c r="J288" s="3"/>
      <c r="K288" s="2"/>
      <c r="L288" s="2"/>
      <c r="M288" s="5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"/>
      <c r="B289" s="3"/>
      <c r="C289" s="2"/>
      <c r="D289" s="28"/>
      <c r="E289" s="2"/>
      <c r="F289" s="28"/>
      <c r="G289" s="28"/>
      <c r="H289" s="28"/>
      <c r="I289" s="2"/>
      <c r="J289" s="3"/>
      <c r="K289" s="2"/>
      <c r="L289" s="2"/>
      <c r="M289" s="5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"/>
      <c r="B290" s="3"/>
      <c r="C290" s="2"/>
      <c r="D290" s="28"/>
      <c r="E290" s="2"/>
      <c r="F290" s="28"/>
      <c r="G290" s="28"/>
      <c r="H290" s="28"/>
      <c r="I290" s="2"/>
      <c r="J290" s="3"/>
      <c r="K290" s="2"/>
      <c r="L290" s="2"/>
      <c r="M290" s="5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"/>
      <c r="B291" s="3"/>
      <c r="C291" s="2"/>
      <c r="D291" s="28"/>
      <c r="E291" s="2"/>
      <c r="F291" s="28"/>
      <c r="G291" s="28"/>
      <c r="H291" s="28"/>
      <c r="I291" s="2"/>
      <c r="J291" s="3"/>
      <c r="K291" s="2"/>
      <c r="L291" s="2"/>
      <c r="M291" s="5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"/>
      <c r="B292" s="3"/>
      <c r="C292" s="2"/>
      <c r="D292" s="28"/>
      <c r="E292" s="2"/>
      <c r="F292" s="28"/>
      <c r="G292" s="28"/>
      <c r="H292" s="28"/>
      <c r="I292" s="2"/>
      <c r="J292" s="3"/>
      <c r="K292" s="2"/>
      <c r="L292" s="2"/>
      <c r="M292" s="5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"/>
      <c r="B293" s="3"/>
      <c r="C293" s="2"/>
      <c r="D293" s="28"/>
      <c r="E293" s="2"/>
      <c r="F293" s="28"/>
      <c r="G293" s="28"/>
      <c r="H293" s="28"/>
      <c r="I293" s="2"/>
      <c r="J293" s="3"/>
      <c r="K293" s="2"/>
      <c r="L293" s="2"/>
      <c r="M293" s="5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"/>
      <c r="B294" s="3"/>
      <c r="C294" s="2"/>
      <c r="D294" s="28"/>
      <c r="E294" s="2"/>
      <c r="F294" s="28"/>
      <c r="G294" s="28"/>
      <c r="H294" s="28"/>
      <c r="I294" s="2"/>
      <c r="J294" s="3"/>
      <c r="K294" s="2"/>
      <c r="L294" s="2"/>
      <c r="M294" s="5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"/>
      <c r="B295" s="3"/>
      <c r="C295" s="2"/>
      <c r="D295" s="28"/>
      <c r="E295" s="2"/>
      <c r="F295" s="28"/>
      <c r="G295" s="28"/>
      <c r="H295" s="28"/>
      <c r="I295" s="2"/>
      <c r="J295" s="3"/>
      <c r="K295" s="2"/>
      <c r="L295" s="2"/>
      <c r="M295" s="5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"/>
      <c r="B296" s="3"/>
      <c r="C296" s="2"/>
      <c r="D296" s="28"/>
      <c r="E296" s="2"/>
      <c r="F296" s="28"/>
      <c r="G296" s="28"/>
      <c r="H296" s="28"/>
      <c r="I296" s="2"/>
      <c r="J296" s="3"/>
      <c r="K296" s="2"/>
      <c r="L296" s="2"/>
      <c r="M296" s="5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/>
      <c r="B297" s="3"/>
      <c r="C297" s="2"/>
      <c r="D297" s="28"/>
      <c r="E297" s="2"/>
      <c r="F297" s="28"/>
      <c r="G297" s="28"/>
      <c r="H297" s="28"/>
      <c r="I297" s="2"/>
      <c r="J297" s="3"/>
      <c r="K297" s="2"/>
      <c r="L297" s="2"/>
      <c r="M297" s="5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/>
      <c r="B298" s="3"/>
      <c r="C298" s="2"/>
      <c r="D298" s="28"/>
      <c r="E298" s="2"/>
      <c r="F298" s="28"/>
      <c r="G298" s="28"/>
      <c r="H298" s="28"/>
      <c r="I298" s="2"/>
      <c r="J298" s="3"/>
      <c r="K298" s="2"/>
      <c r="L298" s="2"/>
      <c r="M298" s="5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/>
      <c r="B299" s="3"/>
      <c r="C299" s="2"/>
      <c r="D299" s="28"/>
      <c r="E299" s="2"/>
      <c r="F299" s="28"/>
      <c r="G299" s="28"/>
      <c r="H299" s="28"/>
      <c r="I299" s="2"/>
      <c r="J299" s="3"/>
      <c r="K299" s="2"/>
      <c r="L299" s="2"/>
      <c r="M299" s="5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/>
      <c r="B300" s="3"/>
      <c r="C300" s="2"/>
      <c r="D300" s="28"/>
      <c r="E300" s="2"/>
      <c r="F300" s="28"/>
      <c r="G300" s="28"/>
      <c r="H300" s="28"/>
      <c r="I300" s="2"/>
      <c r="J300" s="3"/>
      <c r="K300" s="2"/>
      <c r="L300" s="2"/>
      <c r="M300" s="5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/>
      <c r="B301" s="3"/>
      <c r="C301" s="2"/>
      <c r="D301" s="28"/>
      <c r="E301" s="2"/>
      <c r="F301" s="28"/>
      <c r="G301" s="28"/>
      <c r="H301" s="28"/>
      <c r="I301" s="2"/>
      <c r="J301" s="3"/>
      <c r="K301" s="2"/>
      <c r="L301" s="2"/>
      <c r="M301" s="5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/>
      <c r="B302" s="3"/>
      <c r="C302" s="2"/>
      <c r="D302" s="28"/>
      <c r="E302" s="2"/>
      <c r="F302" s="28"/>
      <c r="G302" s="28"/>
      <c r="H302" s="28"/>
      <c r="I302" s="2"/>
      <c r="J302" s="3"/>
      <c r="K302" s="2"/>
      <c r="L302" s="2"/>
      <c r="M302" s="5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/>
      <c r="B303" s="3"/>
      <c r="C303" s="2"/>
      <c r="D303" s="28"/>
      <c r="E303" s="2"/>
      <c r="F303" s="28"/>
      <c r="G303" s="28"/>
      <c r="H303" s="28"/>
      <c r="I303" s="2"/>
      <c r="J303" s="3"/>
      <c r="K303" s="2"/>
      <c r="L303" s="2"/>
      <c r="M303" s="5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/>
      <c r="B304" s="3"/>
      <c r="C304" s="2"/>
      <c r="D304" s="28"/>
      <c r="E304" s="2"/>
      <c r="F304" s="28"/>
      <c r="G304" s="28"/>
      <c r="H304" s="28"/>
      <c r="I304" s="2"/>
      <c r="J304" s="3"/>
      <c r="K304" s="2"/>
      <c r="L304" s="2"/>
      <c r="M304" s="5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/>
      <c r="B305" s="3"/>
      <c r="C305" s="2"/>
      <c r="D305" s="28"/>
      <c r="E305" s="2"/>
      <c r="F305" s="28"/>
      <c r="G305" s="28"/>
      <c r="H305" s="28"/>
      <c r="I305" s="2"/>
      <c r="J305" s="3"/>
      <c r="K305" s="2"/>
      <c r="L305" s="2"/>
      <c r="M305" s="5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3"/>
      <c r="C306" s="2"/>
      <c r="D306" s="28"/>
      <c r="E306" s="2"/>
      <c r="F306" s="28"/>
      <c r="G306" s="28"/>
      <c r="H306" s="28"/>
      <c r="I306" s="2"/>
      <c r="J306" s="3"/>
      <c r="K306" s="2"/>
      <c r="L306" s="2"/>
      <c r="M306" s="5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3"/>
      <c r="C307" s="2"/>
      <c r="D307" s="28"/>
      <c r="E307" s="2"/>
      <c r="F307" s="28"/>
      <c r="G307" s="28"/>
      <c r="H307" s="28"/>
      <c r="I307" s="2"/>
      <c r="J307" s="3"/>
      <c r="K307" s="2"/>
      <c r="L307" s="2"/>
      <c r="M307" s="5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/>
      <c r="B308" s="3"/>
      <c r="C308" s="2"/>
      <c r="D308" s="28"/>
      <c r="E308" s="2"/>
      <c r="F308" s="28"/>
      <c r="G308" s="28"/>
      <c r="H308" s="28"/>
      <c r="I308" s="2"/>
      <c r="J308" s="3"/>
      <c r="K308" s="2"/>
      <c r="L308" s="2"/>
      <c r="M308" s="5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/>
      <c r="B309" s="3"/>
      <c r="C309" s="2"/>
      <c r="D309" s="28"/>
      <c r="E309" s="2"/>
      <c r="F309" s="28"/>
      <c r="G309" s="28"/>
      <c r="H309" s="28"/>
      <c r="I309" s="2"/>
      <c r="J309" s="3"/>
      <c r="K309" s="2"/>
      <c r="L309" s="2"/>
      <c r="M309" s="5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/>
      <c r="B310" s="3"/>
      <c r="C310" s="2"/>
      <c r="D310" s="28"/>
      <c r="E310" s="2"/>
      <c r="F310" s="28"/>
      <c r="G310" s="28"/>
      <c r="H310" s="28"/>
      <c r="I310" s="2"/>
      <c r="J310" s="3"/>
      <c r="K310" s="2"/>
      <c r="L310" s="2"/>
      <c r="M310" s="5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"/>
      <c r="B311" s="3"/>
      <c r="C311" s="2"/>
      <c r="D311" s="28"/>
      <c r="E311" s="2"/>
      <c r="F311" s="28"/>
      <c r="G311" s="28"/>
      <c r="H311" s="28"/>
      <c r="I311" s="2"/>
      <c r="J311" s="3"/>
      <c r="K311" s="2"/>
      <c r="L311" s="2"/>
      <c r="M311" s="5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"/>
      <c r="B312" s="3"/>
      <c r="C312" s="2"/>
      <c r="D312" s="28"/>
      <c r="E312" s="2"/>
      <c r="F312" s="28"/>
      <c r="G312" s="28"/>
      <c r="H312" s="28"/>
      <c r="I312" s="2"/>
      <c r="J312" s="3"/>
      <c r="K312" s="2"/>
      <c r="L312" s="2"/>
      <c r="M312" s="5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"/>
      <c r="B313" s="3"/>
      <c r="C313" s="2"/>
      <c r="D313" s="28"/>
      <c r="E313" s="2"/>
      <c r="F313" s="28"/>
      <c r="G313" s="28"/>
      <c r="H313" s="28"/>
      <c r="I313" s="2"/>
      <c r="J313" s="3"/>
      <c r="K313" s="2"/>
      <c r="L313" s="2"/>
      <c r="M313" s="5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"/>
      <c r="B314" s="3"/>
      <c r="C314" s="2"/>
      <c r="D314" s="28"/>
      <c r="E314" s="2"/>
      <c r="F314" s="28"/>
      <c r="G314" s="28"/>
      <c r="H314" s="28"/>
      <c r="I314" s="2"/>
      <c r="J314" s="3"/>
      <c r="K314" s="2"/>
      <c r="L314" s="2"/>
      <c r="M314" s="5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"/>
      <c r="B315" s="3"/>
      <c r="C315" s="2"/>
      <c r="D315" s="28"/>
      <c r="E315" s="2"/>
      <c r="F315" s="28"/>
      <c r="G315" s="28"/>
      <c r="H315" s="28"/>
      <c r="I315" s="2"/>
      <c r="J315" s="3"/>
      <c r="K315" s="2"/>
      <c r="L315" s="2"/>
      <c r="M315" s="5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"/>
      <c r="B316" s="3"/>
      <c r="C316" s="2"/>
      <c r="D316" s="28"/>
      <c r="E316" s="2"/>
      <c r="F316" s="28"/>
      <c r="G316" s="28"/>
      <c r="H316" s="28"/>
      <c r="I316" s="2"/>
      <c r="J316" s="3"/>
      <c r="K316" s="2"/>
      <c r="L316" s="2"/>
      <c r="M316" s="5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"/>
      <c r="B317" s="3"/>
      <c r="C317" s="2"/>
      <c r="D317" s="28"/>
      <c r="E317" s="2"/>
      <c r="F317" s="28"/>
      <c r="G317" s="28"/>
      <c r="H317" s="28"/>
      <c r="I317" s="2"/>
      <c r="J317" s="3"/>
      <c r="K317" s="2"/>
      <c r="L317" s="2"/>
      <c r="M317" s="5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"/>
      <c r="B318" s="3"/>
      <c r="C318" s="2"/>
      <c r="D318" s="28"/>
      <c r="E318" s="2"/>
      <c r="F318" s="28"/>
      <c r="G318" s="28"/>
      <c r="H318" s="28"/>
      <c r="I318" s="2"/>
      <c r="J318" s="3"/>
      <c r="K318" s="2"/>
      <c r="L318" s="2"/>
      <c r="M318" s="5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"/>
      <c r="B319" s="3"/>
      <c r="C319" s="2"/>
      <c r="D319" s="28"/>
      <c r="E319" s="2"/>
      <c r="F319" s="28"/>
      <c r="G319" s="28"/>
      <c r="H319" s="28"/>
      <c r="I319" s="2"/>
      <c r="J319" s="3"/>
      <c r="K319" s="2"/>
      <c r="L319" s="2"/>
      <c r="M319" s="5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"/>
      <c r="B320" s="3"/>
      <c r="C320" s="2"/>
      <c r="D320" s="28"/>
      <c r="E320" s="2"/>
      <c r="F320" s="28"/>
      <c r="G320" s="28"/>
      <c r="H320" s="28"/>
      <c r="I320" s="2"/>
      <c r="J320" s="3"/>
      <c r="K320" s="2"/>
      <c r="L320" s="2"/>
      <c r="M320" s="5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"/>
      <c r="B321" s="3"/>
      <c r="C321" s="2"/>
      <c r="D321" s="28"/>
      <c r="E321" s="2"/>
      <c r="F321" s="28"/>
      <c r="G321" s="28"/>
      <c r="H321" s="28"/>
      <c r="I321" s="2"/>
      <c r="J321" s="3"/>
      <c r="K321" s="2"/>
      <c r="L321" s="2"/>
      <c r="M321" s="5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"/>
      <c r="B322" s="3"/>
      <c r="C322" s="2"/>
      <c r="D322" s="28"/>
      <c r="E322" s="2"/>
      <c r="F322" s="28"/>
      <c r="G322" s="28"/>
      <c r="H322" s="28"/>
      <c r="I322" s="2"/>
      <c r="J322" s="3"/>
      <c r="K322" s="2"/>
      <c r="L322" s="2"/>
      <c r="M322" s="5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"/>
      <c r="B323" s="3"/>
      <c r="C323" s="2"/>
      <c r="D323" s="28"/>
      <c r="E323" s="2"/>
      <c r="F323" s="28"/>
      <c r="G323" s="28"/>
      <c r="H323" s="28"/>
      <c r="I323" s="2"/>
      <c r="J323" s="3"/>
      <c r="K323" s="2"/>
      <c r="L323" s="2"/>
      <c r="M323" s="5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"/>
      <c r="B324" s="3"/>
      <c r="C324" s="2"/>
      <c r="D324" s="28"/>
      <c r="E324" s="2"/>
      <c r="F324" s="28"/>
      <c r="G324" s="28"/>
      <c r="H324" s="28"/>
      <c r="I324" s="2"/>
      <c r="J324" s="3"/>
      <c r="K324" s="2"/>
      <c r="L324" s="2"/>
      <c r="M324" s="5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"/>
      <c r="B325" s="3"/>
      <c r="C325" s="2"/>
      <c r="D325" s="28"/>
      <c r="E325" s="2"/>
      <c r="F325" s="28"/>
      <c r="G325" s="28"/>
      <c r="H325" s="28"/>
      <c r="I325" s="2"/>
      <c r="J325" s="3"/>
      <c r="K325" s="2"/>
      <c r="L325" s="2"/>
      <c r="M325" s="5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"/>
      <c r="B326" s="3"/>
      <c r="C326" s="2"/>
      <c r="D326" s="28"/>
      <c r="E326" s="2"/>
      <c r="F326" s="28"/>
      <c r="G326" s="28"/>
      <c r="H326" s="28"/>
      <c r="I326" s="2"/>
      <c r="J326" s="3"/>
      <c r="K326" s="2"/>
      <c r="L326" s="2"/>
      <c r="M326" s="5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"/>
      <c r="B327" s="3"/>
      <c r="C327" s="2"/>
      <c r="D327" s="28"/>
      <c r="E327" s="2"/>
      <c r="F327" s="28"/>
      <c r="G327" s="28"/>
      <c r="H327" s="28"/>
      <c r="I327" s="2"/>
      <c r="J327" s="3"/>
      <c r="K327" s="2"/>
      <c r="L327" s="2"/>
      <c r="M327" s="5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"/>
      <c r="B328" s="3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5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"/>
      <c r="B329" s="3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5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"/>
      <c r="B330" s="3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5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"/>
      <c r="B331" s="3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5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"/>
      <c r="B332" s="3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5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"/>
      <c r="B333" s="3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5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"/>
      <c r="B334" s="3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5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"/>
      <c r="B335" s="3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5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"/>
      <c r="B336" s="3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5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"/>
      <c r="B337" s="3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5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"/>
      <c r="B338" s="3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5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"/>
      <c r="B339" s="3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5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"/>
      <c r="B340" s="3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5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"/>
      <c r="B341" s="3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5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"/>
      <c r="B342" s="3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5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"/>
      <c r="B343" s="3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5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"/>
      <c r="B344" s="3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5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"/>
      <c r="B345" s="3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5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"/>
      <c r="B346" s="3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5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"/>
      <c r="B347" s="3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5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"/>
      <c r="B348" s="3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5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"/>
      <c r="B349" s="3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5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"/>
      <c r="B350" s="3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5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"/>
      <c r="B351" s="3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5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"/>
      <c r="B352" s="3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5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"/>
      <c r="B353" s="3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5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"/>
      <c r="B354" s="3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5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"/>
      <c r="B355" s="3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5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"/>
      <c r="B356" s="3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5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"/>
      <c r="B357" s="3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5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"/>
      <c r="B358" s="3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5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"/>
      <c r="B359" s="3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5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"/>
      <c r="B360" s="3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5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"/>
      <c r="B361" s="3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5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"/>
      <c r="B362" s="3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5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"/>
      <c r="B363" s="3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5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"/>
      <c r="B364" s="3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5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"/>
      <c r="B365" s="3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5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"/>
      <c r="B366" s="3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5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"/>
      <c r="B367" s="3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5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"/>
      <c r="B368" s="3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5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"/>
      <c r="B369" s="3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5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"/>
      <c r="B370" s="3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5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"/>
      <c r="B371" s="3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5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"/>
      <c r="B372" s="3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5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"/>
      <c r="B373" s="3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5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"/>
      <c r="B374" s="3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5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"/>
      <c r="B375" s="3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5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"/>
      <c r="B376" s="3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5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"/>
      <c r="B377" s="3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5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"/>
      <c r="B378" s="3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5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"/>
      <c r="B379" s="3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5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"/>
      <c r="B380" s="3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5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"/>
      <c r="B381" s="3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5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"/>
      <c r="B382" s="3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5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"/>
      <c r="B383" s="3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5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"/>
      <c r="B384" s="3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5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"/>
      <c r="B385" s="3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5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"/>
      <c r="B386" s="3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5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"/>
      <c r="B387" s="3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5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3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5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3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5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3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5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3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5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3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5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3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5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3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5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3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5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3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5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3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5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3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5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3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5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3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5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3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5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3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5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3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5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3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5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3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5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3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5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3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5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3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5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3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5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3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5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3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5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3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5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3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5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3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5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3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5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3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5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3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5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3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5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3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5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3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5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3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5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3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5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3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5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3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5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3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5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3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5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3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5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3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5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3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5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3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5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3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5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3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5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3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5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3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5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3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5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3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5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3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5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3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5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3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5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3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5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3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5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3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5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3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5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3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5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3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5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3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5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3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5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3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5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3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5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3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5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3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5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3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5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3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5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3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5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3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5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3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5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3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5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3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5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3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5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3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5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3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5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3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5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3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5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3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5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3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5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3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5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3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5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3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5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3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5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3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5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3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5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3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5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3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5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3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5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3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5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3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5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3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5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3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5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3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5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3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5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3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5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3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5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3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5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3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5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3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5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3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5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3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5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3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5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3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5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3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5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3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5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3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5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3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5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3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5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3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5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3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5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3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5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3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5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3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5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5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5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5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5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5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5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5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5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3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5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3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5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3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5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3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5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3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5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3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5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3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5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3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5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3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5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3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5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3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5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3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5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3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5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3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5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3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5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3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5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3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5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3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5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3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5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3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5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3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5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3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5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3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5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3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5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3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5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3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5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3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5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3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5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3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5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3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5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3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5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3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5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3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5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3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5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3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5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3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5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3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5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3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5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3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5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3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5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3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5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3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5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3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5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3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5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3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5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3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5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3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5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3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5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3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5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3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5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3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5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3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5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3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5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3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5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3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5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3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5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3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5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3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5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3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5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3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5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3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5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3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5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3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5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3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5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3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5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3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5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3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5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3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5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3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5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3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5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3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5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3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5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3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5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3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5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3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5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3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5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3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5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3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5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3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5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3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5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3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5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3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5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3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5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3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5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3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5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3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5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3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5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3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5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3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5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3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5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3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5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3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5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3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5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3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5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3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5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3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5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3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5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3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5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3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5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3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5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3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5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3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5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3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5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3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5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3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5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3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5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3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5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3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5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3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5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3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5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3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5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3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5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3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5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3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5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3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5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3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5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3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5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3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5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3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5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3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5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3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5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3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5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3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5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3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5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3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5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3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5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3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5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3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5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3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5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3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5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3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5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3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5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3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5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3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5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3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5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3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5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3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5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3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5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3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5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3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5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3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5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3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5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3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5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3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5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3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5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3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5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3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5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3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5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3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5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3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5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3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5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3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5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3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5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3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5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3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5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3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5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3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5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3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5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3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5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3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5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3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5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3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5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3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5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3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5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3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5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3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5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3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5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3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5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3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5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3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5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3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5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3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5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3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5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3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5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3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5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3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5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3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5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3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5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3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5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3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5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3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5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3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5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3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5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3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5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3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5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3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5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3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5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3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5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3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5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3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5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3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5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3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5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3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5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3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5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3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5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3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5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3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5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3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5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3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5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3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5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3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5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3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5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3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5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3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5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3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5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3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5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3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5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3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5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3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5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3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5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3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5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3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5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3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5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3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5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3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5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3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5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3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5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3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5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3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5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3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5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3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5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3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5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3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5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3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5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3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5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3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5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3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5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3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5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3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5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3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5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3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5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3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5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3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5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3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5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3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5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3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5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3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5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3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5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3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5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3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5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3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5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3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5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3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5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3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5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3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5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3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5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3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5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3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5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3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5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3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5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3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5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3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5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3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5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3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5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3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5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3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5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3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5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3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5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3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5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3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5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3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5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3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5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3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5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3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5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3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5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3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5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3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5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3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5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3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5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3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5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3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5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3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5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3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5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3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5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3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5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3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5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3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5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3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5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3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5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3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5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3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5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3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5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3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5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3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5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3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5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3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5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3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5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3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5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3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5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3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5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3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5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3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5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3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5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3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5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3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5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3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5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3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5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3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5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3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5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3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5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3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5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3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5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3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5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3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5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3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5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3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5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3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5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3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5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3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5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3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5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3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5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3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5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3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5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3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5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3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5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3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5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3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5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3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5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3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5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3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5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3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5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3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5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3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5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3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5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3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5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3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5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3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5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3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5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3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5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3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5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3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5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3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5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3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5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3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5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3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5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3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5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3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5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3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5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3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5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3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5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3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5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3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5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3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5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3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5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3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5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3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5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3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5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3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5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3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5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3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5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3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5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3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5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3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5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3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5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3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5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3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5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3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5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3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5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3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5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3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5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3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5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3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5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3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5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3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5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3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5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3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5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3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5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3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5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3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5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3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5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3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5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3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5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3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5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3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5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3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5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3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5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3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5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3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5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3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5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3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5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3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5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3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5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3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5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3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5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3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5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3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5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3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5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3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5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3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5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3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5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3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5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3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5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3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5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3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5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3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5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3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5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3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5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3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5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3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5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3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5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3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5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3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5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3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5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3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5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3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5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3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5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3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5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3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5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3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5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3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5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3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5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3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5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3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5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3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5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3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5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3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5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3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5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3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5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3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5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3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5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3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5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3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5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3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5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3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5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3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5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3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5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3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5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3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5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3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5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3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5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3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5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3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5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3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5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3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5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3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5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3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5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3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5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3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5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3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5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3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5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3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5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3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5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3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5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3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5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3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5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3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5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3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5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3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5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3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5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3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5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3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5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3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5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3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5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3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5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3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5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3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5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3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5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3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5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3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5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3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5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3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5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3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5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3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5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3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5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3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5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3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5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3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5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3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5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3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5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3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5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3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5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3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5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3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5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3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5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3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5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3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5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3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5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2"/>
      <c r="B985" s="3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5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2"/>
      <c r="B986" s="3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5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2"/>
      <c r="B987" s="3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5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2"/>
      <c r="B988" s="3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5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2"/>
      <c r="B989" s="3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5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2"/>
      <c r="B990" s="3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5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2"/>
      <c r="B991" s="3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5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2"/>
      <c r="B992" s="3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5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2"/>
      <c r="B993" s="3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5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2"/>
      <c r="B994" s="3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5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2"/>
      <c r="B995" s="3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5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2"/>
      <c r="B996" s="3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5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2"/>
      <c r="B997" s="3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5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2"/>
      <c r="B998" s="3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5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2"/>
      <c r="B999" s="3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5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2"/>
      <c r="B1000" s="3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5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autoFilter ref="$A$88:$R$127"/>
  <mergeCells count="12">
    <mergeCell ref="L4:L5"/>
    <mergeCell ref="M4:M5"/>
    <mergeCell ref="N4:N5"/>
    <mergeCell ref="B70:C70"/>
    <mergeCell ref="D70:E70"/>
    <mergeCell ref="A4:A5"/>
    <mergeCell ref="B4:B5"/>
    <mergeCell ref="C4:C5"/>
    <mergeCell ref="D4:F4"/>
    <mergeCell ref="G4:G5"/>
    <mergeCell ref="H4:H5"/>
    <mergeCell ref="I4:K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20.29"/>
    <col customWidth="1" min="2" max="2" width="14.29"/>
    <col customWidth="1" min="3" max="3" width="16.29"/>
    <col customWidth="1" min="4" max="12" width="12.71"/>
    <col customWidth="1" min="13" max="26" width="8.71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6" t="s">
        <v>8</v>
      </c>
      <c r="B4" s="6" t="s">
        <v>9</v>
      </c>
      <c r="C4" s="6" t="s">
        <v>10</v>
      </c>
      <c r="D4" s="8" t="s">
        <v>11</v>
      </c>
      <c r="E4" s="9"/>
      <c r="F4" s="10"/>
      <c r="G4" s="6" t="s">
        <v>13</v>
      </c>
      <c r="H4" s="8" t="s">
        <v>14</v>
      </c>
      <c r="I4" s="9"/>
      <c r="J4" s="10"/>
      <c r="K4" s="6" t="s">
        <v>13</v>
      </c>
      <c r="L4" s="6" t="s">
        <v>16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/>
      <c r="B5" s="6"/>
      <c r="C5" s="6"/>
      <c r="D5" s="6" t="s">
        <v>25</v>
      </c>
      <c r="E5" s="6" t="s">
        <v>27</v>
      </c>
      <c r="F5" s="6" t="s">
        <v>28</v>
      </c>
      <c r="G5" s="6"/>
      <c r="H5" s="6" t="s">
        <v>25</v>
      </c>
      <c r="I5" s="6" t="s">
        <v>27</v>
      </c>
      <c r="J5" s="6" t="s">
        <v>28</v>
      </c>
      <c r="K5" s="6"/>
      <c r="L5" s="6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5" t="s">
        <v>33</v>
      </c>
      <c r="B6" s="15" t="s">
        <v>33</v>
      </c>
      <c r="C6" s="15" t="s">
        <v>33</v>
      </c>
      <c r="D6" s="17">
        <v>3.0</v>
      </c>
      <c r="E6" s="17"/>
      <c r="F6" s="17"/>
      <c r="G6" s="21">
        <f t="shared" ref="G6:G60" si="1">SUM(D6:F6)</f>
        <v>3</v>
      </c>
      <c r="H6" s="17">
        <v>3.0</v>
      </c>
      <c r="I6" s="17"/>
      <c r="J6" s="17"/>
      <c r="K6" s="21">
        <f t="shared" ref="K6:K60" si="2">SUM(H6:J6)</f>
        <v>3</v>
      </c>
      <c r="L6" s="21">
        <f t="shared" ref="L6:L60" si="3">G6-K6</f>
        <v>0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5" t="s">
        <v>57</v>
      </c>
      <c r="B7" s="15" t="s">
        <v>59</v>
      </c>
      <c r="C7" s="15" t="s">
        <v>59</v>
      </c>
      <c r="D7" s="17">
        <v>2.0</v>
      </c>
      <c r="E7" s="17">
        <v>1.0</v>
      </c>
      <c r="F7" s="17"/>
      <c r="G7" s="21">
        <f t="shared" si="1"/>
        <v>3</v>
      </c>
      <c r="H7" s="17">
        <v>2.0</v>
      </c>
      <c r="I7" s="17">
        <v>1.0</v>
      </c>
      <c r="J7" s="17"/>
      <c r="K7" s="21">
        <f t="shared" si="2"/>
        <v>3</v>
      </c>
      <c r="L7" s="21">
        <f t="shared" si="3"/>
        <v>0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5" t="s">
        <v>71</v>
      </c>
      <c r="B8" s="15" t="s">
        <v>72</v>
      </c>
      <c r="C8" s="15" t="s">
        <v>73</v>
      </c>
      <c r="D8" s="17">
        <v>1.0</v>
      </c>
      <c r="E8" s="17"/>
      <c r="F8" s="17"/>
      <c r="G8" s="21">
        <f t="shared" si="1"/>
        <v>1</v>
      </c>
      <c r="H8" s="17">
        <v>1.0</v>
      </c>
      <c r="I8" s="17"/>
      <c r="J8" s="17"/>
      <c r="K8" s="21">
        <f t="shared" si="2"/>
        <v>1</v>
      </c>
      <c r="L8" s="21">
        <f t="shared" si="3"/>
        <v>0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5"/>
      <c r="B9" s="15"/>
      <c r="C9" s="15" t="s">
        <v>81</v>
      </c>
      <c r="D9" s="17">
        <v>1.0</v>
      </c>
      <c r="E9" s="17"/>
      <c r="F9" s="17"/>
      <c r="G9" s="21">
        <f t="shared" si="1"/>
        <v>1</v>
      </c>
      <c r="H9" s="17"/>
      <c r="I9" s="17"/>
      <c r="J9" s="17"/>
      <c r="K9" s="21">
        <f t="shared" si="2"/>
        <v>0</v>
      </c>
      <c r="L9" s="23">
        <f t="shared" si="3"/>
        <v>1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5"/>
      <c r="B10" s="15"/>
      <c r="C10" s="15" t="s">
        <v>87</v>
      </c>
      <c r="D10" s="17"/>
      <c r="E10" s="17"/>
      <c r="F10" s="17"/>
      <c r="G10" s="21">
        <f t="shared" si="1"/>
        <v>0</v>
      </c>
      <c r="H10" s="17">
        <v>1.0</v>
      </c>
      <c r="I10" s="17"/>
      <c r="J10" s="17"/>
      <c r="K10" s="21">
        <f t="shared" si="2"/>
        <v>1</v>
      </c>
      <c r="L10" s="21">
        <f t="shared" si="3"/>
        <v>-1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5"/>
      <c r="B11" s="15"/>
      <c r="C11" s="15" t="s">
        <v>41</v>
      </c>
      <c r="D11" s="17"/>
      <c r="E11" s="17">
        <v>1.0</v>
      </c>
      <c r="F11" s="17"/>
      <c r="G11" s="21">
        <f t="shared" si="1"/>
        <v>1</v>
      </c>
      <c r="H11" s="17"/>
      <c r="I11" s="17"/>
      <c r="J11" s="17"/>
      <c r="K11" s="21">
        <f t="shared" si="2"/>
        <v>0</v>
      </c>
      <c r="L11" s="23">
        <f t="shared" si="3"/>
        <v>1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5"/>
      <c r="B12" s="15" t="s">
        <v>90</v>
      </c>
      <c r="C12" s="15" t="s">
        <v>73</v>
      </c>
      <c r="D12" s="17"/>
      <c r="E12" s="17"/>
      <c r="F12" s="17"/>
      <c r="G12" s="21">
        <f t="shared" si="1"/>
        <v>0</v>
      </c>
      <c r="H12" s="17"/>
      <c r="I12" s="17"/>
      <c r="J12" s="17"/>
      <c r="K12" s="21">
        <f t="shared" si="2"/>
        <v>0</v>
      </c>
      <c r="L12" s="21">
        <f t="shared" si="3"/>
        <v>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5"/>
      <c r="B13" s="15"/>
      <c r="C13" s="15" t="s">
        <v>81</v>
      </c>
      <c r="D13" s="17">
        <v>1.0</v>
      </c>
      <c r="E13" s="17"/>
      <c r="F13" s="17"/>
      <c r="G13" s="21">
        <f t="shared" si="1"/>
        <v>1</v>
      </c>
      <c r="H13" s="17">
        <v>1.0</v>
      </c>
      <c r="I13" s="17"/>
      <c r="J13" s="17"/>
      <c r="K13" s="21">
        <f t="shared" si="2"/>
        <v>1</v>
      </c>
      <c r="L13" s="21">
        <f t="shared" si="3"/>
        <v>0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5"/>
      <c r="B14" s="15"/>
      <c r="C14" s="15" t="s">
        <v>87</v>
      </c>
      <c r="D14" s="17"/>
      <c r="E14" s="17"/>
      <c r="F14" s="17"/>
      <c r="G14" s="21">
        <f t="shared" si="1"/>
        <v>0</v>
      </c>
      <c r="H14" s="17"/>
      <c r="I14" s="17"/>
      <c r="J14" s="17"/>
      <c r="K14" s="21">
        <f t="shared" si="2"/>
        <v>0</v>
      </c>
      <c r="L14" s="21">
        <f t="shared" si="3"/>
        <v>0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5"/>
      <c r="B15" s="15"/>
      <c r="C15" s="15" t="s">
        <v>41</v>
      </c>
      <c r="D15" s="17">
        <v>1.0</v>
      </c>
      <c r="E15" s="17"/>
      <c r="F15" s="17"/>
      <c r="G15" s="21">
        <f t="shared" si="1"/>
        <v>1</v>
      </c>
      <c r="H15" s="17">
        <v>1.0</v>
      </c>
      <c r="I15" s="17"/>
      <c r="J15" s="17"/>
      <c r="K15" s="21">
        <f t="shared" si="2"/>
        <v>1</v>
      </c>
      <c r="L15" s="21">
        <f t="shared" si="3"/>
        <v>0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5"/>
      <c r="B16" s="15" t="s">
        <v>98</v>
      </c>
      <c r="C16" s="15" t="s">
        <v>73</v>
      </c>
      <c r="D16" s="17"/>
      <c r="E16" s="17"/>
      <c r="F16" s="17"/>
      <c r="G16" s="21">
        <f t="shared" si="1"/>
        <v>0</v>
      </c>
      <c r="H16" s="17"/>
      <c r="I16" s="17"/>
      <c r="J16" s="17"/>
      <c r="K16" s="21">
        <f t="shared" si="2"/>
        <v>0</v>
      </c>
      <c r="L16" s="21">
        <f t="shared" si="3"/>
        <v>0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5"/>
      <c r="B17" s="15"/>
      <c r="C17" s="15" t="s">
        <v>81</v>
      </c>
      <c r="D17" s="17">
        <v>1.0</v>
      </c>
      <c r="E17" s="17"/>
      <c r="F17" s="17"/>
      <c r="G17" s="21">
        <f t="shared" si="1"/>
        <v>1</v>
      </c>
      <c r="H17" s="17">
        <v>1.0</v>
      </c>
      <c r="I17" s="17"/>
      <c r="J17" s="17"/>
      <c r="K17" s="21">
        <f t="shared" si="2"/>
        <v>1</v>
      </c>
      <c r="L17" s="21">
        <f t="shared" si="3"/>
        <v>0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5"/>
      <c r="B18" s="15"/>
      <c r="C18" s="15" t="s">
        <v>87</v>
      </c>
      <c r="D18" s="17"/>
      <c r="E18" s="17"/>
      <c r="F18" s="17"/>
      <c r="G18" s="21">
        <f t="shared" si="1"/>
        <v>0</v>
      </c>
      <c r="H18" s="17"/>
      <c r="I18" s="17"/>
      <c r="J18" s="17"/>
      <c r="K18" s="21">
        <f t="shared" si="2"/>
        <v>0</v>
      </c>
      <c r="L18" s="21">
        <f t="shared" si="3"/>
        <v>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5"/>
      <c r="B19" s="15"/>
      <c r="C19" s="15" t="s">
        <v>41</v>
      </c>
      <c r="D19" s="17">
        <v>1.0</v>
      </c>
      <c r="E19" s="17"/>
      <c r="F19" s="17"/>
      <c r="G19" s="21">
        <f t="shared" si="1"/>
        <v>1</v>
      </c>
      <c r="H19" s="17">
        <v>1.0</v>
      </c>
      <c r="I19" s="17"/>
      <c r="J19" s="17"/>
      <c r="K19" s="21">
        <f t="shared" si="2"/>
        <v>1</v>
      </c>
      <c r="L19" s="21">
        <f t="shared" si="3"/>
        <v>0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5" t="s">
        <v>125</v>
      </c>
      <c r="B20" s="15" t="s">
        <v>125</v>
      </c>
      <c r="C20" s="15" t="s">
        <v>73</v>
      </c>
      <c r="D20" s="17"/>
      <c r="E20" s="17">
        <v>1.0</v>
      </c>
      <c r="F20" s="17"/>
      <c r="G20" s="21">
        <f t="shared" si="1"/>
        <v>1</v>
      </c>
      <c r="H20" s="17"/>
      <c r="I20" s="17"/>
      <c r="J20" s="17"/>
      <c r="K20" s="21">
        <f t="shared" si="2"/>
        <v>0</v>
      </c>
      <c r="L20" s="23">
        <f t="shared" si="3"/>
        <v>1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5"/>
      <c r="B21" s="15"/>
      <c r="C21" s="15" t="s">
        <v>81</v>
      </c>
      <c r="D21" s="17">
        <v>1.0</v>
      </c>
      <c r="E21" s="17"/>
      <c r="F21" s="17"/>
      <c r="G21" s="21">
        <f t="shared" si="1"/>
        <v>1</v>
      </c>
      <c r="H21" s="17">
        <v>1.0</v>
      </c>
      <c r="I21" s="17"/>
      <c r="J21" s="17"/>
      <c r="K21" s="21">
        <f t="shared" si="2"/>
        <v>1</v>
      </c>
      <c r="L21" s="21">
        <f t="shared" si="3"/>
        <v>0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5"/>
      <c r="B22" s="15"/>
      <c r="C22" s="15" t="s">
        <v>87</v>
      </c>
      <c r="D22" s="17"/>
      <c r="E22" s="17"/>
      <c r="F22" s="17"/>
      <c r="G22" s="21">
        <f t="shared" si="1"/>
        <v>0</v>
      </c>
      <c r="H22" s="17"/>
      <c r="I22" s="17"/>
      <c r="J22" s="17"/>
      <c r="K22" s="21">
        <f t="shared" si="2"/>
        <v>0</v>
      </c>
      <c r="L22" s="21">
        <f t="shared" si="3"/>
        <v>0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5"/>
      <c r="B23" s="15"/>
      <c r="C23" s="15" t="s">
        <v>41</v>
      </c>
      <c r="D23" s="17">
        <v>1.0</v>
      </c>
      <c r="E23" s="17"/>
      <c r="F23" s="17"/>
      <c r="G23" s="21">
        <f t="shared" si="1"/>
        <v>1</v>
      </c>
      <c r="H23" s="17">
        <v>1.0</v>
      </c>
      <c r="I23" s="17"/>
      <c r="J23" s="17"/>
      <c r="K23" s="21">
        <f t="shared" si="2"/>
        <v>1</v>
      </c>
      <c r="L23" s="21">
        <f t="shared" si="3"/>
        <v>0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5"/>
      <c r="B24" s="15" t="s">
        <v>138</v>
      </c>
      <c r="C24" s="15" t="s">
        <v>73</v>
      </c>
      <c r="D24" s="17"/>
      <c r="E24" s="17"/>
      <c r="F24" s="17"/>
      <c r="G24" s="21">
        <f t="shared" si="1"/>
        <v>0</v>
      </c>
      <c r="H24" s="17"/>
      <c r="I24" s="17"/>
      <c r="J24" s="17"/>
      <c r="K24" s="21">
        <f t="shared" si="2"/>
        <v>0</v>
      </c>
      <c r="L24" s="21">
        <f t="shared" si="3"/>
        <v>0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5"/>
      <c r="B25" s="15"/>
      <c r="C25" s="15" t="s">
        <v>81</v>
      </c>
      <c r="D25" s="17"/>
      <c r="E25" s="17"/>
      <c r="F25" s="17"/>
      <c r="G25" s="21">
        <f t="shared" si="1"/>
        <v>0</v>
      </c>
      <c r="H25" s="17"/>
      <c r="I25" s="17"/>
      <c r="J25" s="17"/>
      <c r="K25" s="21">
        <f t="shared" si="2"/>
        <v>0</v>
      </c>
      <c r="L25" s="21">
        <f t="shared" si="3"/>
        <v>0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5"/>
      <c r="B26" s="15"/>
      <c r="C26" s="15" t="s">
        <v>87</v>
      </c>
      <c r="D26" s="17"/>
      <c r="E26" s="17"/>
      <c r="F26" s="17"/>
      <c r="G26" s="21">
        <f t="shared" si="1"/>
        <v>0</v>
      </c>
      <c r="H26" s="17"/>
      <c r="I26" s="17"/>
      <c r="J26" s="17"/>
      <c r="K26" s="21">
        <f t="shared" si="2"/>
        <v>0</v>
      </c>
      <c r="L26" s="21">
        <f t="shared" si="3"/>
        <v>0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5"/>
      <c r="B27" s="15"/>
      <c r="C27" s="15" t="s">
        <v>41</v>
      </c>
      <c r="D27" s="17"/>
      <c r="E27" s="17">
        <v>1.0</v>
      </c>
      <c r="F27" s="17">
        <v>1.0</v>
      </c>
      <c r="G27" s="21">
        <f t="shared" si="1"/>
        <v>2</v>
      </c>
      <c r="H27" s="17"/>
      <c r="I27" s="17">
        <v>1.0</v>
      </c>
      <c r="J27" s="17">
        <v>1.0</v>
      </c>
      <c r="K27" s="21">
        <f t="shared" si="2"/>
        <v>2</v>
      </c>
      <c r="L27" s="21">
        <f t="shared" si="3"/>
        <v>0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5"/>
      <c r="B28" s="15" t="s">
        <v>75</v>
      </c>
      <c r="C28" s="15" t="s">
        <v>41</v>
      </c>
      <c r="D28" s="17">
        <v>1.0</v>
      </c>
      <c r="E28" s="17"/>
      <c r="F28" s="17"/>
      <c r="G28" s="21">
        <f t="shared" si="1"/>
        <v>1</v>
      </c>
      <c r="H28" s="17"/>
      <c r="I28" s="17">
        <v>1.0</v>
      </c>
      <c r="J28" s="17"/>
      <c r="K28" s="21">
        <f t="shared" si="2"/>
        <v>1</v>
      </c>
      <c r="L28" s="21">
        <f t="shared" si="3"/>
        <v>0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5" t="s">
        <v>95</v>
      </c>
      <c r="B29" s="15" t="s">
        <v>95</v>
      </c>
      <c r="C29" s="15" t="s">
        <v>73</v>
      </c>
      <c r="D29" s="17">
        <v>1.0</v>
      </c>
      <c r="E29" s="17"/>
      <c r="F29" s="17"/>
      <c r="G29" s="21">
        <f t="shared" si="1"/>
        <v>1</v>
      </c>
      <c r="H29" s="17"/>
      <c r="I29" s="17"/>
      <c r="J29" s="17"/>
      <c r="K29" s="21">
        <f t="shared" si="2"/>
        <v>0</v>
      </c>
      <c r="L29" s="23">
        <f t="shared" si="3"/>
        <v>1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5"/>
      <c r="B30" s="15"/>
      <c r="C30" s="15" t="s">
        <v>81</v>
      </c>
      <c r="D30" s="17"/>
      <c r="E30" s="17"/>
      <c r="F30" s="17"/>
      <c r="G30" s="21">
        <f t="shared" si="1"/>
        <v>0</v>
      </c>
      <c r="H30" s="17">
        <v>1.0</v>
      </c>
      <c r="I30" s="17"/>
      <c r="J30" s="17"/>
      <c r="K30" s="21">
        <f t="shared" si="2"/>
        <v>1</v>
      </c>
      <c r="L30" s="21">
        <f t="shared" si="3"/>
        <v>-1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5"/>
      <c r="B31" s="15"/>
      <c r="C31" s="15" t="s">
        <v>87</v>
      </c>
      <c r="D31" s="17"/>
      <c r="E31" s="17"/>
      <c r="F31" s="17"/>
      <c r="G31" s="21">
        <f t="shared" si="1"/>
        <v>0</v>
      </c>
      <c r="H31" s="17"/>
      <c r="I31" s="17"/>
      <c r="J31" s="17"/>
      <c r="K31" s="21">
        <f t="shared" si="2"/>
        <v>0</v>
      </c>
      <c r="L31" s="21">
        <f t="shared" si="3"/>
        <v>0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5"/>
      <c r="B32" s="15"/>
      <c r="C32" s="15" t="s">
        <v>41</v>
      </c>
      <c r="D32" s="17"/>
      <c r="E32" s="17">
        <v>2.0</v>
      </c>
      <c r="F32" s="17"/>
      <c r="G32" s="21">
        <f t="shared" si="1"/>
        <v>2</v>
      </c>
      <c r="H32" s="17"/>
      <c r="I32" s="17"/>
      <c r="J32" s="17"/>
      <c r="K32" s="21">
        <f t="shared" si="2"/>
        <v>0</v>
      </c>
      <c r="L32" s="23">
        <f t="shared" si="3"/>
        <v>2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5" t="s">
        <v>114</v>
      </c>
      <c r="B33" s="15" t="s">
        <v>114</v>
      </c>
      <c r="C33" s="15" t="s">
        <v>73</v>
      </c>
      <c r="D33" s="17">
        <v>1.0</v>
      </c>
      <c r="E33" s="17"/>
      <c r="F33" s="17"/>
      <c r="G33" s="21">
        <f t="shared" si="1"/>
        <v>1</v>
      </c>
      <c r="H33" s="17"/>
      <c r="I33" s="17">
        <v>1.0</v>
      </c>
      <c r="J33" s="17"/>
      <c r="K33" s="21">
        <f t="shared" si="2"/>
        <v>1</v>
      </c>
      <c r="L33" s="21">
        <f t="shared" si="3"/>
        <v>0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5"/>
      <c r="B34" s="15"/>
      <c r="C34" s="15" t="s">
        <v>81</v>
      </c>
      <c r="D34" s="17">
        <v>1.0</v>
      </c>
      <c r="E34" s="17"/>
      <c r="F34" s="17"/>
      <c r="G34" s="21">
        <f t="shared" si="1"/>
        <v>1</v>
      </c>
      <c r="H34" s="17">
        <v>1.0</v>
      </c>
      <c r="I34" s="17"/>
      <c r="J34" s="17"/>
      <c r="K34" s="21">
        <f t="shared" si="2"/>
        <v>1</v>
      </c>
      <c r="L34" s="21">
        <f t="shared" si="3"/>
        <v>0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5"/>
      <c r="B35" s="15"/>
      <c r="C35" s="15" t="s">
        <v>87</v>
      </c>
      <c r="D35" s="17"/>
      <c r="E35" s="17"/>
      <c r="F35" s="17"/>
      <c r="G35" s="21">
        <f t="shared" si="1"/>
        <v>0</v>
      </c>
      <c r="H35" s="17"/>
      <c r="I35" s="17"/>
      <c r="J35" s="17"/>
      <c r="K35" s="21">
        <f t="shared" si="2"/>
        <v>0</v>
      </c>
      <c r="L35" s="21">
        <f t="shared" si="3"/>
        <v>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5"/>
      <c r="B36" s="15"/>
      <c r="C36" s="15" t="s">
        <v>41</v>
      </c>
      <c r="D36" s="17">
        <v>3.0</v>
      </c>
      <c r="E36" s="17">
        <v>2.0</v>
      </c>
      <c r="F36" s="17"/>
      <c r="G36" s="21">
        <f t="shared" si="1"/>
        <v>5</v>
      </c>
      <c r="H36" s="17">
        <v>3.0</v>
      </c>
      <c r="I36" s="17">
        <v>1.0</v>
      </c>
      <c r="J36" s="17"/>
      <c r="K36" s="21">
        <f t="shared" si="2"/>
        <v>4</v>
      </c>
      <c r="L36" s="23">
        <f t="shared" si="3"/>
        <v>1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5" t="s">
        <v>173</v>
      </c>
      <c r="B37" s="15" t="s">
        <v>173</v>
      </c>
      <c r="C37" s="15" t="s">
        <v>73</v>
      </c>
      <c r="D37" s="17">
        <v>2.0</v>
      </c>
      <c r="E37" s="17"/>
      <c r="F37" s="17"/>
      <c r="G37" s="21">
        <f t="shared" si="1"/>
        <v>2</v>
      </c>
      <c r="H37" s="17">
        <v>1.0</v>
      </c>
      <c r="I37" s="17">
        <v>1.0</v>
      </c>
      <c r="J37" s="17"/>
      <c r="K37" s="21">
        <f t="shared" si="2"/>
        <v>2</v>
      </c>
      <c r="L37" s="21">
        <f t="shared" si="3"/>
        <v>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5"/>
      <c r="B38" s="15"/>
      <c r="C38" s="15" t="s">
        <v>81</v>
      </c>
      <c r="D38" s="17"/>
      <c r="E38" s="17"/>
      <c r="F38" s="17"/>
      <c r="G38" s="21">
        <f t="shared" si="1"/>
        <v>0</v>
      </c>
      <c r="H38" s="17"/>
      <c r="I38" s="17"/>
      <c r="J38" s="17"/>
      <c r="K38" s="21">
        <f t="shared" si="2"/>
        <v>0</v>
      </c>
      <c r="L38" s="21">
        <f t="shared" si="3"/>
        <v>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5"/>
      <c r="B39" s="15"/>
      <c r="C39" s="15" t="s">
        <v>87</v>
      </c>
      <c r="D39" s="17"/>
      <c r="E39" s="17"/>
      <c r="F39" s="17"/>
      <c r="G39" s="21">
        <f t="shared" si="1"/>
        <v>0</v>
      </c>
      <c r="H39" s="17"/>
      <c r="I39" s="17"/>
      <c r="J39" s="17"/>
      <c r="K39" s="21">
        <f t="shared" si="2"/>
        <v>0</v>
      </c>
      <c r="L39" s="21">
        <f t="shared" si="3"/>
        <v>0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5"/>
      <c r="B40" s="15"/>
      <c r="C40" s="15" t="s">
        <v>41</v>
      </c>
      <c r="D40" s="17"/>
      <c r="E40" s="17"/>
      <c r="F40" s="17"/>
      <c r="G40" s="21">
        <f t="shared" si="1"/>
        <v>0</v>
      </c>
      <c r="H40" s="17"/>
      <c r="I40" s="17"/>
      <c r="J40" s="17"/>
      <c r="K40" s="21">
        <f t="shared" si="2"/>
        <v>0</v>
      </c>
      <c r="L40" s="21">
        <f t="shared" si="3"/>
        <v>0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5" t="s">
        <v>143</v>
      </c>
      <c r="B41" s="15" t="s">
        <v>143</v>
      </c>
      <c r="C41" s="15" t="s">
        <v>73</v>
      </c>
      <c r="D41" s="17"/>
      <c r="E41" s="17"/>
      <c r="F41" s="17"/>
      <c r="G41" s="21">
        <f t="shared" si="1"/>
        <v>0</v>
      </c>
      <c r="H41" s="17"/>
      <c r="I41" s="17"/>
      <c r="J41" s="17"/>
      <c r="K41" s="21">
        <f t="shared" si="2"/>
        <v>0</v>
      </c>
      <c r="L41" s="21">
        <f t="shared" si="3"/>
        <v>0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5"/>
      <c r="B42" s="15"/>
      <c r="C42" s="15" t="s">
        <v>81</v>
      </c>
      <c r="D42" s="17">
        <v>1.0</v>
      </c>
      <c r="E42" s="17"/>
      <c r="F42" s="17"/>
      <c r="G42" s="21">
        <f t="shared" si="1"/>
        <v>1</v>
      </c>
      <c r="H42" s="17"/>
      <c r="I42" s="17">
        <v>1.0</v>
      </c>
      <c r="J42" s="17"/>
      <c r="K42" s="21">
        <f t="shared" si="2"/>
        <v>1</v>
      </c>
      <c r="L42" s="21">
        <f t="shared" si="3"/>
        <v>0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5"/>
      <c r="B43" s="15"/>
      <c r="C43" s="15" t="s">
        <v>87</v>
      </c>
      <c r="D43" s="17"/>
      <c r="E43" s="17"/>
      <c r="F43" s="17"/>
      <c r="G43" s="21">
        <f t="shared" si="1"/>
        <v>0</v>
      </c>
      <c r="H43" s="17"/>
      <c r="I43" s="17"/>
      <c r="J43" s="17"/>
      <c r="K43" s="21">
        <f t="shared" si="2"/>
        <v>0</v>
      </c>
      <c r="L43" s="21">
        <f t="shared" si="3"/>
        <v>0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5"/>
      <c r="B44" s="15"/>
      <c r="C44" s="15" t="s">
        <v>41</v>
      </c>
      <c r="D44" s="17">
        <v>3.0</v>
      </c>
      <c r="E44" s="17"/>
      <c r="F44" s="17"/>
      <c r="G44" s="21">
        <f t="shared" si="1"/>
        <v>3</v>
      </c>
      <c r="H44" s="17">
        <v>1.0</v>
      </c>
      <c r="I44" s="17">
        <v>1.0</v>
      </c>
      <c r="J44" s="17"/>
      <c r="K44" s="21">
        <f t="shared" si="2"/>
        <v>2</v>
      </c>
      <c r="L44" s="23">
        <f t="shared" si="3"/>
        <v>1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5" t="s">
        <v>153</v>
      </c>
      <c r="B45" s="15" t="s">
        <v>153</v>
      </c>
      <c r="C45" s="15" t="s">
        <v>73</v>
      </c>
      <c r="D45" s="17">
        <v>1.0</v>
      </c>
      <c r="E45" s="17"/>
      <c r="F45" s="17"/>
      <c r="G45" s="21">
        <f t="shared" si="1"/>
        <v>1</v>
      </c>
      <c r="H45" s="17"/>
      <c r="I45" s="17">
        <v>1.0</v>
      </c>
      <c r="J45" s="17"/>
      <c r="K45" s="21">
        <f t="shared" si="2"/>
        <v>1</v>
      </c>
      <c r="L45" s="21">
        <f t="shared" si="3"/>
        <v>0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5"/>
      <c r="B46" s="15"/>
      <c r="C46" s="15" t="s">
        <v>81</v>
      </c>
      <c r="D46" s="17">
        <v>1.0</v>
      </c>
      <c r="E46" s="17"/>
      <c r="F46" s="17"/>
      <c r="G46" s="21">
        <f t="shared" si="1"/>
        <v>1</v>
      </c>
      <c r="H46" s="17"/>
      <c r="I46" s="17"/>
      <c r="J46" s="17"/>
      <c r="K46" s="21">
        <f t="shared" si="2"/>
        <v>0</v>
      </c>
      <c r="L46" s="23">
        <f t="shared" si="3"/>
        <v>1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5"/>
      <c r="B47" s="15"/>
      <c r="C47" s="15" t="s">
        <v>87</v>
      </c>
      <c r="D47" s="17"/>
      <c r="E47" s="17"/>
      <c r="F47" s="17"/>
      <c r="G47" s="21">
        <f t="shared" si="1"/>
        <v>0</v>
      </c>
      <c r="H47" s="17">
        <v>1.0</v>
      </c>
      <c r="I47" s="17"/>
      <c r="J47" s="17"/>
      <c r="K47" s="21">
        <f t="shared" si="2"/>
        <v>1</v>
      </c>
      <c r="L47" s="21">
        <f t="shared" si="3"/>
        <v>-1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5"/>
      <c r="B48" s="15"/>
      <c r="C48" s="15" t="s">
        <v>41</v>
      </c>
      <c r="D48" s="17">
        <v>1.0</v>
      </c>
      <c r="E48" s="17"/>
      <c r="F48" s="17"/>
      <c r="G48" s="21">
        <f t="shared" si="1"/>
        <v>1</v>
      </c>
      <c r="H48" s="17"/>
      <c r="I48" s="17">
        <v>1.0</v>
      </c>
      <c r="J48" s="17"/>
      <c r="K48" s="21">
        <f t="shared" si="2"/>
        <v>1</v>
      </c>
      <c r="L48" s="21">
        <f t="shared" si="3"/>
        <v>0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5" t="s">
        <v>62</v>
      </c>
      <c r="B49" s="15" t="s">
        <v>62</v>
      </c>
      <c r="C49" s="15" t="s">
        <v>73</v>
      </c>
      <c r="D49" s="17"/>
      <c r="E49" s="17"/>
      <c r="F49" s="17"/>
      <c r="G49" s="21">
        <f t="shared" si="1"/>
        <v>0</v>
      </c>
      <c r="H49" s="17"/>
      <c r="I49" s="17"/>
      <c r="J49" s="17"/>
      <c r="K49" s="21">
        <f t="shared" si="2"/>
        <v>0</v>
      </c>
      <c r="L49" s="21">
        <f t="shared" si="3"/>
        <v>0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5"/>
      <c r="B50" s="15"/>
      <c r="C50" s="15" t="s">
        <v>81</v>
      </c>
      <c r="D50" s="17">
        <v>2.0</v>
      </c>
      <c r="E50" s="17"/>
      <c r="F50" s="17"/>
      <c r="G50" s="21">
        <f t="shared" si="1"/>
        <v>2</v>
      </c>
      <c r="H50" s="17">
        <v>1.0</v>
      </c>
      <c r="I50" s="17">
        <v>1.0</v>
      </c>
      <c r="J50" s="17"/>
      <c r="K50" s="21">
        <f t="shared" si="2"/>
        <v>2</v>
      </c>
      <c r="L50" s="21">
        <f t="shared" si="3"/>
        <v>0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5"/>
      <c r="B51" s="15"/>
      <c r="C51" s="15" t="s">
        <v>87</v>
      </c>
      <c r="D51" s="17"/>
      <c r="E51" s="17"/>
      <c r="F51" s="17"/>
      <c r="G51" s="21">
        <f t="shared" si="1"/>
        <v>0</v>
      </c>
      <c r="H51" s="17"/>
      <c r="I51" s="17"/>
      <c r="J51" s="17"/>
      <c r="K51" s="21">
        <f t="shared" si="2"/>
        <v>0</v>
      </c>
      <c r="L51" s="21">
        <f t="shared" si="3"/>
        <v>0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5"/>
      <c r="B52" s="15"/>
      <c r="C52" s="15" t="s">
        <v>41</v>
      </c>
      <c r="D52" s="17">
        <v>1.0</v>
      </c>
      <c r="E52" s="17"/>
      <c r="F52" s="17"/>
      <c r="G52" s="21">
        <f t="shared" si="1"/>
        <v>1</v>
      </c>
      <c r="H52" s="17"/>
      <c r="I52" s="17">
        <v>1.0</v>
      </c>
      <c r="J52" s="17"/>
      <c r="K52" s="21">
        <f t="shared" si="2"/>
        <v>1</v>
      </c>
      <c r="L52" s="21">
        <f t="shared" si="3"/>
        <v>0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5" t="s">
        <v>181</v>
      </c>
      <c r="B53" s="15" t="s">
        <v>133</v>
      </c>
      <c r="C53" s="15" t="s">
        <v>73</v>
      </c>
      <c r="D53" s="17"/>
      <c r="E53" s="17"/>
      <c r="F53" s="17"/>
      <c r="G53" s="21">
        <f t="shared" si="1"/>
        <v>0</v>
      </c>
      <c r="H53" s="17"/>
      <c r="I53" s="17"/>
      <c r="J53" s="17"/>
      <c r="K53" s="21">
        <f t="shared" si="2"/>
        <v>0</v>
      </c>
      <c r="L53" s="21">
        <f t="shared" si="3"/>
        <v>0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5"/>
      <c r="B54" s="15"/>
      <c r="C54" s="15" t="s">
        <v>81</v>
      </c>
      <c r="D54" s="17">
        <v>1.0</v>
      </c>
      <c r="E54" s="17"/>
      <c r="F54" s="17"/>
      <c r="G54" s="21">
        <f t="shared" si="1"/>
        <v>1</v>
      </c>
      <c r="H54" s="17"/>
      <c r="I54" s="17"/>
      <c r="J54" s="17"/>
      <c r="K54" s="21">
        <f t="shared" si="2"/>
        <v>0</v>
      </c>
      <c r="L54" s="23">
        <f t="shared" si="3"/>
        <v>1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5"/>
      <c r="B55" s="15"/>
      <c r="C55" s="15" t="s">
        <v>87</v>
      </c>
      <c r="D55" s="17"/>
      <c r="E55" s="17"/>
      <c r="F55" s="17"/>
      <c r="G55" s="21">
        <f t="shared" si="1"/>
        <v>0</v>
      </c>
      <c r="H55" s="17"/>
      <c r="I55" s="17"/>
      <c r="J55" s="17"/>
      <c r="K55" s="21">
        <f t="shared" si="2"/>
        <v>0</v>
      </c>
      <c r="L55" s="21">
        <f t="shared" si="3"/>
        <v>0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5"/>
      <c r="B56" s="15"/>
      <c r="C56" s="15" t="s">
        <v>41</v>
      </c>
      <c r="D56" s="17">
        <v>1.0</v>
      </c>
      <c r="E56" s="17"/>
      <c r="F56" s="17"/>
      <c r="G56" s="21">
        <f t="shared" si="1"/>
        <v>1</v>
      </c>
      <c r="H56" s="17"/>
      <c r="I56" s="17">
        <v>1.0</v>
      </c>
      <c r="J56" s="17"/>
      <c r="K56" s="21">
        <f t="shared" si="2"/>
        <v>1</v>
      </c>
      <c r="L56" s="21">
        <f t="shared" si="3"/>
        <v>0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5"/>
      <c r="B57" s="15" t="s">
        <v>103</v>
      </c>
      <c r="C57" s="15" t="s">
        <v>73</v>
      </c>
      <c r="D57" s="17">
        <v>1.0</v>
      </c>
      <c r="E57" s="17"/>
      <c r="F57" s="17"/>
      <c r="G57" s="21">
        <f t="shared" si="1"/>
        <v>1</v>
      </c>
      <c r="H57" s="17"/>
      <c r="I57" s="17"/>
      <c r="J57" s="17"/>
      <c r="K57" s="21">
        <f t="shared" si="2"/>
        <v>0</v>
      </c>
      <c r="L57" s="23">
        <f t="shared" si="3"/>
        <v>1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5"/>
      <c r="B58" s="15"/>
      <c r="C58" s="15" t="s">
        <v>81</v>
      </c>
      <c r="D58" s="17">
        <v>1.0</v>
      </c>
      <c r="E58" s="17"/>
      <c r="F58" s="17"/>
      <c r="G58" s="21">
        <f t="shared" si="1"/>
        <v>1</v>
      </c>
      <c r="H58" s="17">
        <v>1.0</v>
      </c>
      <c r="I58" s="17"/>
      <c r="J58" s="17"/>
      <c r="K58" s="21">
        <f t="shared" si="2"/>
        <v>1</v>
      </c>
      <c r="L58" s="21">
        <f t="shared" si="3"/>
        <v>0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5"/>
      <c r="B59" s="15"/>
      <c r="C59" s="15" t="s">
        <v>87</v>
      </c>
      <c r="D59" s="17"/>
      <c r="E59" s="17"/>
      <c r="F59" s="17"/>
      <c r="G59" s="21">
        <f t="shared" si="1"/>
        <v>0</v>
      </c>
      <c r="H59" s="17"/>
      <c r="I59" s="17"/>
      <c r="J59" s="17"/>
      <c r="K59" s="21">
        <f t="shared" si="2"/>
        <v>0</v>
      </c>
      <c r="L59" s="21">
        <f t="shared" si="3"/>
        <v>0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5"/>
      <c r="B60" s="15"/>
      <c r="C60" s="15" t="s">
        <v>41</v>
      </c>
      <c r="D60" s="17">
        <v>1.0</v>
      </c>
      <c r="E60" s="17"/>
      <c r="F60" s="17"/>
      <c r="G60" s="21">
        <f t="shared" si="1"/>
        <v>1</v>
      </c>
      <c r="H60" s="17"/>
      <c r="I60" s="17">
        <v>1.0</v>
      </c>
      <c r="J60" s="17"/>
      <c r="K60" s="21">
        <f t="shared" si="2"/>
        <v>1</v>
      </c>
      <c r="L60" s="21">
        <f t="shared" si="3"/>
        <v>0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5" t="s">
        <v>182</v>
      </c>
      <c r="B61" s="25"/>
      <c r="C61" s="25"/>
      <c r="D61" s="26">
        <f t="shared" ref="D61:L61" si="4">SUM(D6:D60)</f>
        <v>37</v>
      </c>
      <c r="E61" s="26">
        <f t="shared" si="4"/>
        <v>8</v>
      </c>
      <c r="F61" s="26">
        <f t="shared" si="4"/>
        <v>1</v>
      </c>
      <c r="G61" s="26">
        <f t="shared" si="4"/>
        <v>46</v>
      </c>
      <c r="H61" s="26">
        <f t="shared" si="4"/>
        <v>23</v>
      </c>
      <c r="I61" s="26">
        <f t="shared" si="4"/>
        <v>14</v>
      </c>
      <c r="J61" s="26">
        <f t="shared" si="4"/>
        <v>1</v>
      </c>
      <c r="K61" s="26">
        <f t="shared" si="4"/>
        <v>38</v>
      </c>
      <c r="L61" s="26">
        <f t="shared" si="4"/>
        <v>8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3" t="s">
        <v>183</v>
      </c>
      <c r="B62" s="14"/>
      <c r="C62" s="14"/>
      <c r="D62" s="27">
        <f>H62+(1*1*4642031)+(1.5*3*4642031)+(2*1*4642031)-(1.25*2*4642031)-(1.5*1*4642031)</f>
        <v>315129090.5</v>
      </c>
      <c r="E62" s="27">
        <f>I62+(1*5*4642031)+(2*1*4642031)</f>
        <v>152704121</v>
      </c>
      <c r="F62" s="27">
        <f>J62</f>
        <v>4200000</v>
      </c>
      <c r="G62" s="27">
        <f>SUM(D62:F62)</f>
        <v>472033211.5</v>
      </c>
      <c r="H62" s="27">
        <f>7722464+291159518</f>
        <v>298881982</v>
      </c>
      <c r="I62" s="27">
        <f>108417665+11792239</f>
        <v>120209904</v>
      </c>
      <c r="J62" s="27">
        <v>4200000.0</v>
      </c>
      <c r="K62" s="27">
        <f>SUM(H62:J62)</f>
        <v>423291886</v>
      </c>
      <c r="L62" s="27">
        <f>G62-K62</f>
        <v>48741325.5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8"/>
      <c r="E63" s="2"/>
      <c r="F63" s="28"/>
      <c r="G63" s="28"/>
      <c r="H63" s="2"/>
      <c r="I63" s="3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8"/>
      <c r="E64" s="2"/>
      <c r="F64" s="28"/>
      <c r="G64" s="28"/>
      <c r="H64" s="2"/>
      <c r="I64" s="3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8"/>
      <c r="E65" s="2"/>
      <c r="F65" s="28"/>
      <c r="G65" s="28"/>
      <c r="H65" s="2"/>
      <c r="I65" s="3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" t="s">
        <v>2</v>
      </c>
      <c r="B66" s="2"/>
      <c r="C66" s="2"/>
      <c r="D66" s="28"/>
      <c r="E66" s="2"/>
      <c r="F66" s="28"/>
      <c r="G66" s="28"/>
      <c r="H66" s="2"/>
      <c r="I66" s="3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" t="s">
        <v>185</v>
      </c>
      <c r="B67" s="2"/>
      <c r="C67" s="2"/>
      <c r="D67" s="28"/>
      <c r="E67" s="2"/>
      <c r="F67" s="28"/>
      <c r="G67" s="28"/>
      <c r="H67" s="2"/>
      <c r="I67" s="4" t="s">
        <v>186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1">
        <f>SUBTOTAL(103,C70:C106)</f>
        <v>37</v>
      </c>
      <c r="D68" s="28"/>
      <c r="E68" s="2"/>
      <c r="F68" s="28"/>
      <c r="G68" s="28"/>
      <c r="H68" s="1">
        <f>SUBTOTAL(109,H70:H103)</f>
        <v>0</v>
      </c>
      <c r="I68" s="4" t="str">
        <f>C68+H68+D107</f>
        <v>#REF!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3" t="s">
        <v>12</v>
      </c>
      <c r="B69" s="13" t="s">
        <v>15</v>
      </c>
      <c r="C69" s="13" t="s">
        <v>17</v>
      </c>
      <c r="D69" s="13" t="s">
        <v>18</v>
      </c>
      <c r="E69" s="13" t="s">
        <v>19</v>
      </c>
      <c r="F69" s="13" t="s">
        <v>20</v>
      </c>
      <c r="G69" s="13" t="s">
        <v>21</v>
      </c>
      <c r="H69" s="13" t="s">
        <v>22</v>
      </c>
      <c r="I69" s="13" t="s">
        <v>23</v>
      </c>
      <c r="J69" s="13" t="s">
        <v>30</v>
      </c>
      <c r="K69" s="13" t="s">
        <v>187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4" t="s">
        <v>34</v>
      </c>
      <c r="B70" s="19">
        <f t="shared" ref="B70:B106" si="5">SUBTOTAL(103,C$69:C69)</f>
        <v>1</v>
      </c>
      <c r="C70" s="15" t="s">
        <v>39</v>
      </c>
      <c r="D70" s="15" t="s">
        <v>40</v>
      </c>
      <c r="E70" s="15" t="s">
        <v>41</v>
      </c>
      <c r="F70" s="15" t="s">
        <v>42</v>
      </c>
      <c r="G70" s="15" t="s">
        <v>43</v>
      </c>
      <c r="H70" s="20"/>
      <c r="I70" s="20" t="s">
        <v>167</v>
      </c>
      <c r="J70" s="15" t="s">
        <v>46</v>
      </c>
      <c r="K70" s="14" t="s">
        <v>188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4" t="s">
        <v>34</v>
      </c>
      <c r="B71" s="19">
        <f t="shared" si="5"/>
        <v>2</v>
      </c>
      <c r="C71" s="15" t="s">
        <v>51</v>
      </c>
      <c r="D71" s="15" t="s">
        <v>54</v>
      </c>
      <c r="E71" s="15" t="s">
        <v>55</v>
      </c>
      <c r="F71" s="15" t="s">
        <v>56</v>
      </c>
      <c r="G71" s="15" t="s">
        <v>58</v>
      </c>
      <c r="H71" s="20"/>
      <c r="I71" s="20" t="s">
        <v>37</v>
      </c>
      <c r="J71" s="15" t="s">
        <v>62</v>
      </c>
      <c r="K71" s="14" t="s">
        <v>63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4" t="s">
        <v>34</v>
      </c>
      <c r="B72" s="19">
        <f t="shared" si="5"/>
        <v>3</v>
      </c>
      <c r="C72" s="29" t="s">
        <v>189</v>
      </c>
      <c r="D72" s="29" t="s">
        <v>191</v>
      </c>
      <c r="E72" s="29" t="s">
        <v>192</v>
      </c>
      <c r="F72" s="29" t="s">
        <v>193</v>
      </c>
      <c r="G72" s="29" t="s">
        <v>58</v>
      </c>
      <c r="H72" s="20"/>
      <c r="I72" s="20" t="s">
        <v>60</v>
      </c>
      <c r="J72" s="15" t="s">
        <v>62</v>
      </c>
      <c r="K72" s="14" t="s">
        <v>194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4" t="s">
        <v>32</v>
      </c>
      <c r="B73" s="19">
        <f t="shared" si="5"/>
        <v>4</v>
      </c>
      <c r="C73" s="29" t="s">
        <v>195</v>
      </c>
      <c r="D73" s="29" t="s">
        <v>196</v>
      </c>
      <c r="E73" s="29" t="s">
        <v>49</v>
      </c>
      <c r="F73" s="29" t="s">
        <v>32</v>
      </c>
      <c r="G73" s="29" t="s">
        <v>36</v>
      </c>
      <c r="H73" s="20"/>
      <c r="I73" s="30" t="s">
        <v>37</v>
      </c>
      <c r="J73" s="15" t="s">
        <v>49</v>
      </c>
      <c r="K73" s="14" t="s">
        <v>77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4" t="s">
        <v>32</v>
      </c>
      <c r="B74" s="19">
        <f t="shared" si="5"/>
        <v>5</v>
      </c>
      <c r="C74" s="29" t="s">
        <v>80</v>
      </c>
      <c r="D74" s="29" t="s">
        <v>197</v>
      </c>
      <c r="E74" s="29" t="s">
        <v>49</v>
      </c>
      <c r="F74" s="29" t="s">
        <v>32</v>
      </c>
      <c r="G74" s="29" t="s">
        <v>36</v>
      </c>
      <c r="H74" s="20"/>
      <c r="I74" s="30" t="s">
        <v>37</v>
      </c>
      <c r="J74" s="15" t="s">
        <v>49</v>
      </c>
      <c r="K74" s="14" t="s">
        <v>53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4" t="s">
        <v>32</v>
      </c>
      <c r="B75" s="19">
        <f t="shared" si="5"/>
        <v>6</v>
      </c>
      <c r="C75" s="29" t="s">
        <v>35</v>
      </c>
      <c r="D75" s="29" t="s">
        <v>86</v>
      </c>
      <c r="E75" s="29" t="s">
        <v>33</v>
      </c>
      <c r="F75" s="29" t="s">
        <v>32</v>
      </c>
      <c r="G75" s="29" t="s">
        <v>36</v>
      </c>
      <c r="H75" s="20"/>
      <c r="I75" s="30" t="s">
        <v>37</v>
      </c>
      <c r="J75" s="15" t="s">
        <v>33</v>
      </c>
      <c r="K75" s="14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4" t="s">
        <v>32</v>
      </c>
      <c r="B76" s="19">
        <f t="shared" si="5"/>
        <v>7</v>
      </c>
      <c r="C76" s="29" t="s">
        <v>38</v>
      </c>
      <c r="D76" s="29" t="s">
        <v>92</v>
      </c>
      <c r="E76" s="29" t="s">
        <v>33</v>
      </c>
      <c r="F76" s="29" t="s">
        <v>32</v>
      </c>
      <c r="G76" s="29" t="s">
        <v>36</v>
      </c>
      <c r="H76" s="20"/>
      <c r="I76" s="30" t="s">
        <v>37</v>
      </c>
      <c r="J76" s="15" t="s">
        <v>33</v>
      </c>
      <c r="K76" s="14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4" t="s">
        <v>32</v>
      </c>
      <c r="B77" s="19">
        <f t="shared" si="5"/>
        <v>8</v>
      </c>
      <c r="C77" s="29" t="s">
        <v>198</v>
      </c>
      <c r="D77" s="29" t="s">
        <v>96</v>
      </c>
      <c r="E77" s="29" t="s">
        <v>33</v>
      </c>
      <c r="F77" s="29" t="s">
        <v>32</v>
      </c>
      <c r="G77" s="29" t="s">
        <v>36</v>
      </c>
      <c r="H77" s="20"/>
      <c r="I77" s="30" t="s">
        <v>37</v>
      </c>
      <c r="J77" s="15" t="s">
        <v>33</v>
      </c>
      <c r="K77" s="14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4" t="s">
        <v>32</v>
      </c>
      <c r="B78" s="19">
        <f t="shared" si="5"/>
        <v>9</v>
      </c>
      <c r="C78" s="29" t="s">
        <v>78</v>
      </c>
      <c r="D78" s="29" t="s">
        <v>199</v>
      </c>
      <c r="E78" s="29" t="s">
        <v>57</v>
      </c>
      <c r="F78" s="29" t="s">
        <v>32</v>
      </c>
      <c r="G78" s="29" t="s">
        <v>36</v>
      </c>
      <c r="H78" s="20"/>
      <c r="I78" s="30" t="s">
        <v>37</v>
      </c>
      <c r="J78" s="15" t="s">
        <v>57</v>
      </c>
      <c r="K78" s="14" t="s">
        <v>79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4" t="s">
        <v>32</v>
      </c>
      <c r="B79" s="19">
        <f t="shared" si="5"/>
        <v>10</v>
      </c>
      <c r="C79" s="29" t="s">
        <v>106</v>
      </c>
      <c r="D79" s="29" t="s">
        <v>108</v>
      </c>
      <c r="E79" s="29" t="s">
        <v>200</v>
      </c>
      <c r="F79" s="29" t="s">
        <v>32</v>
      </c>
      <c r="G79" s="29" t="s">
        <v>36</v>
      </c>
      <c r="H79" s="20"/>
      <c r="I79" s="30" t="s">
        <v>37</v>
      </c>
      <c r="J79" s="14" t="s">
        <v>52</v>
      </c>
      <c r="K79" s="14" t="s">
        <v>201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4" t="s">
        <v>32</v>
      </c>
      <c r="B80" s="19">
        <f t="shared" si="5"/>
        <v>11</v>
      </c>
      <c r="C80" s="29" t="s">
        <v>111</v>
      </c>
      <c r="D80" s="29" t="s">
        <v>113</v>
      </c>
      <c r="E80" s="29" t="s">
        <v>202</v>
      </c>
      <c r="F80" s="29" t="s">
        <v>32</v>
      </c>
      <c r="G80" s="29" t="s">
        <v>36</v>
      </c>
      <c r="H80" s="20"/>
      <c r="I80" s="30" t="s">
        <v>37</v>
      </c>
      <c r="J80" s="14" t="s">
        <v>114</v>
      </c>
      <c r="K80" s="14" t="s">
        <v>115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4" t="s">
        <v>32</v>
      </c>
      <c r="B81" s="19">
        <f t="shared" si="5"/>
        <v>12</v>
      </c>
      <c r="C81" s="29" t="s">
        <v>89</v>
      </c>
      <c r="D81" s="29" t="s">
        <v>116</v>
      </c>
      <c r="E81" s="29" t="s">
        <v>203</v>
      </c>
      <c r="F81" s="29" t="s">
        <v>32</v>
      </c>
      <c r="G81" s="29" t="s">
        <v>36</v>
      </c>
      <c r="H81" s="20"/>
      <c r="I81" s="30" t="s">
        <v>37</v>
      </c>
      <c r="J81" s="14" t="s">
        <v>90</v>
      </c>
      <c r="K81" s="14" t="s">
        <v>91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4" t="s">
        <v>32</v>
      </c>
      <c r="B82" s="19">
        <f t="shared" si="5"/>
        <v>13</v>
      </c>
      <c r="C82" s="29" t="s">
        <v>205</v>
      </c>
      <c r="D82" s="29" t="s">
        <v>206</v>
      </c>
      <c r="E82" s="29" t="s">
        <v>207</v>
      </c>
      <c r="F82" s="29" t="s">
        <v>32</v>
      </c>
      <c r="G82" s="29" t="s">
        <v>36</v>
      </c>
      <c r="H82" s="20"/>
      <c r="I82" s="30" t="s">
        <v>37</v>
      </c>
      <c r="J82" s="14" t="s">
        <v>209</v>
      </c>
      <c r="K82" s="14" t="s">
        <v>79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4" t="s">
        <v>32</v>
      </c>
      <c r="B83" s="19">
        <f t="shared" si="5"/>
        <v>14</v>
      </c>
      <c r="C83" s="29" t="s">
        <v>210</v>
      </c>
      <c r="D83" s="29" t="s">
        <v>119</v>
      </c>
      <c r="E83" s="29" t="s">
        <v>211</v>
      </c>
      <c r="F83" s="29" t="s">
        <v>32</v>
      </c>
      <c r="G83" s="29" t="s">
        <v>95</v>
      </c>
      <c r="H83" s="20"/>
      <c r="I83" s="30" t="s">
        <v>37</v>
      </c>
      <c r="J83" s="15" t="s">
        <v>95</v>
      </c>
      <c r="K83" s="14" t="s">
        <v>79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4" t="s">
        <v>32</v>
      </c>
      <c r="B84" s="19">
        <f t="shared" si="5"/>
        <v>15</v>
      </c>
      <c r="C84" s="29" t="s">
        <v>212</v>
      </c>
      <c r="D84" s="29" t="s">
        <v>124</v>
      </c>
      <c r="E84" s="29" t="s">
        <v>213</v>
      </c>
      <c r="F84" s="29" t="s">
        <v>32</v>
      </c>
      <c r="G84" s="29" t="s">
        <v>36</v>
      </c>
      <c r="H84" s="20"/>
      <c r="I84" s="30" t="s">
        <v>37</v>
      </c>
      <c r="J84" s="14" t="s">
        <v>98</v>
      </c>
      <c r="K84" s="14" t="s">
        <v>79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4" t="s">
        <v>32</v>
      </c>
      <c r="B85" s="19">
        <f t="shared" si="5"/>
        <v>16</v>
      </c>
      <c r="C85" s="29" t="s">
        <v>85</v>
      </c>
      <c r="D85" s="29" t="s">
        <v>216</v>
      </c>
      <c r="E85" s="29" t="s">
        <v>87</v>
      </c>
      <c r="F85" s="29" t="s">
        <v>32</v>
      </c>
      <c r="G85" s="29" t="s">
        <v>36</v>
      </c>
      <c r="H85" s="20"/>
      <c r="I85" s="30" t="s">
        <v>37</v>
      </c>
      <c r="J85" s="15" t="s">
        <v>72</v>
      </c>
      <c r="K85" s="14" t="s">
        <v>88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4" t="s">
        <v>32</v>
      </c>
      <c r="B86" s="19">
        <f t="shared" si="5"/>
        <v>17</v>
      </c>
      <c r="C86" s="29" t="s">
        <v>217</v>
      </c>
      <c r="D86" s="29" t="s">
        <v>218</v>
      </c>
      <c r="E86" s="29" t="s">
        <v>49</v>
      </c>
      <c r="F86" s="29" t="s">
        <v>32</v>
      </c>
      <c r="G86" s="29" t="s">
        <v>36</v>
      </c>
      <c r="H86" s="20"/>
      <c r="I86" s="30" t="s">
        <v>37</v>
      </c>
      <c r="J86" s="15" t="s">
        <v>57</v>
      </c>
      <c r="K86" s="14" t="s">
        <v>219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4" t="s">
        <v>32</v>
      </c>
      <c r="B87" s="19">
        <f t="shared" si="5"/>
        <v>18</v>
      </c>
      <c r="C87" s="29" t="s">
        <v>141</v>
      </c>
      <c r="D87" s="29" t="s">
        <v>142</v>
      </c>
      <c r="E87" s="29" t="s">
        <v>42</v>
      </c>
      <c r="F87" s="29" t="s">
        <v>32</v>
      </c>
      <c r="G87" s="29" t="s">
        <v>36</v>
      </c>
      <c r="H87" s="20"/>
      <c r="I87" s="30" t="s">
        <v>37</v>
      </c>
      <c r="J87" s="14" t="s">
        <v>143</v>
      </c>
      <c r="K87" s="14" t="s">
        <v>144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4" t="s">
        <v>32</v>
      </c>
      <c r="B88" s="19">
        <f t="shared" si="5"/>
        <v>19</v>
      </c>
      <c r="C88" s="29" t="s">
        <v>220</v>
      </c>
      <c r="D88" s="29" t="s">
        <v>148</v>
      </c>
      <c r="E88" s="29" t="s">
        <v>42</v>
      </c>
      <c r="F88" s="29" t="s">
        <v>32</v>
      </c>
      <c r="G88" s="29" t="s">
        <v>36</v>
      </c>
      <c r="H88" s="20"/>
      <c r="I88" s="30" t="s">
        <v>37</v>
      </c>
      <c r="J88" s="14" t="s">
        <v>52</v>
      </c>
      <c r="K88" s="14" t="s">
        <v>65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4" t="s">
        <v>32</v>
      </c>
      <c r="B89" s="19">
        <f t="shared" si="5"/>
        <v>20</v>
      </c>
      <c r="C89" s="29" t="s">
        <v>221</v>
      </c>
      <c r="D89" s="29" t="s">
        <v>154</v>
      </c>
      <c r="E89" s="29" t="s">
        <v>42</v>
      </c>
      <c r="F89" s="29" t="s">
        <v>32</v>
      </c>
      <c r="G89" s="29" t="s">
        <v>36</v>
      </c>
      <c r="H89" s="20"/>
      <c r="I89" s="30" t="s">
        <v>37</v>
      </c>
      <c r="J89" s="14" t="s">
        <v>114</v>
      </c>
      <c r="K89" s="14" t="s">
        <v>120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4" t="s">
        <v>32</v>
      </c>
      <c r="B90" s="19">
        <f t="shared" si="5"/>
        <v>21</v>
      </c>
      <c r="C90" s="29" t="s">
        <v>223</v>
      </c>
      <c r="D90" s="29" t="s">
        <v>154</v>
      </c>
      <c r="E90" s="29" t="s">
        <v>42</v>
      </c>
      <c r="F90" s="29" t="s">
        <v>32</v>
      </c>
      <c r="G90" s="29" t="s">
        <v>36</v>
      </c>
      <c r="H90" s="20"/>
      <c r="I90" s="30" t="s">
        <v>37</v>
      </c>
      <c r="J90" s="15" t="s">
        <v>114</v>
      </c>
      <c r="K90" s="14" t="s">
        <v>115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4" t="s">
        <v>32</v>
      </c>
      <c r="B91" s="19">
        <f t="shared" si="5"/>
        <v>22</v>
      </c>
      <c r="C91" s="29" t="s">
        <v>224</v>
      </c>
      <c r="D91" s="29" t="s">
        <v>154</v>
      </c>
      <c r="E91" s="29" t="s">
        <v>42</v>
      </c>
      <c r="F91" s="29" t="s">
        <v>32</v>
      </c>
      <c r="G91" s="29" t="s">
        <v>36</v>
      </c>
      <c r="H91" s="20"/>
      <c r="I91" s="30" t="s">
        <v>37</v>
      </c>
      <c r="J91" s="15" t="s">
        <v>114</v>
      </c>
      <c r="K91" s="14" t="s">
        <v>131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4" t="s">
        <v>32</v>
      </c>
      <c r="B92" s="19">
        <f t="shared" si="5"/>
        <v>23</v>
      </c>
      <c r="C92" s="29" t="s">
        <v>93</v>
      </c>
      <c r="D92" s="29" t="s">
        <v>162</v>
      </c>
      <c r="E92" s="29" t="s">
        <v>42</v>
      </c>
      <c r="F92" s="29" t="s">
        <v>32</v>
      </c>
      <c r="G92" s="29" t="s">
        <v>36</v>
      </c>
      <c r="H92" s="20"/>
      <c r="I92" s="30" t="s">
        <v>37</v>
      </c>
      <c r="J92" s="15" t="s">
        <v>90</v>
      </c>
      <c r="K92" s="14" t="s">
        <v>94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4" t="s">
        <v>32</v>
      </c>
      <c r="B93" s="19">
        <f t="shared" si="5"/>
        <v>24</v>
      </c>
      <c r="C93" s="29" t="s">
        <v>225</v>
      </c>
      <c r="D93" s="29" t="s">
        <v>163</v>
      </c>
      <c r="E93" s="29" t="s">
        <v>42</v>
      </c>
      <c r="F93" s="29" t="s">
        <v>32</v>
      </c>
      <c r="G93" s="29" t="s">
        <v>36</v>
      </c>
      <c r="H93" s="20"/>
      <c r="I93" s="30" t="s">
        <v>37</v>
      </c>
      <c r="J93" s="14" t="s">
        <v>98</v>
      </c>
      <c r="K93" s="14" t="s">
        <v>79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4" t="s">
        <v>32</v>
      </c>
      <c r="B94" s="19">
        <f t="shared" si="5"/>
        <v>25</v>
      </c>
      <c r="C94" s="29" t="s">
        <v>159</v>
      </c>
      <c r="D94" s="29" t="s">
        <v>160</v>
      </c>
      <c r="E94" s="29" t="s">
        <v>87</v>
      </c>
      <c r="F94" s="29" t="s">
        <v>32</v>
      </c>
      <c r="G94" s="29" t="s">
        <v>227</v>
      </c>
      <c r="H94" s="20"/>
      <c r="I94" s="30" t="s">
        <v>37</v>
      </c>
      <c r="J94" s="15" t="s">
        <v>153</v>
      </c>
      <c r="K94" s="14" t="s">
        <v>228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4" t="s">
        <v>32</v>
      </c>
      <c r="B95" s="19">
        <f t="shared" si="5"/>
        <v>26</v>
      </c>
      <c r="C95" s="29" t="s">
        <v>66</v>
      </c>
      <c r="D95" s="29" t="s">
        <v>166</v>
      </c>
      <c r="E95" s="29" t="s">
        <v>42</v>
      </c>
      <c r="F95" s="29" t="s">
        <v>32</v>
      </c>
      <c r="G95" s="29" t="s">
        <v>36</v>
      </c>
      <c r="H95" s="20"/>
      <c r="I95" s="30" t="s">
        <v>176</v>
      </c>
      <c r="J95" s="15" t="s">
        <v>36</v>
      </c>
      <c r="K95" s="14" t="s">
        <v>67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4" t="s">
        <v>32</v>
      </c>
      <c r="B96" s="19">
        <f t="shared" si="5"/>
        <v>27</v>
      </c>
      <c r="C96" s="29" t="s">
        <v>229</v>
      </c>
      <c r="D96" s="29" t="s">
        <v>230</v>
      </c>
      <c r="E96" s="29" t="s">
        <v>231</v>
      </c>
      <c r="F96" s="29" t="s">
        <v>32</v>
      </c>
      <c r="G96" s="29" t="s">
        <v>36</v>
      </c>
      <c r="H96" s="20"/>
      <c r="I96" s="30" t="s">
        <v>167</v>
      </c>
      <c r="J96" s="14" t="s">
        <v>143</v>
      </c>
      <c r="K96" s="14" t="s">
        <v>79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4" t="s">
        <v>32</v>
      </c>
      <c r="B97" s="19">
        <f t="shared" si="5"/>
        <v>28</v>
      </c>
      <c r="C97" s="29" t="s">
        <v>232</v>
      </c>
      <c r="D97" s="29" t="s">
        <v>233</v>
      </c>
      <c r="E97" s="29" t="s">
        <v>42</v>
      </c>
      <c r="F97" s="29" t="s">
        <v>32</v>
      </c>
      <c r="G97" s="29" t="s">
        <v>36</v>
      </c>
      <c r="H97" s="20"/>
      <c r="I97" s="30" t="s">
        <v>60</v>
      </c>
      <c r="J97" s="14" t="s">
        <v>209</v>
      </c>
      <c r="K97" s="14" t="s">
        <v>79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4" t="s">
        <v>32</v>
      </c>
      <c r="B98" s="19">
        <f t="shared" si="5"/>
        <v>29</v>
      </c>
      <c r="C98" s="29" t="s">
        <v>112</v>
      </c>
      <c r="D98" s="29" t="s">
        <v>172</v>
      </c>
      <c r="E98" s="29" t="s">
        <v>49</v>
      </c>
      <c r="F98" s="29" t="s">
        <v>32</v>
      </c>
      <c r="G98" s="29" t="s">
        <v>36</v>
      </c>
      <c r="H98" s="20"/>
      <c r="I98" s="30" t="s">
        <v>50</v>
      </c>
      <c r="J98" s="14" t="s">
        <v>114</v>
      </c>
      <c r="K98" s="14" t="s">
        <v>79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4" t="s">
        <v>32</v>
      </c>
      <c r="B99" s="19">
        <f t="shared" si="5"/>
        <v>30</v>
      </c>
      <c r="C99" s="29" t="s">
        <v>174</v>
      </c>
      <c r="D99" s="29" t="s">
        <v>175</v>
      </c>
      <c r="E99" s="29" t="s">
        <v>49</v>
      </c>
      <c r="F99" s="29" t="s">
        <v>32</v>
      </c>
      <c r="G99" s="29" t="s">
        <v>36</v>
      </c>
      <c r="H99" s="20"/>
      <c r="I99" s="30" t="s">
        <v>60</v>
      </c>
      <c r="J99" s="15" t="s">
        <v>173</v>
      </c>
      <c r="K99" s="14" t="s">
        <v>140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4" t="s">
        <v>32</v>
      </c>
      <c r="B100" s="19">
        <f t="shared" si="5"/>
        <v>31</v>
      </c>
      <c r="C100" s="29" t="s">
        <v>109</v>
      </c>
      <c r="D100" s="29" t="s">
        <v>107</v>
      </c>
      <c r="E100" s="29" t="s">
        <v>42</v>
      </c>
      <c r="F100" s="29" t="s">
        <v>32</v>
      </c>
      <c r="G100" s="29" t="s">
        <v>36</v>
      </c>
      <c r="H100" s="20"/>
      <c r="I100" s="30" t="s">
        <v>50</v>
      </c>
      <c r="J100" s="14" t="s">
        <v>236</v>
      </c>
      <c r="K100" s="14" t="s">
        <v>107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4" t="s">
        <v>32</v>
      </c>
      <c r="B101" s="19">
        <f t="shared" si="5"/>
        <v>32</v>
      </c>
      <c r="C101" s="29" t="s">
        <v>238</v>
      </c>
      <c r="D101" s="29" t="s">
        <v>75</v>
      </c>
      <c r="E101" s="29" t="s">
        <v>42</v>
      </c>
      <c r="F101" s="29" t="s">
        <v>32</v>
      </c>
      <c r="G101" s="29" t="s">
        <v>36</v>
      </c>
      <c r="H101" s="20"/>
      <c r="I101" s="30" t="s">
        <v>60</v>
      </c>
      <c r="J101" s="14" t="s">
        <v>75</v>
      </c>
      <c r="K101" s="14" t="s">
        <v>76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4" t="s">
        <v>32</v>
      </c>
      <c r="B102" s="19">
        <f t="shared" si="5"/>
        <v>33</v>
      </c>
      <c r="C102" s="29" t="s">
        <v>239</v>
      </c>
      <c r="D102" s="29" t="s">
        <v>240</v>
      </c>
      <c r="E102" s="29" t="s">
        <v>42</v>
      </c>
      <c r="F102" s="29" t="s">
        <v>32</v>
      </c>
      <c r="G102" s="29" t="s">
        <v>36</v>
      </c>
      <c r="H102" s="20"/>
      <c r="I102" s="30" t="s">
        <v>50</v>
      </c>
      <c r="J102" s="14" t="s">
        <v>143</v>
      </c>
      <c r="K102" s="14" t="s">
        <v>177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4" t="s">
        <v>32</v>
      </c>
      <c r="B103" s="19">
        <f t="shared" si="5"/>
        <v>34</v>
      </c>
      <c r="C103" s="29" t="s">
        <v>242</v>
      </c>
      <c r="D103" s="29" t="s">
        <v>154</v>
      </c>
      <c r="E103" s="29" t="s">
        <v>42</v>
      </c>
      <c r="F103" s="29" t="s">
        <v>32</v>
      </c>
      <c r="G103" s="29" t="s">
        <v>36</v>
      </c>
      <c r="H103" s="20"/>
      <c r="I103" s="30" t="s">
        <v>64</v>
      </c>
      <c r="J103" s="14" t="s">
        <v>114</v>
      </c>
      <c r="K103" s="14" t="s">
        <v>243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4" t="s">
        <v>32</v>
      </c>
      <c r="B104" s="19">
        <f t="shared" si="5"/>
        <v>35</v>
      </c>
      <c r="C104" s="29" t="s">
        <v>244</v>
      </c>
      <c r="D104" s="29" t="s">
        <v>245</v>
      </c>
      <c r="E104" s="29" t="s">
        <v>42</v>
      </c>
      <c r="F104" s="29" t="s">
        <v>32</v>
      </c>
      <c r="G104" s="29" t="s">
        <v>246</v>
      </c>
      <c r="H104" s="14"/>
      <c r="I104" s="30" t="s">
        <v>50</v>
      </c>
      <c r="J104" s="14" t="s">
        <v>153</v>
      </c>
      <c r="K104" s="14" t="s">
        <v>228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4" t="s">
        <v>32</v>
      </c>
      <c r="B105" s="19">
        <f t="shared" si="5"/>
        <v>36</v>
      </c>
      <c r="C105" s="29" t="s">
        <v>155</v>
      </c>
      <c r="D105" s="29" t="s">
        <v>248</v>
      </c>
      <c r="E105" s="29" t="s">
        <v>249</v>
      </c>
      <c r="F105" s="29" t="s">
        <v>32</v>
      </c>
      <c r="G105" s="29" t="s">
        <v>250</v>
      </c>
      <c r="H105" s="14"/>
      <c r="I105" s="30" t="s">
        <v>50</v>
      </c>
      <c r="J105" s="14" t="s">
        <v>153</v>
      </c>
      <c r="K105" s="14" t="s">
        <v>180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4" t="s">
        <v>32</v>
      </c>
      <c r="B106" s="19">
        <f t="shared" si="5"/>
        <v>37</v>
      </c>
      <c r="C106" s="29" t="s">
        <v>151</v>
      </c>
      <c r="D106" s="29" t="s">
        <v>179</v>
      </c>
      <c r="E106" s="29" t="s">
        <v>57</v>
      </c>
      <c r="F106" s="29" t="s">
        <v>32</v>
      </c>
      <c r="G106" s="29" t="s">
        <v>36</v>
      </c>
      <c r="H106" s="14"/>
      <c r="I106" s="30" t="s">
        <v>50</v>
      </c>
      <c r="J106" s="14" t="s">
        <v>57</v>
      </c>
      <c r="K106" s="14" t="s">
        <v>79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43" t="s">
        <v>252</v>
      </c>
      <c r="D107" s="3" t="str">
        <f>SUM(#REF!)</f>
        <v>#REF!</v>
      </c>
      <c r="E107" s="2"/>
      <c r="F107" s="28"/>
      <c r="G107" s="28"/>
      <c r="H107" s="2"/>
      <c r="I107" s="45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 t="s">
        <v>253</v>
      </c>
      <c r="D108" s="3">
        <v>1.0</v>
      </c>
      <c r="E108" s="2"/>
      <c r="F108" s="28"/>
      <c r="G108" s="28"/>
      <c r="H108" s="2"/>
      <c r="I108" s="3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 t="s">
        <v>114</v>
      </c>
      <c r="D109" s="3">
        <v>1.0</v>
      </c>
      <c r="E109" s="2"/>
      <c r="F109" s="28"/>
      <c r="G109" s="28"/>
      <c r="H109" s="2"/>
      <c r="I109" s="3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8"/>
      <c r="E110" s="2"/>
      <c r="F110" s="28"/>
      <c r="G110" s="28"/>
      <c r="H110" s="2"/>
      <c r="I110" s="3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8"/>
      <c r="E111" s="2"/>
      <c r="F111" s="28"/>
      <c r="G111" s="28"/>
      <c r="H111" s="2"/>
      <c r="I111" s="3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8"/>
      <c r="E112" s="2"/>
      <c r="F112" s="28"/>
      <c r="G112" s="28"/>
      <c r="H112" s="2"/>
      <c r="I112" s="3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8"/>
      <c r="E113" s="2"/>
      <c r="F113" s="28"/>
      <c r="G113" s="28"/>
      <c r="H113" s="2"/>
      <c r="I113" s="3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8"/>
      <c r="E114" s="2"/>
      <c r="F114" s="28"/>
      <c r="G114" s="28"/>
      <c r="H114" s="2"/>
      <c r="I114" s="3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8"/>
      <c r="E115" s="2"/>
      <c r="F115" s="28"/>
      <c r="G115" s="28"/>
      <c r="H115" s="2"/>
      <c r="I115" s="3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8"/>
      <c r="E116" s="2"/>
      <c r="F116" s="28"/>
      <c r="G116" s="28"/>
      <c r="H116" s="2"/>
      <c r="I116" s="3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8"/>
      <c r="E117" s="2"/>
      <c r="F117" s="28"/>
      <c r="G117" s="28"/>
      <c r="H117" s="2"/>
      <c r="I117" s="3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8"/>
      <c r="E118" s="2"/>
      <c r="F118" s="28"/>
      <c r="G118" s="28"/>
      <c r="H118" s="2"/>
      <c r="I118" s="3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8"/>
      <c r="E119" s="2"/>
      <c r="F119" s="28"/>
      <c r="G119" s="28"/>
      <c r="H119" s="2"/>
      <c r="I119" s="3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8"/>
      <c r="E120" s="2"/>
      <c r="F120" s="28"/>
      <c r="G120" s="28"/>
      <c r="H120" s="2"/>
      <c r="I120" s="3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8"/>
      <c r="E121" s="2"/>
      <c r="F121" s="28"/>
      <c r="G121" s="28"/>
      <c r="H121" s="2"/>
      <c r="I121" s="3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8"/>
      <c r="E122" s="2"/>
      <c r="F122" s="28"/>
      <c r="G122" s="28"/>
      <c r="H122" s="2"/>
      <c r="I122" s="3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8"/>
      <c r="E123" s="2"/>
      <c r="F123" s="28"/>
      <c r="G123" s="28"/>
      <c r="H123" s="2"/>
      <c r="I123" s="3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8"/>
      <c r="E124" s="2"/>
      <c r="F124" s="28"/>
      <c r="G124" s="28"/>
      <c r="H124" s="2"/>
      <c r="I124" s="3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8"/>
      <c r="E125" s="2"/>
      <c r="F125" s="28"/>
      <c r="G125" s="28"/>
      <c r="H125" s="2"/>
      <c r="I125" s="3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8"/>
      <c r="E126" s="2"/>
      <c r="F126" s="28"/>
      <c r="G126" s="28"/>
      <c r="H126" s="2"/>
      <c r="I126" s="3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8"/>
      <c r="E127" s="2"/>
      <c r="F127" s="28"/>
      <c r="G127" s="28"/>
      <c r="H127" s="2"/>
      <c r="I127" s="3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8"/>
      <c r="E128" s="2"/>
      <c r="F128" s="28"/>
      <c r="G128" s="28"/>
      <c r="H128" s="2"/>
      <c r="I128" s="3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8"/>
      <c r="E129" s="2"/>
      <c r="F129" s="28"/>
      <c r="G129" s="28"/>
      <c r="H129" s="2"/>
      <c r="I129" s="3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8"/>
      <c r="E130" s="2"/>
      <c r="F130" s="28"/>
      <c r="G130" s="28"/>
      <c r="H130" s="2"/>
      <c r="I130" s="3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8"/>
      <c r="E131" s="2"/>
      <c r="F131" s="28"/>
      <c r="G131" s="28"/>
      <c r="H131" s="2"/>
      <c r="I131" s="3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8"/>
      <c r="E132" s="2"/>
      <c r="F132" s="28"/>
      <c r="G132" s="28"/>
      <c r="H132" s="2"/>
      <c r="I132" s="3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8"/>
      <c r="E133" s="2"/>
      <c r="F133" s="28"/>
      <c r="G133" s="28"/>
      <c r="H133" s="2"/>
      <c r="I133" s="3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8"/>
      <c r="E134" s="2"/>
      <c r="F134" s="28"/>
      <c r="G134" s="28"/>
      <c r="H134" s="2"/>
      <c r="I134" s="3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8"/>
      <c r="E135" s="2"/>
      <c r="F135" s="28"/>
      <c r="G135" s="28"/>
      <c r="H135" s="2"/>
      <c r="I135" s="3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8"/>
      <c r="E136" s="2"/>
      <c r="F136" s="28"/>
      <c r="G136" s="28"/>
      <c r="H136" s="2"/>
      <c r="I136" s="3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8"/>
      <c r="E137" s="2"/>
      <c r="F137" s="28"/>
      <c r="G137" s="28"/>
      <c r="H137" s="2"/>
      <c r="I137" s="3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8"/>
      <c r="E138" s="2"/>
      <c r="F138" s="28"/>
      <c r="G138" s="28"/>
      <c r="H138" s="2"/>
      <c r="I138" s="3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8"/>
      <c r="E139" s="2"/>
      <c r="F139" s="28"/>
      <c r="G139" s="28"/>
      <c r="H139" s="2"/>
      <c r="I139" s="3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8"/>
      <c r="E140" s="2"/>
      <c r="F140" s="28"/>
      <c r="G140" s="28"/>
      <c r="H140" s="2"/>
      <c r="I140" s="3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8"/>
      <c r="E141" s="2"/>
      <c r="F141" s="28"/>
      <c r="G141" s="28"/>
      <c r="H141" s="2"/>
      <c r="I141" s="3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8"/>
      <c r="E142" s="2"/>
      <c r="F142" s="28"/>
      <c r="G142" s="28"/>
      <c r="H142" s="2"/>
      <c r="I142" s="3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8"/>
      <c r="E143" s="2"/>
      <c r="F143" s="28"/>
      <c r="G143" s="28"/>
      <c r="H143" s="2"/>
      <c r="I143" s="3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8"/>
      <c r="E144" s="2"/>
      <c r="F144" s="28"/>
      <c r="G144" s="28"/>
      <c r="H144" s="2"/>
      <c r="I144" s="3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8"/>
      <c r="E145" s="2"/>
      <c r="F145" s="28"/>
      <c r="G145" s="28"/>
      <c r="H145" s="2"/>
      <c r="I145" s="3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8"/>
      <c r="E146" s="2"/>
      <c r="F146" s="28"/>
      <c r="G146" s="28"/>
      <c r="H146" s="2"/>
      <c r="I146" s="3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8"/>
      <c r="E147" s="2"/>
      <c r="F147" s="28"/>
      <c r="G147" s="28"/>
      <c r="H147" s="2"/>
      <c r="I147" s="3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8"/>
      <c r="E148" s="2"/>
      <c r="F148" s="28"/>
      <c r="G148" s="28"/>
      <c r="H148" s="2"/>
      <c r="I148" s="3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8"/>
      <c r="E149" s="2"/>
      <c r="F149" s="28"/>
      <c r="G149" s="28"/>
      <c r="H149" s="2"/>
      <c r="I149" s="3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8"/>
      <c r="E150" s="2"/>
      <c r="F150" s="28"/>
      <c r="G150" s="28"/>
      <c r="H150" s="2"/>
      <c r="I150" s="3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8"/>
      <c r="E151" s="2"/>
      <c r="F151" s="28"/>
      <c r="G151" s="28"/>
      <c r="H151" s="2"/>
      <c r="I151" s="3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8"/>
      <c r="E152" s="2"/>
      <c r="F152" s="28"/>
      <c r="G152" s="28"/>
      <c r="H152" s="2"/>
      <c r="I152" s="3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8"/>
      <c r="E153" s="2"/>
      <c r="F153" s="28"/>
      <c r="G153" s="28"/>
      <c r="H153" s="2"/>
      <c r="I153" s="3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8"/>
      <c r="E154" s="2"/>
      <c r="F154" s="28"/>
      <c r="G154" s="28"/>
      <c r="H154" s="2"/>
      <c r="I154" s="3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8"/>
      <c r="E155" s="2"/>
      <c r="F155" s="28"/>
      <c r="G155" s="28"/>
      <c r="H155" s="2"/>
      <c r="I155" s="3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8"/>
      <c r="E156" s="2"/>
      <c r="F156" s="28"/>
      <c r="G156" s="28"/>
      <c r="H156" s="2"/>
      <c r="I156" s="3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8"/>
      <c r="E157" s="2"/>
      <c r="F157" s="28"/>
      <c r="G157" s="28"/>
      <c r="H157" s="2"/>
      <c r="I157" s="3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8"/>
      <c r="E158" s="2"/>
      <c r="F158" s="28"/>
      <c r="G158" s="28"/>
      <c r="H158" s="2"/>
      <c r="I158" s="3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8"/>
      <c r="E159" s="2"/>
      <c r="F159" s="28"/>
      <c r="G159" s="28"/>
      <c r="H159" s="2"/>
      <c r="I159" s="3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8"/>
      <c r="E160" s="2"/>
      <c r="F160" s="28"/>
      <c r="G160" s="28"/>
      <c r="H160" s="2"/>
      <c r="I160" s="3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8"/>
      <c r="E161" s="2"/>
      <c r="F161" s="28"/>
      <c r="G161" s="28"/>
      <c r="H161" s="2"/>
      <c r="I161" s="3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8"/>
      <c r="E162" s="2"/>
      <c r="F162" s="28"/>
      <c r="G162" s="28"/>
      <c r="H162" s="2"/>
      <c r="I162" s="3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8"/>
      <c r="E163" s="2"/>
      <c r="F163" s="28"/>
      <c r="G163" s="28"/>
      <c r="H163" s="2"/>
      <c r="I163" s="3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8"/>
      <c r="E164" s="2"/>
      <c r="F164" s="28"/>
      <c r="G164" s="28"/>
      <c r="H164" s="2"/>
      <c r="I164" s="3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8"/>
      <c r="E165" s="2"/>
      <c r="F165" s="28"/>
      <c r="G165" s="28"/>
      <c r="H165" s="2"/>
      <c r="I165" s="3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8"/>
      <c r="E166" s="2"/>
      <c r="F166" s="28"/>
      <c r="G166" s="28"/>
      <c r="H166" s="2"/>
      <c r="I166" s="3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8"/>
      <c r="E167" s="2"/>
      <c r="F167" s="28"/>
      <c r="G167" s="28"/>
      <c r="H167" s="2"/>
      <c r="I167" s="3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8"/>
      <c r="E168" s="2"/>
      <c r="F168" s="28"/>
      <c r="G168" s="28"/>
      <c r="H168" s="2"/>
      <c r="I168" s="3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8"/>
      <c r="E169" s="2"/>
      <c r="F169" s="28"/>
      <c r="G169" s="28"/>
      <c r="H169" s="2"/>
      <c r="I169" s="3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8"/>
      <c r="E170" s="2"/>
      <c r="F170" s="28"/>
      <c r="G170" s="28"/>
      <c r="H170" s="2"/>
      <c r="I170" s="3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8"/>
      <c r="E171" s="2"/>
      <c r="F171" s="28"/>
      <c r="G171" s="28"/>
      <c r="H171" s="2"/>
      <c r="I171" s="3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8"/>
      <c r="E172" s="2"/>
      <c r="F172" s="28"/>
      <c r="G172" s="28"/>
      <c r="H172" s="2"/>
      <c r="I172" s="3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8"/>
      <c r="E173" s="2"/>
      <c r="F173" s="28"/>
      <c r="G173" s="28"/>
      <c r="H173" s="2"/>
      <c r="I173" s="3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8"/>
      <c r="E174" s="2"/>
      <c r="F174" s="28"/>
      <c r="G174" s="28"/>
      <c r="H174" s="2"/>
      <c r="I174" s="3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8"/>
      <c r="E175" s="2"/>
      <c r="F175" s="28"/>
      <c r="G175" s="28"/>
      <c r="H175" s="2"/>
      <c r="I175" s="3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8"/>
      <c r="E176" s="2"/>
      <c r="F176" s="28"/>
      <c r="G176" s="28"/>
      <c r="H176" s="2"/>
      <c r="I176" s="3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8"/>
      <c r="E177" s="2"/>
      <c r="F177" s="28"/>
      <c r="G177" s="28"/>
      <c r="H177" s="2"/>
      <c r="I177" s="3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8"/>
      <c r="E178" s="2"/>
      <c r="F178" s="28"/>
      <c r="G178" s="28"/>
      <c r="H178" s="2"/>
      <c r="I178" s="3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8"/>
      <c r="E179" s="2"/>
      <c r="F179" s="28"/>
      <c r="G179" s="28"/>
      <c r="H179" s="2"/>
      <c r="I179" s="3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8"/>
      <c r="E180" s="2"/>
      <c r="F180" s="28"/>
      <c r="G180" s="28"/>
      <c r="H180" s="2"/>
      <c r="I180" s="3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8"/>
      <c r="E181" s="2"/>
      <c r="F181" s="28"/>
      <c r="G181" s="28"/>
      <c r="H181" s="2"/>
      <c r="I181" s="3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8"/>
      <c r="E182" s="2"/>
      <c r="F182" s="28"/>
      <c r="G182" s="28"/>
      <c r="H182" s="2"/>
      <c r="I182" s="3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8"/>
      <c r="E183" s="2"/>
      <c r="F183" s="28"/>
      <c r="G183" s="28"/>
      <c r="H183" s="2"/>
      <c r="I183" s="3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8"/>
      <c r="E184" s="2"/>
      <c r="F184" s="28"/>
      <c r="G184" s="28"/>
      <c r="H184" s="2"/>
      <c r="I184" s="3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8"/>
      <c r="E185" s="2"/>
      <c r="F185" s="28"/>
      <c r="G185" s="28"/>
      <c r="H185" s="2"/>
      <c r="I185" s="3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8"/>
      <c r="E186" s="2"/>
      <c r="F186" s="28"/>
      <c r="G186" s="28"/>
      <c r="H186" s="2"/>
      <c r="I186" s="3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8"/>
      <c r="E187" s="2"/>
      <c r="F187" s="28"/>
      <c r="G187" s="28"/>
      <c r="H187" s="2"/>
      <c r="I187" s="3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8"/>
      <c r="E188" s="2"/>
      <c r="F188" s="28"/>
      <c r="G188" s="28"/>
      <c r="H188" s="2"/>
      <c r="I188" s="3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8"/>
      <c r="E189" s="2"/>
      <c r="F189" s="28"/>
      <c r="G189" s="28"/>
      <c r="H189" s="2"/>
      <c r="I189" s="3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8"/>
      <c r="E190" s="2"/>
      <c r="F190" s="28"/>
      <c r="G190" s="28"/>
      <c r="H190" s="2"/>
      <c r="I190" s="3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8"/>
      <c r="E191" s="2"/>
      <c r="F191" s="28"/>
      <c r="G191" s="28"/>
      <c r="H191" s="2"/>
      <c r="I191" s="3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8"/>
      <c r="E192" s="2"/>
      <c r="F192" s="28"/>
      <c r="G192" s="28"/>
      <c r="H192" s="2"/>
      <c r="I192" s="3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8"/>
      <c r="E193" s="2"/>
      <c r="F193" s="28"/>
      <c r="G193" s="28"/>
      <c r="H193" s="2"/>
      <c r="I193" s="3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8"/>
      <c r="E194" s="2"/>
      <c r="F194" s="28"/>
      <c r="G194" s="28"/>
      <c r="H194" s="2"/>
      <c r="I194" s="3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8"/>
      <c r="E195" s="2"/>
      <c r="F195" s="28"/>
      <c r="G195" s="28"/>
      <c r="H195" s="2"/>
      <c r="I195" s="3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8"/>
      <c r="E196" s="2"/>
      <c r="F196" s="28"/>
      <c r="G196" s="28"/>
      <c r="H196" s="2"/>
      <c r="I196" s="3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8"/>
      <c r="E197" s="2"/>
      <c r="F197" s="28"/>
      <c r="G197" s="28"/>
      <c r="H197" s="2"/>
      <c r="I197" s="3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8"/>
      <c r="E198" s="2"/>
      <c r="F198" s="28"/>
      <c r="G198" s="28"/>
      <c r="H198" s="2"/>
      <c r="I198" s="3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8"/>
      <c r="E199" s="2"/>
      <c r="F199" s="28"/>
      <c r="G199" s="28"/>
      <c r="H199" s="2"/>
      <c r="I199" s="3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8"/>
      <c r="E200" s="2"/>
      <c r="F200" s="28"/>
      <c r="G200" s="28"/>
      <c r="H200" s="2"/>
      <c r="I200" s="3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8"/>
      <c r="E201" s="2"/>
      <c r="F201" s="28"/>
      <c r="G201" s="28"/>
      <c r="H201" s="2"/>
      <c r="I201" s="3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8"/>
      <c r="E202" s="2"/>
      <c r="F202" s="28"/>
      <c r="G202" s="28"/>
      <c r="H202" s="2"/>
      <c r="I202" s="3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8"/>
      <c r="E203" s="2"/>
      <c r="F203" s="28"/>
      <c r="G203" s="28"/>
      <c r="H203" s="2"/>
      <c r="I203" s="3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8"/>
      <c r="E204" s="2"/>
      <c r="F204" s="28"/>
      <c r="G204" s="28"/>
      <c r="H204" s="2"/>
      <c r="I204" s="3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8"/>
      <c r="E205" s="2"/>
      <c r="F205" s="28"/>
      <c r="G205" s="28"/>
      <c r="H205" s="2"/>
      <c r="I205" s="3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8"/>
      <c r="E206" s="2"/>
      <c r="F206" s="28"/>
      <c r="G206" s="28"/>
      <c r="H206" s="2"/>
      <c r="I206" s="3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8"/>
      <c r="E207" s="2"/>
      <c r="F207" s="28"/>
      <c r="G207" s="28"/>
      <c r="H207" s="2"/>
      <c r="I207" s="3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8"/>
      <c r="E208" s="2"/>
      <c r="F208" s="28"/>
      <c r="G208" s="28"/>
      <c r="H208" s="2"/>
      <c r="I208" s="3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8"/>
      <c r="E209" s="2"/>
      <c r="F209" s="28"/>
      <c r="G209" s="28"/>
      <c r="H209" s="2"/>
      <c r="I209" s="3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8"/>
      <c r="E210" s="2"/>
      <c r="F210" s="28"/>
      <c r="G210" s="28"/>
      <c r="H210" s="2"/>
      <c r="I210" s="3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8"/>
      <c r="E211" s="2"/>
      <c r="F211" s="28"/>
      <c r="G211" s="28"/>
      <c r="H211" s="2"/>
      <c r="I211" s="3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8"/>
      <c r="E212" s="2"/>
      <c r="F212" s="28"/>
      <c r="G212" s="28"/>
      <c r="H212" s="2"/>
      <c r="I212" s="3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8"/>
      <c r="E213" s="2"/>
      <c r="F213" s="28"/>
      <c r="G213" s="28"/>
      <c r="H213" s="2"/>
      <c r="I213" s="3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8"/>
      <c r="E214" s="2"/>
      <c r="F214" s="28"/>
      <c r="G214" s="28"/>
      <c r="H214" s="2"/>
      <c r="I214" s="3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8"/>
      <c r="E215" s="2"/>
      <c r="F215" s="28"/>
      <c r="G215" s="28"/>
      <c r="H215" s="2"/>
      <c r="I215" s="3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8"/>
      <c r="E216" s="2"/>
      <c r="F216" s="28"/>
      <c r="G216" s="28"/>
      <c r="H216" s="2"/>
      <c r="I216" s="3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8"/>
      <c r="E217" s="2"/>
      <c r="F217" s="28"/>
      <c r="G217" s="28"/>
      <c r="H217" s="2"/>
      <c r="I217" s="3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8"/>
      <c r="E218" s="2"/>
      <c r="F218" s="28"/>
      <c r="G218" s="28"/>
      <c r="H218" s="2"/>
      <c r="I218" s="3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8"/>
      <c r="E219" s="2"/>
      <c r="F219" s="28"/>
      <c r="G219" s="28"/>
      <c r="H219" s="2"/>
      <c r="I219" s="3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8"/>
      <c r="E220" s="2"/>
      <c r="F220" s="28"/>
      <c r="G220" s="28"/>
      <c r="H220" s="2"/>
      <c r="I220" s="3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8"/>
      <c r="E221" s="2"/>
      <c r="F221" s="28"/>
      <c r="G221" s="28"/>
      <c r="H221" s="2"/>
      <c r="I221" s="3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8"/>
      <c r="E222" s="2"/>
      <c r="F222" s="28"/>
      <c r="G222" s="28"/>
      <c r="H222" s="2"/>
      <c r="I222" s="3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8"/>
      <c r="E223" s="2"/>
      <c r="F223" s="28"/>
      <c r="G223" s="28"/>
      <c r="H223" s="2"/>
      <c r="I223" s="3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8"/>
      <c r="E224" s="2"/>
      <c r="F224" s="28"/>
      <c r="G224" s="28"/>
      <c r="H224" s="2"/>
      <c r="I224" s="3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8"/>
      <c r="E225" s="2"/>
      <c r="F225" s="28"/>
      <c r="G225" s="28"/>
      <c r="H225" s="2"/>
      <c r="I225" s="3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8"/>
      <c r="E226" s="2"/>
      <c r="F226" s="28"/>
      <c r="G226" s="28"/>
      <c r="H226" s="2"/>
      <c r="I226" s="3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8"/>
      <c r="E227" s="2"/>
      <c r="F227" s="28"/>
      <c r="G227" s="28"/>
      <c r="H227" s="2"/>
      <c r="I227" s="3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8"/>
      <c r="E228" s="2"/>
      <c r="F228" s="28"/>
      <c r="G228" s="28"/>
      <c r="H228" s="2"/>
      <c r="I228" s="3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8"/>
      <c r="E229" s="2"/>
      <c r="F229" s="28"/>
      <c r="G229" s="28"/>
      <c r="H229" s="2"/>
      <c r="I229" s="3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8"/>
      <c r="E230" s="2"/>
      <c r="F230" s="28"/>
      <c r="G230" s="28"/>
      <c r="H230" s="2"/>
      <c r="I230" s="3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8"/>
      <c r="E231" s="2"/>
      <c r="F231" s="28"/>
      <c r="G231" s="28"/>
      <c r="H231" s="2"/>
      <c r="I231" s="3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8"/>
      <c r="E232" s="2"/>
      <c r="F232" s="28"/>
      <c r="G232" s="28"/>
      <c r="H232" s="2"/>
      <c r="I232" s="3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8"/>
      <c r="E233" s="2"/>
      <c r="F233" s="28"/>
      <c r="G233" s="28"/>
      <c r="H233" s="2"/>
      <c r="I233" s="3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8"/>
      <c r="E234" s="2"/>
      <c r="F234" s="28"/>
      <c r="G234" s="28"/>
      <c r="H234" s="2"/>
      <c r="I234" s="3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8"/>
      <c r="E235" s="2"/>
      <c r="F235" s="28"/>
      <c r="G235" s="28"/>
      <c r="H235" s="2"/>
      <c r="I235" s="3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8"/>
      <c r="E236" s="2"/>
      <c r="F236" s="28"/>
      <c r="G236" s="28"/>
      <c r="H236" s="2"/>
      <c r="I236" s="3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8"/>
      <c r="E237" s="2"/>
      <c r="F237" s="28"/>
      <c r="G237" s="28"/>
      <c r="H237" s="2"/>
      <c r="I237" s="3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8"/>
      <c r="E238" s="2"/>
      <c r="F238" s="28"/>
      <c r="G238" s="28"/>
      <c r="H238" s="2"/>
      <c r="I238" s="3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8"/>
      <c r="E239" s="2"/>
      <c r="F239" s="28"/>
      <c r="G239" s="28"/>
      <c r="H239" s="2"/>
      <c r="I239" s="3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8"/>
      <c r="E240" s="2"/>
      <c r="F240" s="28"/>
      <c r="G240" s="28"/>
      <c r="H240" s="2"/>
      <c r="I240" s="3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8"/>
      <c r="E241" s="2"/>
      <c r="F241" s="28"/>
      <c r="G241" s="28"/>
      <c r="H241" s="2"/>
      <c r="I241" s="3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8"/>
      <c r="E242" s="2"/>
      <c r="F242" s="28"/>
      <c r="G242" s="28"/>
      <c r="H242" s="2"/>
      <c r="I242" s="3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8"/>
      <c r="E243" s="2"/>
      <c r="F243" s="28"/>
      <c r="G243" s="28"/>
      <c r="H243" s="2"/>
      <c r="I243" s="3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8"/>
      <c r="E244" s="2"/>
      <c r="F244" s="28"/>
      <c r="G244" s="28"/>
      <c r="H244" s="2"/>
      <c r="I244" s="3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8"/>
      <c r="E245" s="2"/>
      <c r="F245" s="28"/>
      <c r="G245" s="28"/>
      <c r="H245" s="2"/>
      <c r="I245" s="3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8"/>
      <c r="E246" s="2"/>
      <c r="F246" s="28"/>
      <c r="G246" s="28"/>
      <c r="H246" s="2"/>
      <c r="I246" s="3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8"/>
      <c r="E247" s="2"/>
      <c r="F247" s="28"/>
      <c r="G247" s="28"/>
      <c r="H247" s="2"/>
      <c r="I247" s="3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8"/>
      <c r="E248" s="2"/>
      <c r="F248" s="28"/>
      <c r="G248" s="28"/>
      <c r="H248" s="2"/>
      <c r="I248" s="3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8"/>
      <c r="E249" s="2"/>
      <c r="F249" s="28"/>
      <c r="G249" s="28"/>
      <c r="H249" s="2"/>
      <c r="I249" s="3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8"/>
      <c r="E250" s="2"/>
      <c r="F250" s="28"/>
      <c r="G250" s="28"/>
      <c r="H250" s="2"/>
      <c r="I250" s="3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8"/>
      <c r="E251" s="2"/>
      <c r="F251" s="28"/>
      <c r="G251" s="28"/>
      <c r="H251" s="2"/>
      <c r="I251" s="3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8"/>
      <c r="E252" s="2"/>
      <c r="F252" s="28"/>
      <c r="G252" s="28"/>
      <c r="H252" s="2"/>
      <c r="I252" s="3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8"/>
      <c r="E253" s="2"/>
      <c r="F253" s="28"/>
      <c r="G253" s="28"/>
      <c r="H253" s="2"/>
      <c r="I253" s="3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8"/>
      <c r="E254" s="2"/>
      <c r="F254" s="28"/>
      <c r="G254" s="28"/>
      <c r="H254" s="2"/>
      <c r="I254" s="3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8"/>
      <c r="E255" s="2"/>
      <c r="F255" s="28"/>
      <c r="G255" s="28"/>
      <c r="H255" s="2"/>
      <c r="I255" s="3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8"/>
      <c r="E256" s="2"/>
      <c r="F256" s="28"/>
      <c r="G256" s="28"/>
      <c r="H256" s="2"/>
      <c r="I256" s="3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8"/>
      <c r="E257" s="2"/>
      <c r="F257" s="28"/>
      <c r="G257" s="28"/>
      <c r="H257" s="2"/>
      <c r="I257" s="3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8"/>
      <c r="E258" s="2"/>
      <c r="F258" s="28"/>
      <c r="G258" s="28"/>
      <c r="H258" s="2"/>
      <c r="I258" s="3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8"/>
      <c r="E259" s="2"/>
      <c r="F259" s="28"/>
      <c r="G259" s="28"/>
      <c r="H259" s="2"/>
      <c r="I259" s="3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8"/>
      <c r="E260" s="2"/>
      <c r="F260" s="28"/>
      <c r="G260" s="28"/>
      <c r="H260" s="2"/>
      <c r="I260" s="3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8"/>
      <c r="E261" s="2"/>
      <c r="F261" s="28"/>
      <c r="G261" s="28"/>
      <c r="H261" s="2"/>
      <c r="I261" s="3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8"/>
      <c r="E262" s="2"/>
      <c r="F262" s="28"/>
      <c r="G262" s="28"/>
      <c r="H262" s="2"/>
      <c r="I262" s="3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8"/>
      <c r="E263" s="2"/>
      <c r="F263" s="28"/>
      <c r="G263" s="28"/>
      <c r="H263" s="2"/>
      <c r="I263" s="3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8"/>
      <c r="E264" s="2"/>
      <c r="F264" s="28"/>
      <c r="G264" s="28"/>
      <c r="H264" s="2"/>
      <c r="I264" s="3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8"/>
      <c r="E265" s="2"/>
      <c r="F265" s="28"/>
      <c r="G265" s="28"/>
      <c r="H265" s="2"/>
      <c r="I265" s="3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8"/>
      <c r="E266" s="2"/>
      <c r="F266" s="28"/>
      <c r="G266" s="28"/>
      <c r="H266" s="2"/>
      <c r="I266" s="3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8"/>
      <c r="E267" s="2"/>
      <c r="F267" s="28"/>
      <c r="G267" s="28"/>
      <c r="H267" s="2"/>
      <c r="I267" s="3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8"/>
      <c r="E268" s="2"/>
      <c r="F268" s="28"/>
      <c r="G268" s="28"/>
      <c r="H268" s="2"/>
      <c r="I268" s="3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8"/>
      <c r="E269" s="2"/>
      <c r="F269" s="28"/>
      <c r="G269" s="28"/>
      <c r="H269" s="2"/>
      <c r="I269" s="3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8"/>
      <c r="E270" s="2"/>
      <c r="F270" s="28"/>
      <c r="G270" s="28"/>
      <c r="H270" s="2"/>
      <c r="I270" s="3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8"/>
      <c r="E271" s="2"/>
      <c r="F271" s="28"/>
      <c r="G271" s="28"/>
      <c r="H271" s="2"/>
      <c r="I271" s="3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8"/>
      <c r="E272" s="2"/>
      <c r="F272" s="28"/>
      <c r="G272" s="28"/>
      <c r="H272" s="2"/>
      <c r="I272" s="3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8"/>
      <c r="E273" s="2"/>
      <c r="F273" s="28"/>
      <c r="G273" s="28"/>
      <c r="H273" s="2"/>
      <c r="I273" s="3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8"/>
      <c r="E274" s="2"/>
      <c r="F274" s="28"/>
      <c r="G274" s="28"/>
      <c r="H274" s="2"/>
      <c r="I274" s="3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8"/>
      <c r="E275" s="2"/>
      <c r="F275" s="28"/>
      <c r="G275" s="28"/>
      <c r="H275" s="2"/>
      <c r="I275" s="3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8"/>
      <c r="E276" s="2"/>
      <c r="F276" s="28"/>
      <c r="G276" s="28"/>
      <c r="H276" s="2"/>
      <c r="I276" s="3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8"/>
      <c r="E277" s="2"/>
      <c r="F277" s="28"/>
      <c r="G277" s="28"/>
      <c r="H277" s="2"/>
      <c r="I277" s="3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8"/>
      <c r="E278" s="2"/>
      <c r="F278" s="28"/>
      <c r="G278" s="28"/>
      <c r="H278" s="2"/>
      <c r="I278" s="3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8"/>
      <c r="E279" s="2"/>
      <c r="F279" s="28"/>
      <c r="G279" s="28"/>
      <c r="H279" s="2"/>
      <c r="I279" s="3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8"/>
      <c r="E280" s="2"/>
      <c r="F280" s="28"/>
      <c r="G280" s="28"/>
      <c r="H280" s="2"/>
      <c r="I280" s="3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8"/>
      <c r="E281" s="2"/>
      <c r="F281" s="28"/>
      <c r="G281" s="28"/>
      <c r="H281" s="2"/>
      <c r="I281" s="3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8"/>
      <c r="E282" s="2"/>
      <c r="F282" s="28"/>
      <c r="G282" s="28"/>
      <c r="H282" s="2"/>
      <c r="I282" s="3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8"/>
      <c r="E283" s="2"/>
      <c r="F283" s="28"/>
      <c r="G283" s="28"/>
      <c r="H283" s="2"/>
      <c r="I283" s="3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8"/>
      <c r="E284" s="2"/>
      <c r="F284" s="28"/>
      <c r="G284" s="28"/>
      <c r="H284" s="2"/>
      <c r="I284" s="3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8"/>
      <c r="E285" s="2"/>
      <c r="F285" s="28"/>
      <c r="G285" s="28"/>
      <c r="H285" s="2"/>
      <c r="I285" s="3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8"/>
      <c r="E286" s="2"/>
      <c r="F286" s="28"/>
      <c r="G286" s="28"/>
      <c r="H286" s="2"/>
      <c r="I286" s="3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8"/>
      <c r="E287" s="2"/>
      <c r="F287" s="28"/>
      <c r="G287" s="28"/>
      <c r="H287" s="2"/>
      <c r="I287" s="3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8"/>
      <c r="E288" s="2"/>
      <c r="F288" s="28"/>
      <c r="G288" s="28"/>
      <c r="H288" s="2"/>
      <c r="I288" s="3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8"/>
      <c r="E289" s="2"/>
      <c r="F289" s="28"/>
      <c r="G289" s="28"/>
      <c r="H289" s="2"/>
      <c r="I289" s="3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8"/>
      <c r="E290" s="2"/>
      <c r="F290" s="28"/>
      <c r="G290" s="28"/>
      <c r="H290" s="2"/>
      <c r="I290" s="3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8"/>
      <c r="E291" s="2"/>
      <c r="F291" s="28"/>
      <c r="G291" s="28"/>
      <c r="H291" s="2"/>
      <c r="I291" s="3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8"/>
      <c r="E292" s="2"/>
      <c r="F292" s="28"/>
      <c r="G292" s="28"/>
      <c r="H292" s="2"/>
      <c r="I292" s="3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8"/>
      <c r="E293" s="2"/>
      <c r="F293" s="28"/>
      <c r="G293" s="28"/>
      <c r="H293" s="2"/>
      <c r="I293" s="3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8"/>
      <c r="E294" s="2"/>
      <c r="F294" s="28"/>
      <c r="G294" s="28"/>
      <c r="H294" s="2"/>
      <c r="I294" s="3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8"/>
      <c r="E295" s="2"/>
      <c r="F295" s="28"/>
      <c r="G295" s="28"/>
      <c r="H295" s="2"/>
      <c r="I295" s="3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8"/>
      <c r="E296" s="2"/>
      <c r="F296" s="28"/>
      <c r="G296" s="28"/>
      <c r="H296" s="2"/>
      <c r="I296" s="3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8"/>
      <c r="E297" s="2"/>
      <c r="F297" s="28"/>
      <c r="G297" s="28"/>
      <c r="H297" s="2"/>
      <c r="I297" s="3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8"/>
      <c r="E298" s="2"/>
      <c r="F298" s="28"/>
      <c r="G298" s="28"/>
      <c r="H298" s="2"/>
      <c r="I298" s="3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8"/>
      <c r="E299" s="2"/>
      <c r="F299" s="28"/>
      <c r="G299" s="28"/>
      <c r="H299" s="2"/>
      <c r="I299" s="3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8"/>
      <c r="E300" s="2"/>
      <c r="F300" s="28"/>
      <c r="G300" s="28"/>
      <c r="H300" s="2"/>
      <c r="I300" s="3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8"/>
      <c r="E301" s="2"/>
      <c r="F301" s="28"/>
      <c r="G301" s="28"/>
      <c r="H301" s="2"/>
      <c r="I301" s="3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8"/>
      <c r="E302" s="2"/>
      <c r="F302" s="28"/>
      <c r="G302" s="28"/>
      <c r="H302" s="2"/>
      <c r="I302" s="3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8"/>
      <c r="E303" s="2"/>
      <c r="F303" s="28"/>
      <c r="G303" s="28"/>
      <c r="H303" s="2"/>
      <c r="I303" s="3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8"/>
      <c r="E304" s="2"/>
      <c r="F304" s="28"/>
      <c r="G304" s="28"/>
      <c r="H304" s="2"/>
      <c r="I304" s="3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8"/>
      <c r="E305" s="2"/>
      <c r="F305" s="28"/>
      <c r="G305" s="28"/>
      <c r="H305" s="2"/>
      <c r="I305" s="3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8"/>
      <c r="E306" s="2"/>
      <c r="F306" s="28"/>
      <c r="G306" s="28"/>
      <c r="H306" s="2"/>
      <c r="I306" s="3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8"/>
      <c r="E307" s="2"/>
      <c r="F307" s="28"/>
      <c r="G307" s="28"/>
      <c r="H307" s="2"/>
      <c r="I307" s="3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8"/>
      <c r="E308" s="2"/>
      <c r="F308" s="28"/>
      <c r="G308" s="28"/>
      <c r="H308" s="2"/>
      <c r="I308" s="3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8"/>
      <c r="E309" s="2"/>
      <c r="F309" s="28"/>
      <c r="G309" s="28"/>
      <c r="H309" s="2"/>
      <c r="I309" s="3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L$109"/>
  <mergeCells count="2">
    <mergeCell ref="D4:F4"/>
    <mergeCell ref="H4:J4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8.71"/>
    <col customWidth="1" min="2" max="2" width="4.71"/>
    <col customWidth="1" min="3" max="3" width="30.43"/>
    <col customWidth="1" min="4" max="4" width="35.71"/>
    <col customWidth="1" min="5" max="5" width="16.71"/>
    <col customWidth="1" min="6" max="6" width="23.29"/>
    <col customWidth="1" min="7" max="7" width="20.57"/>
    <col customWidth="1" min="8" max="8" width="8.29"/>
    <col customWidth="1" min="9" max="9" width="9.0"/>
    <col customWidth="1" min="10" max="10" width="14.71"/>
    <col customWidth="1" min="11" max="11" width="38.0"/>
    <col customWidth="1" min="12" max="26" width="8.71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5</v>
      </c>
      <c r="B2" s="2"/>
      <c r="C2" s="2"/>
      <c r="D2" s="2"/>
      <c r="E2" s="2"/>
      <c r="F2" s="2"/>
      <c r="G2" s="2"/>
      <c r="H2" s="2"/>
      <c r="I2" s="4" t="s">
        <v>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1">
        <f>SUBTOTAL(103,C6:C39)</f>
        <v>34</v>
      </c>
      <c r="D3" s="2"/>
      <c r="E3" s="2"/>
      <c r="F3" s="2"/>
      <c r="G3" s="2"/>
      <c r="H3" s="1">
        <f>SUBTOTAL(109,H6:H39)</f>
        <v>0</v>
      </c>
      <c r="I3" s="1">
        <f>C3+H3</f>
        <v>34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 t="s">
        <v>12</v>
      </c>
      <c r="B4" s="13" t="s">
        <v>15</v>
      </c>
      <c r="C4" s="13" t="s">
        <v>17</v>
      </c>
      <c r="D4" s="13" t="s">
        <v>18</v>
      </c>
      <c r="E4" s="13" t="s">
        <v>19</v>
      </c>
      <c r="F4" s="13" t="s">
        <v>20</v>
      </c>
      <c r="G4" s="13" t="s">
        <v>21</v>
      </c>
      <c r="H4" s="13" t="s">
        <v>22</v>
      </c>
      <c r="I4" s="13" t="s">
        <v>23</v>
      </c>
      <c r="J4" s="13" t="s">
        <v>30</v>
      </c>
      <c r="K4" s="13" t="s">
        <v>31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1"/>
      <c r="B5" s="13"/>
      <c r="C5" s="13"/>
      <c r="D5" s="13"/>
      <c r="E5" s="13"/>
      <c r="F5" s="13"/>
      <c r="G5" s="13"/>
      <c r="H5" s="13"/>
      <c r="I5" s="14"/>
      <c r="J5" s="14"/>
      <c r="K5" s="14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4" t="s">
        <v>34</v>
      </c>
      <c r="B6" s="19">
        <f t="shared" ref="B6:B39" si="1">SUBTOTAL(103,C$4:C5)</f>
        <v>1</v>
      </c>
      <c r="C6" s="15" t="s">
        <v>39</v>
      </c>
      <c r="D6" s="15" t="s">
        <v>40</v>
      </c>
      <c r="E6" s="15" t="s">
        <v>41</v>
      </c>
      <c r="F6" s="15" t="s">
        <v>42</v>
      </c>
      <c r="G6" s="15" t="s">
        <v>43</v>
      </c>
      <c r="H6" s="20"/>
      <c r="I6" s="14" t="s">
        <v>45</v>
      </c>
      <c r="J6" s="15" t="s">
        <v>46</v>
      </c>
      <c r="K6" s="14" t="s">
        <v>47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4" t="s">
        <v>34</v>
      </c>
      <c r="B7" s="19">
        <f t="shared" si="1"/>
        <v>2</v>
      </c>
      <c r="C7" s="15" t="s">
        <v>51</v>
      </c>
      <c r="D7" s="15" t="s">
        <v>54</v>
      </c>
      <c r="E7" s="15" t="s">
        <v>55</v>
      </c>
      <c r="F7" s="15" t="s">
        <v>56</v>
      </c>
      <c r="G7" s="15" t="s">
        <v>58</v>
      </c>
      <c r="H7" s="20"/>
      <c r="I7" s="14" t="s">
        <v>60</v>
      </c>
      <c r="J7" s="15" t="s">
        <v>62</v>
      </c>
      <c r="K7" s="14" t="s">
        <v>63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4" t="s">
        <v>32</v>
      </c>
      <c r="B8" s="19">
        <f t="shared" si="1"/>
        <v>3</v>
      </c>
      <c r="C8" s="15" t="s">
        <v>68</v>
      </c>
      <c r="D8" s="15" t="s">
        <v>69</v>
      </c>
      <c r="E8" s="15" t="s">
        <v>70</v>
      </c>
      <c r="F8" s="15" t="s">
        <v>49</v>
      </c>
      <c r="G8" s="15" t="s">
        <v>36</v>
      </c>
      <c r="H8" s="20"/>
      <c r="I8" s="14" t="s">
        <v>37</v>
      </c>
      <c r="J8" s="15" t="s">
        <v>49</v>
      </c>
      <c r="K8" s="14" t="s">
        <v>77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4" t="s">
        <v>32</v>
      </c>
      <c r="B9" s="19">
        <f t="shared" si="1"/>
        <v>4</v>
      </c>
      <c r="C9" s="15" t="s">
        <v>80</v>
      </c>
      <c r="D9" s="15" t="s">
        <v>82</v>
      </c>
      <c r="E9" s="15" t="s">
        <v>70</v>
      </c>
      <c r="F9" s="15" t="s">
        <v>49</v>
      </c>
      <c r="G9" s="15" t="s">
        <v>36</v>
      </c>
      <c r="H9" s="20"/>
      <c r="I9" s="14" t="s">
        <v>37</v>
      </c>
      <c r="J9" s="15" t="s">
        <v>49</v>
      </c>
      <c r="K9" s="14" t="s">
        <v>53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4" t="s">
        <v>32</v>
      </c>
      <c r="B10" s="19">
        <f t="shared" si="1"/>
        <v>5</v>
      </c>
      <c r="C10" s="15" t="s">
        <v>35</v>
      </c>
      <c r="D10" s="15" t="s">
        <v>86</v>
      </c>
      <c r="E10" s="15" t="s">
        <v>33</v>
      </c>
      <c r="F10" s="15" t="s">
        <v>33</v>
      </c>
      <c r="G10" s="15" t="s">
        <v>36</v>
      </c>
      <c r="H10" s="20"/>
      <c r="I10" s="14" t="s">
        <v>37</v>
      </c>
      <c r="J10" s="15" t="s">
        <v>33</v>
      </c>
      <c r="K10" s="14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4" t="s">
        <v>32</v>
      </c>
      <c r="B11" s="19">
        <f t="shared" si="1"/>
        <v>6</v>
      </c>
      <c r="C11" s="15" t="s">
        <v>38</v>
      </c>
      <c r="D11" s="15" t="s">
        <v>92</v>
      </c>
      <c r="E11" s="15" t="s">
        <v>33</v>
      </c>
      <c r="F11" s="15" t="s">
        <v>33</v>
      </c>
      <c r="G11" s="15" t="s">
        <v>36</v>
      </c>
      <c r="H11" s="20"/>
      <c r="I11" s="14" t="s">
        <v>37</v>
      </c>
      <c r="J11" s="15" t="s">
        <v>33</v>
      </c>
      <c r="K11" s="14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4" t="s">
        <v>32</v>
      </c>
      <c r="B12" s="19">
        <f t="shared" si="1"/>
        <v>7</v>
      </c>
      <c r="C12" s="15" t="s">
        <v>44</v>
      </c>
      <c r="D12" s="15" t="s">
        <v>96</v>
      </c>
      <c r="E12" s="15" t="s">
        <v>33</v>
      </c>
      <c r="F12" s="15" t="s">
        <v>33</v>
      </c>
      <c r="G12" s="15" t="s">
        <v>36</v>
      </c>
      <c r="H12" s="20"/>
      <c r="I12" s="14" t="s">
        <v>37</v>
      </c>
      <c r="J12" s="15" t="s">
        <v>33</v>
      </c>
      <c r="K12" s="14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4" t="s">
        <v>32</v>
      </c>
      <c r="B13" s="19">
        <f t="shared" si="1"/>
        <v>8</v>
      </c>
      <c r="C13" s="15" t="s">
        <v>78</v>
      </c>
      <c r="D13" s="15" t="s">
        <v>101</v>
      </c>
      <c r="E13" s="15" t="s">
        <v>57</v>
      </c>
      <c r="F13" s="15" t="s">
        <v>57</v>
      </c>
      <c r="G13" s="15" t="s">
        <v>36</v>
      </c>
      <c r="H13" s="20"/>
      <c r="I13" s="14" t="s">
        <v>37</v>
      </c>
      <c r="J13" s="15" t="s">
        <v>57</v>
      </c>
      <c r="K13" s="14" t="s">
        <v>79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4" t="s">
        <v>32</v>
      </c>
      <c r="B14" s="19">
        <f t="shared" si="1"/>
        <v>9</v>
      </c>
      <c r="C14" s="15" t="s">
        <v>106</v>
      </c>
      <c r="D14" s="15" t="s">
        <v>108</v>
      </c>
      <c r="E14" s="15" t="s">
        <v>55</v>
      </c>
      <c r="F14" s="15" t="s">
        <v>56</v>
      </c>
      <c r="G14" s="15" t="s">
        <v>36</v>
      </c>
      <c r="H14" s="20"/>
      <c r="I14" s="14" t="s">
        <v>37</v>
      </c>
      <c r="J14" s="15" t="s">
        <v>52</v>
      </c>
      <c r="K14" s="14" t="s">
        <v>110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4" t="s">
        <v>32</v>
      </c>
      <c r="B15" s="19">
        <f t="shared" si="1"/>
        <v>10</v>
      </c>
      <c r="C15" s="15" t="s">
        <v>111</v>
      </c>
      <c r="D15" s="15" t="s">
        <v>113</v>
      </c>
      <c r="E15" s="15" t="s">
        <v>55</v>
      </c>
      <c r="F15" s="15" t="s">
        <v>56</v>
      </c>
      <c r="G15" s="15" t="s">
        <v>36</v>
      </c>
      <c r="H15" s="20"/>
      <c r="I15" s="14" t="s">
        <v>37</v>
      </c>
      <c r="J15" s="14" t="s">
        <v>114</v>
      </c>
      <c r="K15" s="14" t="s">
        <v>115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4" t="s">
        <v>32</v>
      </c>
      <c r="B16" s="19">
        <f t="shared" si="1"/>
        <v>11</v>
      </c>
      <c r="C16" s="15" t="s">
        <v>89</v>
      </c>
      <c r="D16" s="15" t="s">
        <v>116</v>
      </c>
      <c r="E16" s="15" t="s">
        <v>55</v>
      </c>
      <c r="F16" s="15" t="s">
        <v>56</v>
      </c>
      <c r="G16" s="15" t="s">
        <v>36</v>
      </c>
      <c r="H16" s="20"/>
      <c r="I16" s="14" t="s">
        <v>37</v>
      </c>
      <c r="J16" s="14" t="s">
        <v>90</v>
      </c>
      <c r="K16" s="14" t="s">
        <v>91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4" t="s">
        <v>32</v>
      </c>
      <c r="B17" s="19">
        <f t="shared" si="1"/>
        <v>12</v>
      </c>
      <c r="C17" s="15" t="s">
        <v>118</v>
      </c>
      <c r="D17" s="15" t="s">
        <v>119</v>
      </c>
      <c r="E17" s="15" t="s">
        <v>55</v>
      </c>
      <c r="F17" s="15" t="s">
        <v>56</v>
      </c>
      <c r="G17" s="15" t="s">
        <v>95</v>
      </c>
      <c r="H17" s="20"/>
      <c r="I17" s="14" t="s">
        <v>37</v>
      </c>
      <c r="J17" s="14" t="s">
        <v>121</v>
      </c>
      <c r="K17" s="14" t="s">
        <v>79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4" t="s">
        <v>32</v>
      </c>
      <c r="B18" s="19">
        <f t="shared" si="1"/>
        <v>13</v>
      </c>
      <c r="C18" s="15" t="s">
        <v>97</v>
      </c>
      <c r="D18" s="15" t="s">
        <v>124</v>
      </c>
      <c r="E18" s="15" t="s">
        <v>55</v>
      </c>
      <c r="F18" s="15" t="s">
        <v>56</v>
      </c>
      <c r="G18" s="15" t="s">
        <v>36</v>
      </c>
      <c r="H18" s="20"/>
      <c r="I18" s="14" t="s">
        <v>37</v>
      </c>
      <c r="J18" s="14" t="s">
        <v>98</v>
      </c>
      <c r="K18" s="14" t="s">
        <v>79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4" t="s">
        <v>32</v>
      </c>
      <c r="B19" s="19">
        <f t="shared" si="1"/>
        <v>14</v>
      </c>
      <c r="C19" s="15" t="s">
        <v>129</v>
      </c>
      <c r="D19" s="15" t="s">
        <v>130</v>
      </c>
      <c r="E19" s="15" t="s">
        <v>49</v>
      </c>
      <c r="F19" s="15" t="s">
        <v>49</v>
      </c>
      <c r="G19" s="15" t="s">
        <v>36</v>
      </c>
      <c r="H19" s="20"/>
      <c r="I19" s="14" t="s">
        <v>37</v>
      </c>
      <c r="J19" s="15" t="s">
        <v>49</v>
      </c>
      <c r="K19" s="14" t="s">
        <v>79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4" t="s">
        <v>32</v>
      </c>
      <c r="B20" s="19">
        <f t="shared" si="1"/>
        <v>15</v>
      </c>
      <c r="C20" s="15" t="s">
        <v>105</v>
      </c>
      <c r="D20" s="15" t="s">
        <v>107</v>
      </c>
      <c r="E20" s="15" t="s">
        <v>41</v>
      </c>
      <c r="F20" s="15" t="s">
        <v>42</v>
      </c>
      <c r="G20" s="15" t="s">
        <v>36</v>
      </c>
      <c r="H20" s="20"/>
      <c r="I20" s="14" t="s">
        <v>37</v>
      </c>
      <c r="J20" s="14" t="s">
        <v>107</v>
      </c>
      <c r="K20" s="14" t="s">
        <v>79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4" t="s">
        <v>32</v>
      </c>
      <c r="B21" s="19">
        <f t="shared" si="1"/>
        <v>16</v>
      </c>
      <c r="C21" s="15" t="s">
        <v>85</v>
      </c>
      <c r="D21" s="15" t="s">
        <v>135</v>
      </c>
      <c r="E21" s="15" t="s">
        <v>41</v>
      </c>
      <c r="F21" s="15" t="s">
        <v>42</v>
      </c>
      <c r="G21" s="15" t="s">
        <v>36</v>
      </c>
      <c r="H21" s="20"/>
      <c r="I21" s="14" t="s">
        <v>37</v>
      </c>
      <c r="J21" s="15" t="s">
        <v>72</v>
      </c>
      <c r="K21" s="14" t="s">
        <v>88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4" t="s">
        <v>32</v>
      </c>
      <c r="B22" s="19">
        <f t="shared" si="1"/>
        <v>17</v>
      </c>
      <c r="C22" s="15" t="s">
        <v>141</v>
      </c>
      <c r="D22" s="15" t="s">
        <v>142</v>
      </c>
      <c r="E22" s="15" t="s">
        <v>41</v>
      </c>
      <c r="F22" s="15" t="s">
        <v>42</v>
      </c>
      <c r="G22" s="15" t="s">
        <v>36</v>
      </c>
      <c r="H22" s="20"/>
      <c r="I22" s="14" t="s">
        <v>37</v>
      </c>
      <c r="J22" s="14" t="s">
        <v>143</v>
      </c>
      <c r="K22" s="14" t="s">
        <v>144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4" t="s">
        <v>32</v>
      </c>
      <c r="B23" s="19">
        <f t="shared" si="1"/>
        <v>18</v>
      </c>
      <c r="C23" s="15" t="s">
        <v>147</v>
      </c>
      <c r="D23" s="15" t="s">
        <v>148</v>
      </c>
      <c r="E23" s="15" t="s">
        <v>41</v>
      </c>
      <c r="F23" s="15" t="s">
        <v>42</v>
      </c>
      <c r="G23" s="15" t="s">
        <v>36</v>
      </c>
      <c r="H23" s="20"/>
      <c r="I23" s="14" t="s">
        <v>37</v>
      </c>
      <c r="J23" s="14" t="s">
        <v>52</v>
      </c>
      <c r="K23" s="14" t="s">
        <v>65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4" t="s">
        <v>32</v>
      </c>
      <c r="B24" s="19">
        <f t="shared" si="1"/>
        <v>19</v>
      </c>
      <c r="C24" s="15" t="s">
        <v>152</v>
      </c>
      <c r="D24" s="15" t="s">
        <v>154</v>
      </c>
      <c r="E24" s="15" t="s">
        <v>41</v>
      </c>
      <c r="F24" s="15" t="s">
        <v>42</v>
      </c>
      <c r="G24" s="15" t="s">
        <v>36</v>
      </c>
      <c r="H24" s="20"/>
      <c r="I24" s="14" t="s">
        <v>37</v>
      </c>
      <c r="J24" s="14" t="s">
        <v>114</v>
      </c>
      <c r="K24" s="14" t="s">
        <v>120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4" t="s">
        <v>32</v>
      </c>
      <c r="B25" s="19">
        <f t="shared" si="1"/>
        <v>20</v>
      </c>
      <c r="C25" s="15" t="s">
        <v>128</v>
      </c>
      <c r="D25" s="15" t="s">
        <v>154</v>
      </c>
      <c r="E25" s="15" t="s">
        <v>41</v>
      </c>
      <c r="F25" s="15" t="s">
        <v>42</v>
      </c>
      <c r="G25" s="15" t="s">
        <v>36</v>
      </c>
      <c r="H25" s="20"/>
      <c r="I25" s="14" t="s">
        <v>37</v>
      </c>
      <c r="J25" s="15" t="s">
        <v>114</v>
      </c>
      <c r="K25" s="14" t="s">
        <v>115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4" t="s">
        <v>32</v>
      </c>
      <c r="B26" s="19">
        <f t="shared" si="1"/>
        <v>21</v>
      </c>
      <c r="C26" s="15" t="s">
        <v>122</v>
      </c>
      <c r="D26" s="15" t="s">
        <v>154</v>
      </c>
      <c r="E26" s="15" t="s">
        <v>41</v>
      </c>
      <c r="F26" s="15" t="s">
        <v>42</v>
      </c>
      <c r="G26" s="15" t="s">
        <v>36</v>
      </c>
      <c r="H26" s="20"/>
      <c r="I26" s="14" t="s">
        <v>37</v>
      </c>
      <c r="J26" s="15" t="s">
        <v>114</v>
      </c>
      <c r="K26" s="14" t="s">
        <v>131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4" t="s">
        <v>32</v>
      </c>
      <c r="B27" s="19">
        <f t="shared" si="1"/>
        <v>22</v>
      </c>
      <c r="C27" s="15" t="s">
        <v>126</v>
      </c>
      <c r="D27" s="15" t="s">
        <v>154</v>
      </c>
      <c r="E27" s="15" t="s">
        <v>41</v>
      </c>
      <c r="F27" s="15" t="s">
        <v>42</v>
      </c>
      <c r="G27" s="15" t="s">
        <v>36</v>
      </c>
      <c r="H27" s="20"/>
      <c r="I27" s="14" t="s">
        <v>37</v>
      </c>
      <c r="J27" s="15" t="s">
        <v>114</v>
      </c>
      <c r="K27" s="14" t="s">
        <v>127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4" t="s">
        <v>32</v>
      </c>
      <c r="B28" s="19">
        <f t="shared" si="1"/>
        <v>23</v>
      </c>
      <c r="C28" s="15" t="s">
        <v>93</v>
      </c>
      <c r="D28" s="15" t="s">
        <v>162</v>
      </c>
      <c r="E28" s="15" t="s">
        <v>41</v>
      </c>
      <c r="F28" s="15" t="s">
        <v>42</v>
      </c>
      <c r="G28" s="15" t="s">
        <v>36</v>
      </c>
      <c r="H28" s="20"/>
      <c r="I28" s="14" t="s">
        <v>37</v>
      </c>
      <c r="J28" s="15" t="s">
        <v>90</v>
      </c>
      <c r="K28" s="14" t="s">
        <v>94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4" t="s">
        <v>32</v>
      </c>
      <c r="B29" s="19">
        <f t="shared" si="1"/>
        <v>24</v>
      </c>
      <c r="C29" s="15" t="s">
        <v>99</v>
      </c>
      <c r="D29" s="15" t="s">
        <v>163</v>
      </c>
      <c r="E29" s="15" t="s">
        <v>41</v>
      </c>
      <c r="F29" s="15" t="s">
        <v>42</v>
      </c>
      <c r="G29" s="15" t="s">
        <v>36</v>
      </c>
      <c r="H29" s="20"/>
      <c r="I29" s="14" t="s">
        <v>37</v>
      </c>
      <c r="J29" s="14" t="s">
        <v>98</v>
      </c>
      <c r="K29" s="14" t="s">
        <v>79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4" t="s">
        <v>32</v>
      </c>
      <c r="B30" s="19">
        <f t="shared" si="1"/>
        <v>25</v>
      </c>
      <c r="C30" s="15" t="s">
        <v>159</v>
      </c>
      <c r="D30" s="15" t="s">
        <v>160</v>
      </c>
      <c r="E30" s="15" t="s">
        <v>164</v>
      </c>
      <c r="F30" s="15" t="s">
        <v>87</v>
      </c>
      <c r="G30" s="15" t="s">
        <v>165</v>
      </c>
      <c r="H30" s="20"/>
      <c r="I30" s="14" t="s">
        <v>37</v>
      </c>
      <c r="J30" s="15" t="s">
        <v>153</v>
      </c>
      <c r="K30" s="14" t="s">
        <v>161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4" t="s">
        <v>32</v>
      </c>
      <c r="B31" s="19">
        <f t="shared" si="1"/>
        <v>26</v>
      </c>
      <c r="C31" s="15" t="s">
        <v>66</v>
      </c>
      <c r="D31" s="15" t="s">
        <v>166</v>
      </c>
      <c r="E31" s="15" t="s">
        <v>41</v>
      </c>
      <c r="F31" s="15" t="s">
        <v>42</v>
      </c>
      <c r="G31" s="15" t="s">
        <v>36</v>
      </c>
      <c r="H31" s="20"/>
      <c r="I31" s="14" t="s">
        <v>167</v>
      </c>
      <c r="J31" s="15" t="s">
        <v>36</v>
      </c>
      <c r="K31" s="14" t="s">
        <v>67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4" t="s">
        <v>32</v>
      </c>
      <c r="B32" s="19">
        <f t="shared" si="1"/>
        <v>27</v>
      </c>
      <c r="C32" s="15" t="s">
        <v>168</v>
      </c>
      <c r="D32" s="15" t="s">
        <v>169</v>
      </c>
      <c r="E32" s="15" t="s">
        <v>55</v>
      </c>
      <c r="F32" s="15" t="s">
        <v>56</v>
      </c>
      <c r="G32" s="15" t="s">
        <v>170</v>
      </c>
      <c r="H32" s="20"/>
      <c r="I32" s="14" t="s">
        <v>171</v>
      </c>
      <c r="J32" s="14" t="s">
        <v>153</v>
      </c>
      <c r="K32" s="14" t="s">
        <v>79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4" t="s">
        <v>32</v>
      </c>
      <c r="B33" s="19">
        <f t="shared" si="1"/>
        <v>28</v>
      </c>
      <c r="C33" s="15" t="s">
        <v>112</v>
      </c>
      <c r="D33" s="15" t="s">
        <v>172</v>
      </c>
      <c r="E33" s="15" t="s">
        <v>49</v>
      </c>
      <c r="F33" s="15" t="s">
        <v>49</v>
      </c>
      <c r="G33" s="15" t="s">
        <v>36</v>
      </c>
      <c r="H33" s="20"/>
      <c r="I33" s="14" t="s">
        <v>171</v>
      </c>
      <c r="J33" s="14" t="s">
        <v>49</v>
      </c>
      <c r="K33" s="14" t="s">
        <v>79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4" t="s">
        <v>32</v>
      </c>
      <c r="B34" s="19">
        <f t="shared" si="1"/>
        <v>29</v>
      </c>
      <c r="C34" s="15" t="s">
        <v>174</v>
      </c>
      <c r="D34" s="15" t="s">
        <v>175</v>
      </c>
      <c r="E34" s="15" t="s">
        <v>49</v>
      </c>
      <c r="F34" s="15" t="s">
        <v>49</v>
      </c>
      <c r="G34" s="15" t="s">
        <v>36</v>
      </c>
      <c r="H34" s="20"/>
      <c r="I34" s="14" t="s">
        <v>64</v>
      </c>
      <c r="J34" s="14" t="s">
        <v>139</v>
      </c>
      <c r="K34" s="14" t="s">
        <v>140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4" t="s">
        <v>32</v>
      </c>
      <c r="B35" s="19">
        <f t="shared" si="1"/>
        <v>30</v>
      </c>
      <c r="C35" s="15" t="s">
        <v>109</v>
      </c>
      <c r="D35" s="15" t="s">
        <v>107</v>
      </c>
      <c r="E35" s="15" t="s">
        <v>41</v>
      </c>
      <c r="F35" s="15" t="s">
        <v>42</v>
      </c>
      <c r="G35" s="15" t="s">
        <v>36</v>
      </c>
      <c r="H35" s="20"/>
      <c r="I35" s="14" t="s">
        <v>171</v>
      </c>
      <c r="J35" s="15" t="s">
        <v>143</v>
      </c>
      <c r="K35" s="14" t="s">
        <v>107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4" t="s">
        <v>32</v>
      </c>
      <c r="B36" s="19">
        <f t="shared" si="1"/>
        <v>31</v>
      </c>
      <c r="C36" s="15" t="s">
        <v>74</v>
      </c>
      <c r="D36" s="15" t="s">
        <v>75</v>
      </c>
      <c r="E36" s="15" t="s">
        <v>41</v>
      </c>
      <c r="F36" s="15" t="s">
        <v>42</v>
      </c>
      <c r="G36" s="15" t="s">
        <v>36</v>
      </c>
      <c r="H36" s="20"/>
      <c r="I36" s="14" t="s">
        <v>176</v>
      </c>
      <c r="J36" s="14" t="s">
        <v>75</v>
      </c>
      <c r="K36" s="14" t="s">
        <v>76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4" t="s">
        <v>32</v>
      </c>
      <c r="B37" s="19">
        <f t="shared" si="1"/>
        <v>32</v>
      </c>
      <c r="C37" s="15" t="s">
        <v>146</v>
      </c>
      <c r="D37" s="15" t="s">
        <v>142</v>
      </c>
      <c r="E37" s="15" t="s">
        <v>41</v>
      </c>
      <c r="F37" s="15" t="s">
        <v>42</v>
      </c>
      <c r="G37" s="15" t="s">
        <v>36</v>
      </c>
      <c r="H37" s="20"/>
      <c r="I37" s="14" t="s">
        <v>171</v>
      </c>
      <c r="J37" s="14" t="s">
        <v>143</v>
      </c>
      <c r="K37" s="14" t="s">
        <v>177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4" t="s">
        <v>32</v>
      </c>
      <c r="B38" s="19">
        <f t="shared" si="1"/>
        <v>33</v>
      </c>
      <c r="C38" s="15" t="s">
        <v>149</v>
      </c>
      <c r="D38" s="15" t="s">
        <v>142</v>
      </c>
      <c r="E38" s="15" t="s">
        <v>41</v>
      </c>
      <c r="F38" s="15" t="s">
        <v>42</v>
      </c>
      <c r="G38" s="15" t="s">
        <v>36</v>
      </c>
      <c r="H38" s="20"/>
      <c r="I38" s="14" t="s">
        <v>171</v>
      </c>
      <c r="J38" s="14" t="s">
        <v>143</v>
      </c>
      <c r="K38" s="14" t="s">
        <v>178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4" t="s">
        <v>32</v>
      </c>
      <c r="B39" s="19">
        <f t="shared" si="1"/>
        <v>34</v>
      </c>
      <c r="C39" s="15" t="s">
        <v>151</v>
      </c>
      <c r="D39" s="15" t="s">
        <v>179</v>
      </c>
      <c r="E39" s="15" t="s">
        <v>57</v>
      </c>
      <c r="F39" s="15" t="s">
        <v>57</v>
      </c>
      <c r="G39" s="15" t="s">
        <v>36</v>
      </c>
      <c r="H39" s="20"/>
      <c r="I39" s="14" t="s">
        <v>171</v>
      </c>
      <c r="J39" s="14" t="s">
        <v>57</v>
      </c>
      <c r="K39" s="14" t="s">
        <v>180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8.71"/>
    <col customWidth="1" min="2" max="2" width="4.71"/>
    <col customWidth="1" min="3" max="3" width="29.0"/>
    <col customWidth="1" min="4" max="4" width="20.71"/>
    <col customWidth="1" min="5" max="5" width="23.29"/>
    <col customWidth="1" min="6" max="6" width="12.57"/>
    <col customWidth="1" min="7" max="7" width="13.29"/>
    <col customWidth="1" min="8" max="8" width="8.29"/>
    <col customWidth="1" hidden="1" min="9" max="9" width="22.29"/>
    <col customWidth="1" min="10" max="10" width="16.43"/>
    <col customWidth="1" min="11" max="11" width="46.0"/>
    <col customWidth="1" min="12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3</v>
      </c>
      <c r="B2" s="2"/>
      <c r="C2" s="2"/>
      <c r="D2" s="2"/>
      <c r="E2" s="2"/>
      <c r="F2" s="2"/>
      <c r="G2" s="2"/>
      <c r="H2" s="2"/>
      <c r="I2" s="4" t="s">
        <v>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1">
        <f>SUBTOTAL(103,C6:C40)</f>
        <v>35</v>
      </c>
      <c r="D3" s="2"/>
      <c r="E3" s="2"/>
      <c r="F3" s="2"/>
      <c r="G3" s="2"/>
      <c r="H3" s="1">
        <f>SUBTOTAL(109,H6:H40)</f>
        <v>0</v>
      </c>
      <c r="I3" s="1">
        <f>C3+H3</f>
        <v>35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 t="s">
        <v>12</v>
      </c>
      <c r="B4" s="13" t="s">
        <v>15</v>
      </c>
      <c r="C4" s="13" t="s">
        <v>17</v>
      </c>
      <c r="D4" s="13" t="s">
        <v>18</v>
      </c>
      <c r="E4" s="13" t="s">
        <v>19</v>
      </c>
      <c r="F4" s="13" t="s">
        <v>20</v>
      </c>
      <c r="G4" s="13" t="s">
        <v>21</v>
      </c>
      <c r="H4" s="13" t="s">
        <v>22</v>
      </c>
      <c r="I4" s="13" t="s">
        <v>23</v>
      </c>
      <c r="J4" s="13" t="s">
        <v>24</v>
      </c>
      <c r="K4" s="11" t="s">
        <v>26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1"/>
      <c r="B5" s="13"/>
      <c r="C5" s="13"/>
      <c r="D5" s="13"/>
      <c r="E5" s="13"/>
      <c r="F5" s="13"/>
      <c r="G5" s="13"/>
      <c r="H5" s="13"/>
      <c r="I5" s="14"/>
      <c r="J5" s="14"/>
      <c r="K5" s="14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4" t="s">
        <v>32</v>
      </c>
      <c r="B6" s="19">
        <f t="shared" ref="B6:B40" si="1">SUBTOTAL(103,C$4:C5)</f>
        <v>1</v>
      </c>
      <c r="C6" s="15" t="s">
        <v>35</v>
      </c>
      <c r="D6" s="15" t="s">
        <v>33</v>
      </c>
      <c r="E6" s="15" t="s">
        <v>33</v>
      </c>
      <c r="F6" s="15" t="s">
        <v>32</v>
      </c>
      <c r="G6" s="15" t="s">
        <v>36</v>
      </c>
      <c r="H6" s="20"/>
      <c r="I6" s="14" t="s">
        <v>37</v>
      </c>
      <c r="J6" s="15" t="s">
        <v>33</v>
      </c>
      <c r="K6" s="14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4" t="s">
        <v>32</v>
      </c>
      <c r="B7" s="19">
        <f t="shared" si="1"/>
        <v>2</v>
      </c>
      <c r="C7" s="15" t="s">
        <v>38</v>
      </c>
      <c r="D7" s="15" t="s">
        <v>33</v>
      </c>
      <c r="E7" s="15" t="s">
        <v>33</v>
      </c>
      <c r="F7" s="15" t="s">
        <v>32</v>
      </c>
      <c r="G7" s="15" t="s">
        <v>36</v>
      </c>
      <c r="H7" s="20"/>
      <c r="I7" s="14" t="s">
        <v>37</v>
      </c>
      <c r="J7" s="15" t="s">
        <v>33</v>
      </c>
      <c r="K7" s="14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4" t="s">
        <v>32</v>
      </c>
      <c r="B8" s="19">
        <f t="shared" si="1"/>
        <v>3</v>
      </c>
      <c r="C8" s="15" t="s">
        <v>44</v>
      </c>
      <c r="D8" s="15" t="s">
        <v>33</v>
      </c>
      <c r="E8" s="15" t="s">
        <v>33</v>
      </c>
      <c r="F8" s="15" t="s">
        <v>32</v>
      </c>
      <c r="G8" s="15" t="s">
        <v>36</v>
      </c>
      <c r="H8" s="20"/>
      <c r="I8" s="14" t="s">
        <v>37</v>
      </c>
      <c r="J8" s="15" t="s">
        <v>33</v>
      </c>
      <c r="K8" s="14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4" t="s">
        <v>32</v>
      </c>
      <c r="B9" s="19">
        <f t="shared" si="1"/>
        <v>4</v>
      </c>
      <c r="C9" s="15" t="s">
        <v>48</v>
      </c>
      <c r="D9" s="15" t="s">
        <v>49</v>
      </c>
      <c r="E9" s="15" t="s">
        <v>49</v>
      </c>
      <c r="F9" s="15" t="s">
        <v>32</v>
      </c>
      <c r="G9" s="15" t="s">
        <v>36</v>
      </c>
      <c r="H9" s="20"/>
      <c r="I9" s="14" t="s">
        <v>50</v>
      </c>
      <c r="J9" s="14" t="s">
        <v>52</v>
      </c>
      <c r="K9" s="14" t="s">
        <v>53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4" t="s">
        <v>32</v>
      </c>
      <c r="B10" s="19">
        <f t="shared" si="1"/>
        <v>5</v>
      </c>
      <c r="C10" s="15" t="s">
        <v>61</v>
      </c>
      <c r="D10" s="15" t="s">
        <v>42</v>
      </c>
      <c r="E10" s="15" t="s">
        <v>42</v>
      </c>
      <c r="F10" s="15" t="s">
        <v>32</v>
      </c>
      <c r="G10" s="15" t="s">
        <v>36</v>
      </c>
      <c r="H10" s="20"/>
      <c r="I10" s="14" t="s">
        <v>64</v>
      </c>
      <c r="J10" s="14" t="s">
        <v>52</v>
      </c>
      <c r="K10" s="14" t="s">
        <v>65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4" t="s">
        <v>32</v>
      </c>
      <c r="B11" s="19">
        <f t="shared" si="1"/>
        <v>6</v>
      </c>
      <c r="C11" s="15" t="s">
        <v>66</v>
      </c>
      <c r="D11" s="15" t="s">
        <v>42</v>
      </c>
      <c r="E11" s="15" t="s">
        <v>42</v>
      </c>
      <c r="F11" s="15" t="s">
        <v>32</v>
      </c>
      <c r="G11" s="15" t="s">
        <v>36</v>
      </c>
      <c r="H11" s="20"/>
      <c r="I11" s="14" t="s">
        <v>45</v>
      </c>
      <c r="J11" s="14" t="s">
        <v>67</v>
      </c>
      <c r="K11" s="14" t="s">
        <v>67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4" t="s">
        <v>32</v>
      </c>
      <c r="B12" s="19">
        <f t="shared" si="1"/>
        <v>7</v>
      </c>
      <c r="C12" s="15" t="s">
        <v>74</v>
      </c>
      <c r="D12" s="15" t="s">
        <v>42</v>
      </c>
      <c r="E12" s="15" t="s">
        <v>42</v>
      </c>
      <c r="F12" s="15" t="s">
        <v>32</v>
      </c>
      <c r="G12" s="15" t="s">
        <v>36</v>
      </c>
      <c r="H12" s="20"/>
      <c r="I12" s="14" t="s">
        <v>64</v>
      </c>
      <c r="J12" s="14" t="s">
        <v>75</v>
      </c>
      <c r="K12" s="14" t="s">
        <v>76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4" t="s">
        <v>32</v>
      </c>
      <c r="B13" s="19">
        <f t="shared" si="1"/>
        <v>8</v>
      </c>
      <c r="C13" s="15" t="s">
        <v>78</v>
      </c>
      <c r="D13" s="15" t="s">
        <v>57</v>
      </c>
      <c r="E13" s="15" t="s">
        <v>57</v>
      </c>
      <c r="F13" s="15" t="s">
        <v>32</v>
      </c>
      <c r="G13" s="15" t="s">
        <v>36</v>
      </c>
      <c r="H13" s="20"/>
      <c r="I13" s="14" t="s">
        <v>50</v>
      </c>
      <c r="J13" s="14" t="s">
        <v>72</v>
      </c>
      <c r="K13" s="14" t="s">
        <v>79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4" t="s">
        <v>32</v>
      </c>
      <c r="B14" s="19">
        <f t="shared" si="1"/>
        <v>9</v>
      </c>
      <c r="C14" s="15" t="s">
        <v>83</v>
      </c>
      <c r="D14" s="15" t="s">
        <v>49</v>
      </c>
      <c r="E14" s="15" t="s">
        <v>49</v>
      </c>
      <c r="F14" s="15" t="s">
        <v>32</v>
      </c>
      <c r="G14" s="15" t="s">
        <v>36</v>
      </c>
      <c r="H14" s="20"/>
      <c r="I14" s="14" t="s">
        <v>37</v>
      </c>
      <c r="J14" s="14" t="s">
        <v>72</v>
      </c>
      <c r="K14" s="14" t="s">
        <v>84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4" t="s">
        <v>32</v>
      </c>
      <c r="B15" s="19">
        <f t="shared" si="1"/>
        <v>10</v>
      </c>
      <c r="C15" s="15" t="s">
        <v>85</v>
      </c>
      <c r="D15" s="15" t="s">
        <v>42</v>
      </c>
      <c r="E15" s="15" t="s">
        <v>42</v>
      </c>
      <c r="F15" s="15" t="s">
        <v>32</v>
      </c>
      <c r="G15" s="15" t="s">
        <v>36</v>
      </c>
      <c r="H15" s="20"/>
      <c r="I15" s="14" t="s">
        <v>37</v>
      </c>
      <c r="J15" s="15" t="s">
        <v>72</v>
      </c>
      <c r="K15" s="14" t="s">
        <v>88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4" t="s">
        <v>32</v>
      </c>
      <c r="B16" s="19">
        <f t="shared" si="1"/>
        <v>11</v>
      </c>
      <c r="C16" s="15" t="s">
        <v>89</v>
      </c>
      <c r="D16" s="15" t="s">
        <v>56</v>
      </c>
      <c r="E16" s="15" t="s">
        <v>56</v>
      </c>
      <c r="F16" s="15" t="s">
        <v>32</v>
      </c>
      <c r="G16" s="15" t="s">
        <v>36</v>
      </c>
      <c r="H16" s="20"/>
      <c r="I16" s="14" t="s">
        <v>50</v>
      </c>
      <c r="J16" s="14" t="s">
        <v>90</v>
      </c>
      <c r="K16" s="14" t="s">
        <v>91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4" t="s">
        <v>32</v>
      </c>
      <c r="B17" s="19">
        <f t="shared" si="1"/>
        <v>12</v>
      </c>
      <c r="C17" s="15" t="s">
        <v>93</v>
      </c>
      <c r="D17" s="15" t="s">
        <v>42</v>
      </c>
      <c r="E17" s="15" t="s">
        <v>42</v>
      </c>
      <c r="F17" s="15" t="s">
        <v>32</v>
      </c>
      <c r="G17" s="15" t="s">
        <v>36</v>
      </c>
      <c r="H17" s="20"/>
      <c r="I17" s="14" t="s">
        <v>37</v>
      </c>
      <c r="J17" s="14" t="s">
        <v>90</v>
      </c>
      <c r="K17" s="14" t="s">
        <v>94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4" t="s">
        <v>34</v>
      </c>
      <c r="B18" s="19">
        <f t="shared" si="1"/>
        <v>13</v>
      </c>
      <c r="C18" s="15" t="s">
        <v>39</v>
      </c>
      <c r="D18" s="15" t="s">
        <v>42</v>
      </c>
      <c r="E18" s="15" t="s">
        <v>42</v>
      </c>
      <c r="F18" s="15" t="s">
        <v>34</v>
      </c>
      <c r="G18" s="15" t="s">
        <v>95</v>
      </c>
      <c r="H18" s="20"/>
      <c r="I18" s="14" t="s">
        <v>64</v>
      </c>
      <c r="J18" s="14" t="s">
        <v>46</v>
      </c>
      <c r="K18" s="14" t="s">
        <v>47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4" t="s">
        <v>32</v>
      </c>
      <c r="B19" s="19">
        <f t="shared" si="1"/>
        <v>14</v>
      </c>
      <c r="C19" s="15" t="s">
        <v>97</v>
      </c>
      <c r="D19" s="15" t="s">
        <v>56</v>
      </c>
      <c r="E19" s="15" t="s">
        <v>56</v>
      </c>
      <c r="F19" s="15" t="s">
        <v>32</v>
      </c>
      <c r="G19" s="15" t="s">
        <v>36</v>
      </c>
      <c r="H19" s="20"/>
      <c r="I19" s="14" t="s">
        <v>37</v>
      </c>
      <c r="J19" s="15" t="s">
        <v>98</v>
      </c>
      <c r="K19" s="14" t="s">
        <v>79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4" t="s">
        <v>32</v>
      </c>
      <c r="B20" s="19">
        <f t="shared" si="1"/>
        <v>15</v>
      </c>
      <c r="C20" s="15" t="s">
        <v>99</v>
      </c>
      <c r="D20" s="15" t="s">
        <v>42</v>
      </c>
      <c r="E20" s="15" t="s">
        <v>42</v>
      </c>
      <c r="F20" s="15" t="s">
        <v>32</v>
      </c>
      <c r="G20" s="15" t="s">
        <v>36</v>
      </c>
      <c r="H20" s="20"/>
      <c r="I20" s="14" t="s">
        <v>37</v>
      </c>
      <c r="J20" s="14" t="s">
        <v>100</v>
      </c>
      <c r="K20" s="14" t="s">
        <v>79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4" t="s">
        <v>32</v>
      </c>
      <c r="B21" s="19">
        <f t="shared" si="1"/>
        <v>16</v>
      </c>
      <c r="C21" s="15" t="s">
        <v>102</v>
      </c>
      <c r="D21" s="15" t="s">
        <v>49</v>
      </c>
      <c r="E21" s="15" t="s">
        <v>49</v>
      </c>
      <c r="F21" s="15" t="s">
        <v>32</v>
      </c>
      <c r="G21" s="15" t="s">
        <v>36</v>
      </c>
      <c r="H21" s="20"/>
      <c r="I21" s="14" t="s">
        <v>37</v>
      </c>
      <c r="J21" s="15" t="s">
        <v>103</v>
      </c>
      <c r="K21" s="14" t="s">
        <v>104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4" t="s">
        <v>32</v>
      </c>
      <c r="B22" s="19">
        <f t="shared" si="1"/>
        <v>17</v>
      </c>
      <c r="C22" s="15" t="s">
        <v>105</v>
      </c>
      <c r="D22" s="15" t="s">
        <v>42</v>
      </c>
      <c r="E22" s="15" t="s">
        <v>42</v>
      </c>
      <c r="F22" s="15" t="s">
        <v>32</v>
      </c>
      <c r="G22" s="15" t="s">
        <v>36</v>
      </c>
      <c r="H22" s="20"/>
      <c r="I22" s="14" t="s">
        <v>37</v>
      </c>
      <c r="J22" s="14" t="s">
        <v>107</v>
      </c>
      <c r="K22" s="14" t="s">
        <v>107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4" t="s">
        <v>32</v>
      </c>
      <c r="B23" s="19">
        <f t="shared" si="1"/>
        <v>18</v>
      </c>
      <c r="C23" s="15" t="s">
        <v>109</v>
      </c>
      <c r="D23" s="15" t="s">
        <v>42</v>
      </c>
      <c r="E23" s="15" t="s">
        <v>42</v>
      </c>
      <c r="F23" s="15" t="s">
        <v>32</v>
      </c>
      <c r="G23" s="15" t="s">
        <v>36</v>
      </c>
      <c r="H23" s="20"/>
      <c r="I23" s="14" t="s">
        <v>50</v>
      </c>
      <c r="J23" s="14" t="s">
        <v>107</v>
      </c>
      <c r="K23" s="14" t="s">
        <v>107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4" t="s">
        <v>32</v>
      </c>
      <c r="B24" s="19">
        <f t="shared" si="1"/>
        <v>19</v>
      </c>
      <c r="C24" s="15" t="s">
        <v>112</v>
      </c>
      <c r="D24" s="15" t="s">
        <v>49</v>
      </c>
      <c r="E24" s="15" t="s">
        <v>49</v>
      </c>
      <c r="F24" s="15" t="s">
        <v>32</v>
      </c>
      <c r="G24" s="15" t="s">
        <v>36</v>
      </c>
      <c r="H24" s="20"/>
      <c r="I24" s="14" t="s">
        <v>50</v>
      </c>
      <c r="J24" s="14" t="s">
        <v>114</v>
      </c>
      <c r="K24" s="14" t="s">
        <v>79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4" t="s">
        <v>32</v>
      </c>
      <c r="B25" s="19">
        <f t="shared" si="1"/>
        <v>20</v>
      </c>
      <c r="C25" s="15" t="s">
        <v>111</v>
      </c>
      <c r="D25" s="15" t="s">
        <v>56</v>
      </c>
      <c r="E25" s="15" t="s">
        <v>56</v>
      </c>
      <c r="F25" s="15" t="s">
        <v>32</v>
      </c>
      <c r="G25" s="15" t="s">
        <v>36</v>
      </c>
      <c r="H25" s="20"/>
      <c r="I25" s="14" t="s">
        <v>37</v>
      </c>
      <c r="J25" s="15" t="s">
        <v>114</v>
      </c>
      <c r="K25" s="14" t="s">
        <v>115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4" t="s">
        <v>32</v>
      </c>
      <c r="B26" s="19">
        <f t="shared" si="1"/>
        <v>21</v>
      </c>
      <c r="C26" s="15" t="s">
        <v>117</v>
      </c>
      <c r="D26" s="15" t="s">
        <v>42</v>
      </c>
      <c r="E26" s="15" t="s">
        <v>42</v>
      </c>
      <c r="F26" s="15" t="s">
        <v>32</v>
      </c>
      <c r="G26" s="15" t="s">
        <v>36</v>
      </c>
      <c r="H26" s="20"/>
      <c r="I26" s="14" t="s">
        <v>37</v>
      </c>
      <c r="J26" s="15" t="s">
        <v>114</v>
      </c>
      <c r="K26" s="14" t="s">
        <v>120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4" t="s">
        <v>32</v>
      </c>
      <c r="B27" s="19">
        <f t="shared" si="1"/>
        <v>22</v>
      </c>
      <c r="C27" s="15" t="s">
        <v>122</v>
      </c>
      <c r="D27" s="15" t="s">
        <v>42</v>
      </c>
      <c r="E27" s="15" t="s">
        <v>42</v>
      </c>
      <c r="F27" s="15" t="s">
        <v>32</v>
      </c>
      <c r="G27" s="15" t="s">
        <v>36</v>
      </c>
      <c r="H27" s="20"/>
      <c r="I27" s="14" t="s">
        <v>37</v>
      </c>
      <c r="J27" s="15" t="s">
        <v>114</v>
      </c>
      <c r="K27" s="14" t="s">
        <v>123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4" t="s">
        <v>32</v>
      </c>
      <c r="B28" s="19">
        <f t="shared" si="1"/>
        <v>23</v>
      </c>
      <c r="C28" s="15" t="s">
        <v>126</v>
      </c>
      <c r="D28" s="15" t="s">
        <v>42</v>
      </c>
      <c r="E28" s="15" t="s">
        <v>42</v>
      </c>
      <c r="F28" s="15" t="s">
        <v>32</v>
      </c>
      <c r="G28" s="15" t="s">
        <v>36</v>
      </c>
      <c r="H28" s="20"/>
      <c r="I28" s="14" t="s">
        <v>37</v>
      </c>
      <c r="J28" s="15" t="s">
        <v>114</v>
      </c>
      <c r="K28" s="14" t="s">
        <v>127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4" t="s">
        <v>32</v>
      </c>
      <c r="B29" s="19">
        <f t="shared" si="1"/>
        <v>24</v>
      </c>
      <c r="C29" s="15" t="s">
        <v>128</v>
      </c>
      <c r="D29" s="15" t="s">
        <v>42</v>
      </c>
      <c r="E29" s="15" t="s">
        <v>42</v>
      </c>
      <c r="F29" s="15" t="s">
        <v>32</v>
      </c>
      <c r="G29" s="15" t="s">
        <v>36</v>
      </c>
      <c r="H29" s="20"/>
      <c r="I29" s="14" t="s">
        <v>37</v>
      </c>
      <c r="J29" s="14" t="s">
        <v>114</v>
      </c>
      <c r="K29" s="14" t="s">
        <v>131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4" t="s">
        <v>32</v>
      </c>
      <c r="B30" s="19">
        <f t="shared" si="1"/>
        <v>25</v>
      </c>
      <c r="C30" s="15" t="s">
        <v>132</v>
      </c>
      <c r="D30" s="15" t="s">
        <v>56</v>
      </c>
      <c r="E30" s="15" t="s">
        <v>56</v>
      </c>
      <c r="F30" s="15" t="s">
        <v>32</v>
      </c>
      <c r="G30" s="15" t="s">
        <v>36</v>
      </c>
      <c r="H30" s="20"/>
      <c r="I30" s="14" t="s">
        <v>37</v>
      </c>
      <c r="J30" s="15" t="s">
        <v>133</v>
      </c>
      <c r="K30" s="14" t="s">
        <v>134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4" t="s">
        <v>32</v>
      </c>
      <c r="B31" s="19">
        <f t="shared" si="1"/>
        <v>26</v>
      </c>
      <c r="C31" s="15" t="s">
        <v>118</v>
      </c>
      <c r="D31" s="15" t="s">
        <v>56</v>
      </c>
      <c r="E31" s="15" t="s">
        <v>56</v>
      </c>
      <c r="F31" s="15" t="s">
        <v>32</v>
      </c>
      <c r="G31" s="15" t="s">
        <v>95</v>
      </c>
      <c r="H31" s="20"/>
      <c r="I31" s="14" t="s">
        <v>37</v>
      </c>
      <c r="J31" s="15" t="s">
        <v>121</v>
      </c>
      <c r="K31" s="14" t="s">
        <v>79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4" t="s">
        <v>32</v>
      </c>
      <c r="B32" s="19">
        <f t="shared" si="1"/>
        <v>27</v>
      </c>
      <c r="C32" s="15" t="s">
        <v>136</v>
      </c>
      <c r="D32" s="15" t="s">
        <v>42</v>
      </c>
      <c r="E32" s="15" t="s">
        <v>42</v>
      </c>
      <c r="F32" s="15" t="s">
        <v>32</v>
      </c>
      <c r="G32" s="15" t="s">
        <v>95</v>
      </c>
      <c r="H32" s="20"/>
      <c r="I32" s="14" t="s">
        <v>64</v>
      </c>
      <c r="J32" s="14" t="s">
        <v>121</v>
      </c>
      <c r="K32" s="14" t="s">
        <v>137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4" t="s">
        <v>32</v>
      </c>
      <c r="B33" s="19">
        <f t="shared" si="1"/>
        <v>28</v>
      </c>
      <c r="C33" s="15" t="s">
        <v>80</v>
      </c>
      <c r="D33" s="15" t="s">
        <v>49</v>
      </c>
      <c r="E33" s="15" t="s">
        <v>49</v>
      </c>
      <c r="F33" s="15" t="s">
        <v>32</v>
      </c>
      <c r="G33" s="15" t="s">
        <v>36</v>
      </c>
      <c r="H33" s="20"/>
      <c r="I33" s="14" t="s">
        <v>50</v>
      </c>
      <c r="J33" s="14" t="s">
        <v>139</v>
      </c>
      <c r="K33" s="14" t="s">
        <v>140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4" t="s">
        <v>32</v>
      </c>
      <c r="B34" s="19">
        <f t="shared" si="1"/>
        <v>29</v>
      </c>
      <c r="C34" s="15" t="s">
        <v>141</v>
      </c>
      <c r="D34" s="15" t="s">
        <v>42</v>
      </c>
      <c r="E34" s="15" t="s">
        <v>42</v>
      </c>
      <c r="F34" s="15" t="s">
        <v>32</v>
      </c>
      <c r="G34" s="15" t="s">
        <v>36</v>
      </c>
      <c r="H34" s="20"/>
      <c r="I34" s="14" t="s">
        <v>37</v>
      </c>
      <c r="J34" s="15" t="s">
        <v>143</v>
      </c>
      <c r="K34" s="14" t="s">
        <v>145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4" t="s">
        <v>32</v>
      </c>
      <c r="B35" s="19">
        <f t="shared" si="1"/>
        <v>30</v>
      </c>
      <c r="C35" s="15" t="s">
        <v>146</v>
      </c>
      <c r="D35" s="15" t="s">
        <v>42</v>
      </c>
      <c r="E35" s="15" t="s">
        <v>42</v>
      </c>
      <c r="F35" s="15" t="s">
        <v>32</v>
      </c>
      <c r="G35" s="15" t="s">
        <v>36</v>
      </c>
      <c r="H35" s="20"/>
      <c r="I35" s="14" t="s">
        <v>50</v>
      </c>
      <c r="J35" s="14" t="s">
        <v>143</v>
      </c>
      <c r="K35" s="14" t="s">
        <v>79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4" t="s">
        <v>32</v>
      </c>
      <c r="B36" s="19">
        <f t="shared" si="1"/>
        <v>31</v>
      </c>
      <c r="C36" s="15" t="s">
        <v>149</v>
      </c>
      <c r="D36" s="15" t="s">
        <v>42</v>
      </c>
      <c r="E36" s="15" t="s">
        <v>42</v>
      </c>
      <c r="F36" s="15" t="s">
        <v>32</v>
      </c>
      <c r="G36" s="15" t="s">
        <v>36</v>
      </c>
      <c r="H36" s="20"/>
      <c r="I36" s="14" t="s">
        <v>50</v>
      </c>
      <c r="J36" s="14" t="s">
        <v>143</v>
      </c>
      <c r="K36" s="14" t="s">
        <v>150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4" t="s">
        <v>32</v>
      </c>
      <c r="B37" s="19">
        <f t="shared" si="1"/>
        <v>32</v>
      </c>
      <c r="C37" s="15" t="s">
        <v>151</v>
      </c>
      <c r="D37" s="15" t="s">
        <v>57</v>
      </c>
      <c r="E37" s="15" t="s">
        <v>57</v>
      </c>
      <c r="F37" s="15" t="s">
        <v>32</v>
      </c>
      <c r="G37" s="15" t="s">
        <v>36</v>
      </c>
      <c r="H37" s="20"/>
      <c r="I37" s="14" t="s">
        <v>50</v>
      </c>
      <c r="J37" s="14" t="s">
        <v>153</v>
      </c>
      <c r="K37" s="14" t="s">
        <v>79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4" t="s">
        <v>32</v>
      </c>
      <c r="B38" s="19">
        <f t="shared" si="1"/>
        <v>33</v>
      </c>
      <c r="C38" s="15" t="s">
        <v>155</v>
      </c>
      <c r="D38" s="15" t="s">
        <v>49</v>
      </c>
      <c r="E38" s="15" t="s">
        <v>49</v>
      </c>
      <c r="F38" s="15" t="s">
        <v>32</v>
      </c>
      <c r="G38" s="15" t="s">
        <v>156</v>
      </c>
      <c r="H38" s="20"/>
      <c r="I38" s="14" t="s">
        <v>50</v>
      </c>
      <c r="J38" s="14" t="s">
        <v>153</v>
      </c>
      <c r="K38" s="14" t="s">
        <v>79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4" t="s">
        <v>32</v>
      </c>
      <c r="B39" s="19">
        <f t="shared" si="1"/>
        <v>34</v>
      </c>
      <c r="C39" s="15" t="s">
        <v>157</v>
      </c>
      <c r="D39" s="15" t="s">
        <v>87</v>
      </c>
      <c r="E39" s="15" t="s">
        <v>87</v>
      </c>
      <c r="F39" s="15" t="s">
        <v>32</v>
      </c>
      <c r="G39" s="15" t="s">
        <v>156</v>
      </c>
      <c r="H39" s="20"/>
      <c r="I39" s="14" t="s">
        <v>50</v>
      </c>
      <c r="J39" s="14" t="s">
        <v>153</v>
      </c>
      <c r="K39" s="14" t="s">
        <v>158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4" t="s">
        <v>32</v>
      </c>
      <c r="B40" s="19">
        <f t="shared" si="1"/>
        <v>35</v>
      </c>
      <c r="C40" s="14" t="s">
        <v>159</v>
      </c>
      <c r="D40" s="14" t="s">
        <v>160</v>
      </c>
      <c r="E40" s="15" t="s">
        <v>42</v>
      </c>
      <c r="F40" s="15" t="s">
        <v>32</v>
      </c>
      <c r="G40" s="15" t="s">
        <v>36</v>
      </c>
      <c r="H40" s="14"/>
      <c r="I40" s="14" t="s">
        <v>37</v>
      </c>
      <c r="J40" s="14" t="s">
        <v>153</v>
      </c>
      <c r="K40" s="14" t="s">
        <v>161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>
        <v>0.0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