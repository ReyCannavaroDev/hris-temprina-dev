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anduan pemetaan SDM" sheetId="1" r:id="rId5"/>
    <sheet state="hidden" name="DIM Trad Feb 2024" sheetId="2" r:id="rId6"/>
    <sheet state="hidden" name="DIM Trad Sept 2024" sheetId="3" r:id="rId7"/>
    <sheet state="hidden" name="OS FIX &amp; VARIABLE" sheetId="4" r:id="rId8"/>
    <sheet state="hidden" name="OS FIX &amp; VARIABLE SEPT" sheetId="5" r:id="rId9"/>
    <sheet state="visible" name="MAPPING DETAIL" sheetId="6" r:id="rId10"/>
    <sheet state="visible" name="RESUME" sheetId="7" r:id="rId11"/>
  </sheets>
  <definedNames>
    <definedName localSheetId="4" name="AAA">#REF!</definedName>
    <definedName name="Excel_BuiltIn__FilterDatabase_8_1_5">#REF!</definedName>
    <definedName name="Excel_BuiltIn__FilterDatabase_8_5">#REF!</definedName>
    <definedName localSheetId="2" name="NEW">#REF!</definedName>
    <definedName name="LmbrPGG_5">#REF!</definedName>
    <definedName localSheetId="2" name="dddd">#REF!</definedName>
    <definedName name="WAWAW">#REF!</definedName>
    <definedName name="Excel_BuiltIn__FilterDatabase_4_5">#REF!</definedName>
    <definedName name="Excel_BuiltIn_Print_Area_26">#REF!</definedName>
    <definedName localSheetId="4" name="LmbrCV_5">#REF!</definedName>
    <definedName name="STAFF">#REF!</definedName>
    <definedName localSheetId="2" name="Excel_BuiltIn_Print_Area_11_1">#REF!</definedName>
    <definedName localSheetId="4" name="dddd">#REF!</definedName>
    <definedName localSheetId="4" name="DNF_7">#REF!</definedName>
    <definedName localSheetId="4" name="STAFF">#REF!</definedName>
    <definedName localSheetId="4" name="OK">#REF!</definedName>
    <definedName localSheetId="4" name="Excel_BuiltIn__FilterDatabase_4_5">#REF!</definedName>
    <definedName name="n">#REF!</definedName>
    <definedName name="Excel_BuiltIn_Print_Titles_10_5">#REF!</definedName>
    <definedName localSheetId="4" name="LmbrDRV">#REF!</definedName>
    <definedName localSheetId="2" name="op">#REF!</definedName>
    <definedName name="dddd">#REF!</definedName>
    <definedName localSheetId="4" name="n">#REF!</definedName>
    <definedName localSheetId="4" name="akakakaka">#REF!</definedName>
    <definedName localSheetId="4" name="CMM">#REF!</definedName>
    <definedName name="LmbrStaff_5">#REF!</definedName>
    <definedName name="LmbrDRV">#REF!</definedName>
    <definedName localSheetId="4" name="Excel_BuiltIn__FilterDatabase_4_1_5">#REF!</definedName>
    <definedName localSheetId="2" name="OK">#REF!</definedName>
    <definedName localSheetId="4" name="AAAA">#REF!</definedName>
    <definedName localSheetId="2" name="Neraca1">#REF!</definedName>
    <definedName name="DNF_8">#REF!</definedName>
    <definedName localSheetId="4" name="Neraca1">#REF!</definedName>
    <definedName name="LmbrPGG">#REF!</definedName>
    <definedName localSheetId="4" name="LmbrStaff">#REF!</definedName>
    <definedName localSheetId="4" name="Excel_BuiltIn__FilterDatabase_8_5">#REF!</definedName>
    <definedName localSheetId="1" name="Excel_BuiltIn_Print_Area_1_1">#REF!</definedName>
    <definedName localSheetId="2" name="Excel_BuiltIn_Print_Area_1_1">#REF!</definedName>
    <definedName localSheetId="4" name="LmbrCV">#REF!</definedName>
    <definedName localSheetId="2" name="ABC">#REF!</definedName>
    <definedName localSheetId="4" name="SCRTY">#REF!</definedName>
    <definedName localSheetId="4" name="Excel_BuiltIn_Print_Area_26">#REF!</definedName>
    <definedName localSheetId="2" name="n">#REF!</definedName>
    <definedName name="akakakaka">#REF!</definedName>
    <definedName name="NEW">#REF!</definedName>
    <definedName localSheetId="1" name="Excel_BuiltIn_Print_Area_11_1">#REF!</definedName>
    <definedName name="CMM">#REF!</definedName>
    <definedName localSheetId="4" name="CV">#REF!</definedName>
    <definedName localSheetId="4" name="WAWAW">#REF!</definedName>
    <definedName localSheetId="4" name="LmbrDRV_5">#REF!</definedName>
    <definedName localSheetId="2" name="NERACA_2">#REF!</definedName>
    <definedName localSheetId="4" name="NEW">#REF!</definedName>
    <definedName name="Excel_BuiltIn__FilterDatabase_7_5">#REF!</definedName>
    <definedName localSheetId="4" name="PGG">#REF!</definedName>
    <definedName localSheetId="4" name="WILAYAH">#REF!</definedName>
    <definedName name="Excel_BuiltIn__FilterDatabase_4_1_5">#REF!</definedName>
    <definedName name="op">#REF!</definedName>
    <definedName name="CV">#REF!</definedName>
    <definedName localSheetId="1" name="Excel_BuiltIn_Print_Area_9_1">#REF!</definedName>
    <definedName localSheetId="4" name="Excel_BuiltIn__FilterDatabase_1_5">#REF!</definedName>
    <definedName name="Excel_BuiltIn_Database">#REF!</definedName>
    <definedName localSheetId="2" name="AAA">#REF!</definedName>
    <definedName name="PGG">#REF!</definedName>
    <definedName name="wwwwwww">#REF!</definedName>
    <definedName name="DNF_7">#REF!</definedName>
    <definedName name="Neraca1">#REF!</definedName>
    <definedName name="ABC">#REF!</definedName>
    <definedName localSheetId="4" name="Excel_BuiltIn_Print_Area_7_1">#REF!</definedName>
    <definedName localSheetId="2" name="Excel_BuiltIn_Print_Area_9_1">#REF!</definedName>
    <definedName name="rate">#REF!</definedName>
    <definedName localSheetId="2" name="Excel_BuiltIn_Print_Area_7_1">#REF!</definedName>
    <definedName name="Excel_BuiltIn_Print_Area_7_1">#REF!</definedName>
    <definedName localSheetId="4" name="LmbrPGG">#REF!</definedName>
    <definedName localSheetId="2" name="WAWAW">#REF!</definedName>
    <definedName name="Excel_BuiltIn__FilterDatabase_1_5">#REF!</definedName>
    <definedName localSheetId="4" name="wwwwwww">#REF!</definedName>
    <definedName localSheetId="4" name="LmbrPGG_5">#REF!</definedName>
    <definedName localSheetId="4" name="DNF_8">#REF!</definedName>
    <definedName name="OK">#REF!</definedName>
    <definedName localSheetId="4" name="LmbrStaff_5">#REF!</definedName>
    <definedName localSheetId="4" name="Excel_BuiltIn__FilterDatabase_7_5">#REF!</definedName>
    <definedName name="AAA">#REF!</definedName>
    <definedName name="AAAA">#REF!</definedName>
    <definedName name="NERACA_2">#REF!</definedName>
    <definedName name="LmbrCV_5">#REF!</definedName>
    <definedName localSheetId="4" name="op">#REF!</definedName>
    <definedName name="SCRTY">#REF!</definedName>
    <definedName localSheetId="4" name="Excel_BuiltIn_Database">#REF!</definedName>
    <definedName localSheetId="2" name="Excel_BuiltIn_Print_Area_26">#REF!</definedName>
    <definedName localSheetId="4" name="rate">#REF!</definedName>
    <definedName localSheetId="2" name="Excel_BuiltIn_Database">#REF!</definedName>
    <definedName localSheetId="4" name="Excel_BuiltIn__FilterDatabase_8_1_5">#REF!</definedName>
    <definedName name="DRV">#REF!</definedName>
    <definedName localSheetId="4" name="ABC">#REF!</definedName>
    <definedName name="WILAYAH">#REF!</definedName>
    <definedName name="LmbrStaff">#REF!</definedName>
    <definedName localSheetId="2" name="AAAA">#REF!</definedName>
    <definedName localSheetId="4" name="Excel_BuiltIn_Print_Titles_10_5">#REF!</definedName>
    <definedName localSheetId="4" name="NERACA_2">#REF!</definedName>
    <definedName name="LmbrDRV_5">#REF!</definedName>
    <definedName localSheetId="4" name="DRV">#REF!</definedName>
    <definedName name="LmbrCV">#REF!</definedName>
    <definedName hidden="1" localSheetId="1" name="_xlnm._FilterDatabase">'DIM Trad Feb 2024'!$A$2:$Q$18</definedName>
    <definedName hidden="1" localSheetId="2" name="_xlnm._FilterDatabase">'DIM Trad Sept 2024'!$A$4:$R$19</definedName>
    <definedName hidden="1" localSheetId="3" name="_xlnm._FilterDatabase">'OS FIX &amp; VARIABLE'!$A$6:$P$6</definedName>
    <definedName hidden="1" localSheetId="4" name="_xlnm._FilterDatabase">'OS FIX &amp; VARIABLE SEPT'!$A$6:$P$22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5">
      <text>
        <t xml:space="preserve">- Yulia C
</t>
      </text>
    </comment>
    <comment authorId="0" ref="M35">
      <text>
        <t xml:space="preserve">- Desi 
- Luqman
</t>
      </text>
    </comment>
    <comment authorId="0" ref="M33">
      <text>
        <t xml:space="preserve">- Andhika P
</t>
      </text>
    </comment>
    <comment authorId="0" ref="M32">
      <text>
        <t xml:space="preserve">- Amita
</t>
      </text>
    </comment>
    <comment authorId="0" ref="M30">
      <text>
        <t xml:space="preserve">- Wanda Nur 
</t>
      </text>
    </comment>
    <comment authorId="0" ref="M29">
      <text>
        <t xml:space="preserve">- Ira Nanda
- Best Yan't
</t>
      </text>
    </comment>
    <comment authorId="0" ref="L21">
      <text>
        <t xml:space="preserve">- Nizar R
</t>
      </text>
    </comment>
    <comment authorId="0" ref="L19">
      <text>
        <t xml:space="preserve">- Yoko Romadhon</t>
      </text>
    </comment>
    <comment authorId="0" ref="K17">
      <text>
        <t xml:space="preserve">- M Rifqu Rizaldy
- Rahman Bambang
</t>
      </text>
    </comment>
    <comment authorId="0" ref="K16">
      <text>
        <t xml:space="preserve">- Yuda K
- Dadang K
- Imam S
</t>
      </text>
    </comment>
    <comment authorId="0" ref="L17">
      <text>
        <t xml:space="preserve">M. Rizky</t>
      </text>
    </comment>
    <comment authorId="0" ref="M17">
      <text>
        <t xml:space="preserve">- Abdullah Mujahid
- Vistasusiyanti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- Cleaning
- Sekuriti
</t>
      </text>
    </comment>
    <comment authorId="0" ref="J7">
      <text>
        <t xml:space="preserve">- Ira Nanda
- Best Yan't
- Amita
- wanda
- Andhika</t>
      </text>
    </comment>
    <comment authorId="0" ref="Q11">
      <text>
        <t xml:space="preserve">======
ID#AAABHefamRU
ACER DIM    (2024-03-21 03:19:57)
- YOKO : Adm. SIPLAH
- RISQI : Mkt</t>
      </text>
    </comment>
    <comment authorId="0" ref="C11">
      <text>
        <t xml:space="preserve">- Yuda K
- Imam S
- Dadang K
- M R Rizaldy
-Rahman B
</t>
      </text>
    </comment>
    <comment authorId="0" ref="D11">
      <text>
        <t xml:space="preserve">- M Rizqi
- Yoko R
</t>
      </text>
    </comment>
    <comment authorId="0" ref="E11">
      <text>
        <t xml:space="preserve">- Abdullah M : Sby
- Vistasusiyanti : Mnd
</t>
      </text>
    </comment>
    <comment authorId="0" ref="E9">
      <text>
        <t xml:space="preserve">- Cleaning
- Sekuriti
</t>
      </text>
    </comment>
    <comment authorId="0" ref="H11">
      <text>
        <t xml:space="preserve">- Yuda K
- Imam S
- Dadang K
- M R Rizaldy
-Rahman B
</t>
      </text>
    </comment>
    <comment authorId="0" ref="E7">
      <text>
        <t xml:space="preserve">- Ira Nanda
- Best Yan't
- Amita
- wanda
- Andhika</t>
      </text>
    </comment>
    <comment authorId="0" ref="I11">
      <text>
        <t xml:space="preserve">- M Rizqi
- Yoko R
</t>
      </text>
    </comment>
    <comment authorId="0" ref="J11">
      <text>
        <t xml:space="preserve">- Abdullah M : Sby
- Vistasusiyanti : Mnd
</t>
      </text>
    </comment>
  </commentList>
</comments>
</file>

<file path=xl/sharedStrings.xml><?xml version="1.0" encoding="utf-8"?>
<sst xmlns="http://schemas.openxmlformats.org/spreadsheetml/2006/main" count="680" uniqueCount="480">
  <si>
    <t>BIAYA SDM</t>
  </si>
  <si>
    <t>DATA OMZET PER CABANG</t>
  </si>
  <si>
    <t>DAFTAR RINCIAN GAJI PT. KARYA BINTANG MANDIRI</t>
  </si>
  <si>
    <t>FIXED COST</t>
  </si>
  <si>
    <t>: departemen, biaya SDM selalu ada dengan minimal omzet</t>
  </si>
  <si>
    <t>SBU</t>
  </si>
  <si>
    <t>CABANG</t>
  </si>
  <si>
    <t>HISTORY OMZET (2023) per Bulan</t>
  </si>
  <si>
    <t>OMZET per Tahun</t>
  </si>
  <si>
    <t>PRINTING</t>
  </si>
  <si>
    <t>ATNG</t>
  </si>
  <si>
    <t>IN PT. DINAMIKA INDO MEDIA</t>
  </si>
  <si>
    <t>PERIODE 21 JANUARI - 20 FEBRUARI 2024</t>
  </si>
  <si>
    <t>NO</t>
  </si>
  <si>
    <t>NIK</t>
  </si>
  <si>
    <t>DATA KARYAWAN DIM</t>
  </si>
  <si>
    <t>NAMA</t>
  </si>
  <si>
    <t>Operator Mesin Web</t>
  </si>
  <si>
    <t>No</t>
  </si>
  <si>
    <t>SBY</t>
  </si>
  <si>
    <t>BAGIAN</t>
  </si>
  <si>
    <t>STATUS</t>
  </si>
  <si>
    <t>Operator Utama Mesin Finishing</t>
  </si>
  <si>
    <t>GAJI</t>
  </si>
  <si>
    <t>SMG</t>
  </si>
  <si>
    <t>Security Utama</t>
  </si>
  <si>
    <t>DPS</t>
  </si>
  <si>
    <t>NGK</t>
  </si>
  <si>
    <t>VARIABEL COST</t>
  </si>
  <si>
    <t>: biaya SDM yang ditambahkan menyesuaikan kondisi tertentu, bergerak/berubah secara cepat</t>
  </si>
  <si>
    <t>PACKAGING</t>
  </si>
  <si>
    <t>PKRH</t>
  </si>
  <si>
    <t>NIP</t>
  </si>
  <si>
    <t>Nama Pegawai</t>
  </si>
  <si>
    <t>Jabatan</t>
  </si>
  <si>
    <t>Level</t>
  </si>
  <si>
    <t>Departemen</t>
  </si>
  <si>
    <t>Cost Center</t>
  </si>
  <si>
    <t>Helper Mesin Finishing</t>
  </si>
  <si>
    <t>PBKS</t>
  </si>
  <si>
    <t>Total Gaji</t>
  </si>
  <si>
    <r>
      <rPr>
        <rFont val="Times New Roman"/>
        <b/>
        <color rgb="FF000000"/>
        <sz val="8.0"/>
      </rPr>
      <t>Status
Karyawan</t>
    </r>
  </si>
  <si>
    <t>Security Tambahan</t>
  </si>
  <si>
    <t>LEMBUR</t>
  </si>
  <si>
    <t>ASURANSI JRP</t>
  </si>
  <si>
    <t>SHPG</t>
  </si>
  <si>
    <r>
      <rPr>
        <rFont val="Times New Roman"/>
        <b/>
        <color rgb="FF000000"/>
        <sz val="8.0"/>
      </rPr>
      <t>Awal
Masuk</t>
    </r>
  </si>
  <si>
    <t>GMBH</t>
  </si>
  <si>
    <t>TWL</t>
  </si>
  <si>
    <t>TOTAL GAJI</t>
  </si>
  <si>
    <r>
      <rPr>
        <rFont val="Times New Roman"/>
        <b/>
        <color rgb="FF000000"/>
        <sz val="8.0"/>
      </rPr>
      <t>Awal/
Periode</t>
    </r>
  </si>
  <si>
    <r>
      <rPr>
        <rFont val="Times New Roman"/>
        <b/>
        <color rgb="FF000000"/>
        <sz val="8.0"/>
      </rPr>
      <t>Akhir/
Sd</t>
    </r>
  </si>
  <si>
    <t>TTD</t>
  </si>
  <si>
    <r>
      <rPr>
        <rFont val="Times New Roman"/>
        <b/>
        <color rgb="FF000000"/>
        <sz val="8.0"/>
      </rPr>
      <t>Tahun
Pengangkatan</t>
    </r>
  </si>
  <si>
    <t>Awal Diangkat</t>
  </si>
  <si>
    <t>Status</t>
  </si>
  <si>
    <r>
      <rPr>
        <rFont val="Times New Roman"/>
        <b/>
        <color rgb="FF000000"/>
        <sz val="8.0"/>
      </rPr>
      <t>Status
Karyawan</t>
    </r>
  </si>
  <si>
    <t>Pendidikan</t>
  </si>
  <si>
    <t>HR</t>
  </si>
  <si>
    <r>
      <rPr>
        <rFont val="Times New Roman"/>
        <b/>
        <color rgb="FF000000"/>
        <sz val="8.0"/>
      </rPr>
      <t>Awal
Masuk</t>
    </r>
  </si>
  <si>
    <t>L/P</t>
  </si>
  <si>
    <t>LANGKAH - LANGKAH DALAM PEMETAAN SDM</t>
  </si>
  <si>
    <r>
      <rPr>
        <rFont val="Times New Roman"/>
        <b/>
        <color rgb="FF000000"/>
        <sz val="8.0"/>
      </rPr>
      <t>Awal/
Periode</t>
    </r>
  </si>
  <si>
    <t>UPAH/HR</t>
  </si>
  <si>
    <t>PUBLISHING</t>
  </si>
  <si>
    <t>JPMU</t>
  </si>
  <si>
    <t>Tanggal Lahir</t>
  </si>
  <si>
    <r>
      <rPr>
        <rFont val="Times New Roman"/>
        <b/>
        <color rgb="FF000000"/>
        <sz val="8.0"/>
      </rPr>
      <t>Akhir/
Sd</t>
    </r>
  </si>
  <si>
    <t>JUMLAH</t>
  </si>
  <si>
    <r>
      <rPr>
        <rFont val="Times New Roman"/>
        <b/>
        <color rgb="FF000000"/>
        <sz val="8.0"/>
      </rPr>
      <t>Tahun
Pengangkatan</t>
    </r>
  </si>
  <si>
    <t>JAM</t>
  </si>
  <si>
    <t>RP</t>
  </si>
  <si>
    <t>PEMETAAN SDM SBU PERKOM &amp; PACKAGING</t>
  </si>
  <si>
    <t>DCP</t>
  </si>
  <si>
    <t>List Data Mesin</t>
  </si>
  <si>
    <t>List Rangkap Tugas/Cakupan Cabang</t>
  </si>
  <si>
    <t>List Suppot Produksi</t>
  </si>
  <si>
    <t>TRADING</t>
  </si>
  <si>
    <t>DIM</t>
  </si>
  <si>
    <t>Perbandingan Jumlah dan Nominal</t>
  </si>
  <si>
    <t>List Posisi Integrasi Bussev Jumlah orang Standart/Kebutuhan dan Standart Rupiah</t>
  </si>
  <si>
    <t>Pemetaan SDM dihitung sesuai kebutuhan selama 1 tahun berdasarkan omzet yang diperoleh</t>
  </si>
  <si>
    <t>Posisi yang disiapkan dapat berdasarkan jumlah atau nominal rupiah upah, menyesuaikan grade kompetensi SDM</t>
  </si>
  <si>
    <t>3515017009970001</t>
  </si>
  <si>
    <t>PEMETAAN SDM SBU TRADING</t>
  </si>
  <si>
    <r>
      <rPr>
        <rFont val="Times New Roman"/>
        <color theme="1"/>
        <sz val="7.0"/>
      </rPr>
      <t>RAHMAT FAUZI</t>
    </r>
  </si>
  <si>
    <r>
      <rPr>
        <rFont val="Calibri"/>
        <color theme="1"/>
        <sz val="11.0"/>
      </rPr>
      <t xml:space="preserve">Kebutuhan SDM dalam kondisi minimum omzet masuk dalam </t>
    </r>
    <r>
      <rPr>
        <rFont val="Calibri"/>
        <b/>
        <color theme="1"/>
        <sz val="11.0"/>
      </rPr>
      <t>"fixed cost"</t>
    </r>
    <r>
      <rPr>
        <rFont val="Calibri"/>
        <color theme="1"/>
        <sz val="11.0"/>
      </rPr>
      <t xml:space="preserve">, sedangkan tambahan SDM untuk kondisi tertentu/tidak seterusnya masuk dalam </t>
    </r>
    <r>
      <rPr>
        <rFont val="Calibri"/>
        <b/>
        <color theme="1"/>
        <sz val="11.0"/>
      </rPr>
      <t>"variabel cost"</t>
    </r>
  </si>
  <si>
    <r>
      <rPr>
        <rFont val="Times New Roman"/>
        <color theme="1"/>
        <sz val="7.0"/>
      </rPr>
      <t>DADANG KURNIAWAN</t>
    </r>
  </si>
  <si>
    <t>DESI SEPTIAN ANDARINI</t>
  </si>
  <si>
    <t>List Kebutuhan Posisi Kunci, keterangan</t>
  </si>
  <si>
    <t xml:space="preserve">Prosentase SDM yang dibandingkan merupakan total upah dibanding perolehan omzet </t>
  </si>
  <si>
    <r>
      <rPr>
        <rFont val="Times New Roman"/>
        <color theme="1"/>
        <sz val="7.0"/>
      </rPr>
      <t>Staff Accounting</t>
    </r>
  </si>
  <si>
    <r>
      <rPr>
        <rFont val="Times New Roman"/>
        <color theme="1"/>
        <sz val="7.0"/>
      </rPr>
      <t>Karu Marketing</t>
    </r>
  </si>
  <si>
    <r>
      <rPr>
        <rFont val="Times New Roman"/>
        <color theme="1"/>
        <sz val="7.0"/>
      </rPr>
      <t>Karu/Wakaru</t>
    </r>
  </si>
  <si>
    <r>
      <rPr>
        <rFont val="Times New Roman"/>
        <color theme="1"/>
        <sz val="7.0"/>
      </rPr>
      <t>Staff/Operator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</si>
  <si>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</si>
  <si>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Accounting/Fin</t>
    </r>
  </si>
  <si>
    <r>
      <rPr>
        <rFont val="Times New Roman"/>
        <color theme="1"/>
        <sz val="7.0"/>
      </rPr>
      <t>Pemasaran</t>
    </r>
  </si>
  <si>
    <t>SURABAYA</t>
  </si>
  <si>
    <r>
      <rPr>
        <rFont val="Times New Roman"/>
        <color theme="1"/>
        <sz val="7.0"/>
      </rPr>
      <t>Akuntansi</t>
    </r>
  </si>
  <si>
    <t>PURCHASING</t>
  </si>
  <si>
    <r>
      <rPr>
        <rFont val="Times New Roman"/>
        <color theme="1"/>
        <sz val="7.0"/>
      </rPr>
      <t>Tetap</t>
    </r>
  </si>
  <si>
    <r>
      <rPr>
        <rFont val="Times New Roman"/>
        <color theme="1"/>
        <sz val="7.0"/>
      </rPr>
      <t>Tetap</t>
    </r>
  </si>
  <si>
    <t>OS TETAP</t>
  </si>
  <si>
    <t>Struktur Organisasi lebih Detail per bagian/departemen</t>
  </si>
  <si>
    <t>PEMETAAN SDM SBU PUBLISHING</t>
  </si>
  <si>
    <t>List Standart Posisi Redaksi, jumlah SDM/Kapasitas, Target Naskah</t>
  </si>
  <si>
    <t>LEVEL JABATAN</t>
  </si>
  <si>
    <r>
      <rPr>
        <rFont val="Times New Roman"/>
        <color theme="1"/>
        <sz val="7.0"/>
      </rPr>
      <t>TK / 0</t>
    </r>
  </si>
  <si>
    <t>Direksi</t>
  </si>
  <si>
    <t>General Manager</t>
  </si>
  <si>
    <r>
      <rPr>
        <rFont val="Times New Roman"/>
        <color theme="1"/>
        <sz val="7.0"/>
      </rPr>
      <t>S1</t>
    </r>
  </si>
  <si>
    <t>PEMETAAN BUSSEV</t>
  </si>
  <si>
    <r>
      <rPr>
        <rFont val="Times New Roman"/>
        <color theme="1"/>
        <sz val="7.0"/>
      </rPr>
      <t>L</t>
    </r>
  </si>
  <si>
    <t>Manager/BM/OM</t>
  </si>
  <si>
    <t>List Jumlah SDM dan Nominal</t>
  </si>
  <si>
    <t>Kadiv/Wakadiv</t>
  </si>
  <si>
    <r>
      <rPr>
        <rFont val="Times New Roman"/>
        <color theme="1"/>
        <sz val="7.0"/>
      </rPr>
      <t>DADANG KURNIAWAN</t>
    </r>
  </si>
  <si>
    <r>
      <rPr>
        <rFont val="Times New Roman"/>
        <color theme="1"/>
        <sz val="7.0"/>
      </rPr>
      <t>Karu Marketing</t>
    </r>
  </si>
  <si>
    <t>Karu/Wakaru</t>
  </si>
  <si>
    <r>
      <rPr>
        <rFont val="Times New Roman"/>
        <color theme="1"/>
        <sz val="7.0"/>
      </rPr>
      <t>Karu/Wakaru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</si>
  <si>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</si>
  <si>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</si>
  <si>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Tetap</t>
    </r>
  </si>
  <si>
    <r>
      <rPr>
        <rFont val="Times New Roman"/>
        <color theme="1"/>
        <sz val="7.0"/>
      </rPr>
      <t>K / 3</t>
    </r>
  </si>
  <si>
    <t>Staff/Operator</t>
  </si>
  <si>
    <r>
      <rPr>
        <rFont val="Times New Roman"/>
        <color theme="1"/>
        <sz val="7.0"/>
      </rPr>
      <t>SMK</t>
    </r>
  </si>
  <si>
    <r>
      <rPr>
        <rFont val="Times New Roman"/>
        <color theme="1"/>
        <sz val="7.0"/>
      </rPr>
      <t>L</t>
    </r>
  </si>
  <si>
    <r>
      <rPr>
        <rFont val="Times New Roman"/>
        <color theme="1"/>
        <sz val="7.0"/>
      </rPr>
      <t>K / 3</t>
    </r>
  </si>
  <si>
    <r>
      <rPr>
        <rFont val="Times New Roman"/>
        <color theme="1"/>
        <sz val="7.0"/>
      </rPr>
      <t>SMK</t>
    </r>
  </si>
  <si>
    <r>
      <rPr>
        <rFont val="Times New Roman"/>
        <color theme="1"/>
        <sz val="7.0"/>
      </rPr>
      <t>L</t>
    </r>
  </si>
  <si>
    <r>
      <rPr>
        <rFont val="Times New Roman"/>
        <color theme="1"/>
        <sz val="7.0"/>
      </rPr>
      <t>RAHMAN BAMBANG</t>
    </r>
  </si>
  <si>
    <r>
      <rPr>
        <rFont val="Times New Roman"/>
        <color theme="1"/>
        <sz val="7.0"/>
      </rPr>
      <t>RAHMAN BAMBANG</t>
    </r>
  </si>
  <si>
    <r>
      <rPr>
        <rFont val="Times New Roman"/>
        <color theme="1"/>
        <sz val="7.0"/>
      </rPr>
      <t>Marketing Cabang Manado</t>
    </r>
  </si>
  <si>
    <r>
      <rPr>
        <rFont val="Times New Roman"/>
        <color theme="1"/>
        <sz val="7.0"/>
      </rPr>
      <t>Marketing Cabang Manado</t>
    </r>
  </si>
  <si>
    <r>
      <rPr>
        <rFont val="Times New Roman"/>
        <color theme="1"/>
        <sz val="7.0"/>
      </rPr>
      <t>Staff/Operator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</si>
  <si>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</si>
  <si>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</si>
  <si>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Tetap</t>
    </r>
  </si>
  <si>
    <r>
      <rPr>
        <rFont val="Times New Roman"/>
        <color theme="1"/>
        <sz val="7.0"/>
      </rPr>
      <t>Staff/Operator</t>
    </r>
  </si>
  <si>
    <r>
      <rPr>
        <rFont val="Times New Roman"/>
        <color theme="1"/>
        <sz val="7.0"/>
      </rPr>
      <t>TK / 0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</si>
  <si>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</si>
  <si>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STIE</t>
    </r>
  </si>
  <si>
    <r>
      <rPr>
        <rFont val="Times New Roman"/>
        <color theme="1"/>
        <sz val="7.0"/>
      </rPr>
      <t>L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</si>
  <si>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</si>
  <si>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Tetap</t>
    </r>
  </si>
  <si>
    <r>
      <rPr>
        <rFont val="Times New Roman"/>
        <color theme="1"/>
        <sz val="7.0"/>
      </rPr>
      <t>M. RIFQU RIZALDY</t>
    </r>
  </si>
  <si>
    <r>
      <rPr>
        <rFont val="Times New Roman"/>
        <color theme="1"/>
        <sz val="7.0"/>
      </rPr>
      <t>Marketing Surabaya</t>
    </r>
  </si>
  <si>
    <r>
      <rPr>
        <rFont val="Times New Roman"/>
        <color theme="1"/>
        <sz val="7.0"/>
      </rPr>
      <t>Staff/Operator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</si>
  <si>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</si>
  <si>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</si>
  <si>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TK / 0</t>
    </r>
  </si>
  <si>
    <r>
      <rPr>
        <rFont val="Times New Roman"/>
        <color theme="1"/>
        <sz val="7.0"/>
      </rPr>
      <t>Tetap</t>
    </r>
  </si>
  <si>
    <r>
      <rPr>
        <rFont val="Times New Roman"/>
        <color theme="1"/>
        <sz val="7.0"/>
      </rPr>
      <t>STIE</t>
    </r>
  </si>
  <si>
    <r>
      <rPr>
        <rFont val="Times New Roman"/>
        <color theme="1"/>
        <sz val="7.0"/>
      </rPr>
      <t>L</t>
    </r>
  </si>
  <si>
    <r>
      <rPr>
        <rFont val="Times New Roman"/>
        <color theme="1"/>
        <sz val="7.0"/>
      </rPr>
      <t>K / 0</t>
    </r>
  </si>
  <si>
    <r>
      <rPr>
        <rFont val="Times New Roman"/>
        <color theme="1"/>
        <sz val="7.0"/>
      </rPr>
      <t>S1</t>
    </r>
  </si>
  <si>
    <r>
      <rPr>
        <rFont val="Times New Roman"/>
        <color theme="1"/>
        <sz val="7.0"/>
      </rPr>
      <t>L</t>
    </r>
  </si>
  <si>
    <r>
      <rPr>
        <rFont val="Times New Roman"/>
        <color theme="1"/>
        <sz val="7.0"/>
      </rPr>
      <t>M. RIFQU RIZALDY</t>
    </r>
  </si>
  <si>
    <r>
      <rPr>
        <rFont val="Times New Roman"/>
        <color theme="1"/>
        <sz val="7.0"/>
      </rPr>
      <t>WICAKSONO YOGA GURUH SAP</t>
    </r>
  </si>
  <si>
    <r>
      <rPr>
        <rFont val="Times New Roman"/>
        <color theme="1"/>
        <sz val="7.0"/>
      </rPr>
      <t>Marketing Surabaya</t>
    </r>
  </si>
  <si>
    <r>
      <rPr>
        <rFont val="Times New Roman"/>
        <color theme="1"/>
        <sz val="7.0"/>
      </rPr>
      <t>Staff PPIC</t>
    </r>
  </si>
  <si>
    <r>
      <rPr>
        <rFont val="Times New Roman"/>
        <color theme="1"/>
        <sz val="7.0"/>
      </rPr>
      <t>Staff/Operator</t>
    </r>
  </si>
  <si>
    <r>
      <rPr>
        <rFont val="Times New Roman"/>
        <color theme="1"/>
        <sz val="7.0"/>
      </rPr>
      <t>Staff/Operator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</si>
  <si>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</si>
  <si>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Product Plannin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</si>
  <si>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</si>
  <si>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PPIC</t>
    </r>
  </si>
  <si>
    <r>
      <rPr>
        <rFont val="Times New Roman"/>
        <color theme="1"/>
        <sz val="7.0"/>
      </rPr>
      <t>Tetap</t>
    </r>
  </si>
  <si>
    <r>
      <rPr>
        <rFont val="Times New Roman"/>
        <color theme="1"/>
        <sz val="7.0"/>
      </rPr>
      <t>Tetap</t>
    </r>
  </si>
  <si>
    <r>
      <rPr>
        <rFont val="Times New Roman"/>
        <color theme="1"/>
        <sz val="7.0"/>
      </rPr>
      <t>K / 0</t>
    </r>
  </si>
  <si>
    <r>
      <rPr>
        <rFont val="Times New Roman"/>
        <color theme="1"/>
        <sz val="7.0"/>
      </rPr>
      <t>S1</t>
    </r>
  </si>
  <si>
    <r>
      <rPr>
        <rFont val="Times New Roman"/>
        <color theme="1"/>
        <sz val="7.0"/>
      </rPr>
      <t>L</t>
    </r>
  </si>
  <si>
    <r>
      <rPr>
        <rFont val="Times New Roman"/>
        <color theme="1"/>
        <sz val="7.0"/>
      </rPr>
      <t>K / 0</t>
    </r>
  </si>
  <si>
    <r>
      <rPr>
        <rFont val="Times New Roman"/>
        <color theme="1"/>
        <sz val="7.0"/>
      </rPr>
      <t>S1</t>
    </r>
  </si>
  <si>
    <r>
      <rPr>
        <rFont val="Times New Roman"/>
        <color theme="1"/>
        <sz val="7.0"/>
      </rPr>
      <t>L</t>
    </r>
  </si>
  <si>
    <r>
      <rPr>
        <rFont val="Times New Roman"/>
        <color theme="1"/>
        <sz val="7.0"/>
      </rPr>
      <t>WICAKSONO YOGA GURUH SAP</t>
    </r>
  </si>
  <si>
    <r>
      <rPr>
        <rFont val="Times New Roman"/>
        <color theme="1"/>
        <sz val="7.0"/>
      </rPr>
      <t>Staff PPIC</t>
    </r>
  </si>
  <si>
    <r>
      <rPr>
        <rFont val="Times New Roman"/>
        <color theme="1"/>
        <sz val="7.0"/>
      </rPr>
      <t>Staff/Operator</t>
    </r>
  </si>
  <si>
    <r>
      <rPr>
        <rFont val="Times New Roman"/>
        <color theme="1"/>
        <sz val="7.0"/>
      </rPr>
      <t>Product Plannin</t>
    </r>
  </si>
  <si>
    <r>
      <rPr>
        <rFont val="Times New Roman"/>
        <color theme="1"/>
        <sz val="7.0"/>
      </rPr>
      <t>PPIC</t>
    </r>
  </si>
  <si>
    <r>
      <rPr>
        <rFont val="Times New Roman"/>
        <color theme="1"/>
        <sz val="7.0"/>
      </rPr>
      <t>DHANY NIRMALA PUTRI</t>
    </r>
  </si>
  <si>
    <r>
      <rPr>
        <rFont val="Times New Roman"/>
        <color theme="1"/>
        <sz val="7.0"/>
      </rPr>
      <t>Tetap</t>
    </r>
  </si>
  <si>
    <r>
      <rPr>
        <rFont val="Times New Roman"/>
        <color theme="1"/>
        <sz val="7.0"/>
      </rPr>
      <t>Piutang</t>
    </r>
  </si>
  <si>
    <r>
      <rPr>
        <rFont val="Times New Roman"/>
        <color theme="1"/>
        <sz val="7.0"/>
      </rPr>
      <t>Staff/Operator</t>
    </r>
  </si>
  <si>
    <r>
      <rPr>
        <rFont val="Times New Roman"/>
        <color theme="1"/>
        <sz val="7.0"/>
      </rPr>
      <t>K / 0</t>
    </r>
  </si>
  <si>
    <r>
      <rPr>
        <rFont val="Times New Roman"/>
        <color theme="1"/>
        <sz val="7.0"/>
      </rPr>
      <t>Accounting/Fin</t>
    </r>
  </si>
  <si>
    <r>
      <rPr>
        <rFont val="Times New Roman"/>
        <color theme="1"/>
        <sz val="7.0"/>
      </rPr>
      <t>S1</t>
    </r>
  </si>
  <si>
    <r>
      <rPr>
        <rFont val="Times New Roman"/>
        <color theme="1"/>
        <sz val="7.0"/>
      </rPr>
      <t>L</t>
    </r>
  </si>
  <si>
    <r>
      <rPr>
        <rFont val="Times New Roman"/>
        <color theme="1"/>
        <sz val="7.0"/>
      </rPr>
      <t>Piutang</t>
    </r>
  </si>
  <si>
    <t>Tetap</t>
  </si>
  <si>
    <r>
      <rPr>
        <rFont val="Times New Roman"/>
        <color theme="1"/>
        <sz val="7.0"/>
      </rPr>
      <t>DHANY NIRMALA PUTRI</t>
    </r>
  </si>
  <si>
    <r>
      <rPr>
        <rFont val="Times New Roman"/>
        <color theme="1"/>
        <sz val="7.0"/>
      </rPr>
      <t>Piutang</t>
    </r>
  </si>
  <si>
    <r>
      <rPr>
        <rFont val="Times New Roman"/>
        <color theme="1"/>
        <sz val="7.0"/>
      </rPr>
      <t>TK / 0</t>
    </r>
  </si>
  <si>
    <r>
      <rPr>
        <rFont val="Times New Roman"/>
        <color theme="1"/>
        <sz val="7.0"/>
      </rPr>
      <t>Staff/Operator</t>
    </r>
  </si>
  <si>
    <r>
      <rPr>
        <rFont val="Times New Roman"/>
        <color theme="1"/>
        <sz val="7.0"/>
      </rPr>
      <t>S1</t>
    </r>
  </si>
  <si>
    <r>
      <rPr>
        <rFont val="Times New Roman"/>
        <color theme="1"/>
        <sz val="7.0"/>
      </rPr>
      <t>Accounting/Fin</t>
    </r>
  </si>
  <si>
    <r>
      <rPr>
        <rFont val="Times New Roman"/>
        <color theme="1"/>
        <sz val="7.0"/>
      </rPr>
      <t>P</t>
    </r>
  </si>
  <si>
    <r>
      <rPr>
        <rFont val="Times New Roman"/>
        <color theme="1"/>
        <sz val="7.0"/>
      </rPr>
      <t>Piutang</t>
    </r>
  </si>
  <si>
    <r>
      <rPr>
        <rFont val="Times New Roman"/>
        <color theme="1"/>
        <sz val="7.0"/>
      </rPr>
      <t>LIA ANGGAWARI</t>
    </r>
  </si>
  <si>
    <r>
      <rPr>
        <rFont val="Times New Roman"/>
        <color theme="1"/>
        <sz val="7.0"/>
      </rPr>
      <t>Direktur</t>
    </r>
  </si>
  <si>
    <r>
      <rPr>
        <rFont val="Times New Roman"/>
        <color theme="1"/>
        <sz val="7.0"/>
      </rPr>
      <t>Direksi</t>
    </r>
  </si>
  <si>
    <r>
      <rPr>
        <rFont val="Times New Roman"/>
        <color theme="1"/>
        <sz val="7.0"/>
      </rPr>
      <t>Direksi</t>
    </r>
  </si>
  <si>
    <r>
      <rPr>
        <rFont val="Times New Roman"/>
        <color theme="1"/>
        <sz val="7.0"/>
      </rPr>
      <t>TK / 0</t>
    </r>
  </si>
  <si>
    <r>
      <rPr>
        <rFont val="Times New Roman"/>
        <color theme="1"/>
        <sz val="7.0"/>
      </rPr>
      <t>Direksi</t>
    </r>
  </si>
  <si>
    <r>
      <rPr>
        <rFont val="Times New Roman"/>
        <color theme="1"/>
        <sz val="7.0"/>
      </rPr>
      <t>S1</t>
    </r>
  </si>
  <si>
    <r>
      <rPr>
        <rFont val="Times New Roman"/>
        <color theme="1"/>
        <sz val="7.0"/>
      </rPr>
      <t>P</t>
    </r>
  </si>
  <si>
    <r>
      <rPr>
        <rFont val="Times New Roman"/>
        <color theme="1"/>
        <sz val="7.0"/>
      </rPr>
      <t>TK / 1</t>
    </r>
  </si>
  <si>
    <r>
      <rPr>
        <rFont val="Times New Roman"/>
        <color theme="1"/>
        <sz val="7.0"/>
      </rPr>
      <t>S1</t>
    </r>
  </si>
  <si>
    <r>
      <rPr>
        <rFont val="Times New Roman"/>
        <color theme="1"/>
        <sz val="7.0"/>
      </rPr>
      <t>LIA ANGGAWARI</t>
    </r>
  </si>
  <si>
    <r>
      <rPr>
        <rFont val="Times New Roman"/>
        <color theme="1"/>
        <sz val="7.0"/>
      </rPr>
      <t>P</t>
    </r>
  </si>
  <si>
    <r>
      <rPr>
        <rFont val="Times New Roman"/>
        <color theme="1"/>
        <sz val="7.0"/>
      </rPr>
      <t>Direktur</t>
    </r>
  </si>
  <si>
    <r>
      <rPr>
        <rFont val="Times New Roman"/>
        <color theme="1"/>
        <sz val="7.0"/>
      </rPr>
      <t>Direksi</t>
    </r>
  </si>
  <si>
    <r>
      <rPr>
        <rFont val="Times New Roman"/>
        <color theme="1"/>
        <sz val="7.0"/>
      </rPr>
      <t>Direksi</t>
    </r>
  </si>
  <si>
    <r>
      <rPr>
        <rFont val="Times New Roman"/>
        <color theme="1"/>
        <sz val="7.0"/>
      </rPr>
      <t>Direksi</t>
    </r>
  </si>
  <si>
    <r>
      <rPr>
        <rFont val="Times New Roman"/>
        <color theme="1"/>
        <sz val="7.0"/>
      </rPr>
      <t>WINOTO WIDIASMORO</t>
    </r>
  </si>
  <si>
    <r>
      <rPr>
        <rFont val="Times New Roman"/>
        <color theme="1"/>
        <sz val="7.0"/>
      </rPr>
      <t>Direktur PT Dinamika Indo Media</t>
    </r>
  </si>
  <si>
    <r>
      <rPr>
        <rFont val="Times New Roman"/>
        <color theme="1"/>
        <sz val="7.0"/>
      </rPr>
      <t>Direksi</t>
    </r>
  </si>
  <si>
    <r>
      <rPr>
        <rFont val="Times New Roman"/>
        <color theme="1"/>
        <sz val="7.0"/>
      </rPr>
      <t>Direksi</t>
    </r>
  </si>
  <si>
    <r>
      <rPr>
        <rFont val="Times New Roman"/>
        <color theme="1"/>
        <sz val="7.0"/>
      </rPr>
      <t>TK / 1</t>
    </r>
  </si>
  <si>
    <r>
      <rPr>
        <rFont val="Times New Roman"/>
        <color theme="1"/>
        <sz val="7.0"/>
      </rPr>
      <t>Direksi</t>
    </r>
  </si>
  <si>
    <r>
      <rPr>
        <rFont val="Times New Roman"/>
        <color theme="1"/>
        <sz val="7.0"/>
      </rPr>
      <t>S1</t>
    </r>
  </si>
  <si>
    <r>
      <rPr>
        <rFont val="Times New Roman"/>
        <color theme="1"/>
        <sz val="7.0"/>
      </rPr>
      <t>Kontrak pasca pens</t>
    </r>
  </si>
  <si>
    <r>
      <rPr>
        <rFont val="Times New Roman"/>
        <color theme="1"/>
        <sz val="7.0"/>
      </rPr>
      <t>P</t>
    </r>
  </si>
  <si>
    <r>
      <rPr>
        <rFont val="Times New Roman"/>
        <color theme="1"/>
        <sz val="7.0"/>
      </rPr>
      <t>WINOTO WIDIASMORO</t>
    </r>
  </si>
  <si>
    <r>
      <rPr>
        <rFont val="Times New Roman"/>
        <color theme="1"/>
        <sz val="7.0"/>
      </rPr>
      <t>K / 3</t>
    </r>
  </si>
  <si>
    <r>
      <rPr>
        <rFont val="Times New Roman"/>
        <color theme="1"/>
        <sz val="7.0"/>
      </rPr>
      <t>Direktur PT Dinamika Indo Media</t>
    </r>
  </si>
  <si>
    <r>
      <rPr>
        <rFont val="Times New Roman"/>
        <color theme="1"/>
        <sz val="7.0"/>
      </rPr>
      <t>MM</t>
    </r>
  </si>
  <si>
    <r>
      <rPr>
        <rFont val="Times New Roman"/>
        <color theme="1"/>
        <sz val="7.0"/>
      </rPr>
      <t>Direksi</t>
    </r>
  </si>
  <si>
    <r>
      <rPr>
        <rFont val="Times New Roman"/>
        <color theme="1"/>
        <sz val="7.0"/>
      </rPr>
      <t>L</t>
    </r>
  </si>
  <si>
    <r>
      <rPr>
        <rFont val="Times New Roman"/>
        <color theme="1"/>
        <sz val="7.0"/>
      </rPr>
      <t>Direksi</t>
    </r>
  </si>
  <si>
    <r>
      <rPr>
        <rFont val="Times New Roman"/>
        <color theme="1"/>
        <sz val="7.0"/>
      </rPr>
      <t>Direksi</t>
    </r>
  </si>
  <si>
    <r>
      <rPr>
        <rFont val="Times New Roman"/>
        <color theme="1"/>
        <sz val="7.0"/>
      </rPr>
      <t>Kontrak pasca pens</t>
    </r>
  </si>
  <si>
    <r>
      <rPr>
        <rFont val="Times New Roman"/>
        <color theme="1"/>
        <sz val="7.0"/>
      </rPr>
      <t>KEN PUDIASTUTI</t>
    </r>
  </si>
  <si>
    <r>
      <rPr>
        <rFont val="Times New Roman"/>
        <color theme="1"/>
        <sz val="7.0"/>
      </rPr>
      <t>Staff HC</t>
    </r>
  </si>
  <si>
    <r>
      <rPr>
        <rFont val="Times New Roman"/>
        <color theme="1"/>
        <sz val="7.0"/>
      </rPr>
      <t>K / 3</t>
    </r>
  </si>
  <si>
    <r>
      <rPr>
        <rFont val="Times New Roman"/>
        <color theme="1"/>
        <sz val="7.0"/>
      </rPr>
      <t>MM</t>
    </r>
  </si>
  <si>
    <r>
      <rPr>
        <rFont val="Times New Roman"/>
        <color theme="1"/>
        <sz val="7.0"/>
      </rPr>
      <t>Staff/Operator</t>
    </r>
  </si>
  <si>
    <r>
      <rPr>
        <rFont val="Times New Roman"/>
        <color theme="1"/>
        <sz val="7.0"/>
      </rPr>
      <t>L</t>
    </r>
  </si>
  <si>
    <r>
      <rPr>
        <rFont val="Times New Roman"/>
        <color theme="1"/>
        <sz val="7.0"/>
      </rPr>
      <t>HRD &amp; Umum</t>
    </r>
  </si>
  <si>
    <r>
      <rPr>
        <rFont val="Times New Roman"/>
        <color theme="1"/>
        <sz val="7.0"/>
      </rPr>
      <t>HRD</t>
    </r>
  </si>
  <si>
    <r>
      <rPr>
        <rFont val="Times New Roman"/>
        <color theme="1"/>
        <sz val="7.0"/>
      </rPr>
      <t>Kontrak pasca pens</t>
    </r>
  </si>
  <si>
    <r>
      <rPr>
        <rFont val="Times New Roman"/>
        <color theme="1"/>
        <sz val="7.0"/>
      </rPr>
      <t>KEN PUDIASTUTI</t>
    </r>
  </si>
  <si>
    <r>
      <rPr>
        <rFont val="Times New Roman"/>
        <color theme="1"/>
        <sz val="7.0"/>
      </rPr>
      <t>Staff HC</t>
    </r>
  </si>
  <si>
    <r>
      <rPr>
        <rFont val="Times New Roman"/>
        <color theme="1"/>
        <sz val="7.0"/>
      </rPr>
      <t>TK / 2</t>
    </r>
  </si>
  <si>
    <r>
      <rPr>
        <rFont val="Times New Roman"/>
        <color theme="1"/>
        <sz val="7.0"/>
      </rPr>
      <t>Staff/Operator</t>
    </r>
  </si>
  <si>
    <r>
      <rPr>
        <rFont val="Times New Roman"/>
        <color theme="1"/>
        <sz val="7.0"/>
      </rPr>
      <t>D3</t>
    </r>
  </si>
  <si>
    <r>
      <rPr>
        <rFont val="Times New Roman"/>
        <color theme="1"/>
        <sz val="7.0"/>
      </rPr>
      <t>HRD &amp; Umum</t>
    </r>
  </si>
  <si>
    <r>
      <rPr>
        <rFont val="Times New Roman"/>
        <color theme="1"/>
        <sz val="7.0"/>
      </rPr>
      <t>HRD</t>
    </r>
  </si>
  <si>
    <r>
      <rPr>
        <rFont val="Times New Roman"/>
        <color theme="1"/>
        <sz val="7.0"/>
      </rPr>
      <t>P</t>
    </r>
  </si>
  <si>
    <r>
      <rPr>
        <rFont val="Times New Roman"/>
        <color theme="1"/>
        <sz val="7.0"/>
      </rPr>
      <t>Kontrak pasca pens</t>
    </r>
  </si>
  <si>
    <r>
      <rPr>
        <rFont val="Times New Roman"/>
        <color theme="1"/>
        <sz val="7.0"/>
      </rPr>
      <t>TK / 2</t>
    </r>
  </si>
  <si>
    <r>
      <rPr>
        <rFont val="Times New Roman"/>
        <color theme="1"/>
        <sz val="7.0"/>
      </rPr>
      <t>D3</t>
    </r>
  </si>
  <si>
    <r>
      <rPr>
        <rFont val="Times New Roman"/>
        <color theme="1"/>
        <sz val="7.0"/>
      </rPr>
      <t>P</t>
    </r>
  </si>
  <si>
    <r>
      <rPr>
        <rFont val="Times New Roman"/>
        <color theme="1"/>
        <sz val="7.0"/>
      </rPr>
      <t>NIZAR RIFTADHI PRABANDARU</t>
    </r>
  </si>
  <si>
    <r>
      <rPr>
        <rFont val="Times New Roman"/>
        <color theme="1"/>
        <sz val="7.0"/>
      </rPr>
      <t>IT</t>
    </r>
  </si>
  <si>
    <r>
      <rPr>
        <rFont val="Times New Roman"/>
        <color theme="1"/>
        <sz val="7.0"/>
      </rPr>
      <t>Staff/Operator</t>
    </r>
  </si>
  <si>
    <r>
      <rPr>
        <rFont val="Times New Roman"/>
        <color theme="1"/>
        <sz val="7.0"/>
      </rPr>
      <t>NIZAR RIFTADHI PRABANDARU</t>
    </r>
  </si>
  <si>
    <r>
      <rPr>
        <rFont val="Times New Roman"/>
        <color theme="1"/>
        <sz val="7.0"/>
      </rPr>
      <t>Information Tec</t>
    </r>
  </si>
  <si>
    <r>
      <rPr>
        <rFont val="Times New Roman"/>
        <color theme="1"/>
        <sz val="7.0"/>
      </rPr>
      <t>IT</t>
    </r>
  </si>
  <si>
    <r>
      <rPr>
        <rFont val="Times New Roman"/>
        <color theme="1"/>
        <sz val="7.0"/>
      </rPr>
      <t>IT</t>
    </r>
  </si>
  <si>
    <t>Kontrak 4</t>
  </si>
  <si>
    <r>
      <rPr>
        <rFont val="Times New Roman"/>
        <color theme="1"/>
        <sz val="7.0"/>
      </rPr>
      <t>Staff/Operator</t>
    </r>
  </si>
  <si>
    <r>
      <rPr>
        <rFont val="Times New Roman"/>
        <color theme="1"/>
        <sz val="7.0"/>
      </rPr>
      <t>Information Tec</t>
    </r>
  </si>
  <si>
    <r>
      <rPr>
        <rFont val="Times New Roman"/>
        <color theme="1"/>
        <sz val="7.0"/>
      </rPr>
      <t>IT</t>
    </r>
  </si>
  <si>
    <r>
      <rPr>
        <rFont val="Times New Roman"/>
        <color theme="1"/>
        <sz val="7.0"/>
      </rPr>
      <t>TK / 0</t>
    </r>
  </si>
  <si>
    <r>
      <rPr>
        <rFont val="Times New Roman"/>
        <color theme="1"/>
        <sz val="7.0"/>
      </rPr>
      <t>S1</t>
    </r>
  </si>
  <si>
    <t>‌3578106004990002</t>
  </si>
  <si>
    <r>
      <rPr>
        <rFont val="Times New Roman"/>
        <color theme="1"/>
        <sz val="7.0"/>
      </rPr>
      <t>L</t>
    </r>
  </si>
  <si>
    <r>
      <rPr>
        <rFont val="Times New Roman"/>
        <color theme="1"/>
        <sz val="7.0"/>
      </rPr>
      <t>TK / 0</t>
    </r>
  </si>
  <si>
    <r>
      <rPr>
        <rFont val="Times New Roman"/>
        <color theme="1"/>
        <sz val="7.0"/>
      </rPr>
      <t>S1</t>
    </r>
  </si>
  <si>
    <r>
      <rPr>
        <rFont val="Times New Roman"/>
        <color theme="1"/>
        <sz val="7.0"/>
      </rPr>
      <t>L</t>
    </r>
  </si>
  <si>
    <r>
      <rPr>
        <rFont val="Times New Roman"/>
        <color theme="1"/>
        <sz val="7.0"/>
      </rPr>
      <t>YUDA KRISTANTO</t>
    </r>
  </si>
  <si>
    <r>
      <rPr>
        <rFont val="Times New Roman"/>
        <color theme="1"/>
        <sz val="7.0"/>
      </rPr>
      <t>YUDA KRISTANTO</t>
    </r>
  </si>
  <si>
    <r>
      <rPr>
        <rFont val="Times New Roman"/>
        <color theme="1"/>
        <sz val="7.0"/>
      </rPr>
      <t>Karu Marketing</t>
    </r>
  </si>
  <si>
    <t>AMITA APRILIA  SARI</t>
  </si>
  <si>
    <r>
      <rPr>
        <rFont val="Times New Roman"/>
        <color theme="1"/>
        <sz val="7.0"/>
      </rPr>
      <t>Karu Marketing</t>
    </r>
  </si>
  <si>
    <r>
      <rPr>
        <rFont val="Times New Roman"/>
        <color theme="1"/>
        <sz val="7.0"/>
      </rPr>
      <t>Karu/Wakaru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</si>
  <si>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</si>
  <si>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Karu/Wakaru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</si>
  <si>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</si>
  <si>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</si>
  <si>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Pemasaran</t>
    </r>
  </si>
  <si>
    <t>INVOICING</t>
  </si>
  <si>
    <r>
      <rPr>
        <rFont val="Times New Roman"/>
        <color theme="1"/>
        <sz val="7.0"/>
      </rPr>
      <t>K / 2</t>
    </r>
  </si>
  <si>
    <r>
      <rPr>
        <rFont val="Times New Roman"/>
        <color theme="1"/>
        <sz val="7.0"/>
      </rPr>
      <t>STM</t>
    </r>
  </si>
  <si>
    <r>
      <rPr>
        <rFont val="Times New Roman"/>
        <color theme="1"/>
        <sz val="7.0"/>
      </rPr>
      <t>K / 2</t>
    </r>
  </si>
  <si>
    <r>
      <rPr>
        <rFont val="Times New Roman"/>
        <color theme="1"/>
        <sz val="7.0"/>
      </rPr>
      <t>L</t>
    </r>
  </si>
  <si>
    <r>
      <rPr>
        <rFont val="Times New Roman"/>
        <color theme="1"/>
        <sz val="7.0"/>
      </rPr>
      <t>STM</t>
    </r>
  </si>
  <si>
    <r>
      <rPr>
        <rFont val="Times New Roman"/>
        <color theme="1"/>
        <sz val="7.0"/>
      </rPr>
      <t>L</t>
    </r>
  </si>
  <si>
    <r>
      <rPr>
        <rFont val="Times New Roman"/>
        <color theme="1"/>
        <sz val="7.0"/>
      </rPr>
      <t>MOCHAMMAD RIZQI NOORHIDA</t>
    </r>
  </si>
  <si>
    <r>
      <rPr>
        <rFont val="Times New Roman"/>
        <color theme="1"/>
        <sz val="7.0"/>
      </rPr>
      <t>Marketing Surabaya</t>
    </r>
  </si>
  <si>
    <r>
      <rPr>
        <rFont val="Times New Roman"/>
        <color theme="1"/>
        <sz val="7.0"/>
      </rPr>
      <t>Staff/Operator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</si>
  <si>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</si>
  <si>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</si>
  <si>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MOCHAMMAD RIZQI NOORHIDA</t>
    </r>
  </si>
  <si>
    <r>
      <rPr>
        <rFont val="Times New Roman"/>
        <color theme="1"/>
        <sz val="7.0"/>
      </rPr>
      <t>Marketing Surabaya</t>
    </r>
  </si>
  <si>
    <r>
      <rPr>
        <rFont val="Times New Roman"/>
        <color theme="1"/>
        <sz val="7.0"/>
      </rPr>
      <t>Staff/Operator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</si>
  <si>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</si>
  <si>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TK / 0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</si>
  <si>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</si>
  <si>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S1</t>
    </r>
  </si>
  <si>
    <r>
      <rPr>
        <rFont val="Times New Roman"/>
        <color theme="1"/>
        <sz val="7.0"/>
      </rPr>
      <t>L</t>
    </r>
  </si>
  <si>
    <r>
      <rPr>
        <rFont val="Times New Roman"/>
        <color theme="1"/>
        <sz val="7.0"/>
      </rPr>
      <t>TK / 0</t>
    </r>
  </si>
  <si>
    <r>
      <rPr>
        <rFont val="Times New Roman"/>
        <color theme="1"/>
        <sz val="7.0"/>
      </rPr>
      <t>S1</t>
    </r>
  </si>
  <si>
    <r>
      <rPr>
        <rFont val="Times New Roman"/>
        <color theme="1"/>
        <sz val="7.0"/>
      </rPr>
      <t>YULIA CHALIMATUS SADIAH</t>
    </r>
  </si>
  <si>
    <r>
      <rPr>
        <rFont val="Times New Roman"/>
        <color theme="1"/>
        <sz val="7.0"/>
      </rPr>
      <t>L</t>
    </r>
  </si>
  <si>
    <r>
      <rPr>
        <rFont val="Times New Roman"/>
        <color theme="1"/>
        <sz val="7.0"/>
      </rPr>
      <t>Staff Purchasing</t>
    </r>
  </si>
  <si>
    <r>
      <rPr>
        <rFont val="Times New Roman"/>
        <color theme="1"/>
        <sz val="7.0"/>
      </rPr>
      <t>Staff/Operator</t>
    </r>
  </si>
  <si>
    <r>
      <rPr>
        <rFont val="Times New Roman"/>
        <color theme="1"/>
        <sz val="7.0"/>
      </rPr>
      <t>Pembelian</t>
    </r>
  </si>
  <si>
    <r>
      <rPr>
        <rFont val="Times New Roman"/>
        <color theme="1"/>
        <sz val="7.0"/>
      </rPr>
      <t>Pembelian</t>
    </r>
  </si>
  <si>
    <r>
      <rPr>
        <rFont val="Times New Roman"/>
        <color theme="1"/>
        <sz val="7.0"/>
      </rPr>
      <t>YULIA CHALIMATUS SADIAH</t>
    </r>
  </si>
  <si>
    <r>
      <rPr>
        <rFont val="Times New Roman"/>
        <color theme="1"/>
        <sz val="7.0"/>
      </rPr>
      <t>TK / 0</t>
    </r>
  </si>
  <si>
    <r>
      <rPr>
        <rFont val="Times New Roman"/>
        <color theme="1"/>
        <sz val="7.0"/>
      </rPr>
      <t>Staff Purchasing</t>
    </r>
  </si>
  <si>
    <r>
      <rPr>
        <rFont val="Times New Roman"/>
        <color theme="1"/>
        <sz val="7.0"/>
      </rPr>
      <t>S1</t>
    </r>
  </si>
  <si>
    <t>3515110602950001</t>
  </si>
  <si>
    <r>
      <rPr>
        <rFont val="Times New Roman"/>
        <color theme="1"/>
        <sz val="7.0"/>
      </rPr>
      <t>P</t>
    </r>
  </si>
  <si>
    <t>CHOIRUDIN</t>
  </si>
  <si>
    <r>
      <rPr>
        <rFont val="Times New Roman"/>
        <color theme="1"/>
        <sz val="7.0"/>
      </rPr>
      <t>Staff/Operator</t>
    </r>
  </si>
  <si>
    <r>
      <rPr>
        <rFont val="Times New Roman"/>
        <color theme="1"/>
        <sz val="7.0"/>
      </rPr>
      <t>Pembelian</t>
    </r>
  </si>
  <si>
    <t>GUDANG</t>
  </si>
  <si>
    <r>
      <rPr>
        <rFont val="Times New Roman"/>
        <color theme="1"/>
        <sz val="7.0"/>
      </rPr>
      <t>Pembelian</t>
    </r>
  </si>
  <si>
    <r>
      <rPr>
        <rFont val="Times New Roman"/>
        <color theme="1"/>
        <sz val="7.0"/>
      </rPr>
      <t>HARRY SUYANTO</t>
    </r>
  </si>
  <si>
    <r>
      <rPr>
        <rFont val="Times New Roman"/>
        <color theme="1"/>
        <sz val="7.0"/>
      </rPr>
      <t>Karu Gudang Barang Jadi</t>
    </r>
  </si>
  <si>
    <r>
      <rPr>
        <rFont val="Times New Roman"/>
        <color theme="1"/>
        <sz val="7.0"/>
      </rPr>
      <t>TK / 0</t>
    </r>
  </si>
  <si>
    <r>
      <rPr>
        <rFont val="Times New Roman"/>
        <color theme="1"/>
        <sz val="7.0"/>
      </rPr>
      <t>S1</t>
    </r>
  </si>
  <si>
    <r>
      <rPr>
        <rFont val="Times New Roman"/>
        <color theme="1"/>
        <sz val="7.0"/>
      </rPr>
      <t>Karu/Wakaru</t>
    </r>
  </si>
  <si>
    <r>
      <rPr>
        <rFont val="Times New Roman"/>
        <color theme="1"/>
        <sz val="7.0"/>
      </rPr>
      <t>Product Plannin</t>
    </r>
  </si>
  <si>
    <r>
      <rPr>
        <rFont val="Times New Roman"/>
        <color theme="1"/>
        <sz val="7.0"/>
      </rPr>
      <t>P</t>
    </r>
  </si>
  <si>
    <r>
      <rPr>
        <rFont val="Times New Roman"/>
        <color theme="1"/>
        <sz val="7.0"/>
      </rPr>
      <t>Gudang B.Jadi</t>
    </r>
  </si>
  <si>
    <r>
      <rPr>
        <rFont val="Times New Roman"/>
        <color theme="1"/>
        <sz val="7.0"/>
      </rPr>
      <t>Kontrak pasca pens</t>
    </r>
  </si>
  <si>
    <r>
      <rPr>
        <rFont val="Times New Roman"/>
        <color theme="1"/>
        <sz val="7.0"/>
      </rPr>
      <t>K / 2</t>
    </r>
  </si>
  <si>
    <r>
      <rPr>
        <rFont val="Times New Roman"/>
        <color theme="1"/>
        <sz val="7.0"/>
      </rPr>
      <t>HARRY SUYANTO</t>
    </r>
  </si>
  <si>
    <r>
      <rPr>
        <rFont val="Times New Roman"/>
        <color theme="1"/>
        <sz val="7.0"/>
      </rPr>
      <t>SLTA</t>
    </r>
  </si>
  <si>
    <r>
      <rPr>
        <rFont val="Times New Roman"/>
        <color theme="1"/>
        <sz val="7.0"/>
      </rPr>
      <t>Karu Gudang Barang Jadi</t>
    </r>
  </si>
  <si>
    <r>
      <rPr>
        <rFont val="Times New Roman"/>
        <color theme="1"/>
        <sz val="7.0"/>
      </rPr>
      <t>L</t>
    </r>
  </si>
  <si>
    <r>
      <rPr>
        <rFont val="Times New Roman"/>
        <color theme="1"/>
        <sz val="7.0"/>
      </rPr>
      <t>Karu/Wakaru</t>
    </r>
  </si>
  <si>
    <r>
      <rPr>
        <rFont val="Times New Roman"/>
        <color theme="1"/>
        <sz val="7.0"/>
      </rPr>
      <t>Product Plannin</t>
    </r>
  </si>
  <si>
    <r>
      <rPr>
        <rFont val="Times New Roman"/>
        <color theme="1"/>
        <sz val="7.0"/>
      </rPr>
      <t>Gudang B.Jadi</t>
    </r>
  </si>
  <si>
    <r>
      <rPr>
        <rFont val="Times New Roman"/>
        <color theme="1"/>
        <sz val="7.0"/>
      </rPr>
      <t>Kontrak pasca pens</t>
    </r>
  </si>
  <si>
    <r>
      <rPr>
        <rFont val="Times New Roman"/>
        <color theme="1"/>
        <sz val="7.0"/>
      </rPr>
      <t>IMAM SYAFII</t>
    </r>
  </si>
  <si>
    <r>
      <rPr>
        <rFont val="Times New Roman"/>
        <color theme="1"/>
        <sz val="7.0"/>
      </rPr>
      <t>Karu Marketing Trading</t>
    </r>
  </si>
  <si>
    <r>
      <rPr>
        <rFont val="Times New Roman"/>
        <color theme="1"/>
        <sz val="7.0"/>
      </rPr>
      <t>K / 2</t>
    </r>
  </si>
  <si>
    <r>
      <rPr>
        <rFont val="Times New Roman"/>
        <color theme="1"/>
        <sz val="7.0"/>
      </rPr>
      <t>Karu/Wakaru</t>
    </r>
  </si>
  <si>
    <r>
      <rPr>
        <rFont val="Times New Roman"/>
        <color theme="1"/>
        <sz val="7.0"/>
      </rPr>
      <t>SLTA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</si>
  <si>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</si>
  <si>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L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</si>
  <si>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</si>
  <si>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Tetap</t>
    </r>
  </si>
  <si>
    <t>3578267112990001</t>
  </si>
  <si>
    <r>
      <rPr>
        <rFont val="Times New Roman"/>
        <color theme="1"/>
        <sz val="7.0"/>
      </rPr>
      <t>K / 1</t>
    </r>
  </si>
  <si>
    <r>
      <rPr>
        <rFont val="Times New Roman"/>
        <color theme="1"/>
        <sz val="7.0"/>
      </rPr>
      <t>IMAM SYAFII</t>
    </r>
  </si>
  <si>
    <r>
      <rPr>
        <rFont val="Times New Roman"/>
        <color theme="1"/>
        <sz val="7.0"/>
      </rPr>
      <t>SMK-GF</t>
    </r>
  </si>
  <si>
    <r>
      <rPr>
        <rFont val="Times New Roman"/>
        <color theme="1"/>
        <sz val="7.0"/>
      </rPr>
      <t>Karu Marketing Trading</t>
    </r>
  </si>
  <si>
    <r>
      <rPr>
        <rFont val="Times New Roman"/>
        <color theme="1"/>
        <sz val="7.0"/>
      </rPr>
      <t>L</t>
    </r>
  </si>
  <si>
    <r>
      <rPr>
        <rFont val="Times New Roman"/>
        <color theme="1"/>
        <sz val="7.0"/>
      </rPr>
      <t>Karu/Wakaru</t>
    </r>
  </si>
  <si>
    <t>TASYA SHALSABILA</t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</si>
  <si>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</si>
  <si>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</si>
  <si>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Tetap</t>
    </r>
  </si>
  <si>
    <r>
      <rPr>
        <rFont val="Times New Roman"/>
        <color theme="1"/>
        <sz val="7.0"/>
      </rPr>
      <t>K / 1</t>
    </r>
  </si>
  <si>
    <r>
      <rPr>
        <rFont val="Times New Roman"/>
        <color theme="1"/>
        <sz val="7.0"/>
      </rPr>
      <t>SMK-GF</t>
    </r>
  </si>
  <si>
    <r>
      <rPr>
        <rFont val="Times New Roman"/>
        <color theme="1"/>
        <sz val="7.0"/>
      </rPr>
      <t>L</t>
    </r>
  </si>
  <si>
    <t>INVOICING (RESIGN)</t>
  </si>
  <si>
    <t>YOKO ROMADHON</t>
  </si>
  <si>
    <t>Admin. Marketing</t>
  </si>
  <si>
    <r>
      <rPr>
        <rFont val="Times New Roman"/>
        <color theme="1"/>
        <sz val="7.0"/>
      </rPr>
      <t>Staff/Operator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</si>
  <si>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</si>
  <si>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Pemasaran</t>
    </r>
  </si>
  <si>
    <t>Kontrak 1</t>
  </si>
  <si>
    <t>Adm. SIPLAH &amp; E-KATALOG</t>
  </si>
  <si>
    <r>
      <rPr>
        <rFont val="Times New Roman"/>
        <color theme="1"/>
        <sz val="7.0"/>
      </rPr>
      <t>Staff/Operator</t>
    </r>
  </si>
  <si>
    <r>
      <rPr>
        <rFont val="Times New Roman"/>
        <color theme="1"/>
        <sz val="7.0"/>
      </rPr>
      <t>Pemasaran</t>
    </r>
  </si>
  <si>
    <r>
      <rPr>
        <rFont val="Times New Roman"/>
        <color theme="1"/>
        <sz val="7.0"/>
      </rPr>
      <t>Pemasaran</t>
    </r>
  </si>
  <si>
    <t>3603176409990005</t>
  </si>
  <si>
    <t>WANDA NUR HAMIDAH</t>
  </si>
  <si>
    <t>K / 1</t>
  </si>
  <si>
    <t>D1</t>
  </si>
  <si>
    <t>KASIR</t>
  </si>
  <si>
    <r>
      <rPr>
        <rFont val="Times New Roman"/>
        <color theme="1"/>
        <sz val="7.0"/>
      </rPr>
      <t>L</t>
    </r>
  </si>
  <si>
    <r>
      <rPr>
        <rFont val="Times New Roman"/>
        <color theme="1"/>
        <sz val="7.0"/>
      </rPr>
      <t>L</t>
    </r>
  </si>
  <si>
    <t>‌3578041704000002</t>
  </si>
  <si>
    <t>ADITYA ADHA W</t>
  </si>
  <si>
    <t>3515152106930001</t>
  </si>
  <si>
    <t>ABDULLAH MUHAJID</t>
  </si>
  <si>
    <t>note</t>
  </si>
  <si>
    <t>MARKETING</t>
  </si>
  <si>
    <t>per Februari mutasi Bawen ( Budi Setiawan)</t>
  </si>
  <si>
    <t>3515116302000003</t>
  </si>
  <si>
    <t>IRA NANDA PRATIWI</t>
  </si>
  <si>
    <t>ACCOUNTING</t>
  </si>
  <si>
    <t>3578122102000003</t>
  </si>
  <si>
    <t>LUQMAN RISKY WARDHANA</t>
  </si>
  <si>
    <t>VISTASUSIYANTI</t>
  </si>
  <si>
    <t>MANADO</t>
  </si>
  <si>
    <t>ARIEF</t>
  </si>
  <si>
    <t>SECURITY</t>
  </si>
  <si>
    <t>RULLY</t>
  </si>
  <si>
    <t>CLEANING</t>
  </si>
  <si>
    <t>TOTAL</t>
  </si>
  <si>
    <t>MARKETING DIGITAL</t>
  </si>
  <si>
    <t>1 KONTRAK</t>
  </si>
  <si>
    <t>MARKETING FREELANCE</t>
  </si>
  <si>
    <t>1 OS</t>
  </si>
  <si>
    <t>pengganti p. Budi S</t>
  </si>
  <si>
    <t>PERIODE 21 AGS - 20 SEPT 2024</t>
  </si>
  <si>
    <t>ANDHIKA PRATAMA</t>
  </si>
  <si>
    <t>PENAGIHAN</t>
  </si>
  <si>
    <t>BEST YAN'T</t>
  </si>
  <si>
    <t>RAHMAT FAUZI</t>
  </si>
  <si>
    <t>OS TIDAK TETAP</t>
  </si>
  <si>
    <t xml:space="preserve"> </t>
  </si>
  <si>
    <t>DATA TAHUN 2025</t>
  </si>
  <si>
    <t>DEPARTEMEN</t>
  </si>
  <si>
    <t>POSISI</t>
  </si>
  <si>
    <t>RESUME UPDATE KARYAWAN PER SEPTEMBER 2025</t>
  </si>
  <si>
    <t>KEBUTUHAN</t>
  </si>
  <si>
    <t>EXISTING</t>
  </si>
  <si>
    <t>SELISIH SDM</t>
  </si>
  <si>
    <t>Tetap Fix</t>
  </si>
  <si>
    <t>Kontrak Fix</t>
  </si>
  <si>
    <t>OS Fix</t>
  </si>
  <si>
    <t>OS Variabel</t>
  </si>
  <si>
    <t>TOTAL KEBUTUHAN (Jumlah)</t>
  </si>
  <si>
    <t>TOTAL KEBUTUHAN (Nominal)</t>
  </si>
  <si>
    <t>TETAP</t>
  </si>
  <si>
    <t>KONTRAK</t>
  </si>
  <si>
    <t>TOTAL EXISTING (Jumlah)</t>
  </si>
  <si>
    <t>OUTS.TETAP</t>
  </si>
  <si>
    <t>OUTS. TDK TETAP</t>
  </si>
  <si>
    <t>TOTAL KEBUTUHAN</t>
  </si>
  <si>
    <t>TOTAL EXISTING (Nominal)</t>
  </si>
  <si>
    <t>TOTAL EXISTING</t>
  </si>
  <si>
    <t>DIREKSI/GM</t>
  </si>
  <si>
    <t>GM</t>
  </si>
  <si>
    <t>DIREKSI</t>
  </si>
  <si>
    <t>DIREKTUR</t>
  </si>
  <si>
    <t>HRD UMUM</t>
  </si>
  <si>
    <t>KARU HRD/UMUM</t>
  </si>
  <si>
    <t>DIREKSI/MANAGER</t>
  </si>
  <si>
    <t>STAFF HRD</t>
  </si>
  <si>
    <t>STAFF UMUM</t>
  </si>
  <si>
    <t>ACCOUNTING/FINANCE</t>
  </si>
  <si>
    <t>HRD</t>
  </si>
  <si>
    <t>PEMASARAN</t>
  </si>
  <si>
    <t>KADIV</t>
  </si>
  <si>
    <t>KARU</t>
  </si>
  <si>
    <t>UMUM</t>
  </si>
  <si>
    <t>ADMIN SIPLAH &amp; E-KATALOG</t>
  </si>
  <si>
    <t>IT</t>
  </si>
  <si>
    <t>STAFF IT</t>
  </si>
  <si>
    <t xml:space="preserve">PPIC </t>
  </si>
  <si>
    <t>KADIV PPIC</t>
  </si>
  <si>
    <t>KARU PPIC</t>
  </si>
  <si>
    <t>STAFF PPIC</t>
  </si>
  <si>
    <t>KARU GUDANG</t>
  </si>
  <si>
    <t>PPIC</t>
  </si>
  <si>
    <t>STAFF GBJ &amp; EKSPEDISI</t>
  </si>
  <si>
    <t>ACC &amp; FINANCE</t>
  </si>
  <si>
    <t>KADIV ACC/FIN</t>
  </si>
  <si>
    <t>KARU ACC/FIN</t>
  </si>
  <si>
    <t>STAFF ACCOUNTING</t>
  </si>
  <si>
    <t>PEMBELIAN</t>
  </si>
  <si>
    <t>KEUANGAN/ KASIR</t>
  </si>
  <si>
    <t>TOTAL PER STATUS</t>
  </si>
  <si>
    <t>PIUTANG</t>
  </si>
  <si>
    <t>BIAYA GAJI PER BULAN</t>
  </si>
  <si>
    <t>STAFF</t>
  </si>
  <si>
    <t>TOTAL SDM</t>
  </si>
  <si>
    <t>Gaji OS</t>
  </si>
  <si>
    <t>BIAYA GAJI PER BULAN DIM 2025</t>
  </si>
  <si>
    <t>SDM</t>
  </si>
  <si>
    <t>Kontrak</t>
  </si>
  <si>
    <t>Outsourcing</t>
  </si>
  <si>
    <t>Gaji Saja</t>
  </si>
  <si>
    <t>Per Bulan</t>
  </si>
  <si>
    <t>THR</t>
  </si>
  <si>
    <t>BPJS (Perusahaan)</t>
  </si>
  <si>
    <t>Rawat Jalan</t>
  </si>
  <si>
    <t>Rawat Inap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</si>
</sst>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_-* #,##0_-;\-* #,##0_-;_-* &quot;-&quot;_-;_-@"/>
    <numFmt numFmtId="165" formatCode="0000000"/>
    <numFmt numFmtId="166" formatCode="dd\-mmm\-yy"/>
    <numFmt numFmtId="167" formatCode="_(* #,##0_);_(* \(#,##0\);_(* &quot;-&quot;_);_(@_)"/>
    <numFmt numFmtId="168" formatCode="_(* #,##0.0_);_(* \(#,##0.0\);_(* &quot;-&quot;??_);_(@_)"/>
    <numFmt numFmtId="169" formatCode="_(* #,##0_);_(* \(#,##0\);_(* &quot;-&quot;??_);_(@_)"/>
    <numFmt numFmtId="170" formatCode="[$-409]d\-mmm\-yy"/>
    <numFmt numFmtId="171" formatCode="[$-421]dd\ mmmm\ yyyy"/>
    <numFmt numFmtId="172" formatCode="#,###_);\(#,###\)"/>
    <numFmt numFmtId="173" formatCode="_-* #,##0_-;\-* #,##0_-;_-* &quot;-&quot;??_-;_-@"/>
  </numFmts>
  <fonts count="24">
    <font>
      <sz val="10.0"/>
      <color rgb="FF000000"/>
      <name val="Times New Roman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0.0"/>
      <color rgb="FF000000"/>
      <name val="Times New Roman"/>
    </font>
    <font/>
    <font>
      <sz val="10.0"/>
      <color rgb="FF000000"/>
      <name val="Times New Roman"/>
    </font>
    <font>
      <b/>
      <sz val="8.0"/>
      <color theme="1"/>
      <name val="Times New Roman"/>
    </font>
    <font>
      <b/>
      <sz val="8.0"/>
      <color rgb="FF000000"/>
      <name val="Times New Roman"/>
    </font>
    <font>
      <sz val="7.0"/>
      <color rgb="FF000000"/>
      <name val="Times New Roman"/>
    </font>
    <font>
      <sz val="7.0"/>
      <color theme="1"/>
      <name val="Times New Roman"/>
    </font>
    <font>
      <sz val="11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b/>
      <sz val="12.0"/>
      <color theme="1"/>
      <name val="Calibri"/>
    </font>
    <font>
      <b/>
      <sz val="10.0"/>
      <color rgb="FF000000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  <font>
      <b/>
      <sz val="10.0"/>
      <color rgb="FF000000"/>
      <name val="Roboto"/>
    </font>
    <font>
      <b/>
      <sz val="10.0"/>
      <color theme="1"/>
      <name val="Quattrocento Sans"/>
    </font>
    <font>
      <sz val="10.0"/>
      <color theme="1"/>
      <name val="Quattrocento Sans"/>
    </font>
  </fonts>
  <fills count="12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D6E3BC"/>
        <bgColor rgb="FFD6E3BC"/>
      </patternFill>
    </fill>
    <fill>
      <patternFill patternType="solid">
        <fgColor rgb="FFDAEEF3"/>
        <bgColor rgb="FFDAEEF3"/>
      </patternFill>
    </fill>
    <fill>
      <patternFill patternType="solid">
        <fgColor rgb="FFB6DDE8"/>
        <bgColor rgb="FFB6DDE8"/>
      </patternFill>
    </fill>
    <fill>
      <patternFill patternType="solid">
        <fgColor rgb="FFB8CCE4"/>
        <bgColor rgb="FFB8CCE4"/>
      </patternFill>
    </fill>
    <fill>
      <patternFill patternType="solid">
        <fgColor rgb="FFFFC000"/>
        <bgColor rgb="FFFFC000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1" fillId="0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0" fillId="0" fontId="2" numFmtId="3" xfId="0" applyAlignment="1" applyFont="1" applyNumberFormat="1">
      <alignment horizontal="left" vertical="bottom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2" fillId="2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left" vertical="top"/>
    </xf>
    <xf borderId="3" fillId="2" fontId="5" numFmtId="0" xfId="0" applyAlignment="1" applyBorder="1" applyFill="1" applyFont="1">
      <alignment horizontal="center" vertical="center"/>
    </xf>
    <xf borderId="4" fillId="0" fontId="7" numFmtId="0" xfId="0" applyAlignment="1" applyBorder="1" applyFont="1">
      <alignment horizontal="left" vertical="top"/>
    </xf>
    <xf borderId="0" fillId="0" fontId="8" numFmtId="0" xfId="0" applyAlignment="1" applyFont="1">
      <alignment horizontal="left" vertical="top"/>
    </xf>
    <xf borderId="1" fillId="3" fontId="9" numFmtId="0" xfId="0" applyAlignment="1" applyBorder="1" applyFill="1" applyFont="1">
      <alignment horizontal="center" shrinkToFit="0" vertical="center" wrapText="1"/>
    </xf>
    <xf borderId="5" fillId="0" fontId="7" numFmtId="0" xfId="0" applyAlignment="1" applyBorder="1" applyFont="1">
      <alignment horizontal="left" vertical="top"/>
    </xf>
    <xf borderId="1" fillId="3" fontId="10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shrinkToFit="0" vertical="center" wrapText="1"/>
    </xf>
    <xf borderId="6" fillId="0" fontId="7" numFmtId="0" xfId="0" applyAlignment="1" applyBorder="1" applyFont="1">
      <alignment horizontal="left" vertical="top"/>
    </xf>
    <xf borderId="1" fillId="2" fontId="5" numFmtId="0" xfId="0" applyAlignment="1" applyBorder="1" applyFill="1" applyFont="1">
      <alignment horizontal="center" vertical="center"/>
    </xf>
    <xf borderId="1" fillId="2" fontId="5" numFmtId="164" xfId="0" applyAlignment="1" applyBorder="1" applyFill="1" applyFont="1" applyNumberFormat="1">
      <alignment horizontal="center" vertical="center"/>
    </xf>
    <xf borderId="1" fillId="0" fontId="9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shrinkToFit="0" vertical="center" wrapText="1"/>
    </xf>
    <xf borderId="1" fillId="0" fontId="5" numFmtId="164" xfId="0" applyAlignment="1" applyBorder="1" applyFont="1" applyNumberForma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1" fillId="0" fontId="11" numFmtId="1" xfId="0" applyAlignment="1" applyBorder="1" applyFont="1" applyNumberFormat="1">
      <alignment horizontal="center" shrinkToFit="1" vertical="center" wrapText="0"/>
    </xf>
    <xf borderId="1" fillId="0" fontId="4" numFmtId="0" xfId="0" applyAlignment="1" applyBorder="1" applyFont="1">
      <alignment horizontal="center" vertical="center"/>
    </xf>
    <xf borderId="1" fillId="0" fontId="11" numFmtId="165" xfId="0" applyAlignment="1" applyBorder="1" applyFont="1" applyNumberFormat="1">
      <alignment horizontal="center" shrinkToFit="1" vertical="center" wrapText="0"/>
    </xf>
    <xf quotePrefix="1" borderId="1" fillId="0" fontId="4" numFmtId="1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left" shrinkToFit="0" vertical="center" wrapText="1"/>
    </xf>
    <xf borderId="1" fillId="4" fontId="4" numFmtId="0" xfId="0" applyAlignment="1" applyBorder="1" applyFill="1" applyFont="1">
      <alignment horizontal="left" vertical="center"/>
    </xf>
    <xf borderId="1" fillId="0" fontId="12" numFmtId="0" xfId="0" applyAlignment="1" applyBorder="1" applyFont="1">
      <alignment horizontal="center" shrinkToFit="0" vertical="center" wrapText="1"/>
    </xf>
    <xf borderId="1" fillId="0" fontId="11" numFmtId="166" xfId="0" applyAlignment="1" applyBorder="1" applyFont="1" applyNumberFormat="1">
      <alignment horizontal="center" shrinkToFit="1" vertical="center" wrapText="0"/>
    </xf>
    <xf borderId="1" fillId="0" fontId="11" numFmtId="15" xfId="0" applyAlignment="1" applyBorder="1" applyFont="1" applyNumberFormat="1">
      <alignment horizontal="center" shrinkToFit="1" vertical="center" wrapText="0"/>
    </xf>
    <xf borderId="1" fillId="0" fontId="11" numFmtId="166" xfId="0" applyAlignment="1" applyBorder="1" applyFont="1" applyNumberFormat="1">
      <alignment horizontal="right" shrinkToFit="1" vertical="center" wrapText="0"/>
    </xf>
    <xf borderId="1" fillId="0" fontId="11" numFmtId="15" xfId="0" applyAlignment="1" applyBorder="1" applyFont="1" applyNumberFormat="1">
      <alignment horizontal="right" shrinkToFit="1" vertical="center" wrapText="0"/>
    </xf>
    <xf borderId="1" fillId="0" fontId="8" numFmtId="0" xfId="0" applyAlignment="1" applyBorder="1" applyFont="1">
      <alignment horizontal="left" shrinkToFit="0" vertical="center" wrapText="1"/>
    </xf>
    <xf borderId="1" fillId="0" fontId="4" numFmtId="167" xfId="0" applyAlignment="1" applyBorder="1" applyFont="1" applyNumberFormat="1">
      <alignment horizontal="center" vertical="center"/>
    </xf>
    <xf borderId="1" fillId="5" fontId="11" numFmtId="166" xfId="0" applyAlignment="1" applyBorder="1" applyFill="1" applyFont="1" applyNumberFormat="1">
      <alignment horizontal="center" shrinkToFit="1" vertical="center" wrapText="0"/>
    </xf>
    <xf borderId="1" fillId="0" fontId="4" numFmtId="168" xfId="0" applyAlignment="1" applyBorder="1" applyFont="1" applyNumberFormat="1">
      <alignment horizontal="left" vertical="center"/>
    </xf>
    <xf borderId="1" fillId="0" fontId="8" numFmtId="0" xfId="0" applyAlignment="1" applyBorder="1" applyFont="1">
      <alignment horizontal="center" shrinkToFit="0" vertical="center" wrapText="1"/>
    </xf>
    <xf borderId="1" fillId="0" fontId="4" numFmtId="1" xfId="0" applyAlignment="1" applyBorder="1" applyFont="1" applyNumberFormat="1">
      <alignment horizontal="center" vertical="center"/>
    </xf>
    <xf borderId="1" fillId="6" fontId="4" numFmtId="0" xfId="0" applyAlignment="1" applyBorder="1" applyFill="1" applyFont="1">
      <alignment horizontal="left" vertical="center"/>
    </xf>
    <xf borderId="2" fillId="0" fontId="11" numFmtId="1" xfId="0" applyAlignment="1" applyBorder="1" applyFont="1" applyNumberFormat="1">
      <alignment horizontal="center" shrinkToFit="1" vertical="center" wrapText="0"/>
    </xf>
    <xf borderId="2" fillId="0" fontId="12" numFmtId="0" xfId="0" applyAlignment="1" applyBorder="1" applyFont="1">
      <alignment horizontal="left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" fillId="0" fontId="11" numFmtId="166" xfId="0" applyAlignment="1" applyBorder="1" applyFont="1" applyNumberFormat="1">
      <alignment horizontal="center" shrinkToFit="1" vertical="center" wrapText="0"/>
    </xf>
    <xf borderId="2" fillId="0" fontId="11" numFmtId="166" xfId="0" applyAlignment="1" applyBorder="1" applyFont="1" applyNumberFormat="1">
      <alignment horizontal="left" shrinkToFit="1" vertical="center" wrapText="0"/>
    </xf>
    <xf borderId="2" fillId="0" fontId="8" numFmtId="0" xfId="0" applyAlignment="1" applyBorder="1" applyFont="1">
      <alignment horizontal="center" shrinkToFit="0" vertical="center" wrapText="1"/>
    </xf>
    <xf borderId="2" fillId="0" fontId="11" numFmtId="15" xfId="0" applyAlignment="1" applyBorder="1" applyFont="1" applyNumberFormat="1">
      <alignment horizontal="center" shrinkToFit="1" vertical="center" wrapText="0"/>
    </xf>
    <xf borderId="1" fillId="0" fontId="8" numFmtId="0" xfId="0" applyAlignment="1" applyBorder="1" applyFont="1">
      <alignment horizontal="left" vertical="top"/>
    </xf>
    <xf borderId="2" fillId="0" fontId="11" numFmtId="15" xfId="0" applyAlignment="1" applyBorder="1" applyFont="1" applyNumberFormat="1">
      <alignment horizontal="left" shrinkToFit="1" vertical="center" wrapText="0"/>
    </xf>
    <xf borderId="1" fillId="0" fontId="8" numFmtId="0" xfId="0" applyAlignment="1" applyBorder="1" applyFont="1">
      <alignment horizontal="center" vertical="top"/>
    </xf>
    <xf borderId="7" fillId="5" fontId="6" numFmtId="0" xfId="0" applyAlignment="1" applyBorder="1" applyFill="1" applyFont="1">
      <alignment horizontal="center" vertical="top"/>
    </xf>
    <xf borderId="1" fillId="0" fontId="4" numFmtId="169" xfId="0" applyAlignment="1" applyBorder="1" applyFont="1" applyNumberFormat="1">
      <alignment horizontal="left" vertical="center"/>
    </xf>
    <xf borderId="1" fillId="0" fontId="4" numFmtId="170" xfId="0" applyAlignment="1" applyBorder="1" applyFont="1" applyNumberFormat="1">
      <alignment horizontal="left" vertical="center"/>
    </xf>
    <xf borderId="1" fillId="0" fontId="4" numFmtId="164" xfId="0" applyAlignment="1" applyBorder="1" applyFont="1" applyNumberForma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left" vertical="center"/>
    </xf>
    <xf borderId="1" fillId="0" fontId="5" numFmtId="168" xfId="0" applyAlignment="1" applyBorder="1" applyFont="1" applyNumberFormat="1">
      <alignment horizontal="center" vertical="center"/>
    </xf>
    <xf borderId="1" fillId="0" fontId="5" numFmtId="169" xfId="0" applyAlignment="1" applyBorder="1" applyFont="1" applyNumberFormat="1">
      <alignment horizontal="center" vertical="center"/>
    </xf>
    <xf borderId="0" fillId="0" fontId="13" numFmtId="0" xfId="0" applyAlignment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left" vertical="center"/>
    </xf>
    <xf borderId="1" fillId="0" fontId="4" numFmtId="168" xfId="0" applyAlignment="1" applyBorder="1" applyFont="1" applyNumberFormat="1">
      <alignment horizontal="left" vertical="center"/>
    </xf>
    <xf borderId="1" fillId="0" fontId="4" numFmtId="169" xfId="0" applyAlignment="1" applyBorder="1" applyFont="1" applyNumberFormat="1">
      <alignment horizontal="left" vertical="center"/>
    </xf>
    <xf borderId="1" fillId="0" fontId="4" numFmtId="170" xfId="0" applyAlignment="1" applyBorder="1" applyFont="1" applyNumberFormat="1">
      <alignment horizontal="left" vertical="center"/>
    </xf>
    <xf borderId="1" fillId="0" fontId="14" numFmtId="0" xfId="0" applyAlignment="1" applyBorder="1" applyFont="1">
      <alignment horizontal="center" vertical="center"/>
    </xf>
    <xf borderId="0" fillId="0" fontId="13" numFmtId="0" xfId="0" applyAlignment="1" applyFont="1">
      <alignment horizontal="left" vertical="center"/>
    </xf>
    <xf borderId="0" fillId="0" fontId="15" numFmtId="0" xfId="0" applyAlignment="1" applyFont="1">
      <alignment horizontal="left" vertical="bottom"/>
    </xf>
    <xf borderId="0" fillId="0" fontId="15" numFmtId="171" xfId="0" applyAlignment="1" applyFont="1" applyNumberFormat="1">
      <alignment horizontal="center" vertical="center"/>
    </xf>
    <xf borderId="7" fillId="5" fontId="16" numFmtId="0" xfId="0" applyAlignment="1" applyBorder="1" applyFill="1" applyFont="1">
      <alignment horizontal="left" vertical="bottom"/>
    </xf>
    <xf borderId="7" fillId="5" fontId="15" numFmtId="0" xfId="0" applyAlignment="1" applyBorder="1" applyFill="1" applyFont="1">
      <alignment horizontal="left" vertical="bottom"/>
    </xf>
    <xf borderId="8" fillId="5" fontId="16" numFmtId="0" xfId="0" applyAlignment="1" applyBorder="1" applyFill="1" applyFont="1">
      <alignment horizontal="center" vertical="bottom"/>
    </xf>
    <xf borderId="9" fillId="0" fontId="15" numFmtId="0" xfId="0" applyAlignment="1" applyBorder="1" applyFon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17" numFmtId="0" xfId="0" applyAlignment="1" applyFont="1">
      <alignment horizontal="left" vertical="top"/>
    </xf>
    <xf borderId="10" fillId="0" fontId="16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top"/>
    </xf>
    <xf borderId="11" fillId="0" fontId="16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top"/>
    </xf>
    <xf borderId="12" fillId="7" fontId="16" numFmtId="0" xfId="0" applyAlignment="1" applyBorder="1" applyFill="1" applyFont="1">
      <alignment horizontal="center" vertical="bottom"/>
    </xf>
    <xf borderId="13" fillId="0" fontId="7" numFmtId="0" xfId="0" applyAlignment="1" applyBorder="1" applyFont="1">
      <alignment horizontal="left" vertical="top"/>
    </xf>
    <xf borderId="0" fillId="0" fontId="19" numFmtId="0" xfId="0" applyAlignment="1" applyFont="1">
      <alignment horizontal="left" vertical="top"/>
    </xf>
    <xf borderId="14" fillId="0" fontId="7" numFmtId="0" xfId="0" applyAlignment="1" applyBorder="1" applyFont="1">
      <alignment horizontal="left" vertical="top"/>
    </xf>
    <xf borderId="7" fillId="7" fontId="19" numFmtId="0" xfId="0" applyAlignment="1" applyBorder="1" applyFill="1" applyFont="1">
      <alignment horizontal="center" vertical="top"/>
    </xf>
    <xf borderId="15" fillId="8" fontId="16" numFmtId="0" xfId="0" applyAlignment="1" applyBorder="1" applyFill="1" applyFont="1">
      <alignment horizontal="center" vertical="bottom"/>
    </xf>
    <xf borderId="7" fillId="9" fontId="19" numFmtId="0" xfId="0" applyAlignment="1" applyBorder="1" applyFill="1" applyFont="1">
      <alignment horizontal="center" vertical="top"/>
    </xf>
    <xf borderId="16" fillId="0" fontId="7" numFmtId="0" xfId="0" applyAlignment="1" applyBorder="1" applyFont="1">
      <alignment horizontal="left" vertical="top"/>
    </xf>
    <xf borderId="17" fillId="0" fontId="7" numFmtId="0" xfId="0" applyAlignment="1" applyBorder="1" applyFont="1">
      <alignment horizontal="left" vertical="top"/>
    </xf>
    <xf borderId="3" fillId="0" fontId="6" numFmtId="0" xfId="0" applyAlignment="1" applyBorder="1" applyFont="1">
      <alignment horizontal="center" vertical="top"/>
    </xf>
    <xf borderId="18" fillId="7" fontId="16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left" vertical="top"/>
    </xf>
    <xf borderId="3" fillId="7" fontId="19" numFmtId="0" xfId="0" applyAlignment="1" applyBorder="1" applyFill="1" applyFont="1">
      <alignment horizontal="center" vertical="top"/>
    </xf>
    <xf borderId="2" fillId="7" fontId="16" numFmtId="0" xfId="0" applyAlignment="1" applyBorder="1" applyFill="1" applyFont="1">
      <alignment horizontal="center" shrinkToFit="0" vertical="center" wrapText="1"/>
    </xf>
    <xf borderId="3" fillId="9" fontId="19" numFmtId="0" xfId="0" applyAlignment="1" applyBorder="1" applyFill="1" applyFont="1">
      <alignment horizontal="center" vertical="top"/>
    </xf>
    <xf borderId="18" fillId="8" fontId="16" numFmtId="0" xfId="0" applyAlignment="1" applyBorder="1" applyFill="1" applyFont="1">
      <alignment horizontal="center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1" fillId="10" fontId="1" numFmtId="167" xfId="0" applyAlignment="1" applyBorder="1" applyFill="1" applyFont="1" applyNumberFormat="1">
      <alignment horizontal="center" shrinkToFit="0" vertical="center" wrapText="1"/>
    </xf>
    <xf borderId="2" fillId="8" fontId="16" numFmtId="0" xfId="0" applyAlignment="1" applyBorder="1" applyFill="1" applyFont="1">
      <alignment horizontal="center" shrinkToFit="0" vertical="center" wrapText="1"/>
    </xf>
    <xf borderId="1" fillId="5" fontId="1" numFmtId="167" xfId="0" applyAlignment="1" applyBorder="1" applyFill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7" fontId="1" numFmtId="167" xfId="0" applyAlignment="1" applyBorder="1" applyFill="1" applyFont="1" applyNumberFormat="1">
      <alignment horizontal="center" shrinkToFit="0" vertical="center" wrapText="1"/>
    </xf>
    <xf borderId="19" fillId="0" fontId="7" numFmtId="0" xfId="0" applyAlignment="1" applyBorder="1" applyFont="1">
      <alignment horizontal="left" vertical="top"/>
    </xf>
    <xf borderId="1" fillId="9" fontId="1" numFmtId="0" xfId="0" applyAlignment="1" applyBorder="1" applyFill="1" applyFont="1">
      <alignment horizontal="center" shrinkToFit="0" vertical="center" wrapText="1"/>
    </xf>
    <xf borderId="1" fillId="9" fontId="1" numFmtId="167" xfId="0" applyAlignment="1" applyBorder="1" applyFill="1" applyFont="1" applyNumberFormat="1">
      <alignment horizontal="center" shrinkToFit="0" vertical="center" wrapText="1"/>
    </xf>
    <xf borderId="1" fillId="0" fontId="16" numFmtId="0" xfId="0" applyAlignment="1" applyBorder="1" applyFont="1">
      <alignment horizontal="left" vertical="center"/>
    </xf>
    <xf borderId="20" fillId="0" fontId="16" numFmtId="0" xfId="0" applyAlignment="1" applyBorder="1" applyFont="1">
      <alignment horizontal="left" vertical="center"/>
    </xf>
    <xf borderId="1" fillId="0" fontId="2" numFmtId="172" xfId="0" applyAlignment="1" applyBorder="1" applyFont="1" applyNumberFormat="1">
      <alignment horizontal="center" vertical="center"/>
    </xf>
    <xf borderId="1" fillId="7" fontId="16" numFmtId="172" xfId="0" applyAlignment="1" applyBorder="1" applyFill="1" applyFont="1" applyNumberFormat="1">
      <alignment horizontal="center" vertical="center"/>
    </xf>
    <xf borderId="1" fillId="8" fontId="16" numFmtId="172" xfId="0" applyAlignment="1" applyBorder="1" applyFill="1" applyFont="1" applyNumberFormat="1">
      <alignment horizontal="center" vertical="center"/>
    </xf>
    <xf borderId="1" fillId="0" fontId="1" numFmtId="172" xfId="0" applyAlignment="1" applyBorder="1" applyFont="1" applyNumberFormat="1">
      <alignment horizontal="center" vertical="center"/>
    </xf>
    <xf borderId="0" fillId="0" fontId="1" numFmtId="172" xfId="0" applyAlignment="1" applyFont="1" applyNumberFormat="1">
      <alignment horizontal="center" vertical="bottom"/>
    </xf>
    <xf borderId="0" fillId="0" fontId="6" numFmtId="172" xfId="0" applyAlignment="1" applyFont="1" applyNumberFormat="1">
      <alignment horizontal="center" vertical="top"/>
    </xf>
    <xf borderId="21" fillId="0" fontId="16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0" fillId="0" fontId="8" numFmtId="164" xfId="0" applyAlignment="1" applyFont="1" applyNumberFormat="1">
      <alignment horizontal="left" vertical="top"/>
    </xf>
    <xf borderId="1" fillId="5" fontId="1" numFmtId="0" xfId="0" applyAlignment="1" applyBorder="1" applyFill="1" applyFont="1">
      <alignment horizontal="center" vertical="bottom"/>
    </xf>
    <xf borderId="1" fillId="5" fontId="1" numFmtId="172" xfId="0" applyAlignment="1" applyBorder="1" applyFill="1" applyFont="1" applyNumberFormat="1">
      <alignment horizontal="center" vertical="center"/>
    </xf>
    <xf borderId="0" fillId="0" fontId="20" numFmtId="0" xfId="0" applyAlignment="1" applyFont="1">
      <alignment horizontal="center" vertical="bottom"/>
    </xf>
    <xf borderId="1" fillId="5" fontId="20" numFmtId="0" xfId="0" applyAlignment="1" applyBorder="1" applyFill="1" applyFont="1">
      <alignment horizontal="center" vertical="bottom"/>
    </xf>
    <xf borderId="1" fillId="7" fontId="1" numFmtId="164" xfId="0" applyAlignment="1" applyBorder="1" applyFill="1" applyFont="1" applyNumberFormat="1">
      <alignment horizontal="center" vertical="bottom"/>
    </xf>
    <xf borderId="1" fillId="9" fontId="1" numFmtId="164" xfId="0" applyAlignment="1" applyBorder="1" applyFill="1" applyFont="1" applyNumberFormat="1">
      <alignment horizontal="center" vertical="bottom"/>
    </xf>
    <xf borderId="1" fillId="0" fontId="21" numFmtId="3" xfId="0" applyAlignment="1" applyBorder="1" applyFont="1" applyNumberFormat="1">
      <alignment horizontal="center" vertical="top"/>
    </xf>
    <xf borderId="22" fillId="11" fontId="16" numFmtId="0" xfId="0" applyAlignment="1" applyBorder="1" applyFill="1" applyFont="1">
      <alignment horizontal="left" vertical="center"/>
    </xf>
    <xf borderId="23" fillId="11" fontId="16" numFmtId="0" xfId="0" applyAlignment="1" applyBorder="1" applyFill="1" applyFont="1">
      <alignment horizontal="left" vertical="center"/>
    </xf>
    <xf borderId="23" fillId="11" fontId="16" numFmtId="172" xfId="0" applyAlignment="1" applyBorder="1" applyFill="1" applyFont="1" applyNumberFormat="1">
      <alignment horizontal="center" vertical="center"/>
    </xf>
    <xf borderId="0" fillId="0" fontId="6" numFmtId="173" xfId="0" applyAlignment="1" applyFont="1" applyNumberFormat="1">
      <alignment horizontal="left" vertical="top"/>
    </xf>
    <xf borderId="7" fillId="5" fontId="6" numFmtId="164" xfId="0" applyAlignment="1" applyBorder="1" applyFill="1" applyFont="1" applyNumberFormat="1">
      <alignment horizontal="center" vertical="top"/>
    </xf>
    <xf borderId="7" fillId="5" fontId="6" numFmtId="9" xfId="0" applyAlignment="1" applyBorder="1" applyFill="1" applyFont="1" applyNumberFormat="1">
      <alignment horizontal="center" vertical="top"/>
    </xf>
    <xf borderId="0" fillId="0" fontId="22" numFmtId="0" xfId="0" applyAlignment="1" applyFont="1">
      <alignment horizontal="left" vertical="bottom"/>
    </xf>
    <xf borderId="0" fillId="0" fontId="22" numFmtId="0" xfId="0" applyAlignment="1" applyFont="1">
      <alignment horizontal="center" vertical="bottom"/>
    </xf>
    <xf borderId="0" fillId="0" fontId="22" numFmtId="172" xfId="0" applyAlignment="1" applyFont="1" applyNumberFormat="1">
      <alignment horizontal="center" vertical="bottom"/>
    </xf>
    <xf borderId="2" fillId="0" fontId="22" numFmtId="0" xfId="0" applyAlignment="1" applyBorder="1" applyFont="1">
      <alignment horizontal="center" vertical="bottom"/>
    </xf>
    <xf borderId="0" fillId="0" fontId="16" numFmtId="0" xfId="0" applyAlignment="1" applyFont="1">
      <alignment horizontal="center" vertical="bottom"/>
    </xf>
    <xf borderId="3" fillId="0" fontId="22" numFmtId="0" xfId="0" applyAlignment="1" applyBorder="1" applyFont="1">
      <alignment horizontal="center" vertical="bottom"/>
    </xf>
    <xf borderId="0" fillId="0" fontId="15" numFmtId="173" xfId="0" applyAlignment="1" applyFont="1" applyNumberFormat="1">
      <alignment horizontal="left" vertical="bottom"/>
    </xf>
    <xf borderId="6" fillId="0" fontId="22" numFmtId="0" xfId="0" applyAlignment="1" applyBorder="1" applyFont="1">
      <alignment horizontal="center" vertical="bottom"/>
    </xf>
    <xf borderId="1" fillId="0" fontId="22" numFmtId="0" xfId="0" applyAlignment="1" applyBorder="1" applyFont="1">
      <alignment horizontal="center" vertical="bottom"/>
    </xf>
    <xf borderId="0" fillId="0" fontId="16" numFmtId="173" xfId="0" applyAlignment="1" applyFont="1" applyNumberFormat="1">
      <alignment horizontal="left" vertical="bottom"/>
    </xf>
    <xf borderId="1" fillId="0" fontId="22" numFmtId="0" xfId="0" applyAlignment="1" applyBorder="1" applyFont="1">
      <alignment horizontal="left" vertical="bottom"/>
    </xf>
    <xf borderId="1" fillId="0" fontId="23" numFmtId="172" xfId="0" applyAlignment="1" applyBorder="1" applyFont="1" applyNumberFormat="1">
      <alignment horizontal="center" vertical="bottom"/>
    </xf>
    <xf borderId="1" fillId="0" fontId="23" numFmtId="169" xfId="0" applyAlignment="1" applyBorder="1" applyFont="1" applyNumberFormat="1">
      <alignment horizontal="center" vertical="bottom"/>
    </xf>
    <xf borderId="2" fillId="0" fontId="22" numFmtId="172" xfId="0" applyAlignment="1" applyBorder="1" applyFont="1" applyNumberFormat="1">
      <alignment horizontal="center" vertical="bottom"/>
    </xf>
    <xf borderId="2" fillId="0" fontId="22" numFmtId="169" xfId="0" applyAlignment="1" applyBorder="1" applyFont="1" applyNumberFormat="1">
      <alignment horizontal="center" vertical="bottom"/>
    </xf>
    <xf borderId="1" fillId="0" fontId="22" numFmtId="172" xfId="0" applyAlignment="1" applyBorder="1" applyFont="1" applyNumberFormat="1">
      <alignment horizontal="center" vertical="bottom"/>
    </xf>
    <xf borderId="1" fillId="0" fontId="22" numFmtId="169" xfId="0" applyAlignment="1" applyBorder="1" applyFont="1" applyNumberFormat="1">
      <alignment horizontal="center" vertical="bottom"/>
    </xf>
    <xf borderId="1" fillId="0" fontId="23" numFmtId="0" xfId="0" applyAlignment="1" applyBorder="1" applyFont="1">
      <alignment horizontal="center" vertical="bottom"/>
    </xf>
    <xf borderId="0" fillId="0" fontId="22" numFmtId="169" xfId="0" applyAlignment="1" applyFont="1" applyNumberFormat="1">
      <alignment horizontal="center" vertical="bottom"/>
    </xf>
    <xf borderId="1" fillId="0" fontId="22" numFmtId="0" xfId="0" applyAlignment="1" applyBorder="1" applyFont="1">
      <alignment horizontal="left" vertical="bottom"/>
    </xf>
    <xf borderId="1" fillId="0" fontId="22" numFmtId="169" xfId="0" applyAlignment="1" applyBorder="1" applyFont="1" applyNumberFormat="1">
      <alignment horizontal="left" vertical="bottom"/>
    </xf>
    <xf borderId="0" fillId="0" fontId="23" numFmtId="0" xfId="0" applyAlignment="1" applyFont="1">
      <alignment horizontal="left" vertical="bottom"/>
    </xf>
    <xf borderId="0" fillId="0" fontId="23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7" width="16.86"/>
    <col customWidth="1" min="8" max="8" width="6.14"/>
    <col customWidth="1" min="9" max="9" width="7.43"/>
    <col customWidth="1" min="10" max="11" width="16.86"/>
    <col customWidth="1" min="12" max="12" width="24.43"/>
    <col customWidth="1" min="13" max="13" width="19.0"/>
    <col customWidth="1" min="14" max="26" width="16.86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1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</v>
      </c>
      <c r="B2" s="2" t="s">
        <v>4</v>
      </c>
      <c r="C2" s="2"/>
      <c r="D2" s="2"/>
      <c r="E2" s="2"/>
      <c r="F2" s="2"/>
      <c r="G2" s="2"/>
      <c r="H2" s="2"/>
      <c r="I2" s="2"/>
      <c r="J2" s="2" t="s">
        <v>5</v>
      </c>
      <c r="K2" s="2" t="s">
        <v>6</v>
      </c>
      <c r="L2" s="2" t="s">
        <v>7</v>
      </c>
      <c r="M2" s="2" t="s">
        <v>8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 t="s">
        <v>9</v>
      </c>
      <c r="K3" s="2" t="s">
        <v>10</v>
      </c>
      <c r="L3" s="5">
        <v>1.0E9</v>
      </c>
      <c r="M3" s="5">
        <f t="shared" ref="M3:M7" si="1">L3*12</f>
        <v>12000000000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17</v>
      </c>
      <c r="B4" s="2"/>
      <c r="C4" s="2"/>
      <c r="D4" s="2"/>
      <c r="E4" s="2"/>
      <c r="F4" s="2"/>
      <c r="G4" s="2"/>
      <c r="H4" s="2"/>
      <c r="I4" s="2"/>
      <c r="J4" s="2"/>
      <c r="K4" s="2" t="s">
        <v>19</v>
      </c>
      <c r="L4" s="5">
        <v>1.5E10</v>
      </c>
      <c r="M4" s="5">
        <f t="shared" si="1"/>
        <v>180000000000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22</v>
      </c>
      <c r="B5" s="2"/>
      <c r="C5" s="2"/>
      <c r="D5" s="2"/>
      <c r="E5" s="2"/>
      <c r="F5" s="2"/>
      <c r="G5" s="2"/>
      <c r="H5" s="2"/>
      <c r="I5" s="2"/>
      <c r="J5" s="2"/>
      <c r="K5" s="2" t="s">
        <v>24</v>
      </c>
      <c r="L5" s="5">
        <v>7.0E9</v>
      </c>
      <c r="M5" s="5">
        <f t="shared" si="1"/>
        <v>84000000000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25</v>
      </c>
      <c r="B6" s="2"/>
      <c r="C6" s="2"/>
      <c r="D6" s="2"/>
      <c r="E6" s="2"/>
      <c r="F6" s="2"/>
      <c r="G6" s="2"/>
      <c r="H6" s="2"/>
      <c r="I6" s="2"/>
      <c r="J6" s="2"/>
      <c r="K6" s="2" t="s">
        <v>26</v>
      </c>
      <c r="L6" s="5">
        <v>1.5E9</v>
      </c>
      <c r="M6" s="5">
        <f t="shared" si="1"/>
        <v>18000000000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 t="s">
        <v>27</v>
      </c>
      <c r="L7" s="5">
        <v>4.5E9</v>
      </c>
      <c r="M7" s="5">
        <f t="shared" si="1"/>
        <v>54000000000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5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28</v>
      </c>
      <c r="B9" s="2" t="s">
        <v>29</v>
      </c>
      <c r="C9" s="2"/>
      <c r="D9" s="2"/>
      <c r="E9" s="2"/>
      <c r="F9" s="2"/>
      <c r="G9" s="2"/>
      <c r="H9" s="2"/>
      <c r="I9" s="2"/>
      <c r="J9" s="2"/>
      <c r="K9" s="2"/>
      <c r="L9" s="2"/>
      <c r="M9" s="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 t="s">
        <v>30</v>
      </c>
      <c r="K10" s="2" t="s">
        <v>31</v>
      </c>
      <c r="L10" s="5">
        <v>3.0E9</v>
      </c>
      <c r="M10" s="5">
        <f t="shared" ref="M10:M13" si="2">L10*12</f>
        <v>36000000000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38</v>
      </c>
      <c r="B11" s="2"/>
      <c r="C11" s="2"/>
      <c r="D11" s="2"/>
      <c r="E11" s="2"/>
      <c r="F11" s="2"/>
      <c r="G11" s="2"/>
      <c r="H11" s="2"/>
      <c r="I11" s="2"/>
      <c r="J11" s="2"/>
      <c r="K11" s="2" t="s">
        <v>39</v>
      </c>
      <c r="L11" s="5">
        <v>2.7E9</v>
      </c>
      <c r="M11" s="5">
        <f t="shared" si="2"/>
        <v>32400000000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42</v>
      </c>
      <c r="B12" s="2"/>
      <c r="C12" s="2"/>
      <c r="D12" s="2"/>
      <c r="E12" s="2"/>
      <c r="F12" s="2"/>
      <c r="G12" s="2"/>
      <c r="H12" s="2"/>
      <c r="I12" s="2"/>
      <c r="J12" s="2"/>
      <c r="K12" s="2" t="s">
        <v>45</v>
      </c>
      <c r="L12" s="5">
        <v>2.5E9</v>
      </c>
      <c r="M12" s="5">
        <f t="shared" si="2"/>
        <v>30000000000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 t="s">
        <v>48</v>
      </c>
      <c r="L13" s="5">
        <v>4.0E9</v>
      </c>
      <c r="M13" s="5">
        <f t="shared" si="2"/>
        <v>48000000000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61</v>
      </c>
      <c r="B16" s="2"/>
      <c r="C16" s="2"/>
      <c r="D16" s="2"/>
      <c r="E16" s="2"/>
      <c r="F16" s="2"/>
      <c r="G16" s="2"/>
      <c r="H16" s="2"/>
      <c r="I16" s="2"/>
      <c r="J16" s="2" t="s">
        <v>64</v>
      </c>
      <c r="K16" s="2" t="s">
        <v>65</v>
      </c>
      <c r="L16" s="5">
        <v>2.0E9</v>
      </c>
      <c r="M16" s="5">
        <f t="shared" ref="M16:M17" si="3">L16*12</f>
        <v>24000000000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72</v>
      </c>
      <c r="B17" s="2"/>
      <c r="C17" s="2"/>
      <c r="D17" s="2"/>
      <c r="E17" s="2"/>
      <c r="F17" s="2"/>
      <c r="G17" s="2"/>
      <c r="H17" s="2"/>
      <c r="I17" s="2"/>
      <c r="J17" s="2"/>
      <c r="K17" s="2" t="s">
        <v>73</v>
      </c>
      <c r="L17" s="5">
        <v>1.0E9</v>
      </c>
      <c r="M17" s="5">
        <f t="shared" si="3"/>
        <v>12000000000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74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5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75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5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76</v>
      </c>
      <c r="B20" s="2"/>
      <c r="C20" s="2"/>
      <c r="D20" s="2"/>
      <c r="E20" s="2"/>
      <c r="F20" s="2"/>
      <c r="G20" s="2"/>
      <c r="H20" s="2"/>
      <c r="I20" s="2"/>
      <c r="J20" s="2" t="s">
        <v>77</v>
      </c>
      <c r="K20" s="2" t="s">
        <v>78</v>
      </c>
      <c r="L20" s="5">
        <v>3.0E9</v>
      </c>
      <c r="M20" s="5">
        <f>L20*12</f>
        <v>36000000000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 t="s">
        <v>79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 t="s">
        <v>80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>
        <v>1.0</v>
      </c>
      <c r="J23" s="2" t="s">
        <v>81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>
        <v>2.0</v>
      </c>
      <c r="J24" s="2" t="s">
        <v>82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" t="s">
        <v>84</v>
      </c>
      <c r="B25" s="2"/>
      <c r="C25" s="2"/>
      <c r="D25" s="2"/>
      <c r="E25" s="2"/>
      <c r="F25" s="2"/>
      <c r="G25" s="2"/>
      <c r="H25" s="2"/>
      <c r="I25" s="2">
        <v>3.0</v>
      </c>
      <c r="J25" s="2" t="s">
        <v>86</v>
      </c>
      <c r="K25" s="2"/>
      <c r="L25" s="2"/>
      <c r="M25" s="5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 t="s">
        <v>89</v>
      </c>
      <c r="B26" s="2"/>
      <c r="C26" s="2"/>
      <c r="D26" s="2"/>
      <c r="E26" s="2"/>
      <c r="F26" s="2"/>
      <c r="G26" s="2"/>
      <c r="H26" s="2"/>
      <c r="I26" s="2">
        <v>4.0</v>
      </c>
      <c r="J26" s="2" t="s">
        <v>90</v>
      </c>
      <c r="K26" s="2"/>
      <c r="L26" s="2"/>
      <c r="M26" s="5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>
        <v>5.0</v>
      </c>
      <c r="J27" s="2" t="s">
        <v>104</v>
      </c>
      <c r="K27" s="2"/>
      <c r="L27" s="2"/>
      <c r="M27" s="5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5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" t="s">
        <v>105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 t="s">
        <v>106</v>
      </c>
      <c r="B30" s="2"/>
      <c r="C30" s="2"/>
      <c r="D30" s="2"/>
      <c r="E30" s="2"/>
      <c r="F30" s="2"/>
      <c r="G30" s="2"/>
      <c r="H30" s="2"/>
      <c r="I30" s="2"/>
      <c r="J30" s="1" t="s">
        <v>107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>
        <v>1.0</v>
      </c>
      <c r="J31" s="2" t="s">
        <v>109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>
        <v>2.0</v>
      </c>
      <c r="J32" s="2" t="s">
        <v>110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" t="s">
        <v>112</v>
      </c>
      <c r="B33" s="2"/>
      <c r="C33" s="2"/>
      <c r="D33" s="2"/>
      <c r="E33" s="2"/>
      <c r="F33" s="2"/>
      <c r="G33" s="2"/>
      <c r="H33" s="2"/>
      <c r="I33" s="2">
        <v>3.0</v>
      </c>
      <c r="J33" s="2" t="s">
        <v>114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 t="s">
        <v>115</v>
      </c>
      <c r="B34" s="2"/>
      <c r="C34" s="2"/>
      <c r="D34" s="2"/>
      <c r="E34" s="2"/>
      <c r="F34" s="2"/>
      <c r="G34" s="2"/>
      <c r="H34" s="2"/>
      <c r="I34" s="2">
        <v>4.0</v>
      </c>
      <c r="J34" s="2" t="s">
        <v>116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>
        <v>5.0</v>
      </c>
      <c r="J35" s="2" t="s">
        <v>119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>
        <v>6.0</v>
      </c>
      <c r="J36" s="2" t="s">
        <v>125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8.14"/>
    <col customWidth="1" min="3" max="3" width="26.0"/>
    <col customWidth="1" min="4" max="4" width="28.14"/>
    <col customWidth="1" min="5" max="5" width="12.43"/>
    <col customWidth="1" min="6" max="6" width="13.57"/>
    <col customWidth="1" min="7" max="7" width="12.43"/>
    <col customWidth="1" min="8" max="8" width="16.14"/>
    <col customWidth="1" min="9" max="11" width="9.43"/>
    <col customWidth="1" min="12" max="12" width="13.0"/>
    <col customWidth="1" min="13" max="13" width="10.43"/>
    <col customWidth="1" min="14" max="14" width="9.43"/>
    <col customWidth="1" min="15" max="15" width="11.57"/>
    <col customWidth="1" min="16" max="16" width="4.0"/>
    <col customWidth="1" min="17" max="17" width="12.43"/>
    <col customWidth="1" min="18" max="26" width="8.57"/>
  </cols>
  <sheetData>
    <row r="1" ht="27.0" customHeight="1">
      <c r="A1" s="13" t="s">
        <v>18</v>
      </c>
      <c r="B1" s="13" t="s">
        <v>32</v>
      </c>
      <c r="C1" s="13" t="s">
        <v>33</v>
      </c>
      <c r="D1" s="13" t="s">
        <v>34</v>
      </c>
      <c r="E1" s="13" t="s">
        <v>35</v>
      </c>
      <c r="F1" s="13" t="s">
        <v>36</v>
      </c>
      <c r="G1" s="13" t="s">
        <v>37</v>
      </c>
      <c r="H1" s="15" t="s">
        <v>41</v>
      </c>
      <c r="I1" s="15" t="s">
        <v>46</v>
      </c>
      <c r="J1" s="15" t="s">
        <v>50</v>
      </c>
      <c r="K1" s="15" t="s">
        <v>51</v>
      </c>
      <c r="L1" s="15" t="s">
        <v>53</v>
      </c>
      <c r="M1" s="13" t="s">
        <v>54</v>
      </c>
      <c r="N1" s="13" t="s">
        <v>55</v>
      </c>
      <c r="O1" s="13" t="s">
        <v>57</v>
      </c>
      <c r="P1" s="13" t="s">
        <v>60</v>
      </c>
      <c r="Q1" s="13" t="s">
        <v>66</v>
      </c>
      <c r="R1" s="12"/>
      <c r="S1" s="12"/>
      <c r="T1" s="12"/>
      <c r="U1" s="12"/>
      <c r="V1" s="12"/>
      <c r="W1" s="12"/>
      <c r="X1" s="12"/>
      <c r="Y1" s="12"/>
      <c r="Z1" s="12"/>
    </row>
    <row r="2" ht="9.75" customHeight="1">
      <c r="A2" s="20"/>
      <c r="B2" s="20"/>
      <c r="C2" s="20"/>
      <c r="D2" s="20"/>
      <c r="E2" s="20"/>
      <c r="F2" s="20"/>
      <c r="G2" s="20"/>
      <c r="H2" s="23"/>
      <c r="I2" s="23"/>
      <c r="J2" s="23"/>
      <c r="K2" s="23"/>
      <c r="L2" s="23"/>
      <c r="M2" s="20"/>
      <c r="N2" s="20"/>
      <c r="O2" s="20"/>
      <c r="P2" s="20"/>
      <c r="Q2" s="20"/>
      <c r="R2" s="12"/>
      <c r="S2" s="12"/>
      <c r="T2" s="12"/>
      <c r="U2" s="12"/>
      <c r="V2" s="12"/>
      <c r="W2" s="12"/>
      <c r="X2" s="12"/>
      <c r="Y2" s="12"/>
      <c r="Z2" s="12"/>
    </row>
    <row r="3" ht="13.5" customHeight="1">
      <c r="A3" s="26">
        <v>1.0</v>
      </c>
      <c r="B3" s="26">
        <v>2214699.0</v>
      </c>
      <c r="C3" s="30" t="s">
        <v>85</v>
      </c>
      <c r="D3" s="30" t="s">
        <v>91</v>
      </c>
      <c r="E3" s="30" t="s">
        <v>94</v>
      </c>
      <c r="F3" s="30" t="s">
        <v>96</v>
      </c>
      <c r="G3" s="30" t="s">
        <v>99</v>
      </c>
      <c r="H3" s="32" t="s">
        <v>102</v>
      </c>
      <c r="I3" s="34">
        <v>44562.0</v>
      </c>
      <c r="J3" s="36">
        <v>44562.0</v>
      </c>
      <c r="K3" s="37"/>
      <c r="L3" s="34">
        <v>44562.0</v>
      </c>
      <c r="M3" s="26">
        <v>2022.0</v>
      </c>
      <c r="N3" s="32" t="s">
        <v>108</v>
      </c>
      <c r="O3" s="32" t="s">
        <v>111</v>
      </c>
      <c r="P3" s="32" t="s">
        <v>113</v>
      </c>
      <c r="Q3" s="34">
        <v>35216.0</v>
      </c>
      <c r="R3" s="12"/>
      <c r="S3" s="12"/>
      <c r="T3" s="12"/>
      <c r="U3" s="12"/>
      <c r="V3" s="12"/>
      <c r="W3" s="12"/>
      <c r="X3" s="12"/>
      <c r="Y3" s="12"/>
      <c r="Z3" s="12"/>
    </row>
    <row r="4" ht="13.5" customHeight="1">
      <c r="A4" s="26">
        <v>2.0</v>
      </c>
      <c r="B4" s="28">
        <v>500671.0</v>
      </c>
      <c r="C4" s="30" t="s">
        <v>117</v>
      </c>
      <c r="D4" s="30" t="s">
        <v>118</v>
      </c>
      <c r="E4" s="30" t="s">
        <v>120</v>
      </c>
      <c r="F4" s="30" t="s">
        <v>121</v>
      </c>
      <c r="G4" s="30" t="s">
        <v>122</v>
      </c>
      <c r="H4" s="32" t="s">
        <v>123</v>
      </c>
      <c r="I4" s="34">
        <v>38491.0</v>
      </c>
      <c r="J4" s="36">
        <v>40179.0</v>
      </c>
      <c r="K4" s="37"/>
      <c r="L4" s="34">
        <v>40179.0</v>
      </c>
      <c r="M4" s="26">
        <v>2010.0</v>
      </c>
      <c r="N4" s="32" t="s">
        <v>128</v>
      </c>
      <c r="O4" s="32" t="s">
        <v>129</v>
      </c>
      <c r="P4" s="32" t="s">
        <v>130</v>
      </c>
      <c r="Q4" s="34">
        <v>29775.0</v>
      </c>
      <c r="R4" s="12"/>
      <c r="S4" s="12"/>
      <c r="T4" s="12"/>
      <c r="U4" s="12"/>
      <c r="V4" s="12"/>
      <c r="W4" s="12"/>
      <c r="X4" s="12"/>
      <c r="Y4" s="12"/>
      <c r="Z4" s="12"/>
    </row>
    <row r="5" ht="13.5" customHeight="1">
      <c r="A5" s="26">
        <v>3.0</v>
      </c>
      <c r="B5" s="26">
        <v>2014461.0</v>
      </c>
      <c r="C5" s="30" t="s">
        <v>132</v>
      </c>
      <c r="D5" s="30" t="s">
        <v>134</v>
      </c>
      <c r="E5" s="30" t="s">
        <v>135</v>
      </c>
      <c r="F5" s="30" t="s">
        <v>136</v>
      </c>
      <c r="G5" s="30" t="s">
        <v>137</v>
      </c>
      <c r="H5" s="32" t="s">
        <v>138</v>
      </c>
      <c r="I5" s="34">
        <v>43862.0</v>
      </c>
      <c r="J5" s="36">
        <v>44197.0</v>
      </c>
      <c r="K5" s="37"/>
      <c r="L5" s="34">
        <v>44197.0</v>
      </c>
      <c r="M5" s="26">
        <v>2021.0</v>
      </c>
      <c r="N5" s="32" t="s">
        <v>140</v>
      </c>
      <c r="O5" s="32" t="s">
        <v>142</v>
      </c>
      <c r="P5" s="32" t="s">
        <v>143</v>
      </c>
      <c r="Q5" s="34">
        <v>31263.0</v>
      </c>
      <c r="R5" s="12"/>
      <c r="S5" s="12"/>
      <c r="T5" s="12"/>
      <c r="U5" s="12"/>
      <c r="V5" s="12"/>
      <c r="W5" s="12"/>
      <c r="X5" s="12"/>
      <c r="Y5" s="12"/>
      <c r="Z5" s="12"/>
    </row>
    <row r="6" ht="13.5" customHeight="1">
      <c r="A6" s="26">
        <v>4.0</v>
      </c>
      <c r="B6" s="26">
        <v>2014465.0</v>
      </c>
      <c r="C6" s="30" t="s">
        <v>146</v>
      </c>
      <c r="D6" s="30" t="s">
        <v>147</v>
      </c>
      <c r="E6" s="30" t="s">
        <v>148</v>
      </c>
      <c r="F6" s="30" t="s">
        <v>149</v>
      </c>
      <c r="G6" s="30" t="s">
        <v>150</v>
      </c>
      <c r="H6" s="32" t="s">
        <v>152</v>
      </c>
      <c r="I6" s="34">
        <v>43862.0</v>
      </c>
      <c r="J6" s="36">
        <v>44197.0</v>
      </c>
      <c r="K6" s="37"/>
      <c r="L6" s="34">
        <v>44197.0</v>
      </c>
      <c r="M6" s="26">
        <v>2021.0</v>
      </c>
      <c r="N6" s="32" t="s">
        <v>155</v>
      </c>
      <c r="O6" s="32" t="s">
        <v>156</v>
      </c>
      <c r="P6" s="32" t="s">
        <v>157</v>
      </c>
      <c r="Q6" s="34">
        <v>33940.0</v>
      </c>
      <c r="R6" s="12"/>
      <c r="S6" s="12"/>
      <c r="T6" s="12"/>
      <c r="U6" s="12"/>
      <c r="V6" s="12"/>
      <c r="W6" s="12"/>
      <c r="X6" s="12"/>
      <c r="Y6" s="12"/>
      <c r="Z6" s="12"/>
    </row>
    <row r="7" ht="13.5" customHeight="1">
      <c r="A7" s="26">
        <v>5.0</v>
      </c>
      <c r="B7" s="26">
        <v>1614346.0</v>
      </c>
      <c r="C7" s="30" t="s">
        <v>159</v>
      </c>
      <c r="D7" s="30" t="s">
        <v>161</v>
      </c>
      <c r="E7" s="30" t="s">
        <v>163</v>
      </c>
      <c r="F7" s="30" t="s">
        <v>165</v>
      </c>
      <c r="G7" s="30" t="s">
        <v>167</v>
      </c>
      <c r="H7" s="32" t="s">
        <v>169</v>
      </c>
      <c r="I7" s="34">
        <v>42430.0</v>
      </c>
      <c r="J7" s="36">
        <v>43101.0</v>
      </c>
      <c r="K7" s="37"/>
      <c r="L7" s="34">
        <v>43101.0</v>
      </c>
      <c r="M7" s="26">
        <v>2018.0</v>
      </c>
      <c r="N7" s="32" t="s">
        <v>173</v>
      </c>
      <c r="O7" s="32" t="s">
        <v>174</v>
      </c>
      <c r="P7" s="32" t="s">
        <v>175</v>
      </c>
      <c r="Q7" s="34">
        <v>34482.0</v>
      </c>
      <c r="R7" s="12"/>
      <c r="S7" s="12"/>
      <c r="T7" s="12"/>
      <c r="U7" s="12"/>
      <c r="V7" s="12"/>
      <c r="W7" s="12"/>
      <c r="X7" s="12"/>
      <c r="Y7" s="12"/>
      <c r="Z7" s="12"/>
    </row>
    <row r="8" ht="13.5" customHeight="1">
      <c r="A8" s="26">
        <v>6.0</v>
      </c>
      <c r="B8" s="26">
        <v>2014458.0</v>
      </c>
      <c r="C8" s="30" t="s">
        <v>181</v>
      </c>
      <c r="D8" s="30" t="s">
        <v>183</v>
      </c>
      <c r="E8" s="30" t="s">
        <v>184</v>
      </c>
      <c r="F8" s="30" t="s">
        <v>186</v>
      </c>
      <c r="G8" s="30" t="s">
        <v>189</v>
      </c>
      <c r="H8" s="32" t="s">
        <v>190</v>
      </c>
      <c r="I8" s="34">
        <v>43862.0</v>
      </c>
      <c r="J8" s="36">
        <v>44562.0</v>
      </c>
      <c r="K8" s="34"/>
      <c r="L8" s="41"/>
      <c r="M8" s="41"/>
      <c r="N8" s="32" t="s">
        <v>193</v>
      </c>
      <c r="O8" s="32" t="s">
        <v>195</v>
      </c>
      <c r="P8" s="32" t="s">
        <v>197</v>
      </c>
      <c r="Q8" s="34">
        <v>33409.0</v>
      </c>
      <c r="R8" s="12"/>
      <c r="S8" s="12"/>
      <c r="T8" s="12"/>
      <c r="U8" s="12"/>
      <c r="V8" s="12"/>
      <c r="W8" s="12"/>
      <c r="X8" s="12"/>
      <c r="Y8" s="12"/>
      <c r="Z8" s="12"/>
    </row>
    <row r="9" ht="13.5" customHeight="1">
      <c r="A9" s="26">
        <v>7.0</v>
      </c>
      <c r="B9" s="26">
        <v>2214719.0</v>
      </c>
      <c r="C9" s="30" t="s">
        <v>199</v>
      </c>
      <c r="D9" s="30" t="s">
        <v>200</v>
      </c>
      <c r="E9" s="30" t="s">
        <v>201</v>
      </c>
      <c r="F9" s="30" t="s">
        <v>202</v>
      </c>
      <c r="G9" s="30" t="s">
        <v>204</v>
      </c>
      <c r="H9" s="32" t="s">
        <v>190</v>
      </c>
      <c r="I9" s="34">
        <v>44562.0</v>
      </c>
      <c r="J9" s="36">
        <v>44562.0</v>
      </c>
      <c r="K9" s="34"/>
      <c r="L9" s="41"/>
      <c r="M9" s="41">
        <v>2022.0</v>
      </c>
      <c r="N9" s="32" t="s">
        <v>207</v>
      </c>
      <c r="O9" s="32" t="s">
        <v>208</v>
      </c>
      <c r="P9" s="32" t="s">
        <v>210</v>
      </c>
      <c r="Q9" s="34">
        <v>30782.0</v>
      </c>
      <c r="R9" s="12"/>
      <c r="S9" s="12"/>
      <c r="T9" s="12"/>
      <c r="U9" s="12"/>
      <c r="V9" s="12"/>
      <c r="W9" s="12"/>
      <c r="X9" s="12"/>
      <c r="Y9" s="12"/>
      <c r="Z9" s="12"/>
    </row>
    <row r="10" ht="13.5" customHeight="1">
      <c r="A10" s="26">
        <v>8.0</v>
      </c>
      <c r="B10" s="26">
        <v>2114597.0</v>
      </c>
      <c r="C10" s="30" t="s">
        <v>215</v>
      </c>
      <c r="D10" s="30" t="s">
        <v>216</v>
      </c>
      <c r="E10" s="30" t="s">
        <v>217</v>
      </c>
      <c r="F10" s="30" t="s">
        <v>218</v>
      </c>
      <c r="G10" s="30" t="s">
        <v>220</v>
      </c>
      <c r="H10" s="32" t="s">
        <v>222</v>
      </c>
      <c r="I10" s="34">
        <v>44409.0</v>
      </c>
      <c r="J10" s="36">
        <v>44562.0</v>
      </c>
      <c r="K10" s="34">
        <v>45291.0</v>
      </c>
      <c r="L10" s="41"/>
      <c r="M10" s="41"/>
      <c r="N10" s="32" t="s">
        <v>225</v>
      </c>
      <c r="O10" s="32" t="s">
        <v>227</v>
      </c>
      <c r="P10" s="32" t="s">
        <v>229</v>
      </c>
      <c r="Q10" s="34">
        <v>26589.0</v>
      </c>
      <c r="R10" s="12"/>
      <c r="S10" s="12"/>
      <c r="T10" s="12"/>
      <c r="U10" s="12"/>
      <c r="V10" s="12"/>
      <c r="W10" s="12"/>
      <c r="X10" s="12"/>
      <c r="Y10" s="12"/>
      <c r="Z10" s="12"/>
    </row>
    <row r="11" ht="13.5" customHeight="1">
      <c r="A11" s="26">
        <v>9.0</v>
      </c>
      <c r="B11" s="26">
        <v>2114595.0</v>
      </c>
      <c r="C11" s="30" t="s">
        <v>233</v>
      </c>
      <c r="D11" s="30" t="s">
        <v>234</v>
      </c>
      <c r="E11" s="30" t="s">
        <v>237</v>
      </c>
      <c r="F11" s="30" t="s">
        <v>239</v>
      </c>
      <c r="G11" s="30" t="s">
        <v>240</v>
      </c>
      <c r="H11" s="32" t="s">
        <v>241</v>
      </c>
      <c r="I11" s="34">
        <v>44409.0</v>
      </c>
      <c r="J11" s="36">
        <v>44562.0</v>
      </c>
      <c r="K11" s="34">
        <v>45291.0</v>
      </c>
      <c r="L11" s="41"/>
      <c r="M11" s="41"/>
      <c r="N11" s="32" t="s">
        <v>244</v>
      </c>
      <c r="O11" s="32" t="s">
        <v>246</v>
      </c>
      <c r="P11" s="32" t="s">
        <v>249</v>
      </c>
      <c r="Q11" s="34">
        <v>28094.0</v>
      </c>
      <c r="R11" s="12"/>
      <c r="S11" s="12"/>
      <c r="T11" s="12"/>
      <c r="U11" s="12"/>
      <c r="V11" s="12"/>
      <c r="W11" s="12"/>
      <c r="X11" s="12"/>
      <c r="Y11" s="12"/>
      <c r="Z11" s="12"/>
    </row>
    <row r="12" ht="13.5" customHeight="1">
      <c r="A12" s="26">
        <v>10.0</v>
      </c>
      <c r="B12" s="26">
        <v>2114513.0</v>
      </c>
      <c r="C12" s="30" t="s">
        <v>254</v>
      </c>
      <c r="D12" s="30" t="s">
        <v>255</v>
      </c>
      <c r="E12" s="30" t="s">
        <v>256</v>
      </c>
      <c r="F12" s="30" t="s">
        <v>258</v>
      </c>
      <c r="G12" s="30" t="s">
        <v>260</v>
      </c>
      <c r="H12" s="32" t="s">
        <v>261</v>
      </c>
      <c r="I12" s="34">
        <v>44197.0</v>
      </c>
      <c r="J12" s="36">
        <v>45292.0</v>
      </c>
      <c r="K12" s="34">
        <v>45657.0</v>
      </c>
      <c r="L12" s="41"/>
      <c r="M12" s="41"/>
      <c r="N12" s="32" t="s">
        <v>265</v>
      </c>
      <c r="O12" s="32" t="s">
        <v>266</v>
      </c>
      <c r="P12" s="32" t="s">
        <v>268</v>
      </c>
      <c r="Q12" s="34">
        <v>34777.0</v>
      </c>
      <c r="R12" s="12"/>
      <c r="S12" s="12"/>
      <c r="T12" s="12"/>
      <c r="U12" s="12"/>
      <c r="V12" s="12"/>
      <c r="W12" s="12"/>
      <c r="X12" s="12"/>
      <c r="Y12" s="12"/>
      <c r="Z12" s="12"/>
    </row>
    <row r="13" ht="13.5" customHeight="1">
      <c r="A13" s="26">
        <v>11.0</v>
      </c>
      <c r="B13" s="26">
        <v>2114598.0</v>
      </c>
      <c r="C13" s="30" t="s">
        <v>273</v>
      </c>
      <c r="D13" s="30" t="s">
        <v>276</v>
      </c>
      <c r="E13" s="30" t="s">
        <v>279</v>
      </c>
      <c r="F13" s="30" t="s">
        <v>281</v>
      </c>
      <c r="G13" s="30" t="s">
        <v>282</v>
      </c>
      <c r="H13" s="32" t="s">
        <v>190</v>
      </c>
      <c r="I13" s="34">
        <v>44409.0</v>
      </c>
      <c r="J13" s="36">
        <v>44562.0</v>
      </c>
      <c r="K13" s="34"/>
      <c r="L13" s="41"/>
      <c r="M13" s="41">
        <v>2022.0</v>
      </c>
      <c r="N13" s="32" t="s">
        <v>286</v>
      </c>
      <c r="O13" s="32" t="s">
        <v>288</v>
      </c>
      <c r="P13" s="32" t="s">
        <v>289</v>
      </c>
      <c r="Q13" s="34">
        <v>29392.0</v>
      </c>
      <c r="R13" s="12"/>
      <c r="S13" s="12"/>
      <c r="T13" s="12"/>
      <c r="U13" s="12"/>
      <c r="V13" s="12"/>
      <c r="W13" s="12"/>
      <c r="X13" s="12"/>
      <c r="Y13" s="12"/>
      <c r="Z13" s="12"/>
    </row>
    <row r="14" ht="13.5" customHeight="1">
      <c r="A14" s="26">
        <v>12.0</v>
      </c>
      <c r="B14" s="26">
        <v>2114517.0</v>
      </c>
      <c r="C14" s="30" t="s">
        <v>295</v>
      </c>
      <c r="D14" s="30" t="s">
        <v>296</v>
      </c>
      <c r="E14" s="30" t="s">
        <v>297</v>
      </c>
      <c r="F14" s="30" t="s">
        <v>298</v>
      </c>
      <c r="G14" s="30" t="s">
        <v>300</v>
      </c>
      <c r="H14" s="32" t="s">
        <v>261</v>
      </c>
      <c r="I14" s="34">
        <v>44197.0</v>
      </c>
      <c r="J14" s="36">
        <v>44562.0</v>
      </c>
      <c r="K14" s="34">
        <v>45291.0</v>
      </c>
      <c r="L14" s="41"/>
      <c r="M14" s="41"/>
      <c r="N14" s="32" t="s">
        <v>303</v>
      </c>
      <c r="O14" s="32" t="s">
        <v>304</v>
      </c>
      <c r="P14" s="32" t="s">
        <v>306</v>
      </c>
      <c r="Q14" s="34">
        <v>34547.0</v>
      </c>
      <c r="R14" s="12"/>
      <c r="S14" s="12"/>
      <c r="T14" s="12"/>
      <c r="U14" s="12"/>
      <c r="V14" s="12"/>
      <c r="W14" s="12"/>
      <c r="X14" s="12"/>
      <c r="Y14" s="12"/>
      <c r="Z14" s="12"/>
    </row>
    <row r="15" ht="13.5" customHeight="1">
      <c r="A15" s="26">
        <v>13.0</v>
      </c>
      <c r="B15" s="26">
        <v>2114515.0</v>
      </c>
      <c r="C15" s="30" t="s">
        <v>311</v>
      </c>
      <c r="D15" s="30" t="s">
        <v>313</v>
      </c>
      <c r="E15" s="30" t="s">
        <v>318</v>
      </c>
      <c r="F15" s="30" t="s">
        <v>319</v>
      </c>
      <c r="G15" s="30" t="s">
        <v>321</v>
      </c>
      <c r="H15" s="32" t="s">
        <v>261</v>
      </c>
      <c r="I15" s="34">
        <v>44197.0</v>
      </c>
      <c r="J15" s="36">
        <v>44562.0</v>
      </c>
      <c r="K15" s="34">
        <v>45291.0</v>
      </c>
      <c r="L15" s="41"/>
      <c r="M15" s="41"/>
      <c r="N15" s="32" t="s">
        <v>324</v>
      </c>
      <c r="O15" s="32" t="s">
        <v>325</v>
      </c>
      <c r="P15" s="32" t="s">
        <v>328</v>
      </c>
      <c r="Q15" s="34">
        <v>35250.0</v>
      </c>
      <c r="R15" s="12"/>
      <c r="S15" s="12"/>
      <c r="T15" s="12"/>
      <c r="U15" s="12"/>
      <c r="V15" s="12"/>
      <c r="W15" s="12"/>
      <c r="X15" s="12"/>
      <c r="Y15" s="12"/>
      <c r="Z15" s="12"/>
    </row>
    <row r="16" ht="13.5" customHeight="1">
      <c r="A16" s="26">
        <v>14.0</v>
      </c>
      <c r="B16" s="26">
        <v>2114594.0</v>
      </c>
      <c r="C16" s="30" t="s">
        <v>332</v>
      </c>
      <c r="D16" s="30" t="s">
        <v>334</v>
      </c>
      <c r="E16" s="30" t="s">
        <v>336</v>
      </c>
      <c r="F16" s="30" t="s">
        <v>337</v>
      </c>
      <c r="G16" s="30" t="s">
        <v>338</v>
      </c>
      <c r="H16" s="32" t="s">
        <v>339</v>
      </c>
      <c r="I16" s="34">
        <v>44409.0</v>
      </c>
      <c r="J16" s="36">
        <v>44562.0</v>
      </c>
      <c r="K16" s="34">
        <v>45291.0</v>
      </c>
      <c r="L16" s="41"/>
      <c r="M16" s="41"/>
      <c r="N16" s="32" t="s">
        <v>342</v>
      </c>
      <c r="O16" s="32" t="s">
        <v>344</v>
      </c>
      <c r="P16" s="32" t="s">
        <v>346</v>
      </c>
      <c r="Q16" s="34">
        <v>28332.0</v>
      </c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>
      <c r="A17" s="26">
        <v>15.0</v>
      </c>
      <c r="B17" s="28">
        <v>500257.0</v>
      </c>
      <c r="C17" s="30" t="s">
        <v>351</v>
      </c>
      <c r="D17" s="30" t="s">
        <v>353</v>
      </c>
      <c r="E17" s="30" t="s">
        <v>355</v>
      </c>
      <c r="F17" s="30" t="s">
        <v>357</v>
      </c>
      <c r="G17" s="30" t="s">
        <v>358</v>
      </c>
      <c r="H17" s="32" t="s">
        <v>359</v>
      </c>
      <c r="I17" s="34">
        <v>37409.0</v>
      </c>
      <c r="J17" s="34">
        <v>38481.0</v>
      </c>
      <c r="K17" s="37"/>
      <c r="L17" s="34">
        <v>38481.0</v>
      </c>
      <c r="M17" s="26">
        <v>2005.0</v>
      </c>
      <c r="N17" s="32" t="s">
        <v>360</v>
      </c>
      <c r="O17" s="32" t="s">
        <v>361</v>
      </c>
      <c r="P17" s="32" t="s">
        <v>362</v>
      </c>
      <c r="Q17" s="34">
        <v>30067.0</v>
      </c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>
      <c r="A18" s="26">
        <v>16.0</v>
      </c>
      <c r="B18" s="44">
        <v>2414862.0</v>
      </c>
      <c r="C18" s="45" t="s">
        <v>364</v>
      </c>
      <c r="D18" s="45" t="s">
        <v>370</v>
      </c>
      <c r="E18" s="30" t="s">
        <v>371</v>
      </c>
      <c r="F18" s="30" t="s">
        <v>372</v>
      </c>
      <c r="G18" s="30" t="s">
        <v>373</v>
      </c>
      <c r="H18" s="46" t="s">
        <v>369</v>
      </c>
      <c r="I18" s="50">
        <v>45292.0</v>
      </c>
      <c r="J18" s="50">
        <v>45292.0</v>
      </c>
      <c r="K18" s="52">
        <v>45657.0</v>
      </c>
      <c r="L18" s="49"/>
      <c r="M18" s="49"/>
      <c r="N18" s="46" t="s">
        <v>376</v>
      </c>
      <c r="O18" s="46" t="s">
        <v>377</v>
      </c>
      <c r="P18" s="46" t="s">
        <v>380</v>
      </c>
      <c r="Q18" s="50">
        <v>32268.0</v>
      </c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3"/>
      <c r="M19" s="53"/>
      <c r="N19" s="53"/>
      <c r="O19" s="51"/>
      <c r="P19" s="51"/>
      <c r="Q19" s="53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2"/>
      <c r="B21" s="12"/>
      <c r="C21" s="54" t="s">
        <v>385</v>
      </c>
      <c r="D21" s="12" t="s">
        <v>387</v>
      </c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:$Q$18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8.14"/>
    <col customWidth="1" min="3" max="3" width="26.0"/>
    <col customWidth="1" min="4" max="4" width="28.14"/>
    <col customWidth="1" min="5" max="5" width="12.43"/>
    <col customWidth="1" min="6" max="6" width="13.57"/>
    <col customWidth="1" min="7" max="8" width="12.43"/>
    <col customWidth="1" min="9" max="9" width="16.14"/>
    <col customWidth="1" min="10" max="12" width="9.43"/>
    <col customWidth="1" min="13" max="13" width="13.0"/>
    <col customWidth="1" min="14" max="14" width="10.43"/>
    <col customWidth="1" min="15" max="15" width="9.43"/>
    <col customWidth="1" min="16" max="16" width="11.57"/>
    <col customWidth="1" min="17" max="17" width="4.0"/>
    <col customWidth="1" min="18" max="18" width="12.43"/>
    <col customWidth="1" min="19" max="26" width="9.43"/>
  </cols>
  <sheetData>
    <row r="1" ht="12.75" customHeight="1">
      <c r="A1" s="9" t="s">
        <v>15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2.7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27.0" customHeight="1">
      <c r="A3" s="13" t="s">
        <v>18</v>
      </c>
      <c r="B3" s="13" t="s">
        <v>32</v>
      </c>
      <c r="C3" s="13" t="s">
        <v>33</v>
      </c>
      <c r="D3" s="13" t="s">
        <v>34</v>
      </c>
      <c r="E3" s="13" t="s">
        <v>35</v>
      </c>
      <c r="F3" s="13" t="s">
        <v>36</v>
      </c>
      <c r="G3" s="13" t="s">
        <v>37</v>
      </c>
      <c r="H3" s="13" t="s">
        <v>52</v>
      </c>
      <c r="I3" s="15" t="s">
        <v>56</v>
      </c>
      <c r="J3" s="15" t="s">
        <v>59</v>
      </c>
      <c r="K3" s="15" t="s">
        <v>62</v>
      </c>
      <c r="L3" s="15" t="s">
        <v>67</v>
      </c>
      <c r="M3" s="15" t="s">
        <v>69</v>
      </c>
      <c r="N3" s="13" t="s">
        <v>54</v>
      </c>
      <c r="O3" s="13" t="s">
        <v>55</v>
      </c>
      <c r="P3" s="13" t="s">
        <v>57</v>
      </c>
      <c r="Q3" s="13" t="s">
        <v>60</v>
      </c>
      <c r="R3" s="13" t="s">
        <v>66</v>
      </c>
      <c r="S3" s="12"/>
      <c r="T3" s="12"/>
      <c r="U3" s="12"/>
      <c r="V3" s="12"/>
      <c r="W3" s="12"/>
      <c r="X3" s="12"/>
      <c r="Y3" s="12"/>
      <c r="Z3" s="12"/>
    </row>
    <row r="4" ht="9.75" customHeight="1">
      <c r="A4" s="20"/>
      <c r="B4" s="20"/>
      <c r="C4" s="20"/>
      <c r="D4" s="20"/>
      <c r="E4" s="20"/>
      <c r="F4" s="20"/>
      <c r="G4" s="20"/>
      <c r="H4" s="20"/>
      <c r="I4" s="23"/>
      <c r="J4" s="23"/>
      <c r="K4" s="23"/>
      <c r="L4" s="23"/>
      <c r="M4" s="23"/>
      <c r="N4" s="20"/>
      <c r="O4" s="20"/>
      <c r="P4" s="20"/>
      <c r="Q4" s="20"/>
      <c r="R4" s="20"/>
      <c r="S4" s="12"/>
      <c r="T4" s="12"/>
      <c r="U4" s="12"/>
      <c r="V4" s="12"/>
      <c r="W4" s="12"/>
      <c r="X4" s="12"/>
      <c r="Y4" s="12"/>
      <c r="Z4" s="12"/>
    </row>
    <row r="5" ht="13.5" hidden="1" customHeight="1">
      <c r="A5" s="26">
        <v>1.0</v>
      </c>
      <c r="B5" s="28">
        <v>500671.0</v>
      </c>
      <c r="C5" s="30" t="s">
        <v>87</v>
      </c>
      <c r="D5" s="30" t="s">
        <v>92</v>
      </c>
      <c r="E5" s="30" t="s">
        <v>93</v>
      </c>
      <c r="F5" s="30" t="s">
        <v>95</v>
      </c>
      <c r="G5" s="30" t="s">
        <v>97</v>
      </c>
      <c r="H5" s="30"/>
      <c r="I5" s="32" t="s">
        <v>101</v>
      </c>
      <c r="J5" s="33">
        <v>38491.0</v>
      </c>
      <c r="K5" s="35">
        <v>40179.0</v>
      </c>
      <c r="L5" s="37"/>
      <c r="M5" s="33">
        <v>40179.0</v>
      </c>
      <c r="N5" s="26">
        <v>2010.0</v>
      </c>
      <c r="O5" s="32" t="s">
        <v>124</v>
      </c>
      <c r="P5" s="32" t="s">
        <v>126</v>
      </c>
      <c r="Q5" s="32" t="s">
        <v>127</v>
      </c>
      <c r="R5" s="33">
        <v>29775.0</v>
      </c>
      <c r="S5" s="12"/>
      <c r="T5" s="12"/>
      <c r="U5" s="12"/>
      <c r="V5" s="12"/>
      <c r="W5" s="12"/>
      <c r="X5" s="12"/>
      <c r="Y5" s="12"/>
      <c r="Z5" s="12"/>
    </row>
    <row r="6" ht="13.5" hidden="1" customHeight="1">
      <c r="A6" s="26">
        <v>2.0</v>
      </c>
      <c r="B6" s="26">
        <v>2014461.0</v>
      </c>
      <c r="C6" s="30" t="s">
        <v>131</v>
      </c>
      <c r="D6" s="30" t="s">
        <v>133</v>
      </c>
      <c r="E6" s="30" t="s">
        <v>139</v>
      </c>
      <c r="F6" s="30" t="s">
        <v>141</v>
      </c>
      <c r="G6" s="30" t="s">
        <v>144</v>
      </c>
      <c r="H6" s="30"/>
      <c r="I6" s="32" t="s">
        <v>145</v>
      </c>
      <c r="J6" s="33">
        <v>43862.0</v>
      </c>
      <c r="K6" s="35">
        <v>44197.0</v>
      </c>
      <c r="L6" s="37"/>
      <c r="M6" s="33">
        <v>44197.0</v>
      </c>
      <c r="N6" s="26">
        <v>2021.0</v>
      </c>
      <c r="O6" s="32" t="s">
        <v>151</v>
      </c>
      <c r="P6" s="32" t="s">
        <v>153</v>
      </c>
      <c r="Q6" s="32" t="s">
        <v>154</v>
      </c>
      <c r="R6" s="39">
        <v>31263.0</v>
      </c>
      <c r="S6" s="12"/>
      <c r="T6" s="12"/>
      <c r="U6" s="12"/>
      <c r="V6" s="12"/>
      <c r="W6" s="12"/>
      <c r="X6" s="12"/>
      <c r="Y6" s="12"/>
      <c r="Z6" s="12"/>
    </row>
    <row r="7" ht="13.5" hidden="1" customHeight="1">
      <c r="A7" s="26">
        <v>3.0</v>
      </c>
      <c r="B7" s="26">
        <v>2014465.0</v>
      </c>
      <c r="C7" s="30" t="s">
        <v>158</v>
      </c>
      <c r="D7" s="30" t="s">
        <v>160</v>
      </c>
      <c r="E7" s="30" t="s">
        <v>162</v>
      </c>
      <c r="F7" s="30" t="s">
        <v>164</v>
      </c>
      <c r="G7" s="30" t="s">
        <v>166</v>
      </c>
      <c r="H7" s="30"/>
      <c r="I7" s="32" t="s">
        <v>168</v>
      </c>
      <c r="J7" s="33">
        <v>43862.0</v>
      </c>
      <c r="K7" s="35">
        <v>44197.0</v>
      </c>
      <c r="L7" s="37"/>
      <c r="M7" s="33">
        <v>44197.0</v>
      </c>
      <c r="N7" s="26">
        <v>2021.0</v>
      </c>
      <c r="O7" s="32" t="s">
        <v>170</v>
      </c>
      <c r="P7" s="32" t="s">
        <v>171</v>
      </c>
      <c r="Q7" s="32" t="s">
        <v>172</v>
      </c>
      <c r="R7" s="33">
        <v>33940.0</v>
      </c>
      <c r="S7" s="12"/>
      <c r="T7" s="12"/>
      <c r="U7" s="12"/>
      <c r="V7" s="12"/>
      <c r="W7" s="12"/>
      <c r="X7" s="12"/>
      <c r="Y7" s="12"/>
      <c r="Z7" s="12"/>
    </row>
    <row r="8" ht="13.5" hidden="1" customHeight="1">
      <c r="A8" s="26">
        <v>4.0</v>
      </c>
      <c r="B8" s="26">
        <v>1614346.0</v>
      </c>
      <c r="C8" s="30" t="s">
        <v>176</v>
      </c>
      <c r="D8" s="30" t="s">
        <v>177</v>
      </c>
      <c r="E8" s="30" t="s">
        <v>178</v>
      </c>
      <c r="F8" s="30" t="s">
        <v>179</v>
      </c>
      <c r="G8" s="30" t="s">
        <v>180</v>
      </c>
      <c r="H8" s="30"/>
      <c r="I8" s="32" t="s">
        <v>182</v>
      </c>
      <c r="J8" s="33">
        <v>42430.0</v>
      </c>
      <c r="K8" s="35">
        <v>43101.0</v>
      </c>
      <c r="L8" s="37"/>
      <c r="M8" s="33">
        <v>43101.0</v>
      </c>
      <c r="N8" s="26">
        <v>2018.0</v>
      </c>
      <c r="O8" s="32" t="s">
        <v>185</v>
      </c>
      <c r="P8" s="32" t="s">
        <v>187</v>
      </c>
      <c r="Q8" s="32" t="s">
        <v>188</v>
      </c>
      <c r="R8" s="33">
        <v>34482.0</v>
      </c>
      <c r="S8" s="12"/>
      <c r="T8" s="12"/>
      <c r="U8" s="12"/>
      <c r="V8" s="12"/>
      <c r="W8" s="12"/>
      <c r="X8" s="12"/>
      <c r="Y8" s="12"/>
      <c r="Z8" s="12"/>
    </row>
    <row r="9" ht="13.5" hidden="1" customHeight="1">
      <c r="A9" s="26">
        <v>5.0</v>
      </c>
      <c r="B9" s="26">
        <v>2014458.0</v>
      </c>
      <c r="C9" s="30" t="s">
        <v>191</v>
      </c>
      <c r="D9" s="30" t="s">
        <v>192</v>
      </c>
      <c r="E9" s="30" t="s">
        <v>194</v>
      </c>
      <c r="F9" s="30" t="s">
        <v>196</v>
      </c>
      <c r="G9" s="30" t="s">
        <v>198</v>
      </c>
      <c r="H9" s="30"/>
      <c r="I9" s="32" t="s">
        <v>190</v>
      </c>
      <c r="J9" s="33">
        <v>43862.0</v>
      </c>
      <c r="K9" s="35">
        <v>44562.0</v>
      </c>
      <c r="L9" s="33"/>
      <c r="M9" s="41"/>
      <c r="N9" s="41"/>
      <c r="O9" s="32" t="s">
        <v>203</v>
      </c>
      <c r="P9" s="32" t="s">
        <v>205</v>
      </c>
      <c r="Q9" s="32" t="s">
        <v>206</v>
      </c>
      <c r="R9" s="33">
        <v>33409.0</v>
      </c>
      <c r="S9" s="12"/>
      <c r="T9" s="12"/>
      <c r="U9" s="12"/>
      <c r="V9" s="12"/>
      <c r="W9" s="12"/>
      <c r="X9" s="12"/>
      <c r="Y9" s="12"/>
      <c r="Z9" s="12"/>
    </row>
    <row r="10" ht="13.5" hidden="1" customHeight="1">
      <c r="A10" s="26">
        <v>6.0</v>
      </c>
      <c r="B10" s="26">
        <v>2214719.0</v>
      </c>
      <c r="C10" s="30" t="s">
        <v>209</v>
      </c>
      <c r="D10" s="30" t="s">
        <v>211</v>
      </c>
      <c r="E10" s="30" t="s">
        <v>212</v>
      </c>
      <c r="F10" s="30" t="s">
        <v>213</v>
      </c>
      <c r="G10" s="30" t="s">
        <v>214</v>
      </c>
      <c r="H10" s="30"/>
      <c r="I10" s="32" t="s">
        <v>190</v>
      </c>
      <c r="J10" s="33">
        <v>44562.0</v>
      </c>
      <c r="K10" s="35">
        <v>44562.0</v>
      </c>
      <c r="L10" s="33"/>
      <c r="M10" s="41"/>
      <c r="N10" s="41">
        <v>2022.0</v>
      </c>
      <c r="O10" s="32" t="s">
        <v>219</v>
      </c>
      <c r="P10" s="32" t="s">
        <v>221</v>
      </c>
      <c r="Q10" s="32" t="s">
        <v>223</v>
      </c>
      <c r="R10" s="33">
        <v>30782.0</v>
      </c>
      <c r="S10" s="12"/>
      <c r="T10" s="12"/>
      <c r="U10" s="12"/>
      <c r="V10" s="12"/>
      <c r="W10" s="12"/>
      <c r="X10" s="12"/>
      <c r="Y10" s="12"/>
      <c r="Z10" s="12"/>
    </row>
    <row r="11" ht="13.5" customHeight="1">
      <c r="A11" s="26">
        <v>7.0</v>
      </c>
      <c r="B11" s="26">
        <v>2114597.0</v>
      </c>
      <c r="C11" s="30" t="s">
        <v>224</v>
      </c>
      <c r="D11" s="30" t="s">
        <v>226</v>
      </c>
      <c r="E11" s="30" t="s">
        <v>228</v>
      </c>
      <c r="F11" s="30" t="s">
        <v>230</v>
      </c>
      <c r="G11" s="30" t="s">
        <v>231</v>
      </c>
      <c r="H11" s="30"/>
      <c r="I11" s="32" t="s">
        <v>232</v>
      </c>
      <c r="J11" s="33">
        <v>44409.0</v>
      </c>
      <c r="K11" s="35">
        <v>44562.0</v>
      </c>
      <c r="L11" s="33">
        <v>45291.0</v>
      </c>
      <c r="M11" s="41"/>
      <c r="N11" s="41"/>
      <c r="O11" s="32" t="s">
        <v>235</v>
      </c>
      <c r="P11" s="32" t="s">
        <v>236</v>
      </c>
      <c r="Q11" s="32" t="s">
        <v>238</v>
      </c>
      <c r="R11" s="33">
        <v>26589.0</v>
      </c>
      <c r="S11" s="12"/>
      <c r="T11" s="12"/>
      <c r="U11" s="12"/>
      <c r="V11" s="12"/>
      <c r="W11" s="12"/>
      <c r="X11" s="12"/>
      <c r="Y11" s="12"/>
      <c r="Z11" s="12"/>
    </row>
    <row r="12" ht="13.5" customHeight="1">
      <c r="A12" s="26">
        <v>8.0</v>
      </c>
      <c r="B12" s="26">
        <v>2114595.0</v>
      </c>
      <c r="C12" s="30" t="s">
        <v>242</v>
      </c>
      <c r="D12" s="30" t="s">
        <v>243</v>
      </c>
      <c r="E12" s="30" t="s">
        <v>245</v>
      </c>
      <c r="F12" s="30" t="s">
        <v>247</v>
      </c>
      <c r="G12" s="30" t="s">
        <v>248</v>
      </c>
      <c r="H12" s="30"/>
      <c r="I12" s="32" t="s">
        <v>250</v>
      </c>
      <c r="J12" s="33">
        <v>44409.0</v>
      </c>
      <c r="K12" s="35">
        <v>44562.0</v>
      </c>
      <c r="L12" s="33">
        <v>45291.0</v>
      </c>
      <c r="M12" s="41"/>
      <c r="N12" s="41"/>
      <c r="O12" s="32" t="s">
        <v>251</v>
      </c>
      <c r="P12" s="32" t="s">
        <v>252</v>
      </c>
      <c r="Q12" s="32" t="s">
        <v>253</v>
      </c>
      <c r="R12" s="33">
        <v>28094.0</v>
      </c>
      <c r="S12" s="12"/>
      <c r="T12" s="12"/>
      <c r="U12" s="12"/>
      <c r="V12" s="12"/>
      <c r="W12" s="12"/>
      <c r="X12" s="12"/>
      <c r="Y12" s="12"/>
      <c r="Z12" s="12"/>
    </row>
    <row r="13" ht="13.5" customHeight="1">
      <c r="A13" s="26">
        <v>9.0</v>
      </c>
      <c r="B13" s="26">
        <v>2114513.0</v>
      </c>
      <c r="C13" s="30" t="s">
        <v>257</v>
      </c>
      <c r="D13" s="30" t="s">
        <v>259</v>
      </c>
      <c r="E13" s="30" t="s">
        <v>262</v>
      </c>
      <c r="F13" s="30" t="s">
        <v>263</v>
      </c>
      <c r="G13" s="30" t="s">
        <v>264</v>
      </c>
      <c r="H13" s="30"/>
      <c r="I13" s="32" t="s">
        <v>261</v>
      </c>
      <c r="J13" s="33">
        <v>44197.0</v>
      </c>
      <c r="K13" s="35">
        <v>45292.0</v>
      </c>
      <c r="L13" s="33">
        <v>45657.0</v>
      </c>
      <c r="M13" s="41"/>
      <c r="N13" s="41"/>
      <c r="O13" s="32" t="s">
        <v>269</v>
      </c>
      <c r="P13" s="32" t="s">
        <v>270</v>
      </c>
      <c r="Q13" s="32" t="s">
        <v>271</v>
      </c>
      <c r="R13" s="33">
        <v>34777.0</v>
      </c>
      <c r="S13" s="12"/>
      <c r="T13" s="12"/>
      <c r="U13" s="12"/>
      <c r="V13" s="12"/>
      <c r="W13" s="12"/>
      <c r="X13" s="12"/>
      <c r="Y13" s="12"/>
      <c r="Z13" s="12"/>
    </row>
    <row r="14" ht="13.5" hidden="1" customHeight="1">
      <c r="A14" s="26">
        <v>10.0</v>
      </c>
      <c r="B14" s="26">
        <v>2114598.0</v>
      </c>
      <c r="C14" s="30" t="s">
        <v>272</v>
      </c>
      <c r="D14" s="30" t="s">
        <v>274</v>
      </c>
      <c r="E14" s="30" t="s">
        <v>277</v>
      </c>
      <c r="F14" s="30" t="s">
        <v>278</v>
      </c>
      <c r="G14" s="30" t="s">
        <v>280</v>
      </c>
      <c r="H14" s="30"/>
      <c r="I14" s="32" t="s">
        <v>190</v>
      </c>
      <c r="J14" s="33">
        <v>44409.0</v>
      </c>
      <c r="K14" s="35">
        <v>44562.0</v>
      </c>
      <c r="L14" s="33"/>
      <c r="M14" s="41"/>
      <c r="N14" s="41">
        <v>2022.0</v>
      </c>
      <c r="O14" s="32" t="s">
        <v>284</v>
      </c>
      <c r="P14" s="32" t="s">
        <v>285</v>
      </c>
      <c r="Q14" s="32" t="s">
        <v>287</v>
      </c>
      <c r="R14" s="33">
        <v>29392.0</v>
      </c>
      <c r="S14" s="12"/>
      <c r="T14" s="12"/>
      <c r="U14" s="12"/>
      <c r="V14" s="12"/>
      <c r="W14" s="12"/>
      <c r="X14" s="12"/>
      <c r="Y14" s="12"/>
      <c r="Z14" s="12"/>
    </row>
    <row r="15" ht="13.5" customHeight="1">
      <c r="A15" s="26">
        <v>11.0</v>
      </c>
      <c r="B15" s="26">
        <v>2114517.0</v>
      </c>
      <c r="C15" s="30" t="s">
        <v>290</v>
      </c>
      <c r="D15" s="30" t="s">
        <v>291</v>
      </c>
      <c r="E15" s="30" t="s">
        <v>292</v>
      </c>
      <c r="F15" s="30" t="s">
        <v>293</v>
      </c>
      <c r="G15" s="30" t="s">
        <v>294</v>
      </c>
      <c r="H15" s="30"/>
      <c r="I15" s="32" t="s">
        <v>261</v>
      </c>
      <c r="J15" s="33">
        <v>44197.0</v>
      </c>
      <c r="K15" s="35">
        <v>44562.0</v>
      </c>
      <c r="L15" s="33">
        <v>45291.0</v>
      </c>
      <c r="M15" s="41"/>
      <c r="N15" s="41"/>
      <c r="O15" s="32" t="s">
        <v>299</v>
      </c>
      <c r="P15" s="32" t="s">
        <v>301</v>
      </c>
      <c r="Q15" s="32" t="s">
        <v>302</v>
      </c>
      <c r="R15" s="39">
        <v>34547.0</v>
      </c>
      <c r="S15" s="12"/>
      <c r="T15" s="12"/>
      <c r="U15" s="12"/>
      <c r="V15" s="12"/>
      <c r="W15" s="12"/>
      <c r="X15" s="12"/>
      <c r="Y15" s="12"/>
      <c r="Z15" s="12"/>
    </row>
    <row r="16" ht="13.5" customHeight="1">
      <c r="A16" s="26">
        <v>12.0</v>
      </c>
      <c r="B16" s="26">
        <v>2114515.0</v>
      </c>
      <c r="C16" s="30" t="s">
        <v>305</v>
      </c>
      <c r="D16" s="30" t="s">
        <v>307</v>
      </c>
      <c r="E16" s="30" t="s">
        <v>308</v>
      </c>
      <c r="F16" s="30" t="s">
        <v>309</v>
      </c>
      <c r="G16" s="30" t="s">
        <v>310</v>
      </c>
      <c r="H16" s="30"/>
      <c r="I16" s="32" t="s">
        <v>261</v>
      </c>
      <c r="J16" s="33">
        <v>44197.0</v>
      </c>
      <c r="K16" s="35">
        <v>44562.0</v>
      </c>
      <c r="L16" s="33">
        <v>45291.0</v>
      </c>
      <c r="M16" s="41"/>
      <c r="N16" s="41"/>
      <c r="O16" s="32" t="s">
        <v>312</v>
      </c>
      <c r="P16" s="32" t="s">
        <v>314</v>
      </c>
      <c r="Q16" s="32" t="s">
        <v>316</v>
      </c>
      <c r="R16" s="33">
        <v>35250.0</v>
      </c>
      <c r="S16" s="12"/>
      <c r="T16" s="12"/>
      <c r="U16" s="12"/>
      <c r="V16" s="12"/>
      <c r="W16" s="12"/>
      <c r="X16" s="12"/>
      <c r="Y16" s="12"/>
      <c r="Z16" s="12"/>
    </row>
    <row r="17" ht="13.5" customHeight="1">
      <c r="A17" s="26">
        <v>13.0</v>
      </c>
      <c r="B17" s="26">
        <v>2114594.0</v>
      </c>
      <c r="C17" s="30" t="s">
        <v>322</v>
      </c>
      <c r="D17" s="30" t="s">
        <v>323</v>
      </c>
      <c r="E17" s="30" t="s">
        <v>326</v>
      </c>
      <c r="F17" s="30" t="s">
        <v>327</v>
      </c>
      <c r="G17" s="30" t="s">
        <v>329</v>
      </c>
      <c r="H17" s="30"/>
      <c r="I17" s="32" t="s">
        <v>330</v>
      </c>
      <c r="J17" s="33">
        <v>44409.0</v>
      </c>
      <c r="K17" s="35">
        <v>44562.0</v>
      </c>
      <c r="L17" s="33">
        <v>45291.0</v>
      </c>
      <c r="M17" s="41"/>
      <c r="N17" s="41"/>
      <c r="O17" s="32" t="s">
        <v>331</v>
      </c>
      <c r="P17" s="32" t="s">
        <v>333</v>
      </c>
      <c r="Q17" s="32" t="s">
        <v>335</v>
      </c>
      <c r="R17" s="33">
        <v>28332.0</v>
      </c>
      <c r="S17" s="12"/>
      <c r="T17" s="12"/>
      <c r="U17" s="12"/>
      <c r="V17" s="12"/>
      <c r="W17" s="12"/>
      <c r="X17" s="12"/>
      <c r="Y17" s="12"/>
      <c r="Z17" s="12"/>
    </row>
    <row r="18" ht="12.75" hidden="1" customHeight="1">
      <c r="A18" s="26">
        <v>14.0</v>
      </c>
      <c r="B18" s="28">
        <v>500257.0</v>
      </c>
      <c r="C18" s="30" t="s">
        <v>340</v>
      </c>
      <c r="D18" s="30" t="s">
        <v>341</v>
      </c>
      <c r="E18" s="30" t="s">
        <v>343</v>
      </c>
      <c r="F18" s="30" t="s">
        <v>345</v>
      </c>
      <c r="G18" s="30" t="s">
        <v>347</v>
      </c>
      <c r="H18" s="30"/>
      <c r="I18" s="32" t="s">
        <v>348</v>
      </c>
      <c r="J18" s="33">
        <v>37409.0</v>
      </c>
      <c r="K18" s="33">
        <v>38481.0</v>
      </c>
      <c r="L18" s="37"/>
      <c r="M18" s="33">
        <v>38481.0</v>
      </c>
      <c r="N18" s="26">
        <v>2005.0</v>
      </c>
      <c r="O18" s="32" t="s">
        <v>350</v>
      </c>
      <c r="P18" s="32" t="s">
        <v>352</v>
      </c>
      <c r="Q18" s="32" t="s">
        <v>354</v>
      </c>
      <c r="R18" s="33">
        <v>30067.0</v>
      </c>
      <c r="S18" s="12"/>
      <c r="T18" s="12"/>
      <c r="U18" s="12"/>
      <c r="V18" s="12"/>
      <c r="W18" s="12"/>
      <c r="X18" s="12"/>
      <c r="Y18" s="12"/>
      <c r="Z18" s="12"/>
    </row>
    <row r="19" ht="12.75" customHeight="1">
      <c r="A19" s="26">
        <v>15.0</v>
      </c>
      <c r="B19" s="44">
        <v>2414862.0</v>
      </c>
      <c r="C19" s="45" t="s">
        <v>364</v>
      </c>
      <c r="D19" s="45" t="s">
        <v>365</v>
      </c>
      <c r="E19" s="30" t="s">
        <v>366</v>
      </c>
      <c r="F19" s="30" t="s">
        <v>367</v>
      </c>
      <c r="G19" s="30" t="s">
        <v>368</v>
      </c>
      <c r="H19" s="45"/>
      <c r="I19" s="46" t="s">
        <v>369</v>
      </c>
      <c r="J19" s="47">
        <v>45292.0</v>
      </c>
      <c r="K19" s="47">
        <v>45292.0</v>
      </c>
      <c r="L19" s="48">
        <v>45657.0</v>
      </c>
      <c r="M19" s="49"/>
      <c r="N19" s="49"/>
      <c r="O19" s="46" t="s">
        <v>376</v>
      </c>
      <c r="P19" s="46" t="s">
        <v>377</v>
      </c>
      <c r="Q19" s="46" t="s">
        <v>379</v>
      </c>
      <c r="R19" s="47">
        <v>32268.0</v>
      </c>
      <c r="S19" s="12"/>
      <c r="T19" s="12"/>
      <c r="U19" s="12"/>
      <c r="V19" s="12"/>
      <c r="W19" s="12"/>
      <c r="X19" s="12"/>
      <c r="Y19" s="12"/>
      <c r="Z19" s="12"/>
    </row>
    <row r="20" ht="12.75" customHeight="1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3"/>
      <c r="N20" s="53"/>
      <c r="O20" s="53"/>
      <c r="P20" s="51"/>
      <c r="Q20" s="51"/>
      <c r="R20" s="53"/>
      <c r="S20" s="12"/>
      <c r="T20" s="12"/>
      <c r="U20" s="12"/>
      <c r="V20" s="12"/>
      <c r="W20" s="12"/>
      <c r="X20" s="12"/>
      <c r="Y20" s="12"/>
      <c r="Z20" s="12"/>
    </row>
    <row r="21" ht="12.75" customHeight="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autoFilter ref="$A$4:$R$19">
    <filterColumn colId="8">
      <filters>
        <filter val="Kontrak 1"/>
        <filter val="Kontrak pasca pens"/>
        <filter val="Kontrak 4"/>
      </filters>
    </filterColumn>
  </autoFilter>
  <printOptions/>
  <pageMargins bottom="0.7480314960629921" footer="0.0" header="0.0" left="0.7086614173228347" right="0.7086614173228347" top="0.7480314960629921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/>
  <cols>
    <col customWidth="1" min="1" max="1" width="5.43"/>
    <col customWidth="1" hidden="1" min="2" max="2" width="27.43"/>
    <col customWidth="1" min="3" max="3" width="32.57"/>
    <col customWidth="1" min="4" max="4" width="16.0"/>
    <col customWidth="1" min="5" max="5" width="27.43"/>
    <col customWidth="1" min="6" max="6" width="18.0"/>
    <col customWidth="1" min="7" max="7" width="8.43"/>
    <col customWidth="1" min="8" max="9" width="15.57"/>
    <col customWidth="1" hidden="1" min="10" max="10" width="15.57"/>
    <col customWidth="1" min="11" max="11" width="10.0"/>
    <col customWidth="1" min="12" max="12" width="11.43"/>
    <col customWidth="1" min="13" max="13" width="14.43"/>
    <col customWidth="1" min="14" max="14" width="12.43"/>
    <col customWidth="1" min="15" max="15" width="14.0"/>
    <col customWidth="1" min="16" max="16" width="17.43"/>
    <col customWidth="1" min="17" max="26" width="8.57"/>
  </cols>
  <sheetData>
    <row r="1" ht="15.75" customHeight="1">
      <c r="A1" s="3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3" t="s">
        <v>11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6"/>
      <c r="R2" s="6"/>
      <c r="S2" s="6"/>
      <c r="T2" s="6"/>
      <c r="U2" s="6"/>
      <c r="V2" s="6"/>
      <c r="W2" s="6"/>
      <c r="X2" s="6"/>
      <c r="Y2" s="6"/>
      <c r="Z2" s="6"/>
    </row>
    <row r="3" ht="15.75" customHeight="1">
      <c r="A3" s="3" t="s">
        <v>12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8" t="s">
        <v>13</v>
      </c>
      <c r="B4" s="8" t="s">
        <v>14</v>
      </c>
      <c r="C4" s="8" t="s">
        <v>16</v>
      </c>
      <c r="D4" s="8" t="s">
        <v>6</v>
      </c>
      <c r="E4" s="8" t="s">
        <v>20</v>
      </c>
      <c r="F4" s="8" t="s">
        <v>21</v>
      </c>
      <c r="G4" s="10" t="s">
        <v>23</v>
      </c>
      <c r="H4" s="11"/>
      <c r="I4" s="14"/>
      <c r="J4" s="8" t="s">
        <v>40</v>
      </c>
      <c r="K4" s="10" t="s">
        <v>43</v>
      </c>
      <c r="L4" s="11"/>
      <c r="M4" s="14"/>
      <c r="N4" s="16" t="s">
        <v>44</v>
      </c>
      <c r="O4" s="8" t="s">
        <v>47</v>
      </c>
      <c r="P4" s="8" t="s">
        <v>49</v>
      </c>
      <c r="Q4" s="7"/>
      <c r="R4" s="7"/>
      <c r="S4" s="7"/>
      <c r="T4" s="7"/>
      <c r="U4" s="7"/>
      <c r="V4" s="7"/>
      <c r="W4" s="7"/>
      <c r="X4" s="7"/>
      <c r="Y4" s="7"/>
      <c r="Z4" s="7"/>
    </row>
    <row r="5" ht="17.25" customHeight="1">
      <c r="A5" s="17"/>
      <c r="B5" s="17"/>
      <c r="C5" s="17"/>
      <c r="D5" s="17"/>
      <c r="E5" s="17"/>
      <c r="F5" s="17"/>
      <c r="G5" s="18" t="s">
        <v>58</v>
      </c>
      <c r="H5" s="18" t="s">
        <v>63</v>
      </c>
      <c r="I5" s="18" t="s">
        <v>68</v>
      </c>
      <c r="J5" s="17"/>
      <c r="K5" s="18" t="s">
        <v>70</v>
      </c>
      <c r="L5" s="18" t="s">
        <v>71</v>
      </c>
      <c r="M5" s="19" t="s">
        <v>68</v>
      </c>
      <c r="N5" s="17"/>
      <c r="O5" s="17"/>
      <c r="P5" s="17"/>
      <c r="Q5" s="7"/>
      <c r="R5" s="7"/>
      <c r="S5" s="7"/>
      <c r="T5" s="7"/>
      <c r="U5" s="7"/>
      <c r="V5" s="7"/>
      <c r="W5" s="7"/>
      <c r="X5" s="7"/>
      <c r="Y5" s="7"/>
      <c r="Z5" s="7"/>
    </row>
    <row r="6" ht="17.25" customHeight="1">
      <c r="A6" s="21"/>
      <c r="B6" s="21"/>
      <c r="C6" s="21"/>
      <c r="D6" s="22"/>
      <c r="E6" s="21"/>
      <c r="F6" s="22"/>
      <c r="G6" s="21"/>
      <c r="H6" s="21"/>
      <c r="I6" s="21"/>
      <c r="J6" s="21"/>
      <c r="K6" s="21"/>
      <c r="L6" s="21"/>
      <c r="M6" s="24"/>
      <c r="N6" s="25"/>
      <c r="O6" s="21"/>
      <c r="P6" s="21"/>
      <c r="Q6" s="7"/>
      <c r="R6" s="7"/>
      <c r="S6" s="7"/>
      <c r="T6" s="7"/>
      <c r="U6" s="7"/>
      <c r="V6" s="7"/>
      <c r="W6" s="7"/>
      <c r="X6" s="7"/>
      <c r="Y6" s="7"/>
      <c r="Z6" s="7"/>
    </row>
    <row r="7" ht="17.25" customHeight="1">
      <c r="A7" s="27">
        <v>1.0</v>
      </c>
      <c r="B7" s="29" t="s">
        <v>83</v>
      </c>
      <c r="C7" s="31" t="s">
        <v>88</v>
      </c>
      <c r="D7" s="31" t="s">
        <v>98</v>
      </c>
      <c r="E7" s="4" t="s">
        <v>100</v>
      </c>
      <c r="F7" s="27" t="s">
        <v>103</v>
      </c>
      <c r="G7" s="38">
        <v>19.0</v>
      </c>
      <c r="H7" s="38">
        <v>156800.0</v>
      </c>
      <c r="I7" s="38">
        <v>2979200.0</v>
      </c>
      <c r="J7" s="38" t="str">
        <f t="shared" ref="J7:J10" si="1">+#REF!+I7</f>
        <v>#REF!</v>
      </c>
      <c r="K7" s="40"/>
      <c r="L7" s="38">
        <f t="shared" ref="L7:L16" si="2">+H7*20/173</f>
        <v>18127.16763</v>
      </c>
      <c r="M7" s="38">
        <f t="shared" ref="M7:M15" si="3">+K7*L7</f>
        <v>0</v>
      </c>
      <c r="N7" s="38">
        <v>6250.0</v>
      </c>
      <c r="O7" s="38">
        <v>25000.0</v>
      </c>
      <c r="P7" s="38">
        <f t="shared" ref="P7:P18" si="4">+I7+M7</f>
        <v>2979200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 ht="17.25" customHeight="1">
      <c r="A8" s="27">
        <f t="shared" ref="A8:A15" si="5">+A7+1</f>
        <v>2</v>
      </c>
      <c r="B8" s="42" t="s">
        <v>267</v>
      </c>
      <c r="C8" s="4" t="s">
        <v>275</v>
      </c>
      <c r="D8" s="31" t="s">
        <v>98</v>
      </c>
      <c r="E8" s="4" t="s">
        <v>283</v>
      </c>
      <c r="F8" s="27" t="s">
        <v>103</v>
      </c>
      <c r="G8" s="38">
        <v>19.0</v>
      </c>
      <c r="H8" s="38">
        <v>150000.0</v>
      </c>
      <c r="I8" s="38">
        <v>2850000.0</v>
      </c>
      <c r="J8" s="38" t="str">
        <f t="shared" si="1"/>
        <v>#REF!</v>
      </c>
      <c r="K8" s="40">
        <v>0.0</v>
      </c>
      <c r="L8" s="38">
        <f t="shared" si="2"/>
        <v>17341.04046</v>
      </c>
      <c r="M8" s="38">
        <f t="shared" si="3"/>
        <v>0</v>
      </c>
      <c r="N8" s="38">
        <v>6250.0</v>
      </c>
      <c r="O8" s="38">
        <v>25000.0</v>
      </c>
      <c r="P8" s="38">
        <f t="shared" si="4"/>
        <v>2850000</v>
      </c>
      <c r="Q8" s="6"/>
      <c r="R8" s="6"/>
      <c r="S8" s="6"/>
      <c r="T8" s="6"/>
      <c r="U8" s="6"/>
      <c r="V8" s="6"/>
      <c r="W8" s="6"/>
      <c r="X8" s="6"/>
      <c r="Y8" s="6"/>
      <c r="Z8" s="6"/>
    </row>
    <row r="9" ht="17.25" customHeight="1">
      <c r="A9" s="27">
        <f t="shared" si="5"/>
        <v>3</v>
      </c>
      <c r="B9" s="42" t="s">
        <v>315</v>
      </c>
      <c r="C9" s="4" t="s">
        <v>317</v>
      </c>
      <c r="D9" s="31" t="s">
        <v>98</v>
      </c>
      <c r="E9" s="4" t="s">
        <v>320</v>
      </c>
      <c r="F9" s="27" t="s">
        <v>103</v>
      </c>
      <c r="G9" s="38">
        <v>22.0</v>
      </c>
      <c r="H9" s="38">
        <v>124470.0</v>
      </c>
      <c r="I9" s="38">
        <v>2738340.0</v>
      </c>
      <c r="J9" s="38" t="str">
        <f t="shared" si="1"/>
        <v>#REF!</v>
      </c>
      <c r="K9" s="40">
        <v>3.0</v>
      </c>
      <c r="L9" s="38">
        <f t="shared" si="2"/>
        <v>14389.59538</v>
      </c>
      <c r="M9" s="38">
        <f t="shared" si="3"/>
        <v>43168.78613</v>
      </c>
      <c r="N9" s="38">
        <v>6250.0</v>
      </c>
      <c r="O9" s="38">
        <v>25000.0</v>
      </c>
      <c r="P9" s="38">
        <f t="shared" si="4"/>
        <v>2781508.786</v>
      </c>
      <c r="Q9" s="6"/>
      <c r="R9" s="6"/>
      <c r="S9" s="6"/>
      <c r="T9" s="6"/>
      <c r="U9" s="6"/>
      <c r="V9" s="6"/>
      <c r="W9" s="6"/>
      <c r="X9" s="6"/>
      <c r="Y9" s="6"/>
      <c r="Z9" s="6"/>
    </row>
    <row r="10" ht="17.25" customHeight="1">
      <c r="A10" s="27">
        <f t="shared" si="5"/>
        <v>4</v>
      </c>
      <c r="B10" s="42" t="s">
        <v>349</v>
      </c>
      <c r="C10" s="43" t="s">
        <v>356</v>
      </c>
      <c r="D10" s="43" t="s">
        <v>98</v>
      </c>
      <c r="E10" s="43" t="s">
        <v>363</v>
      </c>
      <c r="F10" s="27" t="s">
        <v>103</v>
      </c>
      <c r="G10" s="38">
        <v>18.0</v>
      </c>
      <c r="H10" s="38">
        <v>150000.0</v>
      </c>
      <c r="I10" s="38">
        <v>2700000.0</v>
      </c>
      <c r="J10" s="38" t="str">
        <f t="shared" si="1"/>
        <v>#REF!</v>
      </c>
      <c r="K10" s="40">
        <v>0.0</v>
      </c>
      <c r="L10" s="38">
        <f t="shared" si="2"/>
        <v>17341.04046</v>
      </c>
      <c r="M10" s="38">
        <f t="shared" si="3"/>
        <v>0</v>
      </c>
      <c r="N10" s="38">
        <v>6250.0</v>
      </c>
      <c r="O10" s="38">
        <v>25000.0</v>
      </c>
      <c r="P10" s="38">
        <f t="shared" si="4"/>
        <v>2700000</v>
      </c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7.25" customHeight="1">
      <c r="A11" s="27">
        <f t="shared" si="5"/>
        <v>5</v>
      </c>
      <c r="B11" s="42" t="s">
        <v>374</v>
      </c>
      <c r="C11" s="4" t="s">
        <v>375</v>
      </c>
      <c r="D11" s="31" t="s">
        <v>98</v>
      </c>
      <c r="E11" s="4" t="s">
        <v>378</v>
      </c>
      <c r="F11" s="27" t="s">
        <v>103</v>
      </c>
      <c r="G11" s="38">
        <v>19.0</v>
      </c>
      <c r="H11" s="38">
        <v>150000.0</v>
      </c>
      <c r="I11" s="38">
        <v>2850000.0</v>
      </c>
      <c r="J11" s="38"/>
      <c r="K11" s="40">
        <v>5.0</v>
      </c>
      <c r="L11" s="38">
        <f t="shared" si="2"/>
        <v>17341.04046</v>
      </c>
      <c r="M11" s="38">
        <f t="shared" si="3"/>
        <v>86705.20231</v>
      </c>
      <c r="N11" s="38">
        <v>6250.0</v>
      </c>
      <c r="O11" s="38">
        <v>25000.0</v>
      </c>
      <c r="P11" s="38">
        <f t="shared" si="4"/>
        <v>2936705.202</v>
      </c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7.25" customHeight="1">
      <c r="A12" s="27">
        <f t="shared" si="5"/>
        <v>6</v>
      </c>
      <c r="B12" s="42" t="s">
        <v>381</v>
      </c>
      <c r="C12" s="4" t="s">
        <v>382</v>
      </c>
      <c r="D12" s="31" t="s">
        <v>98</v>
      </c>
      <c r="E12" s="4" t="s">
        <v>320</v>
      </c>
      <c r="F12" s="27" t="s">
        <v>103</v>
      </c>
      <c r="G12" s="38">
        <v>21.0</v>
      </c>
      <c r="H12" s="38">
        <v>121800.0</v>
      </c>
      <c r="I12" s="38">
        <v>2557800.0</v>
      </c>
      <c r="J12" s="38"/>
      <c r="K12" s="40">
        <v>6.0</v>
      </c>
      <c r="L12" s="38">
        <f t="shared" si="2"/>
        <v>14080.92486</v>
      </c>
      <c r="M12" s="38">
        <f t="shared" si="3"/>
        <v>84485.54913</v>
      </c>
      <c r="N12" s="38">
        <v>6250.0</v>
      </c>
      <c r="O12" s="38">
        <v>25000.0</v>
      </c>
      <c r="P12" s="38">
        <f t="shared" si="4"/>
        <v>2642285.549</v>
      </c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7.25" customHeight="1">
      <c r="A13" s="27">
        <f t="shared" si="5"/>
        <v>7</v>
      </c>
      <c r="B13" s="42" t="s">
        <v>383</v>
      </c>
      <c r="C13" s="4" t="s">
        <v>384</v>
      </c>
      <c r="D13" s="31" t="s">
        <v>98</v>
      </c>
      <c r="E13" s="4" t="s">
        <v>386</v>
      </c>
      <c r="F13" s="27" t="s">
        <v>103</v>
      </c>
      <c r="G13" s="38">
        <v>19.0</v>
      </c>
      <c r="H13" s="38">
        <v>150000.0</v>
      </c>
      <c r="I13" s="38">
        <v>3000000.0</v>
      </c>
      <c r="J13" s="38"/>
      <c r="K13" s="40">
        <v>0.0</v>
      </c>
      <c r="L13" s="38">
        <f t="shared" si="2"/>
        <v>17341.04046</v>
      </c>
      <c r="M13" s="38">
        <f t="shared" si="3"/>
        <v>0</v>
      </c>
      <c r="N13" s="38">
        <v>6250.0</v>
      </c>
      <c r="O13" s="38">
        <v>25000.0</v>
      </c>
      <c r="P13" s="38">
        <f t="shared" si="4"/>
        <v>3000000</v>
      </c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7.25" customHeight="1">
      <c r="A14" s="27">
        <f t="shared" si="5"/>
        <v>8</v>
      </c>
      <c r="B14" s="42" t="s">
        <v>388</v>
      </c>
      <c r="C14" s="4" t="s">
        <v>389</v>
      </c>
      <c r="D14" s="31" t="s">
        <v>98</v>
      </c>
      <c r="E14" s="4" t="s">
        <v>390</v>
      </c>
      <c r="F14" s="27" t="s">
        <v>103</v>
      </c>
      <c r="G14" s="38">
        <v>19.0</v>
      </c>
      <c r="H14" s="38">
        <v>150000.0</v>
      </c>
      <c r="I14" s="38">
        <v>2850000.0</v>
      </c>
      <c r="J14" s="38"/>
      <c r="K14" s="40">
        <v>5.0</v>
      </c>
      <c r="L14" s="38">
        <f t="shared" si="2"/>
        <v>17341.04046</v>
      </c>
      <c r="M14" s="38">
        <f t="shared" si="3"/>
        <v>86705.20231</v>
      </c>
      <c r="N14" s="38">
        <v>6250.0</v>
      </c>
      <c r="O14" s="38">
        <v>25000.0</v>
      </c>
      <c r="P14" s="38">
        <f t="shared" si="4"/>
        <v>2936705.202</v>
      </c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7.25" customHeight="1">
      <c r="A15" s="27">
        <f t="shared" si="5"/>
        <v>9</v>
      </c>
      <c r="B15" s="42" t="s">
        <v>391</v>
      </c>
      <c r="C15" s="4" t="s">
        <v>392</v>
      </c>
      <c r="D15" s="31" t="s">
        <v>98</v>
      </c>
      <c r="E15" s="4" t="s">
        <v>100</v>
      </c>
      <c r="F15" s="27" t="s">
        <v>103</v>
      </c>
      <c r="G15" s="38">
        <v>19.0</v>
      </c>
      <c r="H15" s="38">
        <v>150000.0</v>
      </c>
      <c r="I15" s="38">
        <v>2850000.0</v>
      </c>
      <c r="J15" s="38"/>
      <c r="K15" s="40">
        <v>0.0</v>
      </c>
      <c r="L15" s="38">
        <f t="shared" si="2"/>
        <v>17341.04046</v>
      </c>
      <c r="M15" s="38">
        <f t="shared" si="3"/>
        <v>0</v>
      </c>
      <c r="N15" s="38">
        <v>6250.0</v>
      </c>
      <c r="O15" s="38">
        <v>25000.0</v>
      </c>
      <c r="P15" s="38">
        <f t="shared" si="4"/>
        <v>2850000</v>
      </c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7.25" customHeight="1">
      <c r="A16" s="27">
        <v>10.0</v>
      </c>
      <c r="B16" s="27"/>
      <c r="C16" s="31" t="s">
        <v>393</v>
      </c>
      <c r="D16" s="31" t="s">
        <v>394</v>
      </c>
      <c r="E16" s="4" t="s">
        <v>386</v>
      </c>
      <c r="F16" s="27" t="s">
        <v>103</v>
      </c>
      <c r="G16" s="38">
        <v>20.0</v>
      </c>
      <c r="H16" s="38">
        <v>150000.0</v>
      </c>
      <c r="I16" s="38">
        <v>3000000.0</v>
      </c>
      <c r="J16" s="38"/>
      <c r="K16" s="40"/>
      <c r="L16" s="55">
        <f t="shared" si="2"/>
        <v>17341.04046</v>
      </c>
      <c r="M16" s="38"/>
      <c r="N16" s="38">
        <v>6250.0</v>
      </c>
      <c r="O16" s="38">
        <v>25000.0</v>
      </c>
      <c r="P16" s="38">
        <f t="shared" si="4"/>
        <v>3000000</v>
      </c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7.25" customHeight="1">
      <c r="A17" s="27">
        <v>11.0</v>
      </c>
      <c r="B17" s="27"/>
      <c r="C17" s="31" t="s">
        <v>395</v>
      </c>
      <c r="D17" s="31" t="s">
        <v>98</v>
      </c>
      <c r="E17" s="56" t="s">
        <v>396</v>
      </c>
      <c r="F17" s="27" t="s">
        <v>103</v>
      </c>
      <c r="G17" s="38"/>
      <c r="H17" s="38"/>
      <c r="I17" s="57">
        <v>3500000.0</v>
      </c>
      <c r="J17" s="38"/>
      <c r="K17" s="40"/>
      <c r="L17" s="40"/>
      <c r="M17" s="38"/>
      <c r="N17" s="38"/>
      <c r="O17" s="38"/>
      <c r="P17" s="38">
        <f t="shared" si="4"/>
        <v>3500000</v>
      </c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7.25" customHeight="1">
      <c r="A18" s="27">
        <v>12.0</v>
      </c>
      <c r="B18" s="27"/>
      <c r="C18" s="31" t="s">
        <v>397</v>
      </c>
      <c r="D18" s="31" t="s">
        <v>98</v>
      </c>
      <c r="E18" s="56" t="s">
        <v>398</v>
      </c>
      <c r="F18" s="27" t="s">
        <v>103</v>
      </c>
      <c r="G18" s="38"/>
      <c r="H18" s="38"/>
      <c r="I18" s="57">
        <v>3642000.0</v>
      </c>
      <c r="J18" s="38"/>
      <c r="K18" s="40"/>
      <c r="L18" s="40"/>
      <c r="M18" s="38"/>
      <c r="N18" s="38"/>
      <c r="O18" s="38"/>
      <c r="P18" s="38">
        <f t="shared" si="4"/>
        <v>3642000</v>
      </c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7.25" customHeight="1">
      <c r="A19" s="27"/>
      <c r="B19" s="27"/>
      <c r="C19" s="31"/>
      <c r="D19" s="58"/>
      <c r="E19" s="27"/>
      <c r="F19" s="27"/>
      <c r="G19" s="38"/>
      <c r="H19" s="38"/>
      <c r="I19" s="38"/>
      <c r="J19" s="38"/>
      <c r="K19" s="40"/>
      <c r="L19" s="40"/>
      <c r="M19" s="38"/>
      <c r="N19" s="38"/>
      <c r="O19" s="38"/>
      <c r="P19" s="38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7.25" customHeight="1">
      <c r="A20" s="21"/>
      <c r="B20" s="21"/>
      <c r="C20" s="59"/>
      <c r="D20" s="21"/>
      <c r="E20" s="21" t="s">
        <v>399</v>
      </c>
      <c r="F20" s="21"/>
      <c r="G20" s="60">
        <f>SUM(G7:G16)</f>
        <v>195</v>
      </c>
      <c r="H20" s="61"/>
      <c r="I20" s="61">
        <f t="shared" ref="I20:P20" si="6">SUM(I7:I19)</f>
        <v>35517340</v>
      </c>
      <c r="J20" s="61" t="str">
        <f t="shared" si="6"/>
        <v>#REF!</v>
      </c>
      <c r="K20" s="61">
        <f t="shared" si="6"/>
        <v>19</v>
      </c>
      <c r="L20" s="61">
        <f t="shared" si="6"/>
        <v>167984.9711</v>
      </c>
      <c r="M20" s="61">
        <f t="shared" si="6"/>
        <v>301064.7399</v>
      </c>
      <c r="N20" s="61">
        <f t="shared" si="6"/>
        <v>62500</v>
      </c>
      <c r="O20" s="61">
        <f t="shared" si="6"/>
        <v>250000</v>
      </c>
      <c r="P20" s="61">
        <f t="shared" si="6"/>
        <v>35818404.74</v>
      </c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2" t="s">
        <v>400</v>
      </c>
      <c r="D22" s="62" t="s">
        <v>401</v>
      </c>
      <c r="E22" s="62" t="s">
        <v>98</v>
      </c>
      <c r="F22" s="62"/>
      <c r="G22" s="62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2" t="s">
        <v>402</v>
      </c>
      <c r="D23" s="62" t="s">
        <v>403</v>
      </c>
      <c r="E23" s="62" t="s">
        <v>98</v>
      </c>
      <c r="F23" s="62"/>
      <c r="G23" s="62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2" t="s">
        <v>100</v>
      </c>
      <c r="D24" s="62" t="s">
        <v>401</v>
      </c>
      <c r="E24" s="62" t="s">
        <v>98</v>
      </c>
      <c r="F24" s="62" t="s">
        <v>404</v>
      </c>
      <c r="G24" s="62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6:$P$6"/>
  <mergeCells count="12">
    <mergeCell ref="G4:I4"/>
    <mergeCell ref="K4:M4"/>
    <mergeCell ref="N4:N5"/>
    <mergeCell ref="O4:O5"/>
    <mergeCell ref="P4:P5"/>
    <mergeCell ref="A4:A5"/>
    <mergeCell ref="B4:B5"/>
    <mergeCell ref="C4:C5"/>
    <mergeCell ref="D4:D5"/>
    <mergeCell ref="E4:E5"/>
    <mergeCell ref="F4:F5"/>
    <mergeCell ref="J4:J5"/>
  </mergeCells>
  <printOptions/>
  <pageMargins bottom="0.7480314960629921" footer="0.0" header="0.0" left="0.2755905511811024" right="0.2755905511811024" top="0.7480314960629921"/>
  <pageSetup paperSize="9" scale="56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hidden="1" min="2" max="2" width="27.43"/>
    <col customWidth="1" min="3" max="3" width="32.57"/>
    <col customWidth="1" min="4" max="4" width="16.0"/>
    <col customWidth="1" min="5" max="5" width="27.43"/>
    <col customWidth="1" min="6" max="6" width="18.0"/>
    <col customWidth="1" min="7" max="7" width="8.43"/>
    <col customWidth="1" min="8" max="9" width="15.57"/>
    <col customWidth="1" hidden="1" min="10" max="10" width="15.57"/>
    <col customWidth="1" min="11" max="11" width="10.0"/>
    <col customWidth="1" min="12" max="12" width="11.43"/>
    <col customWidth="1" min="13" max="13" width="14.43"/>
    <col customWidth="1" min="14" max="14" width="12.43"/>
    <col customWidth="1" min="15" max="15" width="14.0"/>
    <col customWidth="1" min="16" max="16" width="17.43"/>
    <col customWidth="1" min="17" max="26" width="9.43"/>
  </cols>
  <sheetData>
    <row r="1" ht="15.75" customHeight="1">
      <c r="A1" s="63" t="s">
        <v>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15.75" customHeight="1">
      <c r="A2" s="63" t="s">
        <v>11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15.75" customHeight="1">
      <c r="A3" s="63" t="s">
        <v>405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7"/>
      <c r="R3" s="7"/>
      <c r="S3" s="7"/>
      <c r="T3" s="7"/>
      <c r="U3" s="7"/>
      <c r="V3" s="7"/>
      <c r="W3" s="7"/>
      <c r="X3" s="7"/>
      <c r="Y3" s="7"/>
      <c r="Z3" s="7"/>
    </row>
    <row r="4" ht="18.75" customHeight="1">
      <c r="A4" s="8" t="s">
        <v>13</v>
      </c>
      <c r="B4" s="8" t="s">
        <v>14</v>
      </c>
      <c r="C4" s="8" t="s">
        <v>16</v>
      </c>
      <c r="D4" s="8" t="s">
        <v>6</v>
      </c>
      <c r="E4" s="8" t="s">
        <v>20</v>
      </c>
      <c r="F4" s="8" t="s">
        <v>21</v>
      </c>
      <c r="G4" s="10" t="s">
        <v>23</v>
      </c>
      <c r="H4" s="11"/>
      <c r="I4" s="14"/>
      <c r="J4" s="8" t="s">
        <v>40</v>
      </c>
      <c r="K4" s="10" t="s">
        <v>43</v>
      </c>
      <c r="L4" s="11"/>
      <c r="M4" s="14"/>
      <c r="N4" s="16" t="s">
        <v>44</v>
      </c>
      <c r="O4" s="8" t="s">
        <v>47</v>
      </c>
      <c r="P4" s="8" t="s">
        <v>49</v>
      </c>
      <c r="Q4" s="7"/>
      <c r="R4" s="7"/>
      <c r="S4" s="7"/>
      <c r="T4" s="7"/>
      <c r="U4" s="7"/>
      <c r="V4" s="7"/>
      <c r="W4" s="7"/>
      <c r="X4" s="7"/>
      <c r="Y4" s="7"/>
      <c r="Z4" s="7"/>
    </row>
    <row r="5" ht="17.25" customHeight="1">
      <c r="A5" s="17"/>
      <c r="B5" s="17"/>
      <c r="C5" s="17"/>
      <c r="D5" s="17"/>
      <c r="E5" s="17"/>
      <c r="F5" s="17"/>
      <c r="G5" s="18" t="s">
        <v>58</v>
      </c>
      <c r="H5" s="18" t="s">
        <v>63</v>
      </c>
      <c r="I5" s="18" t="s">
        <v>68</v>
      </c>
      <c r="J5" s="17"/>
      <c r="K5" s="18" t="s">
        <v>70</v>
      </c>
      <c r="L5" s="18" t="s">
        <v>71</v>
      </c>
      <c r="M5" s="19" t="s">
        <v>68</v>
      </c>
      <c r="N5" s="17"/>
      <c r="O5" s="17"/>
      <c r="P5" s="17"/>
      <c r="Q5" s="7"/>
      <c r="R5" s="7"/>
      <c r="S5" s="7"/>
      <c r="T5" s="7"/>
      <c r="U5" s="7"/>
      <c r="V5" s="7"/>
      <c r="W5" s="7"/>
      <c r="X5" s="7"/>
      <c r="Y5" s="7"/>
      <c r="Z5" s="7"/>
    </row>
    <row r="6" ht="17.25" customHeight="1">
      <c r="A6" s="21"/>
      <c r="B6" s="21"/>
      <c r="C6" s="21"/>
      <c r="D6" s="22"/>
      <c r="E6" s="21"/>
      <c r="F6" s="22"/>
      <c r="G6" s="21"/>
      <c r="H6" s="21"/>
      <c r="I6" s="21"/>
      <c r="J6" s="21"/>
      <c r="K6" s="21"/>
      <c r="L6" s="21"/>
      <c r="M6" s="24"/>
      <c r="N6" s="25"/>
      <c r="O6" s="21"/>
      <c r="P6" s="21"/>
      <c r="Q6" s="7"/>
      <c r="R6" s="7"/>
      <c r="S6" s="7"/>
      <c r="T6" s="7"/>
      <c r="U6" s="7"/>
      <c r="V6" s="7"/>
      <c r="W6" s="7"/>
      <c r="X6" s="7"/>
      <c r="Y6" s="7"/>
      <c r="Z6" s="7"/>
    </row>
    <row r="7" ht="17.25" customHeight="1">
      <c r="A7" s="27">
        <v>1.0</v>
      </c>
      <c r="B7" s="29" t="s">
        <v>83</v>
      </c>
      <c r="C7" s="31" t="s">
        <v>88</v>
      </c>
      <c r="D7" s="58" t="s">
        <v>98</v>
      </c>
      <c r="E7" s="64" t="s">
        <v>100</v>
      </c>
      <c r="F7" s="27" t="s">
        <v>103</v>
      </c>
      <c r="G7" s="38">
        <v>22.0</v>
      </c>
      <c r="H7" s="38">
        <v>156800.0</v>
      </c>
      <c r="I7" s="38">
        <f t="shared" ref="I7:I11" si="1">G7*H7</f>
        <v>3449600</v>
      </c>
      <c r="J7" s="38" t="str">
        <f t="shared" ref="J7:J9" si="2">+#REF!+I7</f>
        <v>#REF!</v>
      </c>
      <c r="K7" s="66"/>
      <c r="L7" s="38">
        <v>19034.0</v>
      </c>
      <c r="M7" s="38">
        <f t="shared" ref="M7:M16" si="3">+K7*L7</f>
        <v>0</v>
      </c>
      <c r="N7" s="38">
        <v>6250.0</v>
      </c>
      <c r="O7" s="38">
        <v>25000.0</v>
      </c>
      <c r="P7" s="38">
        <f t="shared" ref="P7:P22" si="4">I7+M7</f>
        <v>3449600</v>
      </c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17.25" customHeight="1">
      <c r="A8" s="27">
        <f t="shared" ref="A8:A9" si="5">+A7+1</f>
        <v>2</v>
      </c>
      <c r="B8" s="42" t="s">
        <v>267</v>
      </c>
      <c r="C8" s="4" t="s">
        <v>275</v>
      </c>
      <c r="D8" s="58" t="s">
        <v>98</v>
      </c>
      <c r="E8" s="64" t="s">
        <v>283</v>
      </c>
      <c r="F8" s="27" t="s">
        <v>103</v>
      </c>
      <c r="G8" s="38">
        <v>22.0</v>
      </c>
      <c r="H8" s="38">
        <v>150000.0</v>
      </c>
      <c r="I8" s="38">
        <f t="shared" si="1"/>
        <v>3300000</v>
      </c>
      <c r="J8" s="38" t="str">
        <f t="shared" si="2"/>
        <v>#REF!</v>
      </c>
      <c r="K8" s="66">
        <v>8.5</v>
      </c>
      <c r="L8" s="38">
        <v>18208.0</v>
      </c>
      <c r="M8" s="38">
        <f t="shared" si="3"/>
        <v>154768</v>
      </c>
      <c r="N8" s="38">
        <v>6250.0</v>
      </c>
      <c r="O8" s="38">
        <v>25000.0</v>
      </c>
      <c r="P8" s="38">
        <f t="shared" si="4"/>
        <v>3454768</v>
      </c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17.25" customHeight="1">
      <c r="A9" s="27">
        <f t="shared" si="5"/>
        <v>3</v>
      </c>
      <c r="B9" s="42" t="s">
        <v>315</v>
      </c>
      <c r="C9" s="4" t="s">
        <v>317</v>
      </c>
      <c r="D9" s="58" t="s">
        <v>98</v>
      </c>
      <c r="E9" s="64" t="s">
        <v>320</v>
      </c>
      <c r="F9" s="27" t="s">
        <v>103</v>
      </c>
      <c r="G9" s="38">
        <v>22.0</v>
      </c>
      <c r="H9" s="38">
        <v>124470.0</v>
      </c>
      <c r="I9" s="38">
        <f t="shared" si="1"/>
        <v>2738340</v>
      </c>
      <c r="J9" s="38" t="str">
        <f t="shared" si="2"/>
        <v>#REF!</v>
      </c>
      <c r="K9" s="66">
        <v>6.0</v>
      </c>
      <c r="L9" s="38">
        <v>15109.0</v>
      </c>
      <c r="M9" s="38">
        <f t="shared" si="3"/>
        <v>90654</v>
      </c>
      <c r="N9" s="38">
        <v>6250.0</v>
      </c>
      <c r="O9" s="38">
        <v>25000.0</v>
      </c>
      <c r="P9" s="38">
        <f t="shared" si="4"/>
        <v>2828994</v>
      </c>
      <c r="Q9" s="65"/>
      <c r="R9" s="65"/>
      <c r="S9" s="65"/>
      <c r="T9" s="65"/>
      <c r="U9" s="65"/>
      <c r="V9" s="65"/>
      <c r="W9" s="65"/>
      <c r="X9" s="65"/>
      <c r="Y9" s="65"/>
      <c r="Z9" s="65"/>
    </row>
    <row r="10" ht="17.25" customHeight="1">
      <c r="A10" s="27">
        <v>4.0</v>
      </c>
      <c r="B10" s="42" t="s">
        <v>374</v>
      </c>
      <c r="C10" s="4" t="s">
        <v>375</v>
      </c>
      <c r="D10" s="58" t="s">
        <v>98</v>
      </c>
      <c r="E10" s="64" t="s">
        <v>378</v>
      </c>
      <c r="F10" s="27" t="s">
        <v>103</v>
      </c>
      <c r="G10" s="38">
        <v>9.0</v>
      </c>
      <c r="H10" s="38">
        <v>150000.0</v>
      </c>
      <c r="I10" s="38">
        <f t="shared" si="1"/>
        <v>1350000</v>
      </c>
      <c r="J10" s="38"/>
      <c r="K10" s="66">
        <v>3.5</v>
      </c>
      <c r="L10" s="38">
        <v>18208.0</v>
      </c>
      <c r="M10" s="38">
        <f t="shared" si="3"/>
        <v>63728</v>
      </c>
      <c r="N10" s="38">
        <v>6250.0</v>
      </c>
      <c r="O10" s="38">
        <v>25000.0</v>
      </c>
      <c r="P10" s="38">
        <f t="shared" si="4"/>
        <v>1413728</v>
      </c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17.25" customHeight="1">
      <c r="A11" s="27">
        <f t="shared" ref="A11:A14" si="6">+A10+1</f>
        <v>5</v>
      </c>
      <c r="B11" s="42" t="s">
        <v>381</v>
      </c>
      <c r="C11" s="4" t="s">
        <v>382</v>
      </c>
      <c r="D11" s="58" t="s">
        <v>98</v>
      </c>
      <c r="E11" s="64" t="s">
        <v>320</v>
      </c>
      <c r="F11" s="27" t="s">
        <v>103</v>
      </c>
      <c r="G11" s="38">
        <v>24.0</v>
      </c>
      <c r="H11" s="38">
        <v>121800.0</v>
      </c>
      <c r="I11" s="38">
        <f t="shared" si="1"/>
        <v>2923200</v>
      </c>
      <c r="J11" s="38"/>
      <c r="K11" s="66">
        <v>6.0</v>
      </c>
      <c r="L11" s="38">
        <v>14785.0</v>
      </c>
      <c r="M11" s="38">
        <f t="shared" si="3"/>
        <v>88710</v>
      </c>
      <c r="N11" s="38">
        <v>6250.0</v>
      </c>
      <c r="O11" s="38">
        <v>25000.0</v>
      </c>
      <c r="P11" s="38">
        <f t="shared" si="4"/>
        <v>3011910</v>
      </c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17.25" customHeight="1">
      <c r="A12" s="27">
        <f t="shared" si="6"/>
        <v>6</v>
      </c>
      <c r="B12" s="42" t="s">
        <v>383</v>
      </c>
      <c r="C12" s="4" t="s">
        <v>384</v>
      </c>
      <c r="D12" s="58" t="s">
        <v>98</v>
      </c>
      <c r="E12" s="64" t="s">
        <v>386</v>
      </c>
      <c r="F12" s="27" t="s">
        <v>103</v>
      </c>
      <c r="G12" s="38">
        <v>19.0</v>
      </c>
      <c r="H12" s="38">
        <v>150000.0</v>
      </c>
      <c r="I12" s="38">
        <v>3000000.0</v>
      </c>
      <c r="J12" s="38"/>
      <c r="K12" s="66">
        <v>0.0</v>
      </c>
      <c r="L12" s="38">
        <v>18208.0</v>
      </c>
      <c r="M12" s="38">
        <f t="shared" si="3"/>
        <v>0</v>
      </c>
      <c r="N12" s="38">
        <v>6250.0</v>
      </c>
      <c r="O12" s="38">
        <v>25000.0</v>
      </c>
      <c r="P12" s="38">
        <f t="shared" si="4"/>
        <v>3000000</v>
      </c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17.25" customHeight="1">
      <c r="A13" s="27">
        <f t="shared" si="6"/>
        <v>7</v>
      </c>
      <c r="B13" s="42" t="s">
        <v>388</v>
      </c>
      <c r="C13" s="4" t="s">
        <v>389</v>
      </c>
      <c r="D13" s="58" t="s">
        <v>98</v>
      </c>
      <c r="E13" s="64" t="s">
        <v>390</v>
      </c>
      <c r="F13" s="27" t="s">
        <v>103</v>
      </c>
      <c r="G13" s="38">
        <v>10.0</v>
      </c>
      <c r="H13" s="38">
        <v>150000.0</v>
      </c>
      <c r="I13" s="38">
        <f t="shared" ref="I13:I20" si="7">G13*H13</f>
        <v>1500000</v>
      </c>
      <c r="J13" s="38"/>
      <c r="K13" s="66">
        <v>0.0</v>
      </c>
      <c r="L13" s="38">
        <v>18208.0</v>
      </c>
      <c r="M13" s="38">
        <f t="shared" si="3"/>
        <v>0</v>
      </c>
      <c r="N13" s="38">
        <v>6250.0</v>
      </c>
      <c r="O13" s="38">
        <v>25000.0</v>
      </c>
      <c r="P13" s="38">
        <f t="shared" si="4"/>
        <v>1500000</v>
      </c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ht="17.25" customHeight="1">
      <c r="A14" s="27">
        <f t="shared" si="6"/>
        <v>8</v>
      </c>
      <c r="B14" s="42" t="s">
        <v>391</v>
      </c>
      <c r="C14" s="4" t="s">
        <v>392</v>
      </c>
      <c r="D14" s="58" t="s">
        <v>98</v>
      </c>
      <c r="E14" s="64" t="s">
        <v>100</v>
      </c>
      <c r="F14" s="27" t="s">
        <v>103</v>
      </c>
      <c r="G14" s="38">
        <v>22.0</v>
      </c>
      <c r="H14" s="38">
        <v>150000.0</v>
      </c>
      <c r="I14" s="38">
        <f t="shared" si="7"/>
        <v>3300000</v>
      </c>
      <c r="J14" s="38"/>
      <c r="K14" s="66">
        <v>0.0</v>
      </c>
      <c r="L14" s="38">
        <v>18208.0</v>
      </c>
      <c r="M14" s="38">
        <f t="shared" si="3"/>
        <v>0</v>
      </c>
      <c r="N14" s="38">
        <v>6250.0</v>
      </c>
      <c r="O14" s="38">
        <v>25000.0</v>
      </c>
      <c r="P14" s="38">
        <f t="shared" si="4"/>
        <v>3300000</v>
      </c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17.25" customHeight="1">
      <c r="A15" s="27">
        <v>9.0</v>
      </c>
      <c r="B15" s="42"/>
      <c r="C15" s="4" t="s">
        <v>406</v>
      </c>
      <c r="D15" s="58" t="s">
        <v>98</v>
      </c>
      <c r="E15" s="64" t="s">
        <v>407</v>
      </c>
      <c r="F15" s="27" t="s">
        <v>103</v>
      </c>
      <c r="G15" s="38">
        <v>22.0</v>
      </c>
      <c r="H15" s="38">
        <v>121500.0</v>
      </c>
      <c r="I15" s="38">
        <f t="shared" si="7"/>
        <v>2673000</v>
      </c>
      <c r="J15" s="38"/>
      <c r="K15" s="66"/>
      <c r="L15" s="38">
        <v>14749.0</v>
      </c>
      <c r="M15" s="38">
        <f t="shared" si="3"/>
        <v>0</v>
      </c>
      <c r="N15" s="38">
        <v>6250.0</v>
      </c>
      <c r="O15" s="38">
        <v>25000.0</v>
      </c>
      <c r="P15" s="38">
        <f t="shared" si="4"/>
        <v>2673000</v>
      </c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17.25" customHeight="1">
      <c r="A16" s="27">
        <v>10.0</v>
      </c>
      <c r="B16" s="27"/>
      <c r="C16" s="31" t="s">
        <v>393</v>
      </c>
      <c r="D16" s="58" t="s">
        <v>394</v>
      </c>
      <c r="E16" s="64" t="s">
        <v>386</v>
      </c>
      <c r="F16" s="27" t="s">
        <v>103</v>
      </c>
      <c r="G16" s="38">
        <v>20.0</v>
      </c>
      <c r="H16" s="38">
        <v>150000.0</v>
      </c>
      <c r="I16" s="38">
        <f t="shared" si="7"/>
        <v>3000000</v>
      </c>
      <c r="J16" s="38"/>
      <c r="K16" s="66">
        <v>0.0</v>
      </c>
      <c r="L16" s="67">
        <v>18208.0</v>
      </c>
      <c r="M16" s="38">
        <f t="shared" si="3"/>
        <v>0</v>
      </c>
      <c r="N16" s="38">
        <v>6250.0</v>
      </c>
      <c r="O16" s="38">
        <v>25000.0</v>
      </c>
      <c r="P16" s="38">
        <f t="shared" si="4"/>
        <v>3000000</v>
      </c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17.25" customHeight="1">
      <c r="A17" s="27">
        <v>11.0</v>
      </c>
      <c r="B17" s="27"/>
      <c r="C17" s="31" t="s">
        <v>408</v>
      </c>
      <c r="D17" s="58" t="s">
        <v>98</v>
      </c>
      <c r="E17" s="64" t="s">
        <v>390</v>
      </c>
      <c r="F17" s="27" t="s">
        <v>103</v>
      </c>
      <c r="G17" s="38">
        <v>20.0</v>
      </c>
      <c r="H17" s="38">
        <v>228572.0</v>
      </c>
      <c r="I17" s="38">
        <f t="shared" si="7"/>
        <v>4571440</v>
      </c>
      <c r="J17" s="38"/>
      <c r="K17" s="66"/>
      <c r="L17" s="67"/>
      <c r="M17" s="38"/>
      <c r="N17" s="38"/>
      <c r="O17" s="38"/>
      <c r="P17" s="38">
        <f t="shared" si="4"/>
        <v>4571440</v>
      </c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7.25" customHeight="1">
      <c r="A18" s="27"/>
      <c r="B18" s="27"/>
      <c r="C18" s="4" t="s">
        <v>389</v>
      </c>
      <c r="D18" s="58" t="s">
        <v>98</v>
      </c>
      <c r="E18" s="64" t="s">
        <v>390</v>
      </c>
      <c r="F18" s="27" t="s">
        <v>103</v>
      </c>
      <c r="G18" s="38">
        <v>21.0</v>
      </c>
      <c r="H18" s="38">
        <v>167857.0</v>
      </c>
      <c r="I18" s="38">
        <f t="shared" si="7"/>
        <v>3524997</v>
      </c>
      <c r="J18" s="38"/>
      <c r="K18" s="66"/>
      <c r="L18" s="67"/>
      <c r="M18" s="38">
        <v>339600.0</v>
      </c>
      <c r="N18" s="38"/>
      <c r="O18" s="38"/>
      <c r="P18" s="38">
        <f t="shared" si="4"/>
        <v>3864597</v>
      </c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17.25" customHeight="1">
      <c r="A19" s="27"/>
      <c r="B19" s="27"/>
      <c r="C19" s="4" t="s">
        <v>375</v>
      </c>
      <c r="D19" s="58" t="s">
        <v>98</v>
      </c>
      <c r="E19" s="64" t="s">
        <v>378</v>
      </c>
      <c r="F19" s="27" t="s">
        <v>103</v>
      </c>
      <c r="G19" s="38">
        <v>20.0</v>
      </c>
      <c r="H19" s="38">
        <v>142857.0</v>
      </c>
      <c r="I19" s="38">
        <f t="shared" si="7"/>
        <v>2857140</v>
      </c>
      <c r="J19" s="38"/>
      <c r="K19" s="66"/>
      <c r="L19" s="67"/>
      <c r="M19" s="38">
        <v>247728.0</v>
      </c>
      <c r="N19" s="38"/>
      <c r="O19" s="38"/>
      <c r="P19" s="38">
        <f t="shared" si="4"/>
        <v>3104868</v>
      </c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17.25" customHeight="1">
      <c r="A20" s="27">
        <v>12.0</v>
      </c>
      <c r="B20" s="27"/>
      <c r="C20" s="31" t="s">
        <v>395</v>
      </c>
      <c r="D20" s="58" t="s">
        <v>98</v>
      </c>
      <c r="E20" s="68" t="s">
        <v>396</v>
      </c>
      <c r="F20" s="27" t="s">
        <v>103</v>
      </c>
      <c r="G20" s="38">
        <v>25.0</v>
      </c>
      <c r="H20" s="38">
        <v>140000.0</v>
      </c>
      <c r="I20" s="38">
        <f t="shared" si="7"/>
        <v>3500000</v>
      </c>
      <c r="J20" s="38"/>
      <c r="K20" s="66"/>
      <c r="L20" s="66"/>
      <c r="M20" s="38"/>
      <c r="N20" s="38"/>
      <c r="O20" s="38"/>
      <c r="P20" s="38">
        <f t="shared" si="4"/>
        <v>3500000</v>
      </c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7.25" customHeight="1">
      <c r="A21" s="27">
        <v>13.0</v>
      </c>
      <c r="B21" s="27"/>
      <c r="C21" s="31" t="s">
        <v>397</v>
      </c>
      <c r="D21" s="58" t="s">
        <v>98</v>
      </c>
      <c r="E21" s="68" t="s">
        <v>398</v>
      </c>
      <c r="F21" s="27" t="s">
        <v>103</v>
      </c>
      <c r="G21" s="38"/>
      <c r="H21" s="38"/>
      <c r="I21" s="57">
        <v>3642000.0</v>
      </c>
      <c r="J21" s="38"/>
      <c r="K21" s="66"/>
      <c r="L21" s="66"/>
      <c r="M21" s="38"/>
      <c r="N21" s="38"/>
      <c r="O21" s="38"/>
      <c r="P21" s="38">
        <f t="shared" si="4"/>
        <v>3642000</v>
      </c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7.25" customHeight="1">
      <c r="A22" s="27">
        <v>14.0</v>
      </c>
      <c r="B22" s="27"/>
      <c r="C22" s="31" t="s">
        <v>409</v>
      </c>
      <c r="D22" s="58" t="s">
        <v>98</v>
      </c>
      <c r="E22" s="68" t="s">
        <v>390</v>
      </c>
      <c r="F22" s="27" t="s">
        <v>410</v>
      </c>
      <c r="G22" s="38">
        <v>21.0</v>
      </c>
      <c r="H22" s="38">
        <v>100000.0</v>
      </c>
      <c r="I22" s="57">
        <f>G22*H22</f>
        <v>2100000</v>
      </c>
      <c r="J22" s="38"/>
      <c r="K22" s="66"/>
      <c r="L22" s="66"/>
      <c r="M22" s="38"/>
      <c r="N22" s="38">
        <v>6250.0</v>
      </c>
      <c r="O22" s="38">
        <v>25000.0</v>
      </c>
      <c r="P22" s="38">
        <f t="shared" si="4"/>
        <v>2100000</v>
      </c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7.25" customHeight="1">
      <c r="A23" s="27"/>
      <c r="B23" s="27"/>
      <c r="C23" s="31"/>
      <c r="D23" s="58"/>
      <c r="E23" s="69"/>
      <c r="F23" s="69"/>
      <c r="G23" s="38"/>
      <c r="H23" s="38"/>
      <c r="I23" s="38"/>
      <c r="J23" s="38"/>
      <c r="K23" s="66"/>
      <c r="L23" s="66"/>
      <c r="M23" s="38"/>
      <c r="N23" s="38"/>
      <c r="O23" s="38"/>
      <c r="P23" s="38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7.25" customHeight="1">
      <c r="A24" s="21"/>
      <c r="B24" s="21"/>
      <c r="C24" s="59"/>
      <c r="D24" s="21"/>
      <c r="E24" s="21" t="s">
        <v>399</v>
      </c>
      <c r="F24" s="21"/>
      <c r="G24" s="60">
        <f>SUM(G7:G20)</f>
        <v>278</v>
      </c>
      <c r="H24" s="61"/>
      <c r="I24" s="61">
        <f>SUM(I7:I23)</f>
        <v>47429717</v>
      </c>
      <c r="J24" s="61" t="str">
        <f t="shared" ref="J24:K24" si="8">SUM(J7:J16)</f>
        <v>#REF!</v>
      </c>
      <c r="K24" s="60">
        <f t="shared" si="8"/>
        <v>24</v>
      </c>
      <c r="L24" s="60"/>
      <c r="M24" s="61">
        <f>SUM(M7:M23)</f>
        <v>985188</v>
      </c>
      <c r="N24" s="61">
        <f t="shared" ref="N24:O24" si="9">SUM(N7:N16)</f>
        <v>62500</v>
      </c>
      <c r="O24" s="61">
        <f t="shared" si="9"/>
        <v>250000</v>
      </c>
      <c r="P24" s="61">
        <f>SUM(P7:P23)</f>
        <v>48414905</v>
      </c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2.0" customHeight="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2.0" customHeight="1">
      <c r="A26" s="65"/>
      <c r="B26" s="65"/>
      <c r="C26" s="70"/>
      <c r="D26" s="70"/>
      <c r="E26" s="70"/>
      <c r="F26" s="70"/>
      <c r="G26" s="70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2.0" customHeight="1">
      <c r="A27" s="65"/>
      <c r="B27" s="65"/>
      <c r="C27" s="70"/>
      <c r="D27" s="70"/>
      <c r="E27" s="70"/>
      <c r="F27" s="70"/>
      <c r="G27" s="70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2.0" customHeight="1">
      <c r="A28" s="65"/>
      <c r="B28" s="65"/>
      <c r="C28" s="70"/>
      <c r="D28" s="70"/>
      <c r="E28" s="70"/>
      <c r="F28" s="70"/>
      <c r="G28" s="70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2.0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2.0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2.0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2.0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2.0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2.0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2.0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2.0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12.0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2.0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2.0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2.0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2.0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2.0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2.0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2.0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2.0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2.0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2.0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2.0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2.0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2.0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2.0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2.0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2.0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2.0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2.0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2.0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12.0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2.0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12.0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12.0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12.0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12.0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12.0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12.0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12.0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12.0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12.0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12.0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12.0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12.0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12.0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12.0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12.0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12.0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12.0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12.0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12.0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12.0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12.0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12.0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12.0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12.0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ht="12.0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ht="12.0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12.0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12.0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12.0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12.0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12.0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12.0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12.0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12.0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12.0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12.0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12.0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12.0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12.0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12.0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12.0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12.0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ht="12.0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ht="12.0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ht="12.0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ht="12.0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ht="12.0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ht="12.0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ht="12.0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ht="12.0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ht="12.0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ht="12.0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ht="12.0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12.0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ht="12.0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ht="12.0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12.0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ht="12.0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ht="12.0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ht="12.0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ht="12.0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ht="12.0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ht="12.0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12.0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12.0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12.0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12.0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12.0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12.0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12.0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12.0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12.0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12.0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12.0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12.0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12.0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12.0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ht="12.0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12.0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12.0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12.0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12.0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ht="12.0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ht="12.0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ht="12.0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ht="12.0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12.0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12.0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12.0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12.0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12.0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12.0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12.0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ht="12.0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ht="12.0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ht="12.0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ht="12.0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ht="12.0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ht="12.0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ht="12.0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ht="12.0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ht="12.0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ht="12.0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ht="12.0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ht="12.0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ht="12.0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ht="12.0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ht="12.0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ht="12.0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ht="12.0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ht="12.0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ht="12.0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ht="12.0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ht="12.0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ht="12.0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ht="12.0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ht="12.0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ht="12.0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ht="12.0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ht="12.0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ht="12.0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ht="12.0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ht="12.0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ht="12.0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ht="12.0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ht="12.0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ht="12.0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ht="12.0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ht="12.0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ht="12.0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ht="12.0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ht="12.0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ht="12.0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ht="12.0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ht="12.0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ht="12.0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ht="12.0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ht="12.0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ht="12.0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ht="12.0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ht="12.0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ht="12.0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ht="12.0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ht="12.0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ht="12.0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ht="12.0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ht="12.0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ht="12.0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ht="12.0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ht="12.0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ht="12.0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ht="12.0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ht="12.0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ht="12.0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ht="12.0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ht="12.0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ht="12.0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ht="12.0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ht="12.0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ht="12.0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ht="12.0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ht="12.0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ht="12.0" customHeight="1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ht="12.0" customHeight="1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ht="12.0" customHeight="1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ht="12.0" customHeight="1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ht="12.0" customHeight="1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ht="12.0" customHeight="1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ht="12.0" customHeight="1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ht="12.0" customHeight="1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ht="12.0" customHeight="1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ht="12.0" customHeight="1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ht="12.0" customHeight="1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ht="12.0" customHeight="1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ht="12.0" customHeight="1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ht="12.0" customHeight="1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ht="12.0" customHeight="1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ht="12.0" customHeight="1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ht="12.0" customHeight="1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ht="12.0" customHeight="1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ht="12.0" customHeight="1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ht="12.0" customHeight="1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ht="12.0" customHeight="1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ht="12.0" customHeight="1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ht="12.0" customHeight="1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ht="12.0" customHeight="1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ht="12.0" customHeight="1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ht="12.0" customHeight="1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ht="12.0" customHeight="1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ht="12.0" customHeight="1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ht="12.0" customHeight="1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ht="12.0" customHeight="1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ht="12.0" customHeight="1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ht="12.0" customHeight="1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ht="12.0" customHeight="1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ht="12.0" customHeight="1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ht="12.0" customHeight="1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ht="12.0" customHeight="1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ht="12.0" customHeight="1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ht="12.0" customHeight="1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ht="12.0" customHeight="1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ht="12.0" customHeight="1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ht="12.0" customHeight="1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ht="12.0" customHeight="1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ht="12.0" customHeight="1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ht="12.0" customHeight="1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ht="12.0" customHeight="1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ht="12.0" customHeight="1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ht="12.0" customHeight="1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ht="12.0" customHeight="1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ht="12.0" customHeight="1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ht="12.0" customHeight="1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ht="12.0" customHeight="1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ht="12.0" customHeight="1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ht="12.0" customHeight="1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ht="12.0" customHeight="1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ht="12.0" customHeight="1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ht="12.0" customHeight="1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ht="12.0" customHeight="1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ht="12.0" customHeight="1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ht="12.0" customHeight="1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ht="12.0" customHeight="1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ht="12.0" customHeight="1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ht="12.0" customHeight="1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ht="12.0" customHeight="1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ht="12.0" customHeight="1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ht="12.0" customHeight="1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ht="12.0" customHeight="1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ht="12.0" customHeight="1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ht="12.0" customHeight="1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ht="12.0" customHeight="1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ht="12.0" customHeight="1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ht="12.0" customHeight="1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ht="12.0" customHeight="1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ht="12.0" customHeight="1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ht="12.0" customHeight="1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ht="12.0" customHeight="1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ht="12.0" customHeight="1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ht="12.0" customHeight="1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ht="12.0" customHeight="1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ht="12.0" customHeight="1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ht="12.0" customHeight="1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ht="12.0" customHeight="1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ht="12.0" customHeight="1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ht="12.0" customHeight="1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ht="12.0" customHeight="1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ht="12.0" customHeight="1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ht="12.0" customHeight="1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ht="12.0" customHeight="1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ht="12.0" customHeight="1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ht="12.0" customHeight="1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ht="12.0" customHeight="1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ht="12.0" customHeight="1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ht="12.0" customHeight="1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ht="12.0" customHeight="1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ht="12.0" customHeight="1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ht="12.0" customHeight="1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ht="12.0" customHeight="1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ht="12.0" customHeight="1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ht="12.0" customHeight="1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ht="12.0" customHeight="1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ht="12.0" customHeight="1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ht="12.0" customHeight="1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ht="12.0" customHeight="1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ht="12.0" customHeight="1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ht="12.0" customHeight="1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ht="12.0" customHeight="1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ht="12.0" customHeight="1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ht="12.0" customHeight="1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ht="12.0" customHeight="1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ht="12.0" customHeight="1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ht="12.0" customHeight="1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ht="12.0" customHeight="1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ht="12.0" customHeight="1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ht="12.0" customHeight="1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ht="12.0" customHeight="1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ht="12.0" customHeight="1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ht="12.0" customHeight="1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ht="12.0" customHeight="1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ht="12.0" customHeight="1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ht="12.0" customHeight="1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ht="12.0" customHeight="1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ht="12.0" customHeight="1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ht="12.0" customHeight="1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ht="12.0" customHeight="1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ht="12.0" customHeight="1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ht="12.0" customHeight="1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ht="12.0" customHeight="1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ht="12.0" customHeight="1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ht="12.0" customHeight="1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ht="12.0" customHeight="1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ht="12.0" customHeight="1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ht="12.0" customHeight="1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ht="12.0" customHeight="1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ht="12.0" customHeight="1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ht="12.0" customHeight="1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ht="12.0" customHeight="1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ht="12.0" customHeight="1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ht="12.0" customHeight="1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ht="12.0" customHeight="1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ht="12.0" customHeight="1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ht="12.0" customHeight="1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ht="12.0" customHeight="1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ht="12.0" customHeight="1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ht="12.0" customHeight="1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ht="12.0" customHeight="1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ht="12.0" customHeight="1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ht="12.0" customHeight="1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ht="12.0" customHeight="1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ht="12.0" customHeight="1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ht="12.0" customHeight="1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ht="12.0" customHeight="1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ht="12.0" customHeight="1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ht="12.0" customHeight="1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ht="12.0" customHeight="1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ht="12.0" customHeight="1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ht="12.0" customHeight="1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ht="12.0" customHeight="1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ht="12.0" customHeight="1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ht="12.0" customHeight="1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ht="12.0" customHeight="1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ht="12.0" customHeight="1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ht="12.0" customHeight="1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ht="12.0" customHeight="1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ht="12.0" customHeight="1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ht="12.0" customHeight="1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ht="12.0" customHeight="1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ht="12.0" customHeight="1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ht="12.0" customHeight="1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ht="12.0" customHeight="1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ht="12.0" customHeight="1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ht="12.0" customHeight="1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ht="12.0" customHeight="1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ht="12.0" customHeight="1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ht="12.0" customHeight="1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ht="12.0" customHeight="1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ht="12.0" customHeight="1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ht="12.0" customHeight="1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ht="12.0" customHeight="1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ht="12.0" customHeight="1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ht="12.0" customHeight="1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ht="12.0" customHeight="1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ht="12.0" customHeight="1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ht="12.0" customHeight="1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ht="12.0" customHeight="1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ht="12.0" customHeight="1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ht="12.0" customHeight="1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ht="12.0" customHeight="1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ht="12.0" customHeight="1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ht="12.0" customHeight="1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ht="12.0" customHeight="1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ht="12.0" customHeight="1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ht="12.0" customHeight="1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ht="12.0" customHeight="1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ht="12.0" customHeight="1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ht="12.0" customHeight="1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ht="12.0" customHeight="1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ht="12.0" customHeight="1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ht="12.0" customHeight="1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ht="12.0" customHeight="1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ht="12.0" customHeight="1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ht="12.0" customHeight="1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ht="12.0" customHeight="1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ht="12.0" customHeight="1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ht="12.0" customHeight="1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ht="12.0" customHeight="1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ht="12.0" customHeight="1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ht="12.0" customHeight="1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ht="12.0" customHeight="1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ht="12.0" customHeight="1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ht="12.0" customHeight="1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ht="12.0" customHeight="1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ht="12.0" customHeight="1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ht="12.0" customHeight="1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ht="12.0" customHeight="1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ht="12.0" customHeight="1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ht="12.0" customHeight="1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ht="12.0" customHeight="1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ht="12.0" customHeight="1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ht="12.0" customHeight="1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ht="12.0" customHeight="1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ht="12.0" customHeight="1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ht="12.0" customHeight="1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ht="12.0" customHeight="1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ht="12.0" customHeight="1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ht="12.0" customHeight="1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ht="12.0" customHeight="1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ht="12.0" customHeight="1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ht="12.0" customHeight="1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ht="12.0" customHeight="1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ht="12.0" customHeight="1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ht="12.0" customHeight="1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ht="12.0" customHeight="1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ht="12.0" customHeight="1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ht="12.0" customHeight="1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ht="12.0" customHeight="1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ht="12.0" customHeight="1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ht="12.0" customHeight="1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ht="12.0" customHeight="1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ht="12.0" customHeight="1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ht="12.0" customHeight="1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ht="12.0" customHeight="1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ht="12.0" customHeight="1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ht="12.0" customHeight="1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ht="12.0" customHeight="1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ht="12.0" customHeight="1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ht="12.0" customHeight="1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ht="12.0" customHeight="1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ht="12.0" customHeight="1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ht="12.0" customHeight="1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ht="12.0" customHeight="1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ht="12.0" customHeight="1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ht="12.0" customHeight="1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ht="12.0" customHeight="1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ht="12.0" customHeight="1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ht="12.0" customHeight="1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ht="12.0" customHeight="1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ht="12.0" customHeight="1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ht="12.0" customHeight="1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ht="12.0" customHeight="1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ht="12.0" customHeight="1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ht="12.0" customHeight="1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ht="12.0" customHeight="1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ht="12.0" customHeight="1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ht="12.0" customHeight="1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ht="12.0" customHeight="1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ht="12.0" customHeight="1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ht="12.0" customHeight="1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ht="12.0" customHeight="1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ht="12.0" customHeight="1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ht="12.0" customHeight="1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ht="12.0" customHeight="1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ht="12.0" customHeight="1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ht="12.0" customHeight="1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ht="12.0" customHeight="1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ht="12.0" customHeight="1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ht="12.0" customHeight="1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ht="12.0" customHeight="1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ht="12.0" customHeight="1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ht="12.0" customHeight="1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ht="12.0" customHeight="1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ht="12.0" customHeight="1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ht="12.0" customHeight="1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ht="12.0" customHeight="1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ht="12.0" customHeight="1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ht="12.0" customHeight="1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ht="12.0" customHeight="1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ht="12.0" customHeight="1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ht="12.0" customHeight="1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ht="12.0" customHeight="1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ht="12.0" customHeight="1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ht="12.0" customHeight="1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ht="12.0" customHeight="1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ht="12.0" customHeight="1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ht="12.0" customHeight="1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ht="12.0" customHeight="1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ht="12.0" customHeight="1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ht="12.0" customHeight="1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ht="12.0" customHeight="1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ht="12.0" customHeight="1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ht="12.0" customHeight="1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ht="12.0" customHeight="1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ht="12.0" customHeight="1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ht="12.0" customHeight="1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ht="12.0" customHeight="1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ht="12.0" customHeight="1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ht="12.0" customHeight="1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ht="12.0" customHeight="1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ht="12.0" customHeight="1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ht="12.0" customHeight="1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ht="12.0" customHeight="1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ht="12.0" customHeight="1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ht="12.0" customHeight="1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ht="12.0" customHeight="1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ht="12.0" customHeight="1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ht="12.0" customHeight="1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ht="12.0" customHeight="1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ht="12.0" customHeight="1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ht="12.0" customHeight="1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ht="12.0" customHeight="1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ht="12.0" customHeight="1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ht="12.0" customHeight="1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ht="12.0" customHeight="1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ht="12.0" customHeight="1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ht="12.0" customHeight="1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ht="12.0" customHeight="1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ht="12.0" customHeight="1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ht="12.0" customHeight="1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ht="12.0" customHeight="1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ht="12.0" customHeight="1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ht="12.0" customHeight="1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ht="12.0" customHeight="1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ht="12.0" customHeight="1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ht="12.0" customHeight="1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ht="12.0" customHeight="1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ht="12.0" customHeight="1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ht="12.0" customHeight="1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ht="12.0" customHeight="1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ht="12.0" customHeight="1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ht="12.0" customHeight="1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ht="12.0" customHeight="1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ht="12.0" customHeight="1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ht="12.0" customHeight="1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ht="12.0" customHeight="1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ht="12.0" customHeight="1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ht="12.0" customHeight="1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ht="12.0" customHeight="1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ht="12.0" customHeight="1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ht="12.0" customHeight="1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ht="12.0" customHeight="1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ht="12.0" customHeight="1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ht="12.0" customHeight="1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ht="12.0" customHeight="1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ht="12.0" customHeight="1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ht="12.0" customHeight="1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ht="12.0" customHeight="1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ht="12.0" customHeight="1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ht="12.0" customHeight="1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ht="12.0" customHeight="1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ht="12.0" customHeight="1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ht="12.0" customHeight="1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ht="12.0" customHeight="1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ht="12.0" customHeight="1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ht="12.0" customHeight="1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ht="12.0" customHeight="1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ht="12.0" customHeight="1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ht="12.0" customHeight="1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ht="12.0" customHeight="1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ht="12.0" customHeight="1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ht="12.0" customHeight="1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ht="12.0" customHeight="1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ht="12.0" customHeight="1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ht="12.0" customHeight="1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ht="12.0" customHeight="1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ht="12.0" customHeight="1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ht="12.0" customHeight="1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ht="12.0" customHeight="1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ht="12.0" customHeight="1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ht="12.0" customHeight="1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ht="12.0" customHeight="1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ht="12.0" customHeight="1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ht="12.0" customHeight="1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ht="12.0" customHeight="1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ht="12.0" customHeight="1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ht="12.0" customHeight="1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ht="12.0" customHeight="1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ht="12.0" customHeight="1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ht="12.0" customHeight="1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ht="12.0" customHeight="1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ht="12.0" customHeight="1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ht="12.0" customHeight="1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ht="12.0" customHeight="1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ht="12.0" customHeight="1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ht="12.0" customHeight="1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ht="12.0" customHeight="1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ht="12.0" customHeight="1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ht="12.0" customHeight="1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ht="12.0" customHeight="1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ht="12.0" customHeight="1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ht="12.0" customHeight="1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ht="12.0" customHeight="1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ht="12.0" customHeight="1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ht="12.0" customHeight="1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ht="12.0" customHeight="1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ht="12.0" customHeight="1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ht="12.0" customHeight="1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ht="12.0" customHeight="1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ht="12.0" customHeight="1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ht="12.0" customHeight="1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ht="12.0" customHeight="1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ht="12.0" customHeight="1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ht="12.0" customHeight="1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ht="12.0" customHeight="1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ht="12.0" customHeight="1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ht="12.0" customHeight="1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ht="12.0" customHeight="1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ht="12.0" customHeight="1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ht="12.0" customHeight="1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ht="12.0" customHeight="1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ht="12.0" customHeight="1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ht="12.0" customHeight="1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ht="12.0" customHeight="1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ht="12.0" customHeight="1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ht="12.0" customHeight="1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ht="12.0" customHeight="1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ht="12.0" customHeight="1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ht="12.0" customHeight="1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ht="12.0" customHeight="1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ht="12.0" customHeight="1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ht="12.0" customHeight="1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ht="12.0" customHeight="1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ht="12.0" customHeight="1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ht="12.0" customHeight="1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ht="12.0" customHeight="1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ht="12.0" customHeight="1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ht="12.0" customHeight="1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ht="12.0" customHeight="1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ht="12.0" customHeight="1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ht="12.0" customHeight="1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ht="12.0" customHeight="1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ht="12.0" customHeight="1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ht="12.0" customHeight="1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ht="12.0" customHeight="1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ht="12.0" customHeight="1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ht="12.0" customHeight="1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ht="12.0" customHeight="1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ht="12.0" customHeight="1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ht="12.0" customHeight="1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ht="12.0" customHeight="1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ht="12.0" customHeight="1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ht="12.0" customHeight="1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ht="12.0" customHeight="1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ht="12.0" customHeight="1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ht="12.0" customHeight="1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ht="12.0" customHeight="1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ht="12.0" customHeight="1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ht="12.0" customHeight="1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ht="12.0" customHeight="1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ht="12.0" customHeight="1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ht="12.0" customHeight="1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ht="12.0" customHeight="1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ht="12.0" customHeight="1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ht="12.0" customHeight="1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ht="12.0" customHeight="1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ht="12.0" customHeight="1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ht="12.0" customHeight="1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ht="12.0" customHeight="1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ht="12.0" customHeight="1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ht="12.0" customHeight="1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ht="12.0" customHeight="1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ht="12.0" customHeight="1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ht="12.0" customHeight="1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ht="12.0" customHeight="1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ht="12.0" customHeight="1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ht="12.0" customHeight="1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ht="12.0" customHeight="1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ht="12.0" customHeight="1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ht="12.0" customHeight="1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ht="12.0" customHeight="1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ht="12.0" customHeight="1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ht="12.0" customHeight="1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ht="12.0" customHeight="1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ht="12.0" customHeight="1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ht="12.0" customHeight="1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ht="12.0" customHeight="1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ht="12.0" customHeight="1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ht="12.0" customHeight="1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ht="12.0" customHeight="1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ht="12.0" customHeight="1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ht="12.0" customHeight="1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ht="12.0" customHeight="1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ht="12.0" customHeight="1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ht="12.0" customHeight="1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ht="12.0" customHeight="1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ht="12.0" customHeight="1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ht="12.0" customHeight="1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ht="12.0" customHeight="1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ht="12.0" customHeight="1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ht="12.0" customHeight="1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ht="12.0" customHeight="1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ht="12.0" customHeight="1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ht="12.0" customHeight="1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ht="12.0" customHeight="1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ht="12.0" customHeight="1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ht="12.0" customHeight="1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ht="12.0" customHeight="1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ht="12.0" customHeight="1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ht="12.0" customHeight="1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ht="12.0" customHeight="1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ht="12.0" customHeight="1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ht="12.0" customHeight="1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ht="12.0" customHeight="1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ht="12.0" customHeight="1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ht="12.0" customHeight="1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ht="12.0" customHeight="1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ht="12.0" customHeight="1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ht="12.0" customHeight="1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ht="12.0" customHeight="1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ht="12.0" customHeight="1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ht="12.0" customHeight="1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ht="12.0" customHeight="1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ht="12.0" customHeight="1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ht="12.0" customHeight="1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ht="12.0" customHeight="1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ht="12.0" customHeight="1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ht="12.0" customHeight="1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ht="12.0" customHeight="1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ht="12.0" customHeight="1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ht="12.0" customHeight="1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ht="12.0" customHeight="1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ht="12.0" customHeight="1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ht="12.0" customHeight="1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ht="12.0" customHeight="1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ht="12.0" customHeight="1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ht="12.0" customHeight="1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ht="12.0" customHeight="1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ht="12.0" customHeight="1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ht="12.0" customHeight="1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ht="12.0" customHeight="1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ht="12.0" customHeight="1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ht="12.0" customHeight="1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ht="12.0" customHeight="1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ht="12.0" customHeight="1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ht="12.0" customHeight="1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ht="12.0" customHeight="1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ht="12.0" customHeight="1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ht="12.0" customHeight="1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ht="12.0" customHeight="1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ht="12.0" customHeight="1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ht="12.0" customHeight="1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ht="12.0" customHeight="1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ht="12.0" customHeight="1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ht="12.0" customHeight="1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ht="12.0" customHeight="1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ht="12.0" customHeight="1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ht="12.0" customHeight="1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ht="12.0" customHeight="1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ht="12.0" customHeight="1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ht="12.0" customHeight="1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ht="12.0" customHeight="1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ht="12.0" customHeight="1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ht="12.0" customHeight="1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ht="12.0" customHeight="1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ht="12.0" customHeight="1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ht="12.0" customHeight="1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ht="12.0" customHeight="1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ht="12.0" customHeight="1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ht="12.0" customHeight="1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ht="12.0" customHeight="1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ht="12.0" customHeight="1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ht="12.0" customHeight="1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ht="12.0" customHeight="1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ht="12.0" customHeight="1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ht="12.0" customHeight="1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ht="12.0" customHeight="1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ht="12.0" customHeight="1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ht="12.0" customHeight="1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ht="12.0" customHeight="1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ht="12.0" customHeight="1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ht="12.0" customHeight="1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ht="12.0" customHeight="1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ht="12.0" customHeight="1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ht="12.0" customHeight="1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ht="12.0" customHeight="1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ht="12.0" customHeight="1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ht="12.0" customHeight="1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ht="12.0" customHeight="1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ht="12.0" customHeight="1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ht="12.0" customHeight="1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ht="12.0" customHeight="1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ht="12.0" customHeight="1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ht="12.0" customHeight="1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ht="12.0" customHeight="1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ht="12.0" customHeight="1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ht="12.0" customHeight="1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ht="12.0" customHeight="1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ht="12.0" customHeight="1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ht="12.0" customHeight="1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ht="12.0" customHeight="1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ht="12.0" customHeight="1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ht="12.0" customHeight="1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ht="12.0" customHeight="1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ht="12.0" customHeight="1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ht="12.0" customHeight="1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ht="12.0" customHeight="1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ht="12.0" customHeight="1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ht="12.0" customHeight="1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ht="12.0" customHeight="1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ht="12.0" customHeight="1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ht="12.0" customHeight="1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ht="12.0" customHeight="1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ht="12.0" customHeight="1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ht="12.0" customHeight="1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ht="12.0" customHeight="1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ht="12.0" customHeight="1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ht="12.0" customHeight="1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ht="12.0" customHeight="1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ht="12.0" customHeight="1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ht="12.0" customHeight="1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ht="12.0" customHeight="1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ht="12.0" customHeight="1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ht="12.0" customHeight="1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ht="12.0" customHeight="1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ht="12.0" customHeight="1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ht="12.0" customHeight="1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ht="12.0" customHeight="1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ht="12.0" customHeight="1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ht="12.0" customHeight="1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ht="12.0" customHeight="1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ht="12.0" customHeight="1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ht="12.0" customHeight="1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ht="12.0" customHeight="1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ht="12.0" customHeight="1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ht="12.0" customHeight="1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ht="12.0" customHeight="1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ht="12.0" customHeight="1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ht="12.0" customHeight="1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ht="12.0" customHeight="1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ht="12.0" customHeight="1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ht="12.0" customHeight="1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ht="12.0" customHeight="1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ht="12.0" customHeight="1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ht="12.0" customHeight="1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ht="12.0" customHeight="1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ht="12.0" customHeight="1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ht="12.0" customHeight="1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ht="12.0" customHeight="1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ht="12.0" customHeight="1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ht="12.0" customHeight="1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ht="12.0" customHeight="1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ht="12.0" customHeight="1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ht="12.0" customHeight="1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ht="12.0" customHeight="1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ht="12.0" customHeight="1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ht="12.0" customHeight="1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ht="12.0" customHeight="1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ht="12.0" customHeight="1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ht="12.0" customHeight="1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ht="12.0" customHeight="1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ht="12.0" customHeight="1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ht="12.0" customHeight="1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ht="12.0" customHeight="1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ht="12.0" customHeight="1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ht="12.0" customHeight="1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ht="12.0" customHeight="1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ht="12.0" customHeight="1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ht="12.0" customHeight="1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ht="12.0" customHeight="1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ht="12.0" customHeight="1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ht="12.0" customHeight="1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ht="12.0" customHeight="1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ht="12.0" customHeight="1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ht="12.0" customHeight="1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ht="12.0" customHeight="1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ht="12.0" customHeight="1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ht="12.0" customHeight="1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ht="12.0" customHeight="1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ht="12.0" customHeight="1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ht="12.0" customHeight="1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ht="12.0" customHeight="1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ht="12.0" customHeight="1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ht="12.0" customHeight="1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ht="12.0" customHeight="1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ht="12.0" customHeight="1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ht="12.0" customHeight="1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ht="12.0" customHeight="1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ht="12.0" customHeight="1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ht="12.0" customHeight="1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ht="12.0" customHeight="1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ht="12.0" customHeight="1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ht="12.0" customHeight="1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ht="12.0" customHeight="1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ht="12.0" customHeight="1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ht="12.0" customHeight="1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ht="12.0" customHeight="1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ht="12.0" customHeight="1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ht="12.0" customHeight="1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ht="12.0" customHeight="1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ht="12.0" customHeight="1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ht="12.0" customHeight="1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ht="12.0" customHeight="1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ht="12.0" customHeight="1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ht="12.0" customHeight="1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ht="12.0" customHeight="1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ht="12.0" customHeight="1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ht="12.0" customHeight="1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ht="12.0" customHeight="1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ht="12.0" customHeight="1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ht="12.0" customHeight="1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ht="12.0" customHeight="1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ht="12.0" customHeight="1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ht="12.0" customHeight="1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ht="12.0" customHeight="1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ht="12.0" customHeight="1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ht="12.0" customHeight="1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ht="12.0" customHeight="1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ht="12.0" customHeight="1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ht="12.0" customHeight="1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ht="12.0" customHeight="1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ht="12.0" customHeight="1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ht="12.0" customHeight="1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ht="12.0" customHeight="1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ht="12.0" customHeight="1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ht="12.0" customHeight="1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ht="12.0" customHeight="1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ht="12.0" customHeight="1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ht="12.0" customHeight="1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ht="12.0" customHeight="1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ht="12.0" customHeight="1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ht="12.0" customHeight="1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ht="12.0" customHeight="1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ht="12.0" customHeight="1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ht="12.0" customHeight="1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ht="12.0" customHeight="1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ht="12.0" customHeight="1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ht="12.0" customHeight="1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ht="12.0" customHeight="1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ht="12.0" customHeight="1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ht="12.0" customHeight="1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ht="12.0" customHeight="1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ht="12.0" customHeight="1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ht="12.0" customHeight="1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ht="12.0" customHeight="1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ht="12.0" customHeight="1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ht="12.0" customHeight="1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ht="12.0" customHeight="1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ht="12.0" customHeight="1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ht="12.0" customHeight="1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ht="12.0" customHeight="1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ht="12.0" customHeight="1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ht="12.0" customHeight="1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ht="12.0" customHeight="1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ht="12.0" customHeight="1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ht="12.0" customHeight="1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ht="12.0" customHeight="1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ht="12.0" customHeight="1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ht="12.0" customHeight="1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ht="12.0" customHeight="1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ht="12.0" customHeight="1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ht="12.0" customHeight="1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ht="12.0" customHeight="1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ht="12.0" customHeight="1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ht="12.0" customHeight="1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ht="12.0" customHeight="1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ht="12.0" customHeight="1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ht="12.0" customHeight="1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ht="12.0" customHeight="1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ht="12.0" customHeight="1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ht="12.0" customHeight="1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ht="12.0" customHeight="1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ht="12.0" customHeight="1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ht="12.0" customHeight="1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ht="12.0" customHeight="1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ht="12.0" customHeight="1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ht="12.0" customHeight="1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ht="12.0" customHeight="1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ht="12.0" customHeight="1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ht="12.0" customHeight="1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ht="12.0" customHeight="1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ht="12.0" customHeight="1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ht="12.0" customHeight="1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ht="12.0" customHeight="1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autoFilter ref="$A$6:$P$22"/>
  <mergeCells count="12">
    <mergeCell ref="G4:I4"/>
    <mergeCell ref="K4:M4"/>
    <mergeCell ref="N4:N5"/>
    <mergeCell ref="O4:O5"/>
    <mergeCell ref="P4:P5"/>
    <mergeCell ref="A4:A5"/>
    <mergeCell ref="B4:B5"/>
    <mergeCell ref="C4:C5"/>
    <mergeCell ref="D4:D5"/>
    <mergeCell ref="E4:E5"/>
    <mergeCell ref="F4:F5"/>
    <mergeCell ref="J4:J5"/>
  </mergeCells>
  <printOptions/>
  <pageMargins bottom="0.7480314960629921" footer="0.0" header="0.0" left="0.2755905511811024" right="0.2755905511811024" top="0.7480314960629921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>
      <pane xSplit="4.0" ySplit="7.0" topLeftCell="E8" activePane="bottomRight" state="frozen"/>
      <selection activeCell="E1" sqref="E1" pane="topRight"/>
      <selection activeCell="A8" sqref="A8" pane="bottomLeft"/>
      <selection activeCell="E8" sqref="E8" pane="bottomRight"/>
    </sheetView>
  </sheetViews>
  <sheetFormatPr customHeight="1" defaultColWidth="14.43" defaultRowHeight="15.0"/>
  <cols>
    <col customWidth="1" min="1" max="2" width="6.14"/>
    <col customWidth="1" min="3" max="3" width="25.0"/>
    <col customWidth="1" min="4" max="4" width="35.86"/>
    <col customWidth="1" min="5" max="8" width="11.86"/>
    <col customWidth="1" min="9" max="10" width="16.86"/>
    <col customWidth="1" min="11" max="14" width="11.86"/>
    <col customWidth="1" min="15" max="26" width="16.86"/>
  </cols>
  <sheetData>
    <row r="1">
      <c r="A1" s="71" t="s">
        <v>411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71"/>
      <c r="B2" s="71"/>
      <c r="C2" s="72"/>
      <c r="N2" s="72"/>
      <c r="O2" s="72"/>
      <c r="P2" s="71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1"/>
      <c r="B3" s="71"/>
      <c r="C3" s="73" t="s">
        <v>412</v>
      </c>
      <c r="D3" s="74"/>
      <c r="E3" s="75" t="s">
        <v>78</v>
      </c>
      <c r="F3" s="76"/>
      <c r="G3" s="76"/>
      <c r="H3" s="76"/>
      <c r="I3" s="76"/>
      <c r="J3" s="76"/>
      <c r="K3" s="77"/>
      <c r="N3" s="77"/>
      <c r="O3" s="77"/>
      <c r="P3" s="77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71"/>
      <c r="B4" s="71"/>
      <c r="C4" s="79" t="s">
        <v>413</v>
      </c>
      <c r="D4" s="81" t="s">
        <v>414</v>
      </c>
      <c r="E4" s="83" t="s">
        <v>416</v>
      </c>
      <c r="F4" s="84"/>
      <c r="G4" s="84"/>
      <c r="H4" s="84"/>
      <c r="I4" s="84"/>
      <c r="J4" s="86"/>
      <c r="K4" s="88" t="s">
        <v>417</v>
      </c>
      <c r="L4" s="11"/>
      <c r="M4" s="11"/>
      <c r="N4" s="11"/>
      <c r="O4" s="11"/>
      <c r="P4" s="14"/>
      <c r="Q4" s="2" t="s">
        <v>418</v>
      </c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71"/>
      <c r="B5" s="71"/>
      <c r="C5" s="90"/>
      <c r="D5" s="91"/>
      <c r="E5" s="93" t="s">
        <v>419</v>
      </c>
      <c r="F5" s="93" t="s">
        <v>420</v>
      </c>
      <c r="G5" s="93" t="s">
        <v>421</v>
      </c>
      <c r="H5" s="93" t="s">
        <v>422</v>
      </c>
      <c r="I5" s="96" t="s">
        <v>423</v>
      </c>
      <c r="J5" s="96" t="s">
        <v>424</v>
      </c>
      <c r="K5" s="98" t="s">
        <v>419</v>
      </c>
      <c r="L5" s="98" t="s">
        <v>420</v>
      </c>
      <c r="M5" s="98" t="s">
        <v>421</v>
      </c>
      <c r="N5" s="98" t="s">
        <v>422</v>
      </c>
      <c r="O5" s="103" t="s">
        <v>427</v>
      </c>
      <c r="P5" s="103" t="s">
        <v>431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71"/>
      <c r="B6" s="71"/>
      <c r="C6" s="90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1"/>
      <c r="B7" s="71"/>
      <c r="C7" s="109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1"/>
      <c r="B8" s="71"/>
      <c r="C8" s="113" t="s">
        <v>434</v>
      </c>
      <c r="D8" s="112" t="s">
        <v>434</v>
      </c>
      <c r="E8" s="115"/>
      <c r="F8" s="115">
        <v>1.0</v>
      </c>
      <c r="G8" s="115"/>
      <c r="H8" s="115"/>
      <c r="I8" s="115">
        <f t="shared" ref="I8:I35" si="1">SUM(E8:H8)</f>
        <v>1</v>
      </c>
      <c r="J8" s="115"/>
      <c r="K8" s="116"/>
      <c r="L8" s="116">
        <v>1.0</v>
      </c>
      <c r="M8" s="116"/>
      <c r="N8" s="116"/>
      <c r="O8" s="116">
        <f t="shared" ref="O8:O35" si="2">SUM(K8:N8)</f>
        <v>1</v>
      </c>
      <c r="P8" s="116"/>
      <c r="Q8" s="118">
        <f t="shared" ref="Q8:Q35" si="3">I8-O8</f>
        <v>0</v>
      </c>
      <c r="R8" s="2"/>
      <c r="S8" s="2"/>
      <c r="T8" s="2"/>
      <c r="U8" s="2"/>
      <c r="V8" s="2"/>
      <c r="W8" s="2"/>
      <c r="X8" s="2"/>
      <c r="Y8" s="2"/>
      <c r="Z8" s="2"/>
    </row>
    <row r="9">
      <c r="A9" s="71"/>
      <c r="B9" s="71"/>
      <c r="C9" s="113" t="s">
        <v>435</v>
      </c>
      <c r="D9" s="112" t="s">
        <v>436</v>
      </c>
      <c r="E9" s="115">
        <v>1.0</v>
      </c>
      <c r="F9" s="115"/>
      <c r="G9" s="115"/>
      <c r="H9" s="115"/>
      <c r="I9" s="115">
        <f t="shared" si="1"/>
        <v>1</v>
      </c>
      <c r="J9" s="115"/>
      <c r="K9" s="116">
        <v>1.0</v>
      </c>
      <c r="L9" s="116"/>
      <c r="M9" s="116"/>
      <c r="N9" s="116"/>
      <c r="O9" s="116">
        <f t="shared" si="2"/>
        <v>1</v>
      </c>
      <c r="P9" s="116"/>
      <c r="Q9" s="118">
        <f t="shared" si="3"/>
        <v>0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71"/>
      <c r="B10" s="71"/>
      <c r="C10" s="120" t="s">
        <v>437</v>
      </c>
      <c r="D10" s="112" t="s">
        <v>438</v>
      </c>
      <c r="E10" s="115"/>
      <c r="F10" s="115"/>
      <c r="G10" s="115"/>
      <c r="H10" s="115"/>
      <c r="I10" s="115">
        <f t="shared" si="1"/>
        <v>0</v>
      </c>
      <c r="J10" s="115"/>
      <c r="K10" s="116"/>
      <c r="L10" s="116"/>
      <c r="M10" s="116"/>
      <c r="N10" s="116"/>
      <c r="O10" s="116">
        <f t="shared" si="2"/>
        <v>0</v>
      </c>
      <c r="P10" s="116"/>
      <c r="Q10" s="118">
        <f t="shared" si="3"/>
        <v>0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71"/>
      <c r="B11" s="71"/>
      <c r="C11" s="90"/>
      <c r="D11" s="112" t="s">
        <v>440</v>
      </c>
      <c r="E11" s="115"/>
      <c r="F11" s="115">
        <v>1.0</v>
      </c>
      <c r="G11" s="115"/>
      <c r="H11" s="115"/>
      <c r="I11" s="115">
        <f t="shared" si="1"/>
        <v>1</v>
      </c>
      <c r="J11" s="115"/>
      <c r="K11" s="116"/>
      <c r="L11" s="116">
        <v>1.0</v>
      </c>
      <c r="M11" s="116"/>
      <c r="N11" s="116"/>
      <c r="O11" s="116">
        <f t="shared" si="2"/>
        <v>1</v>
      </c>
      <c r="P11" s="116"/>
      <c r="Q11" s="118">
        <f t="shared" si="3"/>
        <v>0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71"/>
      <c r="B12" s="71"/>
      <c r="C12" s="90"/>
      <c r="D12" s="112" t="s">
        <v>441</v>
      </c>
      <c r="E12" s="115"/>
      <c r="F12" s="115"/>
      <c r="G12" s="115"/>
      <c r="H12" s="115"/>
      <c r="I12" s="115">
        <f t="shared" si="1"/>
        <v>0</v>
      </c>
      <c r="J12" s="115"/>
      <c r="K12" s="116"/>
      <c r="L12" s="116"/>
      <c r="M12" s="116"/>
      <c r="N12" s="116"/>
      <c r="O12" s="116">
        <f t="shared" si="2"/>
        <v>0</v>
      </c>
      <c r="P12" s="116"/>
      <c r="Q12" s="118">
        <f t="shared" si="3"/>
        <v>0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71"/>
      <c r="B13" s="71"/>
      <c r="C13" s="90"/>
      <c r="D13" s="112" t="s">
        <v>396</v>
      </c>
      <c r="E13" s="115"/>
      <c r="F13" s="115"/>
      <c r="G13" s="115">
        <v>1.0</v>
      </c>
      <c r="H13" s="115"/>
      <c r="I13" s="115">
        <f t="shared" si="1"/>
        <v>1</v>
      </c>
      <c r="J13" s="115"/>
      <c r="K13" s="116"/>
      <c r="L13" s="116"/>
      <c r="M13" s="116">
        <v>1.0</v>
      </c>
      <c r="N13" s="116"/>
      <c r="O13" s="116">
        <f t="shared" si="2"/>
        <v>1</v>
      </c>
      <c r="P13" s="116"/>
      <c r="Q13" s="118">
        <f t="shared" si="3"/>
        <v>0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71"/>
      <c r="B14" s="71"/>
      <c r="C14" s="109"/>
      <c r="D14" s="112" t="s">
        <v>398</v>
      </c>
      <c r="E14" s="115"/>
      <c r="F14" s="115"/>
      <c r="G14" s="115">
        <v>1.0</v>
      </c>
      <c r="H14" s="115"/>
      <c r="I14" s="115">
        <f t="shared" si="1"/>
        <v>1</v>
      </c>
      <c r="J14" s="115"/>
      <c r="K14" s="116"/>
      <c r="L14" s="116"/>
      <c r="M14" s="116">
        <v>1.0</v>
      </c>
      <c r="N14" s="116"/>
      <c r="O14" s="116">
        <f t="shared" si="2"/>
        <v>1</v>
      </c>
      <c r="P14" s="116"/>
      <c r="Q14" s="118">
        <f t="shared" si="3"/>
        <v>0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71"/>
      <c r="B15" s="71"/>
      <c r="C15" s="120" t="s">
        <v>444</v>
      </c>
      <c r="D15" s="112" t="s">
        <v>445</v>
      </c>
      <c r="E15" s="115"/>
      <c r="F15" s="115"/>
      <c r="G15" s="115"/>
      <c r="H15" s="115"/>
      <c r="I15" s="115">
        <f t="shared" si="1"/>
        <v>0</v>
      </c>
      <c r="J15" s="115"/>
      <c r="K15" s="116"/>
      <c r="L15" s="116"/>
      <c r="M15" s="116"/>
      <c r="N15" s="116"/>
      <c r="O15" s="116">
        <f t="shared" si="2"/>
        <v>0</v>
      </c>
      <c r="P15" s="116"/>
      <c r="Q15" s="118">
        <f t="shared" si="3"/>
        <v>0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71"/>
      <c r="B16" s="71"/>
      <c r="C16" s="90"/>
      <c r="D16" s="112" t="s">
        <v>446</v>
      </c>
      <c r="E16" s="115">
        <v>3.0</v>
      </c>
      <c r="F16" s="115"/>
      <c r="G16" s="115"/>
      <c r="H16" s="115"/>
      <c r="I16" s="115">
        <f t="shared" si="1"/>
        <v>3</v>
      </c>
      <c r="J16" s="115"/>
      <c r="K16" s="116">
        <v>3.0</v>
      </c>
      <c r="L16" s="116"/>
      <c r="M16" s="116"/>
      <c r="N16" s="116"/>
      <c r="O16" s="116">
        <f t="shared" si="2"/>
        <v>3</v>
      </c>
      <c r="P16" s="116"/>
      <c r="Q16" s="118">
        <f t="shared" si="3"/>
        <v>0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71"/>
      <c r="B17" s="71"/>
      <c r="C17" s="90"/>
      <c r="D17" s="112" t="s">
        <v>386</v>
      </c>
      <c r="E17" s="115">
        <v>2.0</v>
      </c>
      <c r="F17" s="115">
        <v>1.0</v>
      </c>
      <c r="G17" s="115">
        <v>2.0</v>
      </c>
      <c r="H17" s="115">
        <v>0.0</v>
      </c>
      <c r="I17" s="115">
        <f t="shared" si="1"/>
        <v>5</v>
      </c>
      <c r="J17" s="115"/>
      <c r="K17" s="116">
        <v>2.0</v>
      </c>
      <c r="L17" s="116">
        <v>1.0</v>
      </c>
      <c r="M17" s="116">
        <v>2.0</v>
      </c>
      <c r="N17" s="116"/>
      <c r="O17" s="116">
        <f t="shared" si="2"/>
        <v>5</v>
      </c>
      <c r="P17" s="116"/>
      <c r="Q17" s="118">
        <f t="shared" si="3"/>
        <v>0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71"/>
      <c r="B18" s="71"/>
      <c r="C18" s="90"/>
      <c r="D18" s="112" t="s">
        <v>400</v>
      </c>
      <c r="E18" s="115"/>
      <c r="F18" s="115"/>
      <c r="G18" s="115"/>
      <c r="H18" s="115"/>
      <c r="I18" s="115">
        <f t="shared" si="1"/>
        <v>0</v>
      </c>
      <c r="J18" s="115"/>
      <c r="K18" s="116"/>
      <c r="L18" s="116"/>
      <c r="M18" s="116"/>
      <c r="N18" s="116"/>
      <c r="O18" s="116">
        <f t="shared" si="2"/>
        <v>0</v>
      </c>
      <c r="P18" s="116"/>
      <c r="Q18" s="118">
        <f t="shared" si="3"/>
        <v>0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71"/>
      <c r="B19" s="71"/>
      <c r="C19" s="90"/>
      <c r="D19" s="112" t="s">
        <v>448</v>
      </c>
      <c r="E19" s="115"/>
      <c r="F19" s="115">
        <v>1.0</v>
      </c>
      <c r="G19" s="115"/>
      <c r="H19" s="115"/>
      <c r="I19" s="115">
        <f t="shared" si="1"/>
        <v>1</v>
      </c>
      <c r="J19" s="115"/>
      <c r="K19" s="116"/>
      <c r="L19" s="116">
        <v>1.0</v>
      </c>
      <c r="M19" s="116"/>
      <c r="N19" s="116"/>
      <c r="O19" s="116">
        <f t="shared" si="2"/>
        <v>1</v>
      </c>
      <c r="P19" s="116"/>
      <c r="Q19" s="118">
        <f t="shared" si="3"/>
        <v>0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71"/>
      <c r="B20" s="71"/>
      <c r="C20" s="120" t="s">
        <v>449</v>
      </c>
      <c r="D20" s="112" t="s">
        <v>446</v>
      </c>
      <c r="E20" s="115"/>
      <c r="F20" s="115"/>
      <c r="G20" s="115"/>
      <c r="H20" s="115"/>
      <c r="I20" s="115">
        <f t="shared" si="1"/>
        <v>0</v>
      </c>
      <c r="J20" s="115"/>
      <c r="K20" s="116"/>
      <c r="L20" s="116"/>
      <c r="M20" s="116"/>
      <c r="N20" s="116"/>
      <c r="O20" s="116">
        <f t="shared" si="2"/>
        <v>0</v>
      </c>
      <c r="P20" s="116"/>
      <c r="Q20" s="118">
        <f t="shared" si="3"/>
        <v>0</v>
      </c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1"/>
      <c r="B21" s="71"/>
      <c r="C21" s="109"/>
      <c r="D21" s="112" t="s">
        <v>450</v>
      </c>
      <c r="E21" s="115"/>
      <c r="F21" s="115">
        <v>1.0</v>
      </c>
      <c r="G21" s="115"/>
      <c r="H21" s="115"/>
      <c r="I21" s="115">
        <f t="shared" si="1"/>
        <v>1</v>
      </c>
      <c r="J21" s="115"/>
      <c r="K21" s="116"/>
      <c r="L21" s="116">
        <v>1.0</v>
      </c>
      <c r="M21" s="116"/>
      <c r="N21" s="116"/>
      <c r="O21" s="116">
        <f t="shared" si="2"/>
        <v>1</v>
      </c>
      <c r="P21" s="116"/>
      <c r="Q21" s="118">
        <f t="shared" si="3"/>
        <v>0</v>
      </c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71"/>
      <c r="B22" s="71"/>
      <c r="C22" s="120" t="s">
        <v>451</v>
      </c>
      <c r="D22" s="112" t="s">
        <v>452</v>
      </c>
      <c r="E22" s="115"/>
      <c r="F22" s="115"/>
      <c r="G22" s="115"/>
      <c r="H22" s="115"/>
      <c r="I22" s="115">
        <f t="shared" si="1"/>
        <v>0</v>
      </c>
      <c r="J22" s="115"/>
      <c r="K22" s="116"/>
      <c r="L22" s="116"/>
      <c r="M22" s="116"/>
      <c r="N22" s="116"/>
      <c r="O22" s="116">
        <f t="shared" si="2"/>
        <v>0</v>
      </c>
      <c r="P22" s="116"/>
      <c r="Q22" s="118">
        <f t="shared" si="3"/>
        <v>0</v>
      </c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71"/>
      <c r="B23" s="71"/>
      <c r="C23" s="90"/>
      <c r="D23" s="112" t="s">
        <v>453</v>
      </c>
      <c r="E23" s="115"/>
      <c r="F23" s="115"/>
      <c r="G23" s="115"/>
      <c r="H23" s="115"/>
      <c r="I23" s="115">
        <f t="shared" si="1"/>
        <v>0</v>
      </c>
      <c r="J23" s="115"/>
      <c r="K23" s="116"/>
      <c r="L23" s="116"/>
      <c r="M23" s="116"/>
      <c r="N23" s="116"/>
      <c r="O23" s="116">
        <f t="shared" si="2"/>
        <v>0</v>
      </c>
      <c r="P23" s="116"/>
      <c r="Q23" s="118">
        <f t="shared" si="3"/>
        <v>0</v>
      </c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1"/>
      <c r="B24" s="71"/>
      <c r="C24" s="90"/>
      <c r="D24" s="112" t="s">
        <v>454</v>
      </c>
      <c r="E24" s="115">
        <v>1.0</v>
      </c>
      <c r="F24" s="115"/>
      <c r="G24" s="115"/>
      <c r="H24" s="115"/>
      <c r="I24" s="115">
        <f t="shared" si="1"/>
        <v>1</v>
      </c>
      <c r="J24" s="115"/>
      <c r="K24" s="116">
        <v>1.0</v>
      </c>
      <c r="L24" s="116"/>
      <c r="M24" s="116"/>
      <c r="N24" s="116"/>
      <c r="O24" s="116">
        <f t="shared" si="2"/>
        <v>1</v>
      </c>
      <c r="P24" s="116"/>
      <c r="Q24" s="118">
        <f t="shared" si="3"/>
        <v>0</v>
      </c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71"/>
      <c r="B25" s="71"/>
      <c r="C25" s="90"/>
      <c r="D25" s="112" t="s">
        <v>455</v>
      </c>
      <c r="E25" s="115"/>
      <c r="F25" s="115">
        <v>1.0</v>
      </c>
      <c r="G25" s="115"/>
      <c r="H25" s="115"/>
      <c r="I25" s="115">
        <f t="shared" si="1"/>
        <v>1</v>
      </c>
      <c r="J25" s="115"/>
      <c r="K25" s="116"/>
      <c r="L25" s="116">
        <v>1.0</v>
      </c>
      <c r="M25" s="116"/>
      <c r="N25" s="116"/>
      <c r="O25" s="116">
        <f t="shared" si="2"/>
        <v>1</v>
      </c>
      <c r="P25" s="116"/>
      <c r="Q25" s="118">
        <f t="shared" si="3"/>
        <v>0</v>
      </c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71"/>
      <c r="B26" s="71"/>
      <c r="C26" s="90"/>
      <c r="D26" s="112" t="s">
        <v>457</v>
      </c>
      <c r="E26" s="115"/>
      <c r="F26" s="115"/>
      <c r="G26" s="115">
        <v>2.0</v>
      </c>
      <c r="H26" s="115"/>
      <c r="I26" s="115">
        <f t="shared" si="1"/>
        <v>2</v>
      </c>
      <c r="J26" s="115"/>
      <c r="K26" s="116"/>
      <c r="L26" s="116"/>
      <c r="M26" s="116">
        <v>2.0</v>
      </c>
      <c r="N26" s="116"/>
      <c r="O26" s="116">
        <f t="shared" si="2"/>
        <v>2</v>
      </c>
      <c r="P26" s="116"/>
      <c r="Q26" s="118">
        <f t="shared" si="3"/>
        <v>0</v>
      </c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1"/>
      <c r="B27" s="71"/>
      <c r="C27" s="120" t="s">
        <v>458</v>
      </c>
      <c r="D27" s="112" t="s">
        <v>459</v>
      </c>
      <c r="E27" s="115"/>
      <c r="F27" s="115"/>
      <c r="G27" s="115"/>
      <c r="H27" s="115"/>
      <c r="I27" s="115">
        <f t="shared" si="1"/>
        <v>0</v>
      </c>
      <c r="J27" s="115"/>
      <c r="K27" s="116"/>
      <c r="L27" s="116"/>
      <c r="M27" s="116"/>
      <c r="N27" s="116"/>
      <c r="O27" s="116">
        <f t="shared" si="2"/>
        <v>0</v>
      </c>
      <c r="P27" s="116"/>
      <c r="Q27" s="118">
        <f t="shared" si="3"/>
        <v>0</v>
      </c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71"/>
      <c r="B28" s="71"/>
      <c r="C28" s="90"/>
      <c r="D28" s="112" t="s">
        <v>460</v>
      </c>
      <c r="E28" s="115"/>
      <c r="F28" s="115"/>
      <c r="G28" s="115"/>
      <c r="H28" s="115"/>
      <c r="I28" s="115">
        <f t="shared" si="1"/>
        <v>0</v>
      </c>
      <c r="J28" s="115"/>
      <c r="K28" s="116"/>
      <c r="L28" s="116"/>
      <c r="M28" s="116"/>
      <c r="N28" s="116"/>
      <c r="O28" s="116">
        <f t="shared" si="2"/>
        <v>0</v>
      </c>
      <c r="P28" s="116"/>
      <c r="Q28" s="118">
        <f t="shared" si="3"/>
        <v>0</v>
      </c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71"/>
      <c r="B29" s="71"/>
      <c r="C29" s="90"/>
      <c r="D29" s="112" t="s">
        <v>461</v>
      </c>
      <c r="E29" s="115"/>
      <c r="F29" s="115"/>
      <c r="G29" s="115">
        <v>2.0</v>
      </c>
      <c r="H29" s="115"/>
      <c r="I29" s="115">
        <f t="shared" si="1"/>
        <v>2</v>
      </c>
      <c r="J29" s="115"/>
      <c r="K29" s="116"/>
      <c r="L29" s="116"/>
      <c r="M29" s="116">
        <v>2.0</v>
      </c>
      <c r="N29" s="116"/>
      <c r="O29" s="116">
        <f t="shared" si="2"/>
        <v>2</v>
      </c>
      <c r="P29" s="116"/>
      <c r="Q29" s="118">
        <f t="shared" si="3"/>
        <v>0</v>
      </c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1"/>
      <c r="B30" s="71"/>
      <c r="C30" s="90"/>
      <c r="D30" s="112" t="s">
        <v>463</v>
      </c>
      <c r="E30" s="115"/>
      <c r="F30" s="115"/>
      <c r="G30" s="115">
        <v>1.0</v>
      </c>
      <c r="H30" s="115"/>
      <c r="I30" s="115">
        <f t="shared" si="1"/>
        <v>1</v>
      </c>
      <c r="J30" s="115"/>
      <c r="K30" s="116"/>
      <c r="L30" s="116"/>
      <c r="M30" s="116">
        <v>1.0</v>
      </c>
      <c r="N30" s="116"/>
      <c r="O30" s="116">
        <f t="shared" si="2"/>
        <v>1</v>
      </c>
      <c r="P30" s="116"/>
      <c r="Q30" s="118">
        <f t="shared" si="3"/>
        <v>0</v>
      </c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71"/>
      <c r="B31" s="71"/>
      <c r="C31" s="90"/>
      <c r="D31" s="112" t="s">
        <v>465</v>
      </c>
      <c r="E31" s="115">
        <v>1.0</v>
      </c>
      <c r="F31" s="115"/>
      <c r="G31" s="115"/>
      <c r="H31" s="115"/>
      <c r="I31" s="115">
        <f t="shared" si="1"/>
        <v>1</v>
      </c>
      <c r="J31" s="115"/>
      <c r="K31" s="116">
        <v>1.0</v>
      </c>
      <c r="L31" s="116"/>
      <c r="M31" s="116"/>
      <c r="N31" s="116"/>
      <c r="O31" s="116">
        <f t="shared" si="2"/>
        <v>1</v>
      </c>
      <c r="P31" s="116"/>
      <c r="Q31" s="118">
        <f t="shared" si="3"/>
        <v>0</v>
      </c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71"/>
      <c r="B32" s="71"/>
      <c r="C32" s="90"/>
      <c r="D32" s="112" t="s">
        <v>283</v>
      </c>
      <c r="E32" s="115"/>
      <c r="F32" s="115"/>
      <c r="G32" s="115">
        <v>1.0</v>
      </c>
      <c r="H32" s="115"/>
      <c r="I32" s="115">
        <f t="shared" si="1"/>
        <v>1</v>
      </c>
      <c r="J32" s="115"/>
      <c r="K32" s="116"/>
      <c r="L32" s="116"/>
      <c r="M32" s="116">
        <v>1.0</v>
      </c>
      <c r="N32" s="116"/>
      <c r="O32" s="116">
        <f t="shared" si="2"/>
        <v>1</v>
      </c>
      <c r="P32" s="116"/>
      <c r="Q32" s="118">
        <f t="shared" si="3"/>
        <v>0</v>
      </c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1"/>
      <c r="B33" s="71"/>
      <c r="C33" s="109"/>
      <c r="D33" s="112" t="s">
        <v>407</v>
      </c>
      <c r="E33" s="115"/>
      <c r="F33" s="115"/>
      <c r="G33" s="115">
        <v>1.0</v>
      </c>
      <c r="H33" s="115"/>
      <c r="I33" s="115">
        <f t="shared" si="1"/>
        <v>1</v>
      </c>
      <c r="J33" s="115"/>
      <c r="K33" s="116"/>
      <c r="L33" s="116"/>
      <c r="M33" s="116">
        <v>1.0</v>
      </c>
      <c r="N33" s="116"/>
      <c r="O33" s="116">
        <f t="shared" si="2"/>
        <v>1</v>
      </c>
      <c r="P33" s="116"/>
      <c r="Q33" s="118">
        <f t="shared" si="3"/>
        <v>0</v>
      </c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71"/>
      <c r="B34" s="71"/>
      <c r="C34" s="120" t="s">
        <v>462</v>
      </c>
      <c r="D34" s="112" t="s">
        <v>446</v>
      </c>
      <c r="E34" s="115"/>
      <c r="F34" s="115"/>
      <c r="G34" s="115"/>
      <c r="H34" s="115"/>
      <c r="I34" s="115">
        <f t="shared" si="1"/>
        <v>0</v>
      </c>
      <c r="J34" s="115"/>
      <c r="K34" s="116"/>
      <c r="L34" s="116"/>
      <c r="M34" s="116"/>
      <c r="N34" s="116"/>
      <c r="O34" s="116">
        <f t="shared" si="2"/>
        <v>0</v>
      </c>
      <c r="P34" s="116"/>
      <c r="Q34" s="118">
        <f t="shared" si="3"/>
        <v>0</v>
      </c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71"/>
      <c r="B35" s="71"/>
      <c r="C35" s="109"/>
      <c r="D35" s="112" t="s">
        <v>467</v>
      </c>
      <c r="E35" s="115"/>
      <c r="F35" s="115">
        <v>1.0</v>
      </c>
      <c r="G35" s="115">
        <v>2.0</v>
      </c>
      <c r="H35" s="115"/>
      <c r="I35" s="115">
        <f t="shared" si="1"/>
        <v>3</v>
      </c>
      <c r="J35" s="115"/>
      <c r="K35" s="116"/>
      <c r="L35" s="116">
        <v>1.0</v>
      </c>
      <c r="M35" s="116">
        <v>2.0</v>
      </c>
      <c r="N35" s="116"/>
      <c r="O35" s="116">
        <f t="shared" si="2"/>
        <v>3</v>
      </c>
      <c r="P35" s="116"/>
      <c r="Q35" s="118">
        <f t="shared" si="3"/>
        <v>0</v>
      </c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1"/>
      <c r="B36" s="71"/>
      <c r="C36" s="133" t="s">
        <v>468</v>
      </c>
      <c r="D36" s="134"/>
      <c r="E36" s="135">
        <f t="shared" ref="E36:Q36" si="4">SUM(E8:E35)</f>
        <v>8</v>
      </c>
      <c r="F36" s="135">
        <f t="shared" si="4"/>
        <v>7</v>
      </c>
      <c r="G36" s="135">
        <f t="shared" si="4"/>
        <v>13</v>
      </c>
      <c r="H36" s="135">
        <f t="shared" si="4"/>
        <v>0</v>
      </c>
      <c r="I36" s="135">
        <f t="shared" si="4"/>
        <v>28</v>
      </c>
      <c r="J36" s="135">
        <f t="shared" si="4"/>
        <v>0</v>
      </c>
      <c r="K36" s="135">
        <f t="shared" si="4"/>
        <v>8</v>
      </c>
      <c r="L36" s="135">
        <f t="shared" si="4"/>
        <v>7</v>
      </c>
      <c r="M36" s="135">
        <f t="shared" si="4"/>
        <v>13</v>
      </c>
      <c r="N36" s="135">
        <f t="shared" si="4"/>
        <v>0</v>
      </c>
      <c r="O36" s="135">
        <f t="shared" si="4"/>
        <v>28</v>
      </c>
      <c r="P36" s="135">
        <f t="shared" si="4"/>
        <v>0</v>
      </c>
      <c r="Q36" s="135">
        <f t="shared" si="4"/>
        <v>0</v>
      </c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71"/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1"/>
      <c r="P41" s="71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1"/>
      <c r="P42" s="71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1"/>
      <c r="B45" s="71"/>
      <c r="C45" s="71"/>
      <c r="D45" s="71"/>
      <c r="E45" s="71"/>
      <c r="F45" s="71"/>
      <c r="G45" s="71"/>
      <c r="H45" s="71"/>
      <c r="I45" s="71"/>
      <c r="J45" s="143"/>
      <c r="K45" s="143"/>
      <c r="N45" s="143"/>
      <c r="O45" s="143"/>
      <c r="P45" s="71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71"/>
      <c r="B46" s="71"/>
      <c r="C46" s="71"/>
      <c r="D46" s="71"/>
      <c r="E46" s="71"/>
      <c r="F46" s="71"/>
      <c r="G46" s="71"/>
      <c r="H46" s="71"/>
      <c r="I46" s="71"/>
      <c r="J46" s="145"/>
      <c r="K46" s="145"/>
      <c r="L46" s="145"/>
      <c r="M46" s="145"/>
      <c r="N46" s="145"/>
      <c r="O46" s="145"/>
      <c r="P46" s="71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71"/>
      <c r="B47" s="71"/>
      <c r="C47" s="71"/>
      <c r="D47" s="71"/>
      <c r="E47" s="71"/>
      <c r="F47" s="71"/>
      <c r="G47" s="71"/>
      <c r="H47" s="71"/>
      <c r="I47" s="71"/>
      <c r="J47" s="145"/>
      <c r="K47" s="145"/>
      <c r="L47" s="145"/>
      <c r="M47" s="71"/>
      <c r="N47" s="71"/>
      <c r="O47" s="71"/>
      <c r="P47" s="71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71"/>
      <c r="B48" s="71"/>
      <c r="C48" s="71"/>
      <c r="D48" s="71"/>
      <c r="E48" s="71"/>
      <c r="F48" s="71"/>
      <c r="G48" s="71"/>
      <c r="H48" s="71"/>
      <c r="I48" s="71"/>
      <c r="J48" s="145"/>
      <c r="K48" s="145"/>
      <c r="L48" s="145"/>
      <c r="M48" s="145"/>
      <c r="N48" s="145"/>
      <c r="O48" s="145"/>
      <c r="P48" s="71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71"/>
      <c r="B49" s="71"/>
      <c r="C49" s="71"/>
      <c r="D49" s="71"/>
      <c r="E49" s="71"/>
      <c r="F49" s="71"/>
      <c r="G49" s="71"/>
      <c r="H49" s="71"/>
      <c r="I49" s="71"/>
      <c r="J49" s="148"/>
      <c r="K49" s="148"/>
      <c r="L49" s="71"/>
      <c r="M49" s="71"/>
      <c r="N49" s="71"/>
      <c r="O49" s="71"/>
      <c r="P49" s="71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71"/>
      <c r="B50" s="71"/>
      <c r="C50" s="71"/>
      <c r="D50" s="71"/>
      <c r="E50" s="71"/>
      <c r="F50" s="71"/>
      <c r="G50" s="71"/>
      <c r="H50" s="71"/>
      <c r="I50" s="71"/>
      <c r="J50" s="145"/>
      <c r="K50" s="145"/>
      <c r="L50" s="145"/>
      <c r="M50" s="71"/>
      <c r="N50" s="71"/>
      <c r="O50" s="71"/>
      <c r="P50" s="71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1"/>
      <c r="P55" s="71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1"/>
      <c r="P59" s="71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1"/>
      <c r="P61" s="71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1"/>
      <c r="P71" s="71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1"/>
      <c r="P72" s="71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1"/>
      <c r="P77" s="71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1"/>
      <c r="P79" s="71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1"/>
      <c r="P80" s="71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  <c r="L81" s="71"/>
      <c r="M81" s="71"/>
      <c r="N81" s="71"/>
      <c r="O81" s="71"/>
      <c r="P81" s="71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1"/>
      <c r="P83" s="71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1"/>
      <c r="P84" s="71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1"/>
      <c r="P85" s="71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1"/>
      <c r="P86" s="71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1"/>
      <c r="P88" s="71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1"/>
      <c r="P89" s="71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1"/>
      <c r="P90" s="71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1"/>
      <c r="P91" s="71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1"/>
      <c r="P92" s="71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1"/>
      <c r="P93" s="71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1"/>
      <c r="P94" s="71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1"/>
      <c r="P95" s="71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  <c r="L98" s="71"/>
      <c r="M98" s="71"/>
      <c r="N98" s="71"/>
      <c r="O98" s="71"/>
      <c r="P98" s="71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  <c r="L99" s="71"/>
      <c r="M99" s="71"/>
      <c r="N99" s="71"/>
      <c r="O99" s="71"/>
      <c r="P99" s="71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  <c r="L100" s="71"/>
      <c r="M100" s="71"/>
      <c r="N100" s="71"/>
      <c r="O100" s="71"/>
      <c r="P100" s="71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  <c r="L101" s="71"/>
      <c r="M101" s="71"/>
      <c r="N101" s="71"/>
      <c r="O101" s="71"/>
      <c r="P101" s="71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  <c r="L102" s="71"/>
      <c r="M102" s="71"/>
      <c r="N102" s="71"/>
      <c r="O102" s="71"/>
      <c r="P102" s="71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  <c r="L103" s="71"/>
      <c r="M103" s="71"/>
      <c r="N103" s="71"/>
      <c r="O103" s="71"/>
      <c r="P103" s="71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  <c r="L104" s="71"/>
      <c r="M104" s="71"/>
      <c r="N104" s="71"/>
      <c r="O104" s="71"/>
      <c r="P104" s="71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  <c r="N106" s="71"/>
      <c r="O106" s="71"/>
      <c r="P106" s="71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  <c r="N107" s="71"/>
      <c r="O107" s="71"/>
      <c r="P107" s="71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  <c r="N108" s="71"/>
      <c r="O108" s="71"/>
      <c r="P108" s="71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  <c r="N109" s="71"/>
      <c r="O109" s="71"/>
      <c r="P109" s="71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  <c r="N110" s="71"/>
      <c r="O110" s="71"/>
      <c r="P110" s="71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  <c r="N111" s="71"/>
      <c r="O111" s="71"/>
      <c r="P111" s="71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  <c r="N112" s="71"/>
      <c r="O112" s="71"/>
      <c r="P112" s="71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  <c r="N113" s="71"/>
      <c r="O113" s="71"/>
      <c r="P113" s="71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1"/>
      <c r="P114" s="71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1"/>
      <c r="P116" s="71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1"/>
      <c r="P117" s="71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1"/>
      <c r="P118" s="71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1"/>
      <c r="P119" s="71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1"/>
      <c r="P120" s="71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1"/>
      <c r="P121" s="71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1"/>
      <c r="P122" s="71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1"/>
      <c r="P123" s="71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1"/>
      <c r="P124" s="71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1"/>
      <c r="P125" s="71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1"/>
      <c r="P126" s="71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1"/>
      <c r="P127" s="71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  <c r="N128" s="71"/>
      <c r="O128" s="71"/>
      <c r="P128" s="71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  <c r="N129" s="71"/>
      <c r="O129" s="71"/>
      <c r="P129" s="71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  <c r="N131" s="71"/>
      <c r="O131" s="71"/>
      <c r="P131" s="71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  <c r="L132" s="71"/>
      <c r="M132" s="71"/>
      <c r="N132" s="71"/>
      <c r="O132" s="71"/>
      <c r="P132" s="71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  <c r="L133" s="71"/>
      <c r="M133" s="71"/>
      <c r="N133" s="71"/>
      <c r="O133" s="71"/>
      <c r="P133" s="71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  <c r="L134" s="71"/>
      <c r="M134" s="71"/>
      <c r="N134" s="71"/>
      <c r="O134" s="71"/>
      <c r="P134" s="71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  <c r="L135" s="71"/>
      <c r="M135" s="71"/>
      <c r="N135" s="71"/>
      <c r="O135" s="71"/>
      <c r="P135" s="71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  <c r="L136" s="71"/>
      <c r="M136" s="71"/>
      <c r="N136" s="71"/>
      <c r="O136" s="71"/>
      <c r="P136" s="71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  <c r="L137" s="71"/>
      <c r="M137" s="71"/>
      <c r="N137" s="71"/>
      <c r="O137" s="71"/>
      <c r="P137" s="71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  <c r="L138" s="71"/>
      <c r="M138" s="71"/>
      <c r="N138" s="71"/>
      <c r="O138" s="71"/>
      <c r="P138" s="71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71"/>
      <c r="B139" s="71"/>
      <c r="C139" s="71"/>
      <c r="D139" s="71"/>
      <c r="E139" s="71"/>
      <c r="F139" s="71"/>
      <c r="G139" s="71"/>
      <c r="H139" s="71"/>
      <c r="I139" s="71"/>
      <c r="J139" s="71"/>
      <c r="K139" s="71"/>
      <c r="L139" s="71"/>
      <c r="M139" s="71"/>
      <c r="N139" s="71"/>
      <c r="O139" s="71"/>
      <c r="P139" s="71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71"/>
      <c r="B140" s="71"/>
      <c r="C140" s="71"/>
      <c r="D140" s="71"/>
      <c r="E140" s="71"/>
      <c r="F140" s="71"/>
      <c r="G140" s="71"/>
      <c r="H140" s="71"/>
      <c r="I140" s="71"/>
      <c r="J140" s="71"/>
      <c r="K140" s="71"/>
      <c r="L140" s="71"/>
      <c r="M140" s="71"/>
      <c r="N140" s="71"/>
      <c r="O140" s="71"/>
      <c r="P140" s="71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71"/>
      <c r="B141" s="71"/>
      <c r="C141" s="71"/>
      <c r="D141" s="71"/>
      <c r="E141" s="71"/>
      <c r="F141" s="71"/>
      <c r="G141" s="71"/>
      <c r="H141" s="71"/>
      <c r="I141" s="71"/>
      <c r="J141" s="71"/>
      <c r="K141" s="71"/>
      <c r="L141" s="71"/>
      <c r="M141" s="71"/>
      <c r="N141" s="71"/>
      <c r="O141" s="71"/>
      <c r="P141" s="71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71"/>
      <c r="B142" s="71"/>
      <c r="C142" s="71"/>
      <c r="D142" s="71"/>
      <c r="E142" s="71"/>
      <c r="F142" s="71"/>
      <c r="G142" s="71"/>
      <c r="H142" s="71"/>
      <c r="I142" s="71"/>
      <c r="J142" s="71"/>
      <c r="K142" s="71"/>
      <c r="L142" s="71"/>
      <c r="M142" s="71"/>
      <c r="N142" s="71"/>
      <c r="O142" s="71"/>
      <c r="P142" s="71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71"/>
      <c r="B143" s="71"/>
      <c r="C143" s="71"/>
      <c r="D143" s="71"/>
      <c r="E143" s="71"/>
      <c r="F143" s="71"/>
      <c r="G143" s="71"/>
      <c r="H143" s="71"/>
      <c r="I143" s="71"/>
      <c r="J143" s="71"/>
      <c r="K143" s="71"/>
      <c r="L143" s="71"/>
      <c r="M143" s="71"/>
      <c r="N143" s="71"/>
      <c r="O143" s="71"/>
      <c r="P143" s="71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71"/>
      <c r="B144" s="71"/>
      <c r="C144" s="71"/>
      <c r="D144" s="71"/>
      <c r="E144" s="71"/>
      <c r="F144" s="71"/>
      <c r="G144" s="71"/>
      <c r="H144" s="71"/>
      <c r="I144" s="71"/>
      <c r="J144" s="71"/>
      <c r="K144" s="71"/>
      <c r="L144" s="71"/>
      <c r="M144" s="71"/>
      <c r="N144" s="71"/>
      <c r="O144" s="71"/>
      <c r="P144" s="71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71"/>
      <c r="B145" s="71"/>
      <c r="C145" s="71"/>
      <c r="D145" s="71"/>
      <c r="E145" s="71"/>
      <c r="F145" s="71"/>
      <c r="G145" s="71"/>
      <c r="H145" s="71"/>
      <c r="I145" s="71"/>
      <c r="J145" s="71"/>
      <c r="K145" s="71"/>
      <c r="L145" s="71"/>
      <c r="M145" s="71"/>
      <c r="N145" s="71"/>
      <c r="O145" s="71"/>
      <c r="P145" s="71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71"/>
      <c r="B146" s="71"/>
      <c r="C146" s="71"/>
      <c r="D146" s="71"/>
      <c r="E146" s="71"/>
      <c r="F146" s="71"/>
      <c r="G146" s="71"/>
      <c r="H146" s="71"/>
      <c r="I146" s="71"/>
      <c r="J146" s="71"/>
      <c r="K146" s="71"/>
      <c r="L146" s="71"/>
      <c r="M146" s="71"/>
      <c r="N146" s="71"/>
      <c r="O146" s="71"/>
      <c r="P146" s="71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71"/>
      <c r="B147" s="71"/>
      <c r="C147" s="71"/>
      <c r="D147" s="71"/>
      <c r="E147" s="71"/>
      <c r="F147" s="71"/>
      <c r="G147" s="71"/>
      <c r="H147" s="71"/>
      <c r="I147" s="71"/>
      <c r="J147" s="71"/>
      <c r="K147" s="71"/>
      <c r="L147" s="71"/>
      <c r="M147" s="71"/>
      <c r="N147" s="71"/>
      <c r="O147" s="71"/>
      <c r="P147" s="71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71"/>
      <c r="B148" s="71"/>
      <c r="C148" s="71"/>
      <c r="D148" s="71"/>
      <c r="E148" s="71"/>
      <c r="F148" s="71"/>
      <c r="G148" s="71"/>
      <c r="H148" s="71"/>
      <c r="I148" s="71"/>
      <c r="J148" s="71"/>
      <c r="K148" s="71"/>
      <c r="L148" s="71"/>
      <c r="M148" s="71"/>
      <c r="N148" s="71"/>
      <c r="O148" s="71"/>
      <c r="P148" s="71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71"/>
      <c r="B149" s="71"/>
      <c r="C149" s="71"/>
      <c r="D149" s="71"/>
      <c r="E149" s="71"/>
      <c r="F149" s="71"/>
      <c r="G149" s="71"/>
      <c r="H149" s="71"/>
      <c r="I149" s="71"/>
      <c r="J149" s="71"/>
      <c r="K149" s="71"/>
      <c r="L149" s="71"/>
      <c r="M149" s="71"/>
      <c r="N149" s="71"/>
      <c r="O149" s="71"/>
      <c r="P149" s="71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71"/>
      <c r="B150" s="71"/>
      <c r="C150" s="71"/>
      <c r="D150" s="71"/>
      <c r="E150" s="71"/>
      <c r="F150" s="71"/>
      <c r="G150" s="71"/>
      <c r="H150" s="71"/>
      <c r="I150" s="71"/>
      <c r="J150" s="71"/>
      <c r="K150" s="71"/>
      <c r="L150" s="71"/>
      <c r="M150" s="71"/>
      <c r="N150" s="71"/>
      <c r="O150" s="71"/>
      <c r="P150" s="71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71"/>
      <c r="B151" s="71"/>
      <c r="C151" s="71"/>
      <c r="D151" s="71"/>
      <c r="E151" s="71"/>
      <c r="F151" s="71"/>
      <c r="G151" s="71"/>
      <c r="H151" s="71"/>
      <c r="I151" s="71"/>
      <c r="J151" s="71"/>
      <c r="K151" s="71"/>
      <c r="L151" s="71"/>
      <c r="M151" s="71"/>
      <c r="N151" s="71"/>
      <c r="O151" s="71"/>
      <c r="P151" s="71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71"/>
      <c r="B152" s="71"/>
      <c r="C152" s="71"/>
      <c r="D152" s="71"/>
      <c r="E152" s="71"/>
      <c r="F152" s="71"/>
      <c r="G152" s="71"/>
      <c r="H152" s="71"/>
      <c r="I152" s="71"/>
      <c r="J152" s="71"/>
      <c r="K152" s="71"/>
      <c r="L152" s="71"/>
      <c r="M152" s="71"/>
      <c r="N152" s="71"/>
      <c r="O152" s="71"/>
      <c r="P152" s="71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71"/>
      <c r="B153" s="71"/>
      <c r="C153" s="71"/>
      <c r="D153" s="71"/>
      <c r="E153" s="71"/>
      <c r="F153" s="71"/>
      <c r="G153" s="71"/>
      <c r="H153" s="71"/>
      <c r="I153" s="71"/>
      <c r="J153" s="71"/>
      <c r="K153" s="71"/>
      <c r="L153" s="71"/>
      <c r="M153" s="71"/>
      <c r="N153" s="71"/>
      <c r="O153" s="71"/>
      <c r="P153" s="71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71"/>
      <c r="B154" s="71"/>
      <c r="C154" s="71"/>
      <c r="D154" s="71"/>
      <c r="E154" s="71"/>
      <c r="F154" s="71"/>
      <c r="G154" s="71"/>
      <c r="H154" s="71"/>
      <c r="I154" s="71"/>
      <c r="J154" s="71"/>
      <c r="K154" s="71"/>
      <c r="L154" s="71"/>
      <c r="M154" s="71"/>
      <c r="N154" s="71"/>
      <c r="O154" s="71"/>
      <c r="P154" s="71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71"/>
      <c r="B155" s="71"/>
      <c r="C155" s="71"/>
      <c r="D155" s="71"/>
      <c r="E155" s="71"/>
      <c r="F155" s="71"/>
      <c r="G155" s="71"/>
      <c r="H155" s="71"/>
      <c r="I155" s="71"/>
      <c r="J155" s="71"/>
      <c r="K155" s="71"/>
      <c r="L155" s="71"/>
      <c r="M155" s="71"/>
      <c r="N155" s="71"/>
      <c r="O155" s="71"/>
      <c r="P155" s="71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71"/>
      <c r="B156" s="71"/>
      <c r="C156" s="71"/>
      <c r="D156" s="71"/>
      <c r="E156" s="71"/>
      <c r="F156" s="71"/>
      <c r="G156" s="71"/>
      <c r="H156" s="71"/>
      <c r="I156" s="71"/>
      <c r="J156" s="71"/>
      <c r="K156" s="71"/>
      <c r="L156" s="71"/>
      <c r="M156" s="71"/>
      <c r="N156" s="71"/>
      <c r="O156" s="71"/>
      <c r="P156" s="71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71"/>
      <c r="B157" s="71"/>
      <c r="C157" s="71"/>
      <c r="D157" s="71"/>
      <c r="E157" s="71"/>
      <c r="F157" s="71"/>
      <c r="G157" s="71"/>
      <c r="H157" s="71"/>
      <c r="I157" s="71"/>
      <c r="J157" s="71"/>
      <c r="K157" s="71"/>
      <c r="L157" s="71"/>
      <c r="M157" s="71"/>
      <c r="N157" s="71"/>
      <c r="O157" s="71"/>
      <c r="P157" s="71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71"/>
      <c r="B158" s="71"/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71"/>
      <c r="B159" s="71"/>
      <c r="C159" s="71"/>
      <c r="D159" s="71"/>
      <c r="E159" s="71"/>
      <c r="F159" s="71"/>
      <c r="G159" s="71"/>
      <c r="H159" s="71"/>
      <c r="I159" s="71"/>
      <c r="J159" s="71"/>
      <c r="K159" s="71"/>
      <c r="L159" s="71"/>
      <c r="M159" s="71"/>
      <c r="N159" s="71"/>
      <c r="O159" s="71"/>
      <c r="P159" s="71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71"/>
      <c r="B160" s="71"/>
      <c r="C160" s="71"/>
      <c r="D160" s="71"/>
      <c r="E160" s="71"/>
      <c r="F160" s="71"/>
      <c r="G160" s="71"/>
      <c r="H160" s="71"/>
      <c r="I160" s="71"/>
      <c r="J160" s="71"/>
      <c r="K160" s="71"/>
      <c r="L160" s="71"/>
      <c r="M160" s="71"/>
      <c r="N160" s="71"/>
      <c r="O160" s="71"/>
      <c r="P160" s="71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71"/>
      <c r="B161" s="71"/>
      <c r="C161" s="71"/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1"/>
      <c r="P161" s="71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71"/>
      <c r="B162" s="71"/>
      <c r="C162" s="71"/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1"/>
      <c r="P162" s="71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71"/>
      <c r="B163" s="71"/>
      <c r="C163" s="71"/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1"/>
      <c r="P163" s="71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71"/>
      <c r="B164" s="71"/>
      <c r="C164" s="71"/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1"/>
      <c r="P164" s="71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71"/>
      <c r="B165" s="71"/>
      <c r="C165" s="71"/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1"/>
      <c r="P165" s="71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71"/>
      <c r="B166" s="71"/>
      <c r="C166" s="71"/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1"/>
      <c r="P166" s="71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71"/>
      <c r="B167" s="71"/>
      <c r="C167" s="71"/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1"/>
      <c r="P167" s="71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71"/>
      <c r="B168" s="71"/>
      <c r="C168" s="71"/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1"/>
      <c r="P168" s="71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71"/>
      <c r="B169" s="71"/>
      <c r="C169" s="71"/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1"/>
      <c r="P169" s="71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71"/>
      <c r="B170" s="71"/>
      <c r="C170" s="71"/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1"/>
      <c r="P170" s="71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71"/>
      <c r="B171" s="71"/>
      <c r="C171" s="71"/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1"/>
      <c r="P171" s="71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71"/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71"/>
      <c r="B173" s="71"/>
      <c r="C173" s="71"/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1"/>
      <c r="P173" s="71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71"/>
      <c r="B174" s="71"/>
      <c r="C174" s="71"/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1"/>
      <c r="P174" s="71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71"/>
      <c r="B175" s="71"/>
      <c r="C175" s="71"/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1"/>
      <c r="P175" s="71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71"/>
      <c r="B176" s="71"/>
      <c r="C176" s="71"/>
      <c r="D176" s="71"/>
      <c r="E176" s="71"/>
      <c r="F176" s="71"/>
      <c r="G176" s="71"/>
      <c r="H176" s="71"/>
      <c r="I176" s="71"/>
      <c r="J176" s="71"/>
      <c r="K176" s="71"/>
      <c r="L176" s="71"/>
      <c r="M176" s="71"/>
      <c r="N176" s="71"/>
      <c r="O176" s="71"/>
      <c r="P176" s="71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71"/>
      <c r="B177" s="71"/>
      <c r="C177" s="71"/>
      <c r="D177" s="71"/>
      <c r="E177" s="71"/>
      <c r="F177" s="71"/>
      <c r="G177" s="71"/>
      <c r="H177" s="71"/>
      <c r="I177" s="71"/>
      <c r="J177" s="71"/>
      <c r="K177" s="71"/>
      <c r="L177" s="71"/>
      <c r="M177" s="71"/>
      <c r="N177" s="71"/>
      <c r="O177" s="71"/>
      <c r="P177" s="71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71"/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71"/>
      <c r="B179" s="71"/>
      <c r="C179" s="71"/>
      <c r="D179" s="71"/>
      <c r="E179" s="71"/>
      <c r="F179" s="71"/>
      <c r="G179" s="71"/>
      <c r="H179" s="71"/>
      <c r="I179" s="71"/>
      <c r="J179" s="71"/>
      <c r="K179" s="71"/>
      <c r="L179" s="71"/>
      <c r="M179" s="71"/>
      <c r="N179" s="71"/>
      <c r="O179" s="71"/>
      <c r="P179" s="71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71"/>
      <c r="B180" s="71"/>
      <c r="C180" s="71"/>
      <c r="D180" s="71"/>
      <c r="E180" s="71"/>
      <c r="F180" s="71"/>
      <c r="G180" s="71"/>
      <c r="H180" s="71"/>
      <c r="I180" s="71"/>
      <c r="J180" s="71"/>
      <c r="K180" s="71"/>
      <c r="L180" s="71"/>
      <c r="M180" s="71"/>
      <c r="N180" s="71"/>
      <c r="O180" s="71"/>
      <c r="P180" s="71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71"/>
      <c r="B181" s="71"/>
      <c r="C181" s="71"/>
      <c r="D181" s="71"/>
      <c r="E181" s="71"/>
      <c r="F181" s="71"/>
      <c r="G181" s="71"/>
      <c r="H181" s="71"/>
      <c r="I181" s="71"/>
      <c r="J181" s="71"/>
      <c r="K181" s="71"/>
      <c r="L181" s="71"/>
      <c r="M181" s="71"/>
      <c r="N181" s="71"/>
      <c r="O181" s="71"/>
      <c r="P181" s="71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71"/>
      <c r="B182" s="71"/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71"/>
      <c r="B183" s="71"/>
      <c r="C183" s="71"/>
      <c r="D183" s="71"/>
      <c r="E183" s="71"/>
      <c r="F183" s="71"/>
      <c r="G183" s="71"/>
      <c r="H183" s="71"/>
      <c r="I183" s="71"/>
      <c r="J183" s="71"/>
      <c r="K183" s="71"/>
      <c r="L183" s="71"/>
      <c r="M183" s="71"/>
      <c r="N183" s="71"/>
      <c r="O183" s="71"/>
      <c r="P183" s="71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71"/>
      <c r="B184" s="71"/>
      <c r="C184" s="71"/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71"/>
      <c r="B185" s="71"/>
      <c r="C185" s="71"/>
      <c r="D185" s="71"/>
      <c r="E185" s="71"/>
      <c r="F185" s="71"/>
      <c r="G185" s="71"/>
      <c r="H185" s="71"/>
      <c r="I185" s="71"/>
      <c r="J185" s="71"/>
      <c r="K185" s="71"/>
      <c r="L185" s="71"/>
      <c r="M185" s="71"/>
      <c r="N185" s="71"/>
      <c r="O185" s="71"/>
      <c r="P185" s="71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71"/>
      <c r="B186" s="71"/>
      <c r="C186" s="71"/>
      <c r="D186" s="71"/>
      <c r="E186" s="71"/>
      <c r="F186" s="71"/>
      <c r="G186" s="71"/>
      <c r="H186" s="71"/>
      <c r="I186" s="71"/>
      <c r="J186" s="71"/>
      <c r="K186" s="71"/>
      <c r="L186" s="71"/>
      <c r="M186" s="71"/>
      <c r="N186" s="71"/>
      <c r="O186" s="71"/>
      <c r="P186" s="71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71"/>
      <c r="B187" s="71"/>
      <c r="C187" s="71"/>
      <c r="D187" s="71"/>
      <c r="E187" s="71"/>
      <c r="F187" s="71"/>
      <c r="G187" s="71"/>
      <c r="H187" s="71"/>
      <c r="I187" s="71"/>
      <c r="J187" s="71"/>
      <c r="K187" s="71"/>
      <c r="L187" s="71"/>
      <c r="M187" s="71"/>
      <c r="N187" s="71"/>
      <c r="O187" s="71"/>
      <c r="P187" s="71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71"/>
      <c r="B188" s="71"/>
      <c r="C188" s="71"/>
      <c r="D188" s="71"/>
      <c r="E188" s="71"/>
      <c r="F188" s="71"/>
      <c r="G188" s="71"/>
      <c r="H188" s="71"/>
      <c r="I188" s="71"/>
      <c r="J188" s="71"/>
      <c r="K188" s="71"/>
      <c r="L188" s="71"/>
      <c r="M188" s="71"/>
      <c r="N188" s="71"/>
      <c r="O188" s="71"/>
      <c r="P188" s="71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71"/>
      <c r="B189" s="71"/>
      <c r="C189" s="71"/>
      <c r="D189" s="71"/>
      <c r="E189" s="71"/>
      <c r="F189" s="71"/>
      <c r="G189" s="71"/>
      <c r="H189" s="71"/>
      <c r="I189" s="71"/>
      <c r="J189" s="71"/>
      <c r="K189" s="71"/>
      <c r="L189" s="71"/>
      <c r="M189" s="71"/>
      <c r="N189" s="71"/>
      <c r="O189" s="71"/>
      <c r="P189" s="71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71"/>
      <c r="B190" s="71"/>
      <c r="C190" s="71"/>
      <c r="D190" s="71"/>
      <c r="E190" s="71"/>
      <c r="F190" s="71"/>
      <c r="G190" s="71"/>
      <c r="H190" s="71"/>
      <c r="I190" s="71"/>
      <c r="J190" s="71"/>
      <c r="K190" s="71"/>
      <c r="L190" s="71"/>
      <c r="M190" s="71"/>
      <c r="N190" s="71"/>
      <c r="O190" s="71"/>
      <c r="P190" s="71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71"/>
      <c r="B191" s="71"/>
      <c r="C191" s="71"/>
      <c r="D191" s="71"/>
      <c r="E191" s="71"/>
      <c r="F191" s="71"/>
      <c r="G191" s="71"/>
      <c r="H191" s="71"/>
      <c r="I191" s="71"/>
      <c r="J191" s="71"/>
      <c r="K191" s="71"/>
      <c r="L191" s="71"/>
      <c r="M191" s="71"/>
      <c r="N191" s="71"/>
      <c r="O191" s="71"/>
      <c r="P191" s="71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71"/>
      <c r="B192" s="71"/>
      <c r="C192" s="71"/>
      <c r="D192" s="71"/>
      <c r="E192" s="71"/>
      <c r="F192" s="71"/>
      <c r="G192" s="71"/>
      <c r="H192" s="71"/>
      <c r="I192" s="71"/>
      <c r="J192" s="71"/>
      <c r="K192" s="71"/>
      <c r="L192" s="71"/>
      <c r="M192" s="71"/>
      <c r="N192" s="71"/>
      <c r="O192" s="71"/>
      <c r="P192" s="71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71"/>
      <c r="B193" s="71"/>
      <c r="C193" s="71"/>
      <c r="D193" s="71"/>
      <c r="E193" s="71"/>
      <c r="F193" s="71"/>
      <c r="G193" s="71"/>
      <c r="H193" s="71"/>
      <c r="I193" s="71"/>
      <c r="J193" s="71"/>
      <c r="K193" s="71"/>
      <c r="L193" s="71"/>
      <c r="M193" s="71"/>
      <c r="N193" s="71"/>
      <c r="O193" s="71"/>
      <c r="P193" s="71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71"/>
      <c r="B194" s="71"/>
      <c r="C194" s="71"/>
      <c r="D194" s="71"/>
      <c r="E194" s="71"/>
      <c r="F194" s="71"/>
      <c r="G194" s="71"/>
      <c r="H194" s="71"/>
      <c r="I194" s="71"/>
      <c r="J194" s="71"/>
      <c r="K194" s="71"/>
      <c r="L194" s="71"/>
      <c r="M194" s="71"/>
      <c r="N194" s="71"/>
      <c r="O194" s="71"/>
      <c r="P194" s="71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71"/>
      <c r="B195" s="71"/>
      <c r="C195" s="71"/>
      <c r="D195" s="71"/>
      <c r="E195" s="71"/>
      <c r="F195" s="71"/>
      <c r="G195" s="71"/>
      <c r="H195" s="71"/>
      <c r="I195" s="71"/>
      <c r="J195" s="71"/>
      <c r="K195" s="71"/>
      <c r="L195" s="71"/>
      <c r="M195" s="71"/>
      <c r="N195" s="71"/>
      <c r="O195" s="71"/>
      <c r="P195" s="71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71"/>
      <c r="B196" s="71"/>
      <c r="C196" s="71"/>
      <c r="D196" s="71"/>
      <c r="E196" s="71"/>
      <c r="F196" s="71"/>
      <c r="G196" s="71"/>
      <c r="H196" s="71"/>
      <c r="I196" s="71"/>
      <c r="J196" s="71"/>
      <c r="K196" s="71"/>
      <c r="L196" s="71"/>
      <c r="M196" s="71"/>
      <c r="N196" s="71"/>
      <c r="O196" s="71"/>
      <c r="P196" s="71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71"/>
      <c r="B197" s="71"/>
      <c r="C197" s="71"/>
      <c r="D197" s="71"/>
      <c r="E197" s="71"/>
      <c r="F197" s="71"/>
      <c r="G197" s="71"/>
      <c r="H197" s="71"/>
      <c r="I197" s="71"/>
      <c r="J197" s="71"/>
      <c r="K197" s="71"/>
      <c r="L197" s="71"/>
      <c r="M197" s="71"/>
      <c r="N197" s="71"/>
      <c r="O197" s="71"/>
      <c r="P197" s="71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71"/>
      <c r="B198" s="71"/>
      <c r="C198" s="71"/>
      <c r="D198" s="71"/>
      <c r="E198" s="71"/>
      <c r="F198" s="71"/>
      <c r="G198" s="71"/>
      <c r="H198" s="71"/>
      <c r="I198" s="71"/>
      <c r="J198" s="71"/>
      <c r="K198" s="71"/>
      <c r="L198" s="71"/>
      <c r="M198" s="71"/>
      <c r="N198" s="71"/>
      <c r="O198" s="71"/>
      <c r="P198" s="71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71"/>
      <c r="B199" s="71"/>
      <c r="C199" s="71"/>
      <c r="D199" s="71"/>
      <c r="E199" s="71"/>
      <c r="F199" s="71"/>
      <c r="G199" s="71"/>
      <c r="H199" s="71"/>
      <c r="I199" s="71"/>
      <c r="J199" s="71"/>
      <c r="K199" s="71"/>
      <c r="L199" s="71"/>
      <c r="M199" s="71"/>
      <c r="N199" s="71"/>
      <c r="O199" s="71"/>
      <c r="P199" s="71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71"/>
      <c r="B200" s="71"/>
      <c r="C200" s="71"/>
      <c r="D200" s="71"/>
      <c r="E200" s="71"/>
      <c r="F200" s="71"/>
      <c r="G200" s="71"/>
      <c r="H200" s="71"/>
      <c r="I200" s="71"/>
      <c r="J200" s="71"/>
      <c r="K200" s="71"/>
      <c r="L200" s="71"/>
      <c r="M200" s="71"/>
      <c r="N200" s="71"/>
      <c r="O200" s="71"/>
      <c r="P200" s="71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71"/>
      <c r="B201" s="71"/>
      <c r="C201" s="71"/>
      <c r="D201" s="71"/>
      <c r="E201" s="71"/>
      <c r="F201" s="71"/>
      <c r="G201" s="71"/>
      <c r="H201" s="71"/>
      <c r="I201" s="71"/>
      <c r="J201" s="71"/>
      <c r="K201" s="71"/>
      <c r="L201" s="71"/>
      <c r="M201" s="71"/>
      <c r="N201" s="71"/>
      <c r="O201" s="71"/>
      <c r="P201" s="71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71"/>
      <c r="B202" s="71"/>
      <c r="C202" s="71"/>
      <c r="D202" s="71"/>
      <c r="E202" s="71"/>
      <c r="F202" s="71"/>
      <c r="G202" s="71"/>
      <c r="H202" s="71"/>
      <c r="I202" s="71"/>
      <c r="J202" s="71"/>
      <c r="K202" s="71"/>
      <c r="L202" s="71"/>
      <c r="M202" s="71"/>
      <c r="N202" s="71"/>
      <c r="O202" s="71"/>
      <c r="P202" s="71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71"/>
      <c r="B203" s="71"/>
      <c r="C203" s="71"/>
      <c r="D203" s="71"/>
      <c r="E203" s="71"/>
      <c r="F203" s="71"/>
      <c r="G203" s="71"/>
      <c r="H203" s="71"/>
      <c r="I203" s="71"/>
      <c r="J203" s="71"/>
      <c r="K203" s="71"/>
      <c r="L203" s="71"/>
      <c r="M203" s="71"/>
      <c r="N203" s="71"/>
      <c r="O203" s="71"/>
      <c r="P203" s="71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71"/>
      <c r="B204" s="71"/>
      <c r="C204" s="71"/>
      <c r="D204" s="71"/>
      <c r="E204" s="71"/>
      <c r="F204" s="71"/>
      <c r="G204" s="71"/>
      <c r="H204" s="71"/>
      <c r="I204" s="71"/>
      <c r="J204" s="71"/>
      <c r="K204" s="71"/>
      <c r="L204" s="71"/>
      <c r="M204" s="71"/>
      <c r="N204" s="71"/>
      <c r="O204" s="71"/>
      <c r="P204" s="71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71"/>
      <c r="B205" s="71"/>
      <c r="C205" s="71"/>
      <c r="D205" s="71"/>
      <c r="E205" s="71"/>
      <c r="F205" s="71"/>
      <c r="G205" s="71"/>
      <c r="H205" s="71"/>
      <c r="I205" s="71"/>
      <c r="J205" s="71"/>
      <c r="K205" s="71"/>
      <c r="L205" s="71"/>
      <c r="M205" s="71"/>
      <c r="N205" s="71"/>
      <c r="O205" s="71"/>
      <c r="P205" s="71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71"/>
      <c r="B206" s="71"/>
      <c r="C206" s="71"/>
      <c r="D206" s="71"/>
      <c r="E206" s="71"/>
      <c r="F206" s="71"/>
      <c r="G206" s="71"/>
      <c r="H206" s="71"/>
      <c r="I206" s="71"/>
      <c r="J206" s="71"/>
      <c r="K206" s="71"/>
      <c r="L206" s="71"/>
      <c r="M206" s="71"/>
      <c r="N206" s="71"/>
      <c r="O206" s="71"/>
      <c r="P206" s="71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71"/>
      <c r="B207" s="71"/>
      <c r="C207" s="71"/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1"/>
      <c r="P207" s="71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71"/>
      <c r="B208" s="71"/>
      <c r="C208" s="71"/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1"/>
      <c r="P208" s="71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71"/>
      <c r="B209" s="71"/>
      <c r="C209" s="71"/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1"/>
      <c r="P209" s="71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71"/>
      <c r="B210" s="71"/>
      <c r="C210" s="71"/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1"/>
      <c r="P210" s="71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71"/>
      <c r="B211" s="71"/>
      <c r="C211" s="71"/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1"/>
      <c r="P211" s="71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71"/>
      <c r="B212" s="71"/>
      <c r="C212" s="71"/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1"/>
      <c r="P212" s="71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71"/>
      <c r="B213" s="71"/>
      <c r="C213" s="71"/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1"/>
      <c r="P213" s="71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71"/>
      <c r="B214" s="71"/>
      <c r="C214" s="71"/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1"/>
      <c r="P214" s="71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71"/>
      <c r="B215" s="71"/>
      <c r="C215" s="71"/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1"/>
      <c r="P215" s="71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71"/>
      <c r="B216" s="71"/>
      <c r="C216" s="71"/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1"/>
      <c r="P216" s="71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71"/>
      <c r="B217" s="71"/>
      <c r="C217" s="71"/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1"/>
      <c r="P217" s="71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71"/>
      <c r="B218" s="71"/>
      <c r="C218" s="71"/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1"/>
      <c r="P218" s="71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71"/>
      <c r="B219" s="71"/>
      <c r="C219" s="71"/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1"/>
      <c r="P219" s="71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71"/>
      <c r="B220" s="71"/>
      <c r="C220" s="71"/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1"/>
      <c r="P220" s="71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71"/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71"/>
      <c r="B222" s="71"/>
      <c r="C222" s="71"/>
      <c r="D222" s="71"/>
      <c r="E222" s="71"/>
      <c r="F222" s="71"/>
      <c r="G222" s="71"/>
      <c r="H222" s="71"/>
      <c r="I222" s="71"/>
      <c r="J222" s="71"/>
      <c r="K222" s="71"/>
      <c r="L222" s="71"/>
      <c r="M222" s="71"/>
      <c r="N222" s="71"/>
      <c r="O222" s="71"/>
      <c r="P222" s="71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71"/>
      <c r="B223" s="71"/>
      <c r="C223" s="71"/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1"/>
      <c r="P223" s="71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71"/>
      <c r="B224" s="71"/>
      <c r="C224" s="71"/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1"/>
      <c r="P224" s="71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71"/>
      <c r="B225" s="71"/>
      <c r="C225" s="71"/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1"/>
      <c r="P225" s="71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71"/>
      <c r="B226" s="71"/>
      <c r="C226" s="71"/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1"/>
      <c r="P226" s="71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71"/>
      <c r="B227" s="71"/>
      <c r="C227" s="71"/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1"/>
      <c r="P227" s="71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71"/>
      <c r="B228" s="71"/>
      <c r="C228" s="71"/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1"/>
      <c r="P228" s="71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71"/>
      <c r="B229" s="71"/>
      <c r="C229" s="71"/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1"/>
      <c r="P229" s="71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71"/>
      <c r="B230" s="71"/>
      <c r="C230" s="71"/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1"/>
      <c r="P230" s="71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71"/>
      <c r="B231" s="71"/>
      <c r="C231" s="71"/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1"/>
      <c r="P231" s="71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71"/>
      <c r="B232" s="71"/>
      <c r="C232" s="71"/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1"/>
      <c r="P232" s="71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71"/>
      <c r="B233" s="71"/>
      <c r="C233" s="71"/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1"/>
      <c r="P233" s="71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71"/>
      <c r="B234" s="71"/>
      <c r="C234" s="71"/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1"/>
      <c r="P234" s="71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71"/>
      <c r="B235" s="71"/>
      <c r="C235" s="71"/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1"/>
      <c r="P235" s="71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71"/>
      <c r="B236" s="71"/>
      <c r="C236" s="71"/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1"/>
      <c r="P236" s="71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F5:F7"/>
    <mergeCell ref="G5:G7"/>
    <mergeCell ref="C10:C14"/>
    <mergeCell ref="C15:C19"/>
    <mergeCell ref="C20:C21"/>
    <mergeCell ref="C22:C26"/>
    <mergeCell ref="C27:C33"/>
    <mergeCell ref="C34:C35"/>
    <mergeCell ref="H5:H7"/>
    <mergeCell ref="I5:I7"/>
    <mergeCell ref="J5:J7"/>
    <mergeCell ref="K5:K7"/>
    <mergeCell ref="L5:L7"/>
    <mergeCell ref="M5:M7"/>
    <mergeCell ref="K45:M45"/>
    <mergeCell ref="N5:N7"/>
    <mergeCell ref="O5:O7"/>
    <mergeCell ref="C2:M2"/>
    <mergeCell ref="K3:M3"/>
    <mergeCell ref="C4:C7"/>
    <mergeCell ref="D4:D7"/>
    <mergeCell ref="E4:J4"/>
    <mergeCell ref="K4:P4"/>
    <mergeCell ref="E5:E7"/>
    <mergeCell ref="P5:P7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9.86"/>
    <col customWidth="1" min="3" max="3" width="13.86"/>
    <col customWidth="1" min="4" max="4" width="15.14"/>
    <col customWidth="1" min="5" max="5" width="12.86"/>
    <col customWidth="1" min="6" max="6" width="15.14"/>
    <col customWidth="1" min="7" max="7" width="13.57"/>
    <col customWidth="1" min="8" max="9" width="12.86"/>
    <col customWidth="1" min="10" max="10" width="13.86"/>
    <col customWidth="1" min="11" max="12" width="12.86"/>
    <col customWidth="1" min="13" max="13" width="8.86"/>
    <col customWidth="1" min="14" max="15" width="27.14"/>
    <col customWidth="1" min="16" max="16" width="8.14"/>
    <col customWidth="1" min="17" max="17" width="10.86"/>
    <col customWidth="1" min="18" max="18" width="7.0"/>
    <col customWidth="1" min="19" max="19" width="11.57"/>
    <col customWidth="1" min="20" max="20" width="8.86"/>
    <col customWidth="1" min="21" max="21" width="9.86"/>
    <col customWidth="1" min="22" max="22" width="6.43"/>
    <col customWidth="1" min="23" max="23" width="11.14"/>
    <col customWidth="1" min="24" max="24" width="10.0"/>
    <col customWidth="1" min="25" max="31" width="8.86"/>
  </cols>
  <sheetData>
    <row r="1" ht="12.75" customHeight="1">
      <c r="A1" s="12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78"/>
      <c r="O1" s="78"/>
      <c r="P1" s="78"/>
      <c r="Q1" s="78"/>
      <c r="R1" s="78"/>
      <c r="S1" s="78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</row>
    <row r="2" ht="12.75" customHeight="1">
      <c r="A2" s="12"/>
      <c r="B2" s="80" t="s">
        <v>415</v>
      </c>
      <c r="C2" s="80"/>
      <c r="D2" s="80"/>
      <c r="E2" s="80"/>
      <c r="F2" s="80"/>
      <c r="G2" s="80"/>
      <c r="H2" s="80"/>
      <c r="I2" s="80"/>
      <c r="J2" s="80"/>
      <c r="K2" s="82"/>
      <c r="L2" s="82"/>
      <c r="M2" s="9"/>
      <c r="N2" s="78"/>
      <c r="O2" s="78"/>
      <c r="P2" s="78"/>
      <c r="Q2" s="78"/>
      <c r="R2" s="78"/>
      <c r="S2" s="78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ht="12.75" customHeight="1">
      <c r="A3" s="12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85"/>
      <c r="O3" s="85"/>
      <c r="P3" s="87"/>
      <c r="Q3" s="87"/>
      <c r="R3" s="87"/>
      <c r="S3" s="87"/>
      <c r="T3" s="89"/>
      <c r="U3" s="89"/>
      <c r="V3" s="89"/>
      <c r="W3" s="89"/>
      <c r="X3" s="12"/>
      <c r="Y3" s="12"/>
      <c r="Z3" s="12"/>
      <c r="AA3" s="12"/>
      <c r="AB3" s="12"/>
      <c r="AC3" s="12"/>
      <c r="AD3" s="12"/>
      <c r="AE3" s="12"/>
    </row>
    <row r="4" ht="12.75" customHeight="1">
      <c r="A4" s="12"/>
      <c r="B4" s="9"/>
      <c r="C4" s="92" t="s">
        <v>416</v>
      </c>
      <c r="D4" s="11"/>
      <c r="E4" s="11"/>
      <c r="F4" s="11"/>
      <c r="G4" s="14"/>
      <c r="H4" s="92" t="s">
        <v>417</v>
      </c>
      <c r="I4" s="11"/>
      <c r="J4" s="11"/>
      <c r="K4" s="14"/>
      <c r="L4" s="94"/>
      <c r="M4" s="9"/>
      <c r="N4" s="85"/>
      <c r="O4" s="85"/>
      <c r="P4" s="95" t="s">
        <v>98</v>
      </c>
      <c r="Q4" s="11"/>
      <c r="R4" s="11"/>
      <c r="S4" s="14"/>
      <c r="T4" s="97" t="s">
        <v>394</v>
      </c>
      <c r="U4" s="11"/>
      <c r="V4" s="11"/>
      <c r="W4" s="14"/>
      <c r="X4" s="12"/>
      <c r="Y4" s="12"/>
      <c r="Z4" s="12"/>
      <c r="AA4" s="12"/>
      <c r="AB4" s="12"/>
      <c r="AC4" s="12"/>
      <c r="AD4" s="12"/>
      <c r="AE4" s="12"/>
    </row>
    <row r="5" ht="42.0" customHeight="1">
      <c r="A5" s="99"/>
      <c r="B5" s="100" t="s">
        <v>413</v>
      </c>
      <c r="C5" s="101" t="s">
        <v>425</v>
      </c>
      <c r="D5" s="101" t="s">
        <v>426</v>
      </c>
      <c r="E5" s="102" t="s">
        <v>428</v>
      </c>
      <c r="F5" s="102" t="s">
        <v>429</v>
      </c>
      <c r="G5" s="100" t="s">
        <v>430</v>
      </c>
      <c r="H5" s="101" t="s">
        <v>425</v>
      </c>
      <c r="I5" s="101" t="s">
        <v>426</v>
      </c>
      <c r="J5" s="102" t="s">
        <v>428</v>
      </c>
      <c r="K5" s="102" t="s">
        <v>429</v>
      </c>
      <c r="L5" s="104" t="s">
        <v>432</v>
      </c>
      <c r="M5" s="105" t="s">
        <v>418</v>
      </c>
      <c r="N5" s="106"/>
      <c r="O5" s="100" t="s">
        <v>413</v>
      </c>
      <c r="P5" s="107" t="s">
        <v>425</v>
      </c>
      <c r="Q5" s="107" t="s">
        <v>426</v>
      </c>
      <c r="R5" s="108" t="s">
        <v>428</v>
      </c>
      <c r="S5" s="108" t="s">
        <v>429</v>
      </c>
      <c r="T5" s="110" t="s">
        <v>425</v>
      </c>
      <c r="U5" s="110" t="s">
        <v>426</v>
      </c>
      <c r="V5" s="111" t="s">
        <v>428</v>
      </c>
      <c r="W5" s="111" t="s">
        <v>429</v>
      </c>
      <c r="X5" s="99"/>
      <c r="Y5" s="99"/>
      <c r="Z5" s="99"/>
      <c r="AA5" s="99"/>
      <c r="AB5" s="99"/>
      <c r="AC5" s="99"/>
      <c r="AD5" s="99"/>
      <c r="AE5" s="99"/>
    </row>
    <row r="6" ht="12.75" customHeight="1">
      <c r="A6" s="12"/>
      <c r="B6" s="112" t="s">
        <v>433</v>
      </c>
      <c r="C6" s="114">
        <v>1.0</v>
      </c>
      <c r="D6" s="114">
        <f t="shared" ref="D6:E6" si="1">SUMIFS($P6:$W6,$P$5:$W$5,D$5)</f>
        <v>1</v>
      </c>
      <c r="E6" s="114">
        <f t="shared" si="1"/>
        <v>0</v>
      </c>
      <c r="F6" s="114"/>
      <c r="G6" s="117">
        <f t="shared" ref="G6:G13" si="3">SUM(C6:F6)</f>
        <v>2</v>
      </c>
      <c r="H6" s="114">
        <v>1.0</v>
      </c>
      <c r="I6" s="114">
        <f t="shared" ref="I6:K6" si="2">SUMIFS($P6:$W6,$P$5:$W$5,I$5)</f>
        <v>1</v>
      </c>
      <c r="J6" s="114">
        <f t="shared" si="2"/>
        <v>0</v>
      </c>
      <c r="K6" s="114">
        <f t="shared" si="2"/>
        <v>0</v>
      </c>
      <c r="L6" s="117">
        <f t="shared" ref="L6:L13" si="4">SUM(H6:K6)</f>
        <v>2</v>
      </c>
      <c r="M6" s="119">
        <f t="shared" ref="M6:M13" si="5">G6-L6</f>
        <v>0</v>
      </c>
      <c r="N6" s="121"/>
      <c r="O6" s="122" t="s">
        <v>439</v>
      </c>
      <c r="P6" s="123">
        <v>1.0</v>
      </c>
      <c r="Q6" s="124">
        <v>1.0</v>
      </c>
      <c r="R6" s="124">
        <v>0.0</v>
      </c>
      <c r="S6" s="124">
        <v>0.0</v>
      </c>
      <c r="T6" s="124">
        <v>0.0</v>
      </c>
      <c r="U6" s="124">
        <v>0.0</v>
      </c>
      <c r="V6" s="124">
        <v>0.0</v>
      </c>
      <c r="W6" s="124">
        <v>0.0</v>
      </c>
      <c r="X6" s="125">
        <f t="shared" ref="X6:X13" si="6">SUM(P6:W6)</f>
        <v>2</v>
      </c>
      <c r="Y6" s="12"/>
      <c r="Z6" s="12"/>
      <c r="AA6" s="12"/>
      <c r="AB6" s="12"/>
      <c r="AC6" s="12"/>
      <c r="AD6" s="12"/>
      <c r="AE6" s="12"/>
    </row>
    <row r="7" ht="12.75" customHeight="1">
      <c r="A7" s="12"/>
      <c r="B7" s="112" t="s">
        <v>442</v>
      </c>
      <c r="C7" s="114">
        <v>1.0</v>
      </c>
      <c r="D7" s="114">
        <v>0.0</v>
      </c>
      <c r="E7" s="114">
        <v>5.0</v>
      </c>
      <c r="F7" s="114"/>
      <c r="G7" s="117">
        <f t="shared" si="3"/>
        <v>6</v>
      </c>
      <c r="H7" s="114">
        <v>1.0</v>
      </c>
      <c r="I7" s="114">
        <v>0.0</v>
      </c>
      <c r="J7" s="114">
        <v>5.0</v>
      </c>
      <c r="K7" s="114">
        <f>SUMIFS($P7:$W7,$P$5:$W$5,K$5)</f>
        <v>0</v>
      </c>
      <c r="L7" s="117">
        <f t="shared" si="4"/>
        <v>6</v>
      </c>
      <c r="M7" s="119">
        <f t="shared" si="5"/>
        <v>0</v>
      </c>
      <c r="N7" s="121"/>
      <c r="O7" s="122" t="s">
        <v>442</v>
      </c>
      <c r="P7" s="123">
        <v>1.0</v>
      </c>
      <c r="Q7" s="123">
        <v>0.0</v>
      </c>
      <c r="R7" s="123">
        <v>5.0</v>
      </c>
      <c r="S7" s="123">
        <v>0.0</v>
      </c>
      <c r="T7" s="124">
        <v>0.0</v>
      </c>
      <c r="U7" s="124">
        <v>0.0</v>
      </c>
      <c r="V7" s="124">
        <v>0.0</v>
      </c>
      <c r="W7" s="124">
        <v>0.0</v>
      </c>
      <c r="X7" s="125">
        <f t="shared" si="6"/>
        <v>6</v>
      </c>
      <c r="Y7" s="12"/>
      <c r="Z7" s="12"/>
      <c r="AA7" s="12"/>
      <c r="AB7" s="12"/>
      <c r="AC7" s="12"/>
      <c r="AD7" s="12"/>
      <c r="AE7" s="12"/>
    </row>
    <row r="8" ht="12.75" customHeight="1">
      <c r="A8" s="12"/>
      <c r="B8" s="112" t="s">
        <v>443</v>
      </c>
      <c r="C8" s="114">
        <f t="shared" ref="C8:E8" si="7">SUMIFS($P8:$W8,$P$5:$W$5,C$5)</f>
        <v>0</v>
      </c>
      <c r="D8" s="114">
        <f t="shared" si="7"/>
        <v>1</v>
      </c>
      <c r="E8" s="114">
        <f t="shared" si="7"/>
        <v>0</v>
      </c>
      <c r="F8" s="114"/>
      <c r="G8" s="117">
        <f t="shared" si="3"/>
        <v>1</v>
      </c>
      <c r="H8" s="114">
        <f t="shared" ref="H8:K8" si="8">SUMIFS($P8:$W8,$P$5:$W$5,H$5)</f>
        <v>0</v>
      </c>
      <c r="I8" s="114">
        <f t="shared" si="8"/>
        <v>1</v>
      </c>
      <c r="J8" s="114">
        <f t="shared" si="8"/>
        <v>0</v>
      </c>
      <c r="K8" s="114">
        <f t="shared" si="8"/>
        <v>0</v>
      </c>
      <c r="L8" s="117">
        <f t="shared" si="4"/>
        <v>1</v>
      </c>
      <c r="M8" s="119">
        <f t="shared" si="5"/>
        <v>0</v>
      </c>
      <c r="N8" s="121"/>
      <c r="O8" s="122" t="s">
        <v>443</v>
      </c>
      <c r="P8" s="123">
        <v>0.0</v>
      </c>
      <c r="Q8" s="123">
        <v>1.0</v>
      </c>
      <c r="R8" s="123">
        <v>0.0</v>
      </c>
      <c r="S8" s="123">
        <v>0.0</v>
      </c>
      <c r="T8" s="124">
        <v>0.0</v>
      </c>
      <c r="U8" s="124">
        <v>0.0</v>
      </c>
      <c r="V8" s="124">
        <v>0.0</v>
      </c>
      <c r="W8" s="124">
        <v>0.0</v>
      </c>
      <c r="X8" s="125">
        <f t="shared" si="6"/>
        <v>1</v>
      </c>
      <c r="Y8" s="12"/>
      <c r="Z8" s="12"/>
      <c r="AA8" s="12"/>
      <c r="AB8" s="12"/>
      <c r="AC8" s="12"/>
      <c r="AD8" s="12"/>
      <c r="AE8" s="12"/>
    </row>
    <row r="9" ht="12.75" customHeight="1">
      <c r="A9" s="12"/>
      <c r="B9" s="112" t="s">
        <v>447</v>
      </c>
      <c r="C9" s="114">
        <v>0.0</v>
      </c>
      <c r="D9" s="114">
        <v>0.0</v>
      </c>
      <c r="E9" s="114">
        <v>2.0</v>
      </c>
      <c r="F9" s="114"/>
      <c r="G9" s="117">
        <f t="shared" si="3"/>
        <v>2</v>
      </c>
      <c r="H9" s="114">
        <v>0.0</v>
      </c>
      <c r="I9" s="114">
        <v>0.0</v>
      </c>
      <c r="J9" s="114">
        <v>2.0</v>
      </c>
      <c r="K9" s="114">
        <v>0.0</v>
      </c>
      <c r="L9" s="117">
        <f t="shared" si="4"/>
        <v>2</v>
      </c>
      <c r="M9" s="119">
        <f t="shared" si="5"/>
        <v>0</v>
      </c>
      <c r="N9" s="121"/>
      <c r="O9" s="122" t="s">
        <v>447</v>
      </c>
      <c r="P9" s="123">
        <v>0.0</v>
      </c>
      <c r="Q9" s="123">
        <v>0.0</v>
      </c>
      <c r="R9" s="123">
        <v>2.0</v>
      </c>
      <c r="S9" s="123">
        <v>0.0</v>
      </c>
      <c r="T9" s="124"/>
      <c r="U9" s="124">
        <v>0.0</v>
      </c>
      <c r="V9" s="124">
        <v>0.0</v>
      </c>
      <c r="W9" s="124">
        <v>0.0</v>
      </c>
      <c r="X9" s="125">
        <f t="shared" si="6"/>
        <v>2</v>
      </c>
      <c r="Y9" s="12"/>
      <c r="Z9" s="12"/>
      <c r="AA9" s="12"/>
      <c r="AB9" s="12"/>
      <c r="AC9" s="12"/>
      <c r="AD9" s="12"/>
      <c r="AE9" s="12"/>
    </row>
    <row r="10" ht="12.75" customHeight="1">
      <c r="A10" s="12"/>
      <c r="B10" s="112" t="s">
        <v>449</v>
      </c>
      <c r="C10" s="114">
        <f t="shared" ref="C10:E10" si="9">SUMIFS($P10:$W10,$P$5:$W$5,C$5)</f>
        <v>0</v>
      </c>
      <c r="D10" s="114">
        <f t="shared" si="9"/>
        <v>1</v>
      </c>
      <c r="E10" s="114">
        <f t="shared" si="9"/>
        <v>0</v>
      </c>
      <c r="F10" s="114"/>
      <c r="G10" s="117">
        <f t="shared" si="3"/>
        <v>1</v>
      </c>
      <c r="H10" s="114">
        <f t="shared" ref="H10:K10" si="10">SUMIFS($P10:$W10,$P$5:$W$5,H$5)</f>
        <v>0</v>
      </c>
      <c r="I10" s="114">
        <f t="shared" si="10"/>
        <v>1</v>
      </c>
      <c r="J10" s="114">
        <f t="shared" si="10"/>
        <v>0</v>
      </c>
      <c r="K10" s="114">
        <f t="shared" si="10"/>
        <v>0</v>
      </c>
      <c r="L10" s="117">
        <f t="shared" si="4"/>
        <v>1</v>
      </c>
      <c r="M10" s="119">
        <f t="shared" si="5"/>
        <v>0</v>
      </c>
      <c r="N10" s="121"/>
      <c r="O10" s="122" t="s">
        <v>449</v>
      </c>
      <c r="P10" s="123">
        <v>0.0</v>
      </c>
      <c r="Q10" s="123">
        <v>1.0</v>
      </c>
      <c r="R10" s="123">
        <v>0.0</v>
      </c>
      <c r="S10" s="123">
        <v>0.0</v>
      </c>
      <c r="T10" s="124">
        <v>0.0</v>
      </c>
      <c r="U10" s="124">
        <v>0.0</v>
      </c>
      <c r="V10" s="124">
        <v>0.0</v>
      </c>
      <c r="W10" s="124">
        <v>0.0</v>
      </c>
      <c r="X10" s="125">
        <f t="shared" si="6"/>
        <v>1</v>
      </c>
      <c r="Y10" s="12"/>
      <c r="Z10" s="12"/>
      <c r="AA10" s="12"/>
      <c r="AB10" s="12"/>
      <c r="AC10" s="12"/>
      <c r="AD10" s="12"/>
      <c r="AE10" s="12"/>
    </row>
    <row r="11" ht="12.75" customHeight="1">
      <c r="A11" s="12"/>
      <c r="B11" s="112" t="s">
        <v>444</v>
      </c>
      <c r="C11" s="114">
        <f t="shared" ref="C11:E11" si="11">SUMIFS($P11:$W11,$P$5:$W$5,C$5)</f>
        <v>5</v>
      </c>
      <c r="D11" s="114">
        <f t="shared" si="11"/>
        <v>2</v>
      </c>
      <c r="E11" s="114">
        <f t="shared" si="11"/>
        <v>2</v>
      </c>
      <c r="F11" s="114"/>
      <c r="G11" s="117">
        <f t="shared" si="3"/>
        <v>9</v>
      </c>
      <c r="H11" s="114">
        <f t="shared" ref="H11:K11" si="12">SUMIFS($P11:$W11,$P$5:$W$5,H$5)</f>
        <v>5</v>
      </c>
      <c r="I11" s="114">
        <f t="shared" si="12"/>
        <v>2</v>
      </c>
      <c r="J11" s="114">
        <f t="shared" si="12"/>
        <v>2</v>
      </c>
      <c r="K11" s="114">
        <f t="shared" si="12"/>
        <v>0</v>
      </c>
      <c r="L11" s="117">
        <f t="shared" si="4"/>
        <v>9</v>
      </c>
      <c r="M11" s="119">
        <f t="shared" si="5"/>
        <v>0</v>
      </c>
      <c r="N11" s="121"/>
      <c r="O11" s="122" t="s">
        <v>444</v>
      </c>
      <c r="P11" s="123">
        <v>4.0</v>
      </c>
      <c r="Q11" s="123">
        <v>2.0</v>
      </c>
      <c r="R11" s="123">
        <v>1.0</v>
      </c>
      <c r="S11" s="123">
        <v>0.0</v>
      </c>
      <c r="T11" s="123">
        <v>1.0</v>
      </c>
      <c r="U11" s="124">
        <v>0.0</v>
      </c>
      <c r="V11" s="123">
        <v>1.0</v>
      </c>
      <c r="W11" s="124">
        <v>0.0</v>
      </c>
      <c r="X11" s="125">
        <f t="shared" si="6"/>
        <v>9</v>
      </c>
      <c r="Y11" s="12"/>
      <c r="Z11" s="12"/>
      <c r="AA11" s="12"/>
      <c r="AB11" s="12"/>
      <c r="AC11" s="12"/>
      <c r="AD11" s="12"/>
      <c r="AE11" s="12"/>
    </row>
    <row r="12" ht="12.75" customHeight="1">
      <c r="A12" s="12"/>
      <c r="B12" s="112" t="s">
        <v>456</v>
      </c>
      <c r="C12" s="114">
        <f t="shared" ref="C12:E12" si="13">SUMIFS($P12:$W12,$P$5:$W$5,C$5)</f>
        <v>1</v>
      </c>
      <c r="D12" s="114">
        <f t="shared" si="13"/>
        <v>1</v>
      </c>
      <c r="E12" s="114">
        <f t="shared" si="13"/>
        <v>2</v>
      </c>
      <c r="F12" s="114"/>
      <c r="G12" s="117">
        <f t="shared" si="3"/>
        <v>4</v>
      </c>
      <c r="H12" s="114">
        <f t="shared" ref="H12:K12" si="14">SUMIFS($P12:$W12,$P$5:$W$5,H$5)</f>
        <v>1</v>
      </c>
      <c r="I12" s="114">
        <f t="shared" si="14"/>
        <v>1</v>
      </c>
      <c r="J12" s="114">
        <f t="shared" si="14"/>
        <v>2</v>
      </c>
      <c r="K12" s="114">
        <f t="shared" si="14"/>
        <v>0</v>
      </c>
      <c r="L12" s="117">
        <f t="shared" si="4"/>
        <v>4</v>
      </c>
      <c r="M12" s="119">
        <f t="shared" si="5"/>
        <v>0</v>
      </c>
      <c r="N12" s="121"/>
      <c r="O12" s="122" t="s">
        <v>456</v>
      </c>
      <c r="P12" s="123">
        <v>1.0</v>
      </c>
      <c r="Q12" s="123">
        <v>1.0</v>
      </c>
      <c r="R12" s="123">
        <v>2.0</v>
      </c>
      <c r="S12" s="123">
        <v>0.0</v>
      </c>
      <c r="T12" s="124">
        <v>0.0</v>
      </c>
      <c r="U12" s="124">
        <v>0.0</v>
      </c>
      <c r="V12" s="124"/>
      <c r="W12" s="124">
        <v>0.0</v>
      </c>
      <c r="X12" s="125">
        <f t="shared" si="6"/>
        <v>4</v>
      </c>
      <c r="Y12" s="12"/>
      <c r="Z12" s="12"/>
      <c r="AA12" s="12"/>
      <c r="AB12" s="12"/>
      <c r="AC12" s="12"/>
      <c r="AD12" s="12"/>
      <c r="AE12" s="12"/>
    </row>
    <row r="13" ht="12.75" customHeight="1">
      <c r="A13" s="12"/>
      <c r="B13" s="112" t="s">
        <v>462</v>
      </c>
      <c r="C13" s="114"/>
      <c r="D13" s="114">
        <v>1.0</v>
      </c>
      <c r="E13" s="114">
        <v>2.0</v>
      </c>
      <c r="F13" s="114"/>
      <c r="G13" s="117">
        <f t="shared" si="3"/>
        <v>3</v>
      </c>
      <c r="H13" s="114"/>
      <c r="I13" s="114">
        <v>1.0</v>
      </c>
      <c r="J13" s="114">
        <v>2.0</v>
      </c>
      <c r="K13" s="114"/>
      <c r="L13" s="117">
        <f t="shared" si="4"/>
        <v>3</v>
      </c>
      <c r="M13" s="119">
        <f t="shared" si="5"/>
        <v>0</v>
      </c>
      <c r="N13" s="121"/>
      <c r="O13" s="122" t="s">
        <v>462</v>
      </c>
      <c r="P13" s="123"/>
      <c r="Q13" s="123">
        <v>1.0</v>
      </c>
      <c r="R13" s="123">
        <v>2.0</v>
      </c>
      <c r="S13" s="123"/>
      <c r="T13" s="124"/>
      <c r="U13" s="124"/>
      <c r="V13" s="124"/>
      <c r="W13" s="124"/>
      <c r="X13" s="125">
        <f t="shared" si="6"/>
        <v>3</v>
      </c>
      <c r="Y13" s="12"/>
      <c r="Z13" s="12"/>
      <c r="AA13" s="12"/>
      <c r="AB13" s="12"/>
      <c r="AC13" s="12"/>
      <c r="AD13" s="12"/>
      <c r="AE13" s="12"/>
    </row>
    <row r="14" ht="12.75" customHeight="1">
      <c r="A14" s="12"/>
      <c r="B14" s="126" t="s">
        <v>399</v>
      </c>
      <c r="C14" s="127">
        <f t="shared" ref="C14:M14" si="15">SUM(C6:C13)</f>
        <v>8</v>
      </c>
      <c r="D14" s="127">
        <f t="shared" si="15"/>
        <v>7</v>
      </c>
      <c r="E14" s="127">
        <f t="shared" si="15"/>
        <v>13</v>
      </c>
      <c r="F14" s="127">
        <f t="shared" si="15"/>
        <v>0</v>
      </c>
      <c r="G14" s="127">
        <f t="shared" si="15"/>
        <v>28</v>
      </c>
      <c r="H14" s="127">
        <f t="shared" si="15"/>
        <v>8</v>
      </c>
      <c r="I14" s="127">
        <f t="shared" si="15"/>
        <v>7</v>
      </c>
      <c r="J14" s="127">
        <f t="shared" si="15"/>
        <v>13</v>
      </c>
      <c r="K14" s="127">
        <f t="shared" si="15"/>
        <v>0</v>
      </c>
      <c r="L14" s="127">
        <f t="shared" si="15"/>
        <v>28</v>
      </c>
      <c r="M14" s="127">
        <f t="shared" si="15"/>
        <v>0</v>
      </c>
      <c r="N14" s="128"/>
      <c r="O14" s="129" t="s">
        <v>464</v>
      </c>
      <c r="P14" s="130">
        <f t="shared" ref="P14:W14" si="16">SUM(P6:P13)</f>
        <v>7</v>
      </c>
      <c r="Q14" s="130">
        <f t="shared" si="16"/>
        <v>7</v>
      </c>
      <c r="R14" s="130">
        <f t="shared" si="16"/>
        <v>12</v>
      </c>
      <c r="S14" s="130">
        <f t="shared" si="16"/>
        <v>0</v>
      </c>
      <c r="T14" s="131">
        <f t="shared" si="16"/>
        <v>1</v>
      </c>
      <c r="U14" s="131">
        <f t="shared" si="16"/>
        <v>0</v>
      </c>
      <c r="V14" s="131">
        <f t="shared" si="16"/>
        <v>1</v>
      </c>
      <c r="W14" s="131">
        <f t="shared" si="16"/>
        <v>0</v>
      </c>
      <c r="X14" s="12"/>
      <c r="Y14" s="12"/>
      <c r="Z14" s="12"/>
      <c r="AA14" s="12"/>
      <c r="AB14" s="12"/>
      <c r="AC14" s="12"/>
      <c r="AD14" s="12"/>
      <c r="AE14" s="12"/>
    </row>
    <row r="15" ht="12.75" customHeight="1">
      <c r="A15" s="12"/>
      <c r="B15" s="9" t="s">
        <v>466</v>
      </c>
      <c r="C15" s="132">
        <f t="shared" ref="C15:D15" si="17">H15+(5%*H15)</f>
        <v>60060499.8</v>
      </c>
      <c r="D15" s="132">
        <f t="shared" si="17"/>
        <v>57949410.75</v>
      </c>
      <c r="E15" s="132">
        <f>J15-(1*25*125000)+(3*25*125000)</f>
        <v>54664905</v>
      </c>
      <c r="F15" s="9"/>
      <c r="G15" s="9"/>
      <c r="H15" s="132">
        <f>4391539+49258937+3550000</f>
        <v>57200476</v>
      </c>
      <c r="I15" s="132">
        <f>53689915+1500000</f>
        <v>55189915</v>
      </c>
      <c r="J15" s="132">
        <f>48414905</f>
        <v>48414905</v>
      </c>
      <c r="K15" s="9"/>
      <c r="L15" s="9"/>
      <c r="M15" s="9"/>
      <c r="N15" s="78"/>
      <c r="O15" s="78"/>
      <c r="P15" s="78"/>
      <c r="Q15" s="78"/>
      <c r="R15" s="78"/>
      <c r="S15" s="78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ht="12.75" customHeight="1">
      <c r="A16" s="12"/>
      <c r="B16" s="9" t="s">
        <v>469</v>
      </c>
      <c r="C16" s="136">
        <v>228572.0</v>
      </c>
      <c r="D16" s="9"/>
      <c r="E16" s="9"/>
      <c r="F16" s="9"/>
      <c r="G16" s="9"/>
      <c r="H16" s="9"/>
      <c r="I16" s="9"/>
      <c r="J16" s="9"/>
      <c r="K16" s="137">
        <f>L14-G14</f>
        <v>0</v>
      </c>
      <c r="L16" s="138">
        <f>L14/G14</f>
        <v>1</v>
      </c>
      <c r="M16" s="9"/>
      <c r="N16" s="78"/>
      <c r="O16" s="78"/>
      <c r="P16" s="78"/>
      <c r="Q16" s="78"/>
      <c r="R16" s="78"/>
      <c r="S16" s="78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ht="12.75" customHeight="1">
      <c r="A17" s="12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78"/>
      <c r="O17" s="78"/>
      <c r="P17" s="78"/>
      <c r="Q17" s="78"/>
      <c r="R17" s="78"/>
      <c r="S17" s="78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ht="12.75" customHeight="1">
      <c r="A18" s="12"/>
      <c r="D18" s="9"/>
      <c r="E18" s="9"/>
      <c r="F18" s="9"/>
      <c r="G18" s="9"/>
      <c r="H18" s="9"/>
      <c r="I18" s="9"/>
      <c r="J18" s="9"/>
      <c r="K18" s="9"/>
      <c r="L18" s="9"/>
      <c r="M18" s="9"/>
      <c r="N18" s="78"/>
      <c r="O18" s="78"/>
      <c r="P18" s="78"/>
      <c r="Q18" s="78"/>
      <c r="R18" s="78"/>
      <c r="S18" s="78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</row>
    <row r="19" ht="12.75" customHeight="1">
      <c r="A19" s="12"/>
      <c r="B19" s="139" t="s">
        <v>470</v>
      </c>
      <c r="C19" s="140"/>
      <c r="D19" s="140"/>
      <c r="E19" s="141"/>
      <c r="F19" s="141"/>
      <c r="G19" s="9"/>
      <c r="H19" s="9"/>
      <c r="I19" s="9"/>
      <c r="J19" s="9"/>
      <c r="K19" s="9"/>
      <c r="L19" s="9"/>
      <c r="M19" s="9"/>
      <c r="N19" s="78"/>
      <c r="O19" s="78"/>
      <c r="P19" s="78"/>
      <c r="Q19" s="78"/>
      <c r="R19" s="78"/>
      <c r="S19" s="78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</row>
    <row r="20" ht="12.75" customHeight="1">
      <c r="A20" s="12"/>
      <c r="B20" s="142" t="s">
        <v>21</v>
      </c>
      <c r="C20" s="144" t="s">
        <v>416</v>
      </c>
      <c r="D20" s="14"/>
      <c r="E20" s="144" t="s">
        <v>417</v>
      </c>
      <c r="F20" s="14"/>
      <c r="G20" s="9"/>
      <c r="H20" s="9"/>
      <c r="I20" s="9"/>
      <c r="J20" s="9"/>
      <c r="K20" s="9"/>
      <c r="L20" s="9"/>
      <c r="M20" s="9"/>
      <c r="N20" s="78"/>
      <c r="O20" s="78"/>
      <c r="P20" s="78"/>
      <c r="Q20" s="78"/>
      <c r="R20" s="78"/>
      <c r="S20" s="78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</row>
    <row r="21" ht="12.75" customHeight="1">
      <c r="A21" s="12"/>
      <c r="B21" s="146"/>
      <c r="C21" s="147" t="s">
        <v>471</v>
      </c>
      <c r="D21" s="147" t="s">
        <v>71</v>
      </c>
      <c r="E21" s="147" t="s">
        <v>471</v>
      </c>
      <c r="F21" s="147" t="s">
        <v>71</v>
      </c>
      <c r="G21" s="9"/>
      <c r="H21" s="9"/>
      <c r="I21" s="9"/>
      <c r="J21" s="9"/>
      <c r="K21" s="9"/>
      <c r="L21" s="9"/>
      <c r="M21" s="9"/>
      <c r="N21" s="78"/>
      <c r="O21" s="78"/>
      <c r="P21" s="78"/>
      <c r="Q21" s="78"/>
      <c r="R21" s="78"/>
      <c r="S21" s="78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</row>
    <row r="22" ht="12.75" customHeight="1">
      <c r="A22" s="12"/>
      <c r="B22" s="149" t="s">
        <v>190</v>
      </c>
      <c r="C22" s="150">
        <f>C14</f>
        <v>8</v>
      </c>
      <c r="D22" s="151">
        <f t="shared" ref="D22:D23" si="18">F22+(5%*F22)</f>
        <v>60060499.8</v>
      </c>
      <c r="E22" s="150">
        <f>H14</f>
        <v>8</v>
      </c>
      <c r="F22" s="151">
        <f>H15</f>
        <v>57200476</v>
      </c>
      <c r="G22" s="9"/>
      <c r="H22" s="9"/>
      <c r="I22" s="9"/>
      <c r="J22" s="9"/>
      <c r="K22" s="9"/>
      <c r="L22" s="9"/>
      <c r="M22" s="9"/>
      <c r="N22" s="78"/>
      <c r="O22" s="78"/>
      <c r="P22" s="78"/>
      <c r="Q22" s="78"/>
      <c r="R22" s="78"/>
      <c r="S22" s="78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ht="12.75" customHeight="1">
      <c r="A23" s="12"/>
      <c r="B23" s="149" t="s">
        <v>472</v>
      </c>
      <c r="C23" s="150">
        <f>D14</f>
        <v>7</v>
      </c>
      <c r="D23" s="151">
        <f t="shared" si="18"/>
        <v>57949410.75</v>
      </c>
      <c r="E23" s="150">
        <f>I14</f>
        <v>7</v>
      </c>
      <c r="F23" s="151">
        <f>I15</f>
        <v>55189915</v>
      </c>
      <c r="G23" s="9"/>
      <c r="H23" s="9"/>
      <c r="I23" s="9"/>
      <c r="J23" s="9"/>
      <c r="K23" s="9"/>
      <c r="L23" s="9"/>
      <c r="M23" s="9"/>
      <c r="N23" s="78"/>
      <c r="O23" s="78"/>
      <c r="P23" s="78"/>
      <c r="Q23" s="78"/>
      <c r="R23" s="78"/>
      <c r="S23" s="78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ht="12.75" customHeight="1">
      <c r="A24" s="12"/>
      <c r="B24" s="149" t="s">
        <v>473</v>
      </c>
      <c r="C24" s="150">
        <f>E14</f>
        <v>13</v>
      </c>
      <c r="D24" s="151">
        <f>E15+F15</f>
        <v>54664905</v>
      </c>
      <c r="E24" s="150">
        <f>J14</f>
        <v>13</v>
      </c>
      <c r="F24" s="151">
        <f>J15+K15</f>
        <v>48414905</v>
      </c>
      <c r="G24" s="9"/>
      <c r="H24" s="9"/>
      <c r="I24" s="9"/>
      <c r="J24" s="9"/>
      <c r="K24" s="9"/>
      <c r="L24" s="9"/>
      <c r="M24" s="9"/>
      <c r="N24" s="78"/>
      <c r="O24" s="78"/>
      <c r="P24" s="78"/>
      <c r="Q24" s="78"/>
      <c r="R24" s="78"/>
      <c r="S24" s="78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ht="12.75" customHeight="1">
      <c r="A25" s="12"/>
      <c r="B25" s="140"/>
      <c r="C25" s="152">
        <f t="shared" ref="C25:F25" si="19">SUM(C22:C24)</f>
        <v>28</v>
      </c>
      <c r="D25" s="153">
        <f t="shared" si="19"/>
        <v>172674815.6</v>
      </c>
      <c r="E25" s="154">
        <f t="shared" si="19"/>
        <v>28</v>
      </c>
      <c r="F25" s="155">
        <f t="shared" si="19"/>
        <v>160805296</v>
      </c>
      <c r="G25" s="9"/>
      <c r="H25" s="9"/>
      <c r="I25" s="9"/>
      <c r="J25" s="9"/>
      <c r="K25" s="9"/>
      <c r="L25" s="9"/>
      <c r="M25" s="9"/>
      <c r="N25" s="78"/>
      <c r="O25" s="78"/>
      <c r="P25" s="78"/>
      <c r="Q25" s="78"/>
      <c r="R25" s="78"/>
      <c r="S25" s="78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ht="12.75" customHeight="1">
      <c r="A26" s="12"/>
      <c r="B26" s="149" t="s">
        <v>474</v>
      </c>
      <c r="C26" s="156" t="s">
        <v>475</v>
      </c>
      <c r="D26" s="155">
        <f>56332999.8+56374410.75</f>
        <v>112707410.6</v>
      </c>
      <c r="E26" s="140"/>
      <c r="F26" s="157"/>
      <c r="G26" s="9"/>
      <c r="H26" s="9"/>
      <c r="I26" s="9"/>
      <c r="J26" s="9"/>
      <c r="K26" s="9"/>
      <c r="L26" s="9"/>
      <c r="M26" s="9"/>
      <c r="N26" s="78"/>
      <c r="O26" s="78"/>
      <c r="P26" s="78"/>
      <c r="Q26" s="78"/>
      <c r="R26" s="78"/>
      <c r="S26" s="78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 ht="12.75" customHeight="1">
      <c r="A27" s="12"/>
      <c r="B27" s="158" t="s">
        <v>476</v>
      </c>
      <c r="C27" s="156" t="s">
        <v>475</v>
      </c>
      <c r="D27" s="159">
        <f>D25/12</f>
        <v>14389567.96</v>
      </c>
      <c r="E27" s="160"/>
      <c r="F27" s="161"/>
      <c r="G27" s="9"/>
      <c r="H27" s="9"/>
      <c r="I27" s="9"/>
      <c r="J27" s="9"/>
      <c r="K27" s="9"/>
      <c r="L27" s="9"/>
      <c r="M27" s="9"/>
      <c r="N27" s="78"/>
      <c r="O27" s="78"/>
      <c r="P27" s="78"/>
      <c r="Q27" s="78"/>
      <c r="R27" s="78"/>
      <c r="S27" s="78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 ht="12.75" customHeight="1">
      <c r="A28" s="12"/>
      <c r="B28" s="158" t="s">
        <v>477</v>
      </c>
      <c r="C28" s="156" t="s">
        <v>475</v>
      </c>
      <c r="D28" s="159">
        <f>(10.89%*SUM(D22:D23))+(2%*D24)</f>
        <v>13944577.36</v>
      </c>
      <c r="E28" s="160"/>
      <c r="F28" s="161"/>
      <c r="G28" s="9"/>
      <c r="H28" s="9"/>
      <c r="I28" s="9"/>
      <c r="J28" s="9"/>
      <c r="K28" s="9"/>
      <c r="L28" s="9"/>
      <c r="M28" s="9"/>
      <c r="N28" s="78"/>
      <c r="O28" s="78"/>
      <c r="P28" s="78"/>
      <c r="Q28" s="78"/>
      <c r="R28" s="78"/>
      <c r="S28" s="78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ht="12.75" customHeight="1">
      <c r="A29" s="12"/>
      <c r="B29" s="158" t="s">
        <v>478</v>
      </c>
      <c r="C29" s="156" t="s">
        <v>475</v>
      </c>
      <c r="D29" s="159">
        <f>1%*SUM(D22:D23)</f>
        <v>1180099.106</v>
      </c>
      <c r="E29" s="160"/>
      <c r="F29" s="161"/>
      <c r="G29" s="9"/>
      <c r="H29" s="9"/>
      <c r="I29" s="9"/>
      <c r="J29" s="9"/>
      <c r="K29" s="9"/>
      <c r="L29" s="9"/>
      <c r="M29" s="9"/>
      <c r="N29" s="78"/>
      <c r="O29" s="78"/>
      <c r="P29" s="78"/>
      <c r="Q29" s="78"/>
      <c r="R29" s="78"/>
      <c r="S29" s="78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ht="12.75" customHeight="1">
      <c r="A30" s="12"/>
      <c r="B30" s="158" t="s">
        <v>479</v>
      </c>
      <c r="C30" s="156" t="s">
        <v>475</v>
      </c>
      <c r="D30" s="159">
        <f>1.5%*SUM(D22:D23)</f>
        <v>1770148.658</v>
      </c>
      <c r="E30" s="160"/>
      <c r="F30" s="161"/>
      <c r="G30" s="9"/>
      <c r="H30" s="9"/>
      <c r="I30" s="9"/>
      <c r="J30" s="9"/>
      <c r="K30" s="9"/>
      <c r="L30" s="9"/>
      <c r="M30" s="9"/>
      <c r="N30" s="78"/>
      <c r="O30" s="78"/>
      <c r="P30" s="78"/>
      <c r="Q30" s="78"/>
      <c r="R30" s="78"/>
      <c r="S30" s="78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ht="12.75" customHeight="1">
      <c r="A31" s="12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78"/>
      <c r="O31" s="78"/>
      <c r="P31" s="78"/>
      <c r="Q31" s="78"/>
      <c r="R31" s="78"/>
      <c r="S31" s="78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 ht="12.75" customHeight="1">
      <c r="A32" s="12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78"/>
      <c r="O32" s="78"/>
      <c r="P32" s="78"/>
      <c r="Q32" s="78"/>
      <c r="R32" s="78"/>
      <c r="S32" s="78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ht="12.75" customHeight="1">
      <c r="A33" s="12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78"/>
      <c r="O33" s="78"/>
      <c r="P33" s="78"/>
      <c r="Q33" s="78"/>
      <c r="R33" s="78"/>
      <c r="S33" s="78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ht="12.75" customHeight="1">
      <c r="A34" s="12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78"/>
      <c r="O34" s="78"/>
      <c r="P34" s="78"/>
      <c r="Q34" s="78"/>
      <c r="R34" s="78"/>
      <c r="S34" s="78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ht="12.75" customHeight="1">
      <c r="A35" s="12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78"/>
      <c r="O35" s="78"/>
      <c r="P35" s="78"/>
      <c r="Q35" s="78"/>
      <c r="R35" s="78"/>
      <c r="S35" s="78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ht="12.75" customHeight="1">
      <c r="A36" s="12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78"/>
      <c r="O36" s="78"/>
      <c r="P36" s="78"/>
      <c r="Q36" s="78"/>
      <c r="R36" s="78"/>
      <c r="S36" s="78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ht="12.75" customHeight="1">
      <c r="A37" s="12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78"/>
      <c r="O37" s="78"/>
      <c r="P37" s="78"/>
      <c r="Q37" s="78"/>
      <c r="R37" s="78"/>
      <c r="S37" s="78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</row>
    <row r="38" ht="12.75" customHeight="1">
      <c r="A38" s="12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78"/>
      <c r="O38" s="78"/>
      <c r="P38" s="78"/>
      <c r="Q38" s="78"/>
      <c r="R38" s="78"/>
      <c r="S38" s="78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</row>
    <row r="39" ht="12.75" customHeight="1">
      <c r="A39" s="12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78"/>
      <c r="O39" s="78"/>
      <c r="P39" s="78"/>
      <c r="Q39" s="78"/>
      <c r="R39" s="78"/>
      <c r="S39" s="78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</row>
    <row r="40" ht="12.75" customHeight="1">
      <c r="A40" s="12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78"/>
      <c r="O40" s="78"/>
      <c r="P40" s="78"/>
      <c r="Q40" s="78"/>
      <c r="R40" s="78"/>
      <c r="S40" s="78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</row>
    <row r="41" ht="12.75" customHeight="1">
      <c r="A41" s="12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78"/>
      <c r="O41" s="78"/>
      <c r="P41" s="78"/>
      <c r="Q41" s="78"/>
      <c r="R41" s="78"/>
      <c r="S41" s="78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</row>
    <row r="42" ht="12.75" customHeight="1">
      <c r="A42" s="12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78"/>
      <c r="O42" s="78"/>
      <c r="P42" s="78"/>
      <c r="Q42" s="78"/>
      <c r="R42" s="78"/>
      <c r="S42" s="78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</row>
    <row r="43" ht="12.75" customHeight="1">
      <c r="A43" s="12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78"/>
      <c r="O43" s="78"/>
      <c r="P43" s="78"/>
      <c r="Q43" s="78"/>
      <c r="R43" s="78"/>
      <c r="S43" s="78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</row>
    <row r="44" ht="12.75" customHeight="1">
      <c r="A44" s="12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78"/>
      <c r="O44" s="78"/>
      <c r="P44" s="78"/>
      <c r="Q44" s="78"/>
      <c r="R44" s="78"/>
      <c r="S44" s="78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</row>
    <row r="45" ht="12.75" customHeight="1">
      <c r="A45" s="12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78"/>
      <c r="O45" s="78"/>
      <c r="P45" s="78"/>
      <c r="Q45" s="78"/>
      <c r="R45" s="78"/>
      <c r="S45" s="78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</row>
    <row r="46" ht="12.75" customHeight="1">
      <c r="A46" s="12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78"/>
      <c r="O46" s="78"/>
      <c r="P46" s="78"/>
      <c r="Q46" s="78"/>
      <c r="R46" s="78"/>
      <c r="S46" s="78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</row>
    <row r="47" ht="12.75" customHeight="1">
      <c r="A47" s="12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78"/>
      <c r="O47" s="78"/>
      <c r="P47" s="78"/>
      <c r="Q47" s="78"/>
      <c r="R47" s="78"/>
      <c r="S47" s="78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</row>
    <row r="48" ht="12.75" customHeight="1">
      <c r="A48" s="12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78"/>
      <c r="O48" s="78"/>
      <c r="P48" s="78"/>
      <c r="Q48" s="78"/>
      <c r="R48" s="78"/>
      <c r="S48" s="78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</row>
    <row r="49" ht="12.75" customHeight="1">
      <c r="A49" s="12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78"/>
      <c r="O49" s="78"/>
      <c r="P49" s="78"/>
      <c r="Q49" s="78"/>
      <c r="R49" s="78"/>
      <c r="S49" s="78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</row>
    <row r="50" ht="12.75" customHeight="1">
      <c r="A50" s="12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78"/>
      <c r="O50" s="78"/>
      <c r="P50" s="78"/>
      <c r="Q50" s="78"/>
      <c r="R50" s="78"/>
      <c r="S50" s="78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</row>
    <row r="51" ht="12.75" customHeight="1">
      <c r="A51" s="12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78"/>
      <c r="O51" s="78"/>
      <c r="P51" s="78"/>
      <c r="Q51" s="78"/>
      <c r="R51" s="78"/>
      <c r="S51" s="78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</row>
    <row r="52" ht="12.75" customHeight="1">
      <c r="A52" s="12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78"/>
      <c r="O52" s="78"/>
      <c r="P52" s="78"/>
      <c r="Q52" s="78"/>
      <c r="R52" s="78"/>
      <c r="S52" s="78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</row>
    <row r="53" ht="12.75" customHeight="1">
      <c r="A53" s="12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78"/>
      <c r="O53" s="78"/>
      <c r="P53" s="78"/>
      <c r="Q53" s="78"/>
      <c r="R53" s="78"/>
      <c r="S53" s="78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</row>
    <row r="54" ht="12.75" customHeight="1">
      <c r="A54" s="12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78"/>
      <c r="O54" s="78"/>
      <c r="P54" s="78"/>
      <c r="Q54" s="78"/>
      <c r="R54" s="78"/>
      <c r="S54" s="78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</row>
    <row r="55" ht="12.75" customHeight="1">
      <c r="A55" s="12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78"/>
      <c r="O55" s="78"/>
      <c r="P55" s="78"/>
      <c r="Q55" s="78"/>
      <c r="R55" s="78"/>
      <c r="S55" s="78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</row>
    <row r="56" ht="12.75" customHeight="1">
      <c r="A56" s="12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78"/>
      <c r="O56" s="78"/>
      <c r="P56" s="78"/>
      <c r="Q56" s="78"/>
      <c r="R56" s="78"/>
      <c r="S56" s="78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</row>
    <row r="57" ht="12.75" customHeight="1">
      <c r="A57" s="12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78"/>
      <c r="O57" s="78"/>
      <c r="P57" s="78"/>
      <c r="Q57" s="78"/>
      <c r="R57" s="78"/>
      <c r="S57" s="78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</row>
    <row r="58" ht="12.75" customHeight="1">
      <c r="A58" s="12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78"/>
      <c r="O58" s="78"/>
      <c r="P58" s="78"/>
      <c r="Q58" s="78"/>
      <c r="R58" s="78"/>
      <c r="S58" s="78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</row>
    <row r="59" ht="12.75" customHeight="1">
      <c r="A59" s="12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78"/>
      <c r="O59" s="78"/>
      <c r="P59" s="78"/>
      <c r="Q59" s="78"/>
      <c r="R59" s="78"/>
      <c r="S59" s="78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</row>
    <row r="60" ht="12.75" customHeight="1">
      <c r="A60" s="12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78"/>
      <c r="O60" s="78"/>
      <c r="P60" s="78"/>
      <c r="Q60" s="78"/>
      <c r="R60" s="78"/>
      <c r="S60" s="78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</row>
    <row r="61" ht="12.75" customHeight="1">
      <c r="A61" s="12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78"/>
      <c r="O61" s="78"/>
      <c r="P61" s="78"/>
      <c r="Q61" s="78"/>
      <c r="R61" s="78"/>
      <c r="S61" s="78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2" ht="12.75" customHeight="1">
      <c r="A62" s="12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78"/>
      <c r="O62" s="78"/>
      <c r="P62" s="78"/>
      <c r="Q62" s="78"/>
      <c r="R62" s="78"/>
      <c r="S62" s="78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</row>
    <row r="63" ht="12.75" customHeight="1">
      <c r="A63" s="12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78"/>
      <c r="O63" s="78"/>
      <c r="P63" s="78"/>
      <c r="Q63" s="78"/>
      <c r="R63" s="78"/>
      <c r="S63" s="78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</row>
    <row r="64" ht="12.75" customHeight="1">
      <c r="A64" s="12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78"/>
      <c r="O64" s="78"/>
      <c r="P64" s="78"/>
      <c r="Q64" s="78"/>
      <c r="R64" s="78"/>
      <c r="S64" s="78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</row>
    <row r="65" ht="12.75" customHeight="1">
      <c r="A65" s="12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78"/>
      <c r="O65" s="78"/>
      <c r="P65" s="78"/>
      <c r="Q65" s="78"/>
      <c r="R65" s="78"/>
      <c r="S65" s="78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</row>
    <row r="66" ht="12.75" customHeight="1">
      <c r="A66" s="12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78"/>
      <c r="O66" s="78"/>
      <c r="P66" s="78"/>
      <c r="Q66" s="78"/>
      <c r="R66" s="78"/>
      <c r="S66" s="78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</row>
    <row r="67" ht="12.75" customHeight="1">
      <c r="A67" s="12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78"/>
      <c r="O67" s="78"/>
      <c r="P67" s="78"/>
      <c r="Q67" s="78"/>
      <c r="R67" s="78"/>
      <c r="S67" s="78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</row>
    <row r="68" ht="12.75" customHeight="1">
      <c r="A68" s="12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78"/>
      <c r="O68" s="78"/>
      <c r="P68" s="78"/>
      <c r="Q68" s="78"/>
      <c r="R68" s="78"/>
      <c r="S68" s="78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</row>
    <row r="69" ht="12.75" customHeight="1">
      <c r="A69" s="12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78"/>
      <c r="O69" s="78"/>
      <c r="P69" s="78"/>
      <c r="Q69" s="78"/>
      <c r="R69" s="78"/>
      <c r="S69" s="78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</row>
    <row r="70" ht="12.75" customHeight="1">
      <c r="A70" s="12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78"/>
      <c r="O70" s="78"/>
      <c r="P70" s="78"/>
      <c r="Q70" s="78"/>
      <c r="R70" s="78"/>
      <c r="S70" s="78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</row>
    <row r="71" ht="12.75" customHeight="1">
      <c r="A71" s="12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78"/>
      <c r="O71" s="78"/>
      <c r="P71" s="78"/>
      <c r="Q71" s="78"/>
      <c r="R71" s="78"/>
      <c r="S71" s="78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</row>
    <row r="72" ht="12.75" customHeight="1">
      <c r="A72" s="12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78"/>
      <c r="O72" s="78"/>
      <c r="P72" s="78"/>
      <c r="Q72" s="78"/>
      <c r="R72" s="78"/>
      <c r="S72" s="78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</row>
    <row r="73" ht="12.75" customHeight="1">
      <c r="A73" s="12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78"/>
      <c r="O73" s="78"/>
      <c r="P73" s="78"/>
      <c r="Q73" s="78"/>
      <c r="R73" s="78"/>
      <c r="S73" s="78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</row>
    <row r="74" ht="12.75" customHeight="1">
      <c r="A74" s="12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78"/>
      <c r="O74" s="78"/>
      <c r="P74" s="78"/>
      <c r="Q74" s="78"/>
      <c r="R74" s="78"/>
      <c r="S74" s="78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</row>
    <row r="75" ht="12.75" customHeight="1">
      <c r="A75" s="12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78"/>
      <c r="O75" s="78"/>
      <c r="P75" s="78"/>
      <c r="Q75" s="78"/>
      <c r="R75" s="78"/>
      <c r="S75" s="78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</row>
    <row r="76" ht="12.75" customHeight="1">
      <c r="A76" s="12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78"/>
      <c r="O76" s="78"/>
      <c r="P76" s="78"/>
      <c r="Q76" s="78"/>
      <c r="R76" s="78"/>
      <c r="S76" s="78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</row>
    <row r="77" ht="12.75" customHeight="1">
      <c r="A77" s="12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78"/>
      <c r="O77" s="78"/>
      <c r="P77" s="78"/>
      <c r="Q77" s="78"/>
      <c r="R77" s="78"/>
      <c r="S77" s="78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</row>
    <row r="78" ht="12.75" customHeight="1">
      <c r="A78" s="12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78"/>
      <c r="O78" s="78"/>
      <c r="P78" s="78"/>
      <c r="Q78" s="78"/>
      <c r="R78" s="78"/>
      <c r="S78" s="78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</row>
    <row r="79" ht="12.75" customHeight="1">
      <c r="A79" s="12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78"/>
      <c r="O79" s="78"/>
      <c r="P79" s="78"/>
      <c r="Q79" s="78"/>
      <c r="R79" s="78"/>
      <c r="S79" s="78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</row>
    <row r="80" ht="12.75" customHeight="1">
      <c r="A80" s="12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78"/>
      <c r="O80" s="78"/>
      <c r="P80" s="78"/>
      <c r="Q80" s="78"/>
      <c r="R80" s="78"/>
      <c r="S80" s="78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</row>
    <row r="81" ht="12.75" customHeight="1">
      <c r="A81" s="12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78"/>
      <c r="O81" s="78"/>
      <c r="P81" s="78"/>
      <c r="Q81" s="78"/>
      <c r="R81" s="78"/>
      <c r="S81" s="78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</row>
    <row r="82" ht="12.75" customHeight="1">
      <c r="A82" s="12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78"/>
      <c r="O82" s="78"/>
      <c r="P82" s="78"/>
      <c r="Q82" s="78"/>
      <c r="R82" s="78"/>
      <c r="S82" s="78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</row>
    <row r="83" ht="12.75" customHeight="1">
      <c r="A83" s="12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78"/>
      <c r="O83" s="78"/>
      <c r="P83" s="78"/>
      <c r="Q83" s="78"/>
      <c r="R83" s="78"/>
      <c r="S83" s="78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</row>
    <row r="84" ht="12.75" customHeight="1">
      <c r="A84" s="12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78"/>
      <c r="O84" s="78"/>
      <c r="P84" s="78"/>
      <c r="Q84" s="78"/>
      <c r="R84" s="78"/>
      <c r="S84" s="78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</row>
    <row r="85" ht="12.75" customHeight="1">
      <c r="A85" s="12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78"/>
      <c r="O85" s="78"/>
      <c r="P85" s="78"/>
      <c r="Q85" s="78"/>
      <c r="R85" s="78"/>
      <c r="S85" s="78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</row>
    <row r="86" ht="12.75" customHeight="1">
      <c r="A86" s="12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78"/>
      <c r="O86" s="78"/>
      <c r="P86" s="78"/>
      <c r="Q86" s="78"/>
      <c r="R86" s="78"/>
      <c r="S86" s="78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 ht="12.75" customHeight="1">
      <c r="A87" s="12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78"/>
      <c r="O87" s="78"/>
      <c r="P87" s="78"/>
      <c r="Q87" s="78"/>
      <c r="R87" s="78"/>
      <c r="S87" s="78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  <row r="88" ht="12.75" customHeight="1">
      <c r="A88" s="12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78"/>
      <c r="O88" s="78"/>
      <c r="P88" s="78"/>
      <c r="Q88" s="78"/>
      <c r="R88" s="78"/>
      <c r="S88" s="78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</row>
    <row r="89" ht="12.75" customHeight="1">
      <c r="A89" s="12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78"/>
      <c r="O89" s="78"/>
      <c r="P89" s="78"/>
      <c r="Q89" s="78"/>
      <c r="R89" s="78"/>
      <c r="S89" s="78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</row>
    <row r="90" ht="12.75" customHeight="1">
      <c r="A90" s="12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78"/>
      <c r="O90" s="78"/>
      <c r="P90" s="78"/>
      <c r="Q90" s="78"/>
      <c r="R90" s="78"/>
      <c r="S90" s="78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</row>
    <row r="91" ht="12.75" customHeight="1">
      <c r="A91" s="12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78"/>
      <c r="O91" s="78"/>
      <c r="P91" s="78"/>
      <c r="Q91" s="78"/>
      <c r="R91" s="78"/>
      <c r="S91" s="78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</row>
    <row r="92" ht="12.75" customHeight="1">
      <c r="A92" s="12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78"/>
      <c r="O92" s="78"/>
      <c r="P92" s="78"/>
      <c r="Q92" s="78"/>
      <c r="R92" s="78"/>
      <c r="S92" s="78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</row>
    <row r="93" ht="12.75" customHeight="1">
      <c r="A93" s="12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78"/>
      <c r="O93" s="78"/>
      <c r="P93" s="78"/>
      <c r="Q93" s="78"/>
      <c r="R93" s="78"/>
      <c r="S93" s="78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</row>
    <row r="94" ht="12.75" customHeight="1">
      <c r="A94" s="12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78"/>
      <c r="O94" s="78"/>
      <c r="P94" s="78"/>
      <c r="Q94" s="78"/>
      <c r="R94" s="78"/>
      <c r="S94" s="78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</row>
    <row r="95" ht="12.75" customHeight="1">
      <c r="A95" s="12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78"/>
      <c r="O95" s="78"/>
      <c r="P95" s="78"/>
      <c r="Q95" s="78"/>
      <c r="R95" s="78"/>
      <c r="S95" s="78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</row>
    <row r="96" ht="12.75" customHeight="1">
      <c r="A96" s="12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78"/>
      <c r="O96" s="78"/>
      <c r="P96" s="78"/>
      <c r="Q96" s="78"/>
      <c r="R96" s="78"/>
      <c r="S96" s="78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</row>
    <row r="97" ht="12.75" customHeight="1">
      <c r="A97" s="12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78"/>
      <c r="O97" s="78"/>
      <c r="P97" s="78"/>
      <c r="Q97" s="78"/>
      <c r="R97" s="78"/>
      <c r="S97" s="78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</row>
    <row r="98" ht="12.75" customHeight="1">
      <c r="A98" s="12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78"/>
      <c r="O98" s="78"/>
      <c r="P98" s="78"/>
      <c r="Q98" s="78"/>
      <c r="R98" s="78"/>
      <c r="S98" s="78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</row>
    <row r="99" ht="12.75" customHeight="1">
      <c r="A99" s="12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78"/>
      <c r="O99" s="78"/>
      <c r="P99" s="78"/>
      <c r="Q99" s="78"/>
      <c r="R99" s="78"/>
      <c r="S99" s="78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</row>
    <row r="100" ht="12.75" customHeight="1">
      <c r="A100" s="12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78"/>
      <c r="O100" s="78"/>
      <c r="P100" s="78"/>
      <c r="Q100" s="78"/>
      <c r="R100" s="78"/>
      <c r="S100" s="78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</row>
    <row r="101" ht="12.75" customHeight="1">
      <c r="A101" s="12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78"/>
      <c r="O101" s="78"/>
      <c r="P101" s="78"/>
      <c r="Q101" s="78"/>
      <c r="R101" s="78"/>
      <c r="S101" s="78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</row>
    <row r="102" ht="12.75" customHeight="1">
      <c r="A102" s="12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78"/>
      <c r="O102" s="78"/>
      <c r="P102" s="78"/>
      <c r="Q102" s="78"/>
      <c r="R102" s="78"/>
      <c r="S102" s="78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</row>
    <row r="103" ht="12.75" customHeight="1">
      <c r="A103" s="12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78"/>
      <c r="O103" s="78"/>
      <c r="P103" s="78"/>
      <c r="Q103" s="78"/>
      <c r="R103" s="78"/>
      <c r="S103" s="78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</row>
    <row r="104" ht="12.75" customHeight="1">
      <c r="A104" s="12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78"/>
      <c r="O104" s="78"/>
      <c r="P104" s="78"/>
      <c r="Q104" s="78"/>
      <c r="R104" s="78"/>
      <c r="S104" s="78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</row>
    <row r="105" ht="12.75" customHeight="1">
      <c r="A105" s="12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78"/>
      <c r="O105" s="78"/>
      <c r="P105" s="78"/>
      <c r="Q105" s="78"/>
      <c r="R105" s="78"/>
      <c r="S105" s="78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</row>
    <row r="106" ht="12.75" customHeight="1">
      <c r="A106" s="12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78"/>
      <c r="O106" s="78"/>
      <c r="P106" s="78"/>
      <c r="Q106" s="78"/>
      <c r="R106" s="78"/>
      <c r="S106" s="78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</row>
    <row r="107" ht="12.75" customHeight="1">
      <c r="A107" s="12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78"/>
      <c r="O107" s="78"/>
      <c r="P107" s="78"/>
      <c r="Q107" s="78"/>
      <c r="R107" s="78"/>
      <c r="S107" s="78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</row>
    <row r="108" ht="12.75" customHeight="1">
      <c r="A108" s="12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78"/>
      <c r="O108" s="78"/>
      <c r="P108" s="78"/>
      <c r="Q108" s="78"/>
      <c r="R108" s="78"/>
      <c r="S108" s="78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</row>
    <row r="109" ht="12.75" customHeight="1">
      <c r="A109" s="12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78"/>
      <c r="O109" s="78"/>
      <c r="P109" s="78"/>
      <c r="Q109" s="78"/>
      <c r="R109" s="78"/>
      <c r="S109" s="78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</row>
    <row r="110" ht="12.75" customHeight="1">
      <c r="A110" s="12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78"/>
      <c r="O110" s="78"/>
      <c r="P110" s="78"/>
      <c r="Q110" s="78"/>
      <c r="R110" s="78"/>
      <c r="S110" s="78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</row>
    <row r="111" ht="12.75" customHeight="1">
      <c r="A111" s="12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78"/>
      <c r="O111" s="78"/>
      <c r="P111" s="78"/>
      <c r="Q111" s="78"/>
      <c r="R111" s="78"/>
      <c r="S111" s="78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</row>
    <row r="112" ht="12.75" customHeight="1">
      <c r="A112" s="12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78"/>
      <c r="O112" s="78"/>
      <c r="P112" s="78"/>
      <c r="Q112" s="78"/>
      <c r="R112" s="78"/>
      <c r="S112" s="78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</row>
    <row r="113" ht="12.75" customHeight="1">
      <c r="A113" s="12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78"/>
      <c r="O113" s="78"/>
      <c r="P113" s="78"/>
      <c r="Q113" s="78"/>
      <c r="R113" s="78"/>
      <c r="S113" s="78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</row>
    <row r="114" ht="12.75" customHeight="1">
      <c r="A114" s="12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78"/>
      <c r="O114" s="78"/>
      <c r="P114" s="78"/>
      <c r="Q114" s="78"/>
      <c r="R114" s="78"/>
      <c r="S114" s="78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</row>
    <row r="115" ht="12.75" customHeight="1">
      <c r="A115" s="12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78"/>
      <c r="O115" s="78"/>
      <c r="P115" s="78"/>
      <c r="Q115" s="78"/>
      <c r="R115" s="78"/>
      <c r="S115" s="78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</row>
    <row r="116" ht="12.75" customHeight="1">
      <c r="A116" s="12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78"/>
      <c r="O116" s="78"/>
      <c r="P116" s="78"/>
      <c r="Q116" s="78"/>
      <c r="R116" s="78"/>
      <c r="S116" s="78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</row>
    <row r="117" ht="12.75" customHeight="1">
      <c r="A117" s="12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78"/>
      <c r="O117" s="78"/>
      <c r="P117" s="78"/>
      <c r="Q117" s="78"/>
      <c r="R117" s="78"/>
      <c r="S117" s="78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</row>
    <row r="118" ht="12.75" customHeight="1">
      <c r="A118" s="12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78"/>
      <c r="O118" s="78"/>
      <c r="P118" s="78"/>
      <c r="Q118" s="78"/>
      <c r="R118" s="78"/>
      <c r="S118" s="78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</row>
    <row r="119" ht="12.75" customHeight="1">
      <c r="A119" s="12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78"/>
      <c r="O119" s="78"/>
      <c r="P119" s="78"/>
      <c r="Q119" s="78"/>
      <c r="R119" s="78"/>
      <c r="S119" s="78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</row>
    <row r="120" ht="12.75" customHeight="1">
      <c r="A120" s="12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78"/>
      <c r="O120" s="78"/>
      <c r="P120" s="78"/>
      <c r="Q120" s="78"/>
      <c r="R120" s="78"/>
      <c r="S120" s="78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</row>
    <row r="121" ht="12.75" customHeight="1">
      <c r="A121" s="12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78"/>
      <c r="O121" s="78"/>
      <c r="P121" s="78"/>
      <c r="Q121" s="78"/>
      <c r="R121" s="78"/>
      <c r="S121" s="78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</row>
    <row r="122" ht="12.75" customHeight="1">
      <c r="A122" s="12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78"/>
      <c r="O122" s="78"/>
      <c r="P122" s="78"/>
      <c r="Q122" s="78"/>
      <c r="R122" s="78"/>
      <c r="S122" s="78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</row>
    <row r="123" ht="12.75" customHeight="1">
      <c r="A123" s="12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78"/>
      <c r="O123" s="78"/>
      <c r="P123" s="78"/>
      <c r="Q123" s="78"/>
      <c r="R123" s="78"/>
      <c r="S123" s="78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</row>
    <row r="124" ht="12.75" customHeight="1">
      <c r="A124" s="12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78"/>
      <c r="O124" s="78"/>
      <c r="P124" s="78"/>
      <c r="Q124" s="78"/>
      <c r="R124" s="78"/>
      <c r="S124" s="78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</row>
    <row r="125" ht="12.75" customHeight="1">
      <c r="A125" s="12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78"/>
      <c r="O125" s="78"/>
      <c r="P125" s="78"/>
      <c r="Q125" s="78"/>
      <c r="R125" s="78"/>
      <c r="S125" s="78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</row>
    <row r="126" ht="12.75" customHeight="1">
      <c r="A126" s="12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78"/>
      <c r="O126" s="78"/>
      <c r="P126" s="78"/>
      <c r="Q126" s="78"/>
      <c r="R126" s="78"/>
      <c r="S126" s="78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</row>
    <row r="127" ht="12.75" customHeight="1">
      <c r="A127" s="12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78"/>
      <c r="O127" s="78"/>
      <c r="P127" s="78"/>
      <c r="Q127" s="78"/>
      <c r="R127" s="78"/>
      <c r="S127" s="78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</row>
    <row r="128" ht="12.75" customHeight="1">
      <c r="A128" s="12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78"/>
      <c r="O128" s="78"/>
      <c r="P128" s="78"/>
      <c r="Q128" s="78"/>
      <c r="R128" s="78"/>
      <c r="S128" s="78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</row>
    <row r="129" ht="12.75" customHeight="1">
      <c r="A129" s="12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78"/>
      <c r="O129" s="78"/>
      <c r="P129" s="78"/>
      <c r="Q129" s="78"/>
      <c r="R129" s="78"/>
      <c r="S129" s="78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</row>
    <row r="130" ht="12.75" customHeight="1">
      <c r="A130" s="12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78"/>
      <c r="O130" s="78"/>
      <c r="P130" s="78"/>
      <c r="Q130" s="78"/>
      <c r="R130" s="78"/>
      <c r="S130" s="78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</row>
    <row r="131" ht="12.75" customHeight="1">
      <c r="A131" s="12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78"/>
      <c r="O131" s="78"/>
      <c r="P131" s="78"/>
      <c r="Q131" s="78"/>
      <c r="R131" s="78"/>
      <c r="S131" s="78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</row>
    <row r="132" ht="12.75" customHeight="1">
      <c r="A132" s="12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78"/>
      <c r="O132" s="78"/>
      <c r="P132" s="78"/>
      <c r="Q132" s="78"/>
      <c r="R132" s="78"/>
      <c r="S132" s="78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</row>
    <row r="133" ht="12.75" customHeight="1">
      <c r="A133" s="12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78"/>
      <c r="O133" s="78"/>
      <c r="P133" s="78"/>
      <c r="Q133" s="78"/>
      <c r="R133" s="78"/>
      <c r="S133" s="78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</row>
    <row r="134" ht="12.75" customHeight="1">
      <c r="A134" s="12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78"/>
      <c r="O134" s="78"/>
      <c r="P134" s="78"/>
      <c r="Q134" s="78"/>
      <c r="R134" s="78"/>
      <c r="S134" s="78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</row>
    <row r="135" ht="12.75" customHeight="1">
      <c r="A135" s="12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78"/>
      <c r="O135" s="78"/>
      <c r="P135" s="78"/>
      <c r="Q135" s="78"/>
      <c r="R135" s="78"/>
      <c r="S135" s="78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</row>
    <row r="136" ht="12.75" customHeight="1">
      <c r="A136" s="12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78"/>
      <c r="O136" s="78"/>
      <c r="P136" s="78"/>
      <c r="Q136" s="78"/>
      <c r="R136" s="78"/>
      <c r="S136" s="78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</row>
    <row r="137" ht="12.75" customHeight="1">
      <c r="A137" s="12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78"/>
      <c r="O137" s="78"/>
      <c r="P137" s="78"/>
      <c r="Q137" s="78"/>
      <c r="R137" s="78"/>
      <c r="S137" s="78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</row>
    <row r="138" ht="12.75" customHeight="1">
      <c r="A138" s="12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78"/>
      <c r="O138" s="78"/>
      <c r="P138" s="78"/>
      <c r="Q138" s="78"/>
      <c r="R138" s="78"/>
      <c r="S138" s="78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</row>
    <row r="139" ht="12.75" customHeight="1">
      <c r="A139" s="12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78"/>
      <c r="O139" s="78"/>
      <c r="P139" s="78"/>
      <c r="Q139" s="78"/>
      <c r="R139" s="78"/>
      <c r="S139" s="78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</row>
    <row r="140" ht="12.75" customHeight="1">
      <c r="A140" s="12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78"/>
      <c r="O140" s="78"/>
      <c r="P140" s="78"/>
      <c r="Q140" s="78"/>
      <c r="R140" s="78"/>
      <c r="S140" s="78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</row>
    <row r="141" ht="12.75" customHeight="1">
      <c r="A141" s="12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78"/>
      <c r="O141" s="78"/>
      <c r="P141" s="78"/>
      <c r="Q141" s="78"/>
      <c r="R141" s="78"/>
      <c r="S141" s="78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</row>
    <row r="142" ht="12.75" customHeight="1">
      <c r="A142" s="12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78"/>
      <c r="O142" s="78"/>
      <c r="P142" s="78"/>
      <c r="Q142" s="78"/>
      <c r="R142" s="78"/>
      <c r="S142" s="78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</row>
    <row r="143" ht="12.75" customHeight="1">
      <c r="A143" s="12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78"/>
      <c r="O143" s="78"/>
      <c r="P143" s="78"/>
      <c r="Q143" s="78"/>
      <c r="R143" s="78"/>
      <c r="S143" s="78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</row>
    <row r="144" ht="12.75" customHeight="1">
      <c r="A144" s="12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78"/>
      <c r="O144" s="78"/>
      <c r="P144" s="78"/>
      <c r="Q144" s="78"/>
      <c r="R144" s="78"/>
      <c r="S144" s="78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</row>
    <row r="145" ht="12.75" customHeight="1">
      <c r="A145" s="12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78"/>
      <c r="O145" s="78"/>
      <c r="P145" s="78"/>
      <c r="Q145" s="78"/>
      <c r="R145" s="78"/>
      <c r="S145" s="78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</row>
    <row r="146" ht="12.75" customHeight="1">
      <c r="A146" s="12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78"/>
      <c r="O146" s="78"/>
      <c r="P146" s="78"/>
      <c r="Q146" s="78"/>
      <c r="R146" s="78"/>
      <c r="S146" s="78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</row>
    <row r="147" ht="12.75" customHeight="1">
      <c r="A147" s="12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78"/>
      <c r="O147" s="78"/>
      <c r="P147" s="78"/>
      <c r="Q147" s="78"/>
      <c r="R147" s="78"/>
      <c r="S147" s="78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</row>
    <row r="148" ht="12.75" customHeight="1">
      <c r="A148" s="12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78"/>
      <c r="O148" s="78"/>
      <c r="P148" s="78"/>
      <c r="Q148" s="78"/>
      <c r="R148" s="78"/>
      <c r="S148" s="78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</row>
    <row r="149" ht="12.75" customHeight="1">
      <c r="A149" s="12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78"/>
      <c r="O149" s="78"/>
      <c r="P149" s="78"/>
      <c r="Q149" s="78"/>
      <c r="R149" s="78"/>
      <c r="S149" s="78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</row>
    <row r="150" ht="12.75" customHeight="1">
      <c r="A150" s="12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78"/>
      <c r="O150" s="78"/>
      <c r="P150" s="78"/>
      <c r="Q150" s="78"/>
      <c r="R150" s="78"/>
      <c r="S150" s="78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</row>
    <row r="151" ht="12.75" customHeight="1">
      <c r="A151" s="12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78"/>
      <c r="O151" s="78"/>
      <c r="P151" s="78"/>
      <c r="Q151" s="78"/>
      <c r="R151" s="78"/>
      <c r="S151" s="78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</row>
    <row r="152" ht="12.75" customHeight="1">
      <c r="A152" s="12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78"/>
      <c r="O152" s="78"/>
      <c r="P152" s="78"/>
      <c r="Q152" s="78"/>
      <c r="R152" s="78"/>
      <c r="S152" s="78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</row>
    <row r="153" ht="12.75" customHeight="1">
      <c r="A153" s="12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78"/>
      <c r="O153" s="78"/>
      <c r="P153" s="78"/>
      <c r="Q153" s="78"/>
      <c r="R153" s="78"/>
      <c r="S153" s="78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</row>
    <row r="154" ht="12.75" customHeight="1">
      <c r="A154" s="12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78"/>
      <c r="O154" s="78"/>
      <c r="P154" s="78"/>
      <c r="Q154" s="78"/>
      <c r="R154" s="78"/>
      <c r="S154" s="78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</row>
    <row r="155" ht="12.75" customHeight="1">
      <c r="A155" s="12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78"/>
      <c r="O155" s="78"/>
      <c r="P155" s="78"/>
      <c r="Q155" s="78"/>
      <c r="R155" s="78"/>
      <c r="S155" s="78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</row>
    <row r="156" ht="12.75" customHeight="1">
      <c r="A156" s="12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78"/>
      <c r="O156" s="78"/>
      <c r="P156" s="78"/>
      <c r="Q156" s="78"/>
      <c r="R156" s="78"/>
      <c r="S156" s="78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</row>
    <row r="157" ht="12.75" customHeight="1">
      <c r="A157" s="12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78"/>
      <c r="O157" s="78"/>
      <c r="P157" s="78"/>
      <c r="Q157" s="78"/>
      <c r="R157" s="78"/>
      <c r="S157" s="78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</row>
    <row r="158" ht="12.75" customHeight="1">
      <c r="A158" s="12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78"/>
      <c r="O158" s="78"/>
      <c r="P158" s="78"/>
      <c r="Q158" s="78"/>
      <c r="R158" s="78"/>
      <c r="S158" s="78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</row>
    <row r="159" ht="12.75" customHeight="1">
      <c r="A159" s="12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78"/>
      <c r="O159" s="78"/>
      <c r="P159" s="78"/>
      <c r="Q159" s="78"/>
      <c r="R159" s="78"/>
      <c r="S159" s="78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</row>
    <row r="160" ht="12.75" customHeight="1">
      <c r="A160" s="12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78"/>
      <c r="O160" s="78"/>
      <c r="P160" s="78"/>
      <c r="Q160" s="78"/>
      <c r="R160" s="78"/>
      <c r="S160" s="78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</row>
    <row r="161" ht="12.75" customHeight="1">
      <c r="A161" s="12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78"/>
      <c r="O161" s="78"/>
      <c r="P161" s="78"/>
      <c r="Q161" s="78"/>
      <c r="R161" s="78"/>
      <c r="S161" s="78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</row>
    <row r="162" ht="12.75" customHeight="1">
      <c r="A162" s="12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78"/>
      <c r="O162" s="78"/>
      <c r="P162" s="78"/>
      <c r="Q162" s="78"/>
      <c r="R162" s="78"/>
      <c r="S162" s="78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</row>
    <row r="163" ht="12.75" customHeight="1">
      <c r="A163" s="12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78"/>
      <c r="O163" s="78"/>
      <c r="P163" s="78"/>
      <c r="Q163" s="78"/>
      <c r="R163" s="78"/>
      <c r="S163" s="78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</row>
    <row r="164" ht="12.75" customHeight="1">
      <c r="A164" s="12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78"/>
      <c r="O164" s="78"/>
      <c r="P164" s="78"/>
      <c r="Q164" s="78"/>
      <c r="R164" s="78"/>
      <c r="S164" s="78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</row>
    <row r="165" ht="12.75" customHeight="1">
      <c r="A165" s="12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78"/>
      <c r="O165" s="78"/>
      <c r="P165" s="78"/>
      <c r="Q165" s="78"/>
      <c r="R165" s="78"/>
      <c r="S165" s="78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</row>
    <row r="166" ht="12.75" customHeight="1">
      <c r="A166" s="12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78"/>
      <c r="O166" s="78"/>
      <c r="P166" s="78"/>
      <c r="Q166" s="78"/>
      <c r="R166" s="78"/>
      <c r="S166" s="78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</row>
    <row r="167" ht="12.75" customHeight="1">
      <c r="A167" s="12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78"/>
      <c r="O167" s="78"/>
      <c r="P167" s="78"/>
      <c r="Q167" s="78"/>
      <c r="R167" s="78"/>
      <c r="S167" s="78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</row>
    <row r="168" ht="12.75" customHeight="1">
      <c r="A168" s="12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78"/>
      <c r="O168" s="78"/>
      <c r="P168" s="78"/>
      <c r="Q168" s="78"/>
      <c r="R168" s="78"/>
      <c r="S168" s="78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</row>
    <row r="169" ht="12.75" customHeight="1">
      <c r="A169" s="12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78"/>
      <c r="O169" s="78"/>
      <c r="P169" s="78"/>
      <c r="Q169" s="78"/>
      <c r="R169" s="78"/>
      <c r="S169" s="78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</row>
    <row r="170" ht="12.75" customHeight="1">
      <c r="A170" s="12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78"/>
      <c r="O170" s="78"/>
      <c r="P170" s="78"/>
      <c r="Q170" s="78"/>
      <c r="R170" s="78"/>
      <c r="S170" s="78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</row>
    <row r="171" ht="12.75" customHeight="1">
      <c r="A171" s="12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78"/>
      <c r="O171" s="78"/>
      <c r="P171" s="78"/>
      <c r="Q171" s="78"/>
      <c r="R171" s="78"/>
      <c r="S171" s="78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</row>
    <row r="172" ht="12.75" customHeight="1">
      <c r="A172" s="12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78"/>
      <c r="O172" s="78"/>
      <c r="P172" s="78"/>
      <c r="Q172" s="78"/>
      <c r="R172" s="78"/>
      <c r="S172" s="78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</row>
    <row r="173" ht="12.75" customHeight="1">
      <c r="A173" s="12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78"/>
      <c r="O173" s="78"/>
      <c r="P173" s="78"/>
      <c r="Q173" s="78"/>
      <c r="R173" s="78"/>
      <c r="S173" s="78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</row>
    <row r="174" ht="12.75" customHeight="1">
      <c r="A174" s="12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78"/>
      <c r="O174" s="78"/>
      <c r="P174" s="78"/>
      <c r="Q174" s="78"/>
      <c r="R174" s="78"/>
      <c r="S174" s="78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</row>
    <row r="175" ht="12.75" customHeight="1">
      <c r="A175" s="12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78"/>
      <c r="O175" s="78"/>
      <c r="P175" s="78"/>
      <c r="Q175" s="78"/>
      <c r="R175" s="78"/>
      <c r="S175" s="78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</row>
    <row r="176" ht="12.75" customHeight="1">
      <c r="A176" s="12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78"/>
      <c r="O176" s="78"/>
      <c r="P176" s="78"/>
      <c r="Q176" s="78"/>
      <c r="R176" s="78"/>
      <c r="S176" s="78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</row>
    <row r="177" ht="12.75" customHeight="1">
      <c r="A177" s="12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78"/>
      <c r="O177" s="78"/>
      <c r="P177" s="78"/>
      <c r="Q177" s="78"/>
      <c r="R177" s="78"/>
      <c r="S177" s="78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</row>
    <row r="178" ht="12.75" customHeight="1">
      <c r="A178" s="12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78"/>
      <c r="O178" s="78"/>
      <c r="P178" s="78"/>
      <c r="Q178" s="78"/>
      <c r="R178" s="78"/>
      <c r="S178" s="78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</row>
    <row r="179" ht="12.75" customHeight="1">
      <c r="A179" s="12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78"/>
      <c r="O179" s="78"/>
      <c r="P179" s="78"/>
      <c r="Q179" s="78"/>
      <c r="R179" s="78"/>
      <c r="S179" s="78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</row>
    <row r="180" ht="12.75" customHeight="1">
      <c r="A180" s="12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78"/>
      <c r="O180" s="78"/>
      <c r="P180" s="78"/>
      <c r="Q180" s="78"/>
      <c r="R180" s="78"/>
      <c r="S180" s="78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</row>
    <row r="181" ht="12.75" customHeight="1">
      <c r="A181" s="12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78"/>
      <c r="O181" s="78"/>
      <c r="P181" s="78"/>
      <c r="Q181" s="78"/>
      <c r="R181" s="78"/>
      <c r="S181" s="78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</row>
    <row r="182" ht="12.75" customHeight="1">
      <c r="A182" s="12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78"/>
      <c r="O182" s="78"/>
      <c r="P182" s="78"/>
      <c r="Q182" s="78"/>
      <c r="R182" s="78"/>
      <c r="S182" s="78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</row>
    <row r="183" ht="12.75" customHeight="1">
      <c r="A183" s="12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78"/>
      <c r="O183" s="78"/>
      <c r="P183" s="78"/>
      <c r="Q183" s="78"/>
      <c r="R183" s="78"/>
      <c r="S183" s="78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</row>
    <row r="184" ht="12.75" customHeight="1">
      <c r="A184" s="12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78"/>
      <c r="O184" s="78"/>
      <c r="P184" s="78"/>
      <c r="Q184" s="78"/>
      <c r="R184" s="78"/>
      <c r="S184" s="78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</row>
    <row r="185" ht="12.75" customHeight="1">
      <c r="A185" s="12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78"/>
      <c r="O185" s="78"/>
      <c r="P185" s="78"/>
      <c r="Q185" s="78"/>
      <c r="R185" s="78"/>
      <c r="S185" s="78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</row>
    <row r="186" ht="12.75" customHeight="1">
      <c r="A186" s="12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78"/>
      <c r="O186" s="78"/>
      <c r="P186" s="78"/>
      <c r="Q186" s="78"/>
      <c r="R186" s="78"/>
      <c r="S186" s="78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</row>
    <row r="187" ht="12.75" customHeight="1">
      <c r="A187" s="12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78"/>
      <c r="O187" s="78"/>
      <c r="P187" s="78"/>
      <c r="Q187" s="78"/>
      <c r="R187" s="78"/>
      <c r="S187" s="78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</row>
    <row r="188" ht="12.75" customHeight="1">
      <c r="A188" s="12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78"/>
      <c r="O188" s="78"/>
      <c r="P188" s="78"/>
      <c r="Q188" s="78"/>
      <c r="R188" s="78"/>
      <c r="S188" s="78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</row>
    <row r="189" ht="12.75" customHeight="1">
      <c r="A189" s="12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78"/>
      <c r="O189" s="78"/>
      <c r="P189" s="78"/>
      <c r="Q189" s="78"/>
      <c r="R189" s="78"/>
      <c r="S189" s="78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</row>
    <row r="190" ht="12.75" customHeight="1">
      <c r="A190" s="12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78"/>
      <c r="O190" s="78"/>
      <c r="P190" s="78"/>
      <c r="Q190" s="78"/>
      <c r="R190" s="78"/>
      <c r="S190" s="78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</row>
    <row r="191" ht="12.75" customHeight="1">
      <c r="A191" s="12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78"/>
      <c r="O191" s="78"/>
      <c r="P191" s="78"/>
      <c r="Q191" s="78"/>
      <c r="R191" s="78"/>
      <c r="S191" s="78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</row>
    <row r="192" ht="12.75" customHeight="1">
      <c r="A192" s="12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78"/>
      <c r="O192" s="78"/>
      <c r="P192" s="78"/>
      <c r="Q192" s="78"/>
      <c r="R192" s="78"/>
      <c r="S192" s="78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</row>
    <row r="193" ht="12.75" customHeight="1">
      <c r="A193" s="12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78"/>
      <c r="O193" s="78"/>
      <c r="P193" s="78"/>
      <c r="Q193" s="78"/>
      <c r="R193" s="78"/>
      <c r="S193" s="78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</row>
    <row r="194" ht="12.75" customHeight="1">
      <c r="A194" s="12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78"/>
      <c r="O194" s="78"/>
      <c r="P194" s="78"/>
      <c r="Q194" s="78"/>
      <c r="R194" s="78"/>
      <c r="S194" s="78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</row>
    <row r="195" ht="12.75" customHeight="1">
      <c r="A195" s="12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78"/>
      <c r="O195" s="78"/>
      <c r="P195" s="78"/>
      <c r="Q195" s="78"/>
      <c r="R195" s="78"/>
      <c r="S195" s="78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</row>
    <row r="196" ht="12.75" customHeight="1">
      <c r="A196" s="12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78"/>
      <c r="O196" s="78"/>
      <c r="P196" s="78"/>
      <c r="Q196" s="78"/>
      <c r="R196" s="78"/>
      <c r="S196" s="78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</row>
    <row r="197" ht="12.75" customHeight="1">
      <c r="A197" s="12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78"/>
      <c r="O197" s="78"/>
      <c r="P197" s="78"/>
      <c r="Q197" s="78"/>
      <c r="R197" s="78"/>
      <c r="S197" s="78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</row>
    <row r="198" ht="12.75" customHeight="1">
      <c r="A198" s="12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78"/>
      <c r="O198" s="78"/>
      <c r="P198" s="78"/>
      <c r="Q198" s="78"/>
      <c r="R198" s="78"/>
      <c r="S198" s="78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</row>
    <row r="199" ht="12.75" customHeight="1">
      <c r="A199" s="12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78"/>
      <c r="O199" s="78"/>
      <c r="P199" s="78"/>
      <c r="Q199" s="78"/>
      <c r="R199" s="78"/>
      <c r="S199" s="78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</row>
    <row r="200" ht="12.75" customHeight="1">
      <c r="A200" s="12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78"/>
      <c r="O200" s="78"/>
      <c r="P200" s="78"/>
      <c r="Q200" s="78"/>
      <c r="R200" s="78"/>
      <c r="S200" s="78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</row>
    <row r="201" ht="12.75" customHeight="1">
      <c r="A201" s="12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78"/>
      <c r="O201" s="78"/>
      <c r="P201" s="78"/>
      <c r="Q201" s="78"/>
      <c r="R201" s="78"/>
      <c r="S201" s="78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</row>
    <row r="202" ht="12.75" customHeight="1">
      <c r="A202" s="12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78"/>
      <c r="O202" s="78"/>
      <c r="P202" s="78"/>
      <c r="Q202" s="78"/>
      <c r="R202" s="78"/>
      <c r="S202" s="78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</row>
    <row r="203" ht="12.75" customHeight="1">
      <c r="A203" s="12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78"/>
      <c r="O203" s="78"/>
      <c r="P203" s="78"/>
      <c r="Q203" s="78"/>
      <c r="R203" s="78"/>
      <c r="S203" s="78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</row>
    <row r="204" ht="12.75" customHeight="1">
      <c r="A204" s="12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78"/>
      <c r="O204" s="78"/>
      <c r="P204" s="78"/>
      <c r="Q204" s="78"/>
      <c r="R204" s="78"/>
      <c r="S204" s="78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</row>
    <row r="205" ht="12.75" customHeight="1">
      <c r="A205" s="12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78"/>
      <c r="O205" s="78"/>
      <c r="P205" s="78"/>
      <c r="Q205" s="78"/>
      <c r="R205" s="78"/>
      <c r="S205" s="78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</row>
    <row r="206" ht="12.75" customHeight="1">
      <c r="A206" s="12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78"/>
      <c r="O206" s="78"/>
      <c r="P206" s="78"/>
      <c r="Q206" s="78"/>
      <c r="R206" s="78"/>
      <c r="S206" s="78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</row>
    <row r="207" ht="12.75" customHeight="1">
      <c r="A207" s="12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78"/>
      <c r="O207" s="78"/>
      <c r="P207" s="78"/>
      <c r="Q207" s="78"/>
      <c r="R207" s="78"/>
      <c r="S207" s="78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</row>
    <row r="208" ht="12.75" customHeight="1">
      <c r="A208" s="12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78"/>
      <c r="O208" s="78"/>
      <c r="P208" s="78"/>
      <c r="Q208" s="78"/>
      <c r="R208" s="78"/>
      <c r="S208" s="78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</row>
    <row r="209" ht="12.75" customHeight="1">
      <c r="A209" s="12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78"/>
      <c r="O209" s="78"/>
      <c r="P209" s="78"/>
      <c r="Q209" s="78"/>
      <c r="R209" s="78"/>
      <c r="S209" s="78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</row>
    <row r="210" ht="12.75" customHeight="1">
      <c r="A210" s="12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78"/>
      <c r="O210" s="78"/>
      <c r="P210" s="78"/>
      <c r="Q210" s="78"/>
      <c r="R210" s="78"/>
      <c r="S210" s="78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</row>
    <row r="211" ht="12.75" customHeight="1">
      <c r="A211" s="12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78"/>
      <c r="O211" s="78"/>
      <c r="P211" s="78"/>
      <c r="Q211" s="78"/>
      <c r="R211" s="78"/>
      <c r="S211" s="78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</row>
    <row r="212" ht="12.75" customHeight="1">
      <c r="A212" s="12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78"/>
      <c r="O212" s="78"/>
      <c r="P212" s="78"/>
      <c r="Q212" s="78"/>
      <c r="R212" s="78"/>
      <c r="S212" s="78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</row>
    <row r="213" ht="12.75" customHeight="1">
      <c r="A213" s="12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78"/>
      <c r="O213" s="78"/>
      <c r="P213" s="78"/>
      <c r="Q213" s="78"/>
      <c r="R213" s="78"/>
      <c r="S213" s="78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</row>
    <row r="214" ht="12.75" customHeight="1">
      <c r="A214" s="12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78"/>
      <c r="O214" s="78"/>
      <c r="P214" s="78"/>
      <c r="Q214" s="78"/>
      <c r="R214" s="78"/>
      <c r="S214" s="78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</row>
    <row r="215" ht="12.75" customHeight="1">
      <c r="A215" s="12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78"/>
      <c r="O215" s="78"/>
      <c r="P215" s="78"/>
      <c r="Q215" s="78"/>
      <c r="R215" s="78"/>
      <c r="S215" s="78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</row>
    <row r="216" ht="12.75" customHeight="1">
      <c r="A216" s="12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78"/>
      <c r="O216" s="78"/>
      <c r="P216" s="78"/>
      <c r="Q216" s="78"/>
      <c r="R216" s="78"/>
      <c r="S216" s="78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</row>
    <row r="217" ht="12.75" customHeight="1">
      <c r="A217" s="12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78"/>
      <c r="O217" s="78"/>
      <c r="P217" s="78"/>
      <c r="Q217" s="78"/>
      <c r="R217" s="78"/>
      <c r="S217" s="78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</row>
    <row r="218" ht="12.75" customHeight="1">
      <c r="A218" s="12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78"/>
      <c r="O218" s="78"/>
      <c r="P218" s="78"/>
      <c r="Q218" s="78"/>
      <c r="R218" s="78"/>
      <c r="S218" s="78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</row>
    <row r="219" ht="12.75" customHeight="1">
      <c r="A219" s="12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78"/>
      <c r="O219" s="78"/>
      <c r="P219" s="78"/>
      <c r="Q219" s="78"/>
      <c r="R219" s="78"/>
      <c r="S219" s="78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</row>
    <row r="220" ht="12.75" customHeight="1">
      <c r="A220" s="12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78"/>
      <c r="O220" s="78"/>
      <c r="P220" s="78"/>
      <c r="Q220" s="78"/>
      <c r="R220" s="78"/>
      <c r="S220" s="78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</row>
    <row r="221" ht="12.75" customHeight="1">
      <c r="A221" s="12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78"/>
      <c r="O221" s="78"/>
      <c r="P221" s="78"/>
      <c r="Q221" s="78"/>
      <c r="R221" s="78"/>
      <c r="S221" s="78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</row>
    <row r="222" ht="12.75" customHeight="1">
      <c r="A222" s="12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78"/>
      <c r="O222" s="78"/>
      <c r="P222" s="78"/>
      <c r="Q222" s="78"/>
      <c r="R222" s="78"/>
      <c r="S222" s="78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</row>
    <row r="223" ht="12.75" customHeight="1">
      <c r="A223" s="12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78"/>
      <c r="O223" s="78"/>
      <c r="P223" s="78"/>
      <c r="Q223" s="78"/>
      <c r="R223" s="78"/>
      <c r="S223" s="78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</row>
    <row r="224" ht="12.75" customHeight="1">
      <c r="A224" s="12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78"/>
      <c r="O224" s="78"/>
      <c r="P224" s="78"/>
      <c r="Q224" s="78"/>
      <c r="R224" s="78"/>
      <c r="S224" s="78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</row>
    <row r="225" ht="12.75" customHeight="1">
      <c r="A225" s="12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78"/>
      <c r="O225" s="78"/>
      <c r="P225" s="78"/>
      <c r="Q225" s="78"/>
      <c r="R225" s="78"/>
      <c r="S225" s="78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</row>
    <row r="226" ht="12.75" customHeight="1">
      <c r="A226" s="12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78"/>
      <c r="O226" s="78"/>
      <c r="P226" s="78"/>
      <c r="Q226" s="78"/>
      <c r="R226" s="78"/>
      <c r="S226" s="78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</row>
    <row r="227" ht="12.75" customHeight="1">
      <c r="A227" s="12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78"/>
      <c r="O227" s="78"/>
      <c r="P227" s="78"/>
      <c r="Q227" s="78"/>
      <c r="R227" s="78"/>
      <c r="S227" s="78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</row>
    <row r="228" ht="12.75" customHeight="1">
      <c r="A228" s="12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78"/>
      <c r="O228" s="78"/>
      <c r="P228" s="78"/>
      <c r="Q228" s="78"/>
      <c r="R228" s="78"/>
      <c r="S228" s="78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</row>
    <row r="229" ht="12.75" customHeight="1">
      <c r="A229" s="12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78"/>
      <c r="O229" s="78"/>
      <c r="P229" s="78"/>
      <c r="Q229" s="78"/>
      <c r="R229" s="78"/>
      <c r="S229" s="78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</row>
    <row r="230" ht="12.75" customHeight="1">
      <c r="A230" s="12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78"/>
      <c r="O230" s="78"/>
      <c r="P230" s="78"/>
      <c r="Q230" s="78"/>
      <c r="R230" s="78"/>
      <c r="S230" s="78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C4:G4"/>
    <mergeCell ref="H4:K4"/>
    <mergeCell ref="P4:S4"/>
    <mergeCell ref="T4:W4"/>
    <mergeCell ref="C20:D20"/>
    <mergeCell ref="E20:F20"/>
  </mergeCells>
  <printOptions/>
  <pageMargins bottom="0.7480314960629921" footer="0.0" header="0.0" left="0.23" right="0.7086614173228347" top="0.7480314960629921"/>
  <pageSetup paperSize="9" scale="75" orientation="landscape"/>
  <drawing r:id="rId2"/>
  <legacyDrawing r:id="rId3"/>
</worksheet>
</file>