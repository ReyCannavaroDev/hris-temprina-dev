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TER" sheetId="1" r:id="rId5"/>
    <sheet state="visible" name="Sheet1" sheetId="2" r:id="rId6"/>
    <sheet state="visible" name="Sheet2" sheetId="3" r:id="rId7"/>
    <sheet state="visible" name="Sheet3" sheetId="4" r:id="rId8"/>
  </sheets>
  <definedNames>
    <definedName hidden="1" localSheetId="1" name="_xlnm._FilterDatabase">Sheet1!$A$9:$AR$64</definedName>
  </definedNames>
  <calcPr/>
</workbook>
</file>

<file path=xl/sharedStrings.xml><?xml version="1.0" encoding="utf-8"?>
<sst xmlns="http://schemas.openxmlformats.org/spreadsheetml/2006/main" count="561" uniqueCount="239">
  <si>
    <t>TABEL TER PPH 21 2025</t>
  </si>
  <si>
    <t xml:space="preserve">TABEL TARIF EFEKTIF </t>
  </si>
  <si>
    <t>Gaji Bulan : 01-2026</t>
  </si>
  <si>
    <t>Tidak kawin tanpa tanggungan (TK/0);</t>
  </si>
  <si>
    <t>Tidak kawin dengan jumlah tanggungan sebanyak 2 orang (TK/2);</t>
  </si>
  <si>
    <t>PTKP kawin dengan jumlah tanggungan sebanyak 3 orang (K/3).</t>
  </si>
  <si>
    <t>Tidak kawin dengan jumlah tanggungan sebanyak 1 orang (TK/1); atau</t>
  </si>
  <si>
    <t>Tidak kawin dengan jumlah tanggungan sebanyak 3 orang (TK/3);</t>
  </si>
  <si>
    <t>Printed</t>
  </si>
  <si>
    <t>Jenis TER</t>
  </si>
  <si>
    <t>Tuesday  , 03-02-2026 17:14</t>
  </si>
  <si>
    <t>Terendah</t>
  </si>
  <si>
    <t>Tertinggi</t>
  </si>
  <si>
    <t>Tarif Pajak</t>
  </si>
  <si>
    <t>Status</t>
  </si>
  <si>
    <t>Kawin tanpa tanggungan (K/0).</t>
  </si>
  <si>
    <t>Kawin dengan jumlah tanggungan sebanyak 1 orang (K/1); atau</t>
  </si>
  <si>
    <t>TER A</t>
  </si>
  <si>
    <t>TK/0</t>
  </si>
  <si>
    <t>Kawin dengan jumlah tanggungan sebanyak 2 orang (K/2).</t>
  </si>
  <si>
    <t>Page</t>
  </si>
  <si>
    <t>of</t>
  </si>
  <si>
    <t>TK/1</t>
  </si>
  <si>
    <t>K/0</t>
  </si>
  <si>
    <t>Kategori A</t>
  </si>
  <si>
    <t>Kategori B</t>
  </si>
  <si>
    <t>SEMUA KARYAWAN</t>
  </si>
  <si>
    <t>Kategori C</t>
  </si>
  <si>
    <t>TER B</t>
  </si>
  <si>
    <t>TK/2</t>
  </si>
  <si>
    <t>Penghasilan Bruto Bulanan</t>
  </si>
  <si>
    <t>PT. JPM</t>
  </si>
  <si>
    <t>K/1</t>
  </si>
  <si>
    <t>Sampai dengan Rp5.400.000</t>
  </si>
  <si>
    <t>Sampai dengan Rp6.200.000</t>
  </si>
  <si>
    <t>Sampai dengan Rp6.600.000</t>
  </si>
  <si>
    <t>TK/3</t>
  </si>
  <si>
    <t>Di atas Rp5.400.000 sampai dengan Rp5.650.000</t>
  </si>
  <si>
    <t>0,25%</t>
  </si>
  <si>
    <t>Di atas Rp6.200.000 sampai dengan Rp6.500.000</t>
  </si>
  <si>
    <t>Di atas Rp6.600.000 sampai dengan Rp6.950.000</t>
  </si>
  <si>
    <t>K/2</t>
  </si>
  <si>
    <t>Di atas Rp5.650.000 sampai dengan Rp5.950.000</t>
  </si>
  <si>
    <t>0,5%</t>
  </si>
  <si>
    <t>Status Karyawan   Kontrak</t>
  </si>
  <si>
    <t>Di atas Rp6.500.000 sampai dengan Rp6.850.000</t>
  </si>
  <si>
    <t>Di atas Rp6.950.000 sampai dengan Rp7.350.000</t>
  </si>
  <si>
    <t>TER C</t>
  </si>
  <si>
    <t>Tenaga Kerja   Langsung</t>
  </si>
  <si>
    <t>K/3</t>
  </si>
  <si>
    <t>Di atas Rp5.950.000 sampai dengan Rp6.300.000</t>
  </si>
  <si>
    <t>0,75%</t>
  </si>
  <si>
    <t>Di atas Rp6.850.000 sampai dengan Rp7.300.000</t>
  </si>
  <si>
    <t>Di atas Rp7.350.000 sampai dengan Rp7.800.000</t>
  </si>
  <si>
    <t>Di atas Rp6.300.000 sampai dengan Rp6.750.000</t>
  </si>
  <si>
    <t>Di atas Rp7.300.000 sampai dengan Rp9.200.000</t>
  </si>
  <si>
    <t>Di atas Rp7.800.000 sampai dengan Rp8.850.000</t>
  </si>
  <si>
    <t>Cost Center   Produksi</t>
  </si>
  <si>
    <t>Di atas Rp6.750.000 sampai dengan Rp7.500.000</t>
  </si>
  <si>
    <t>1,25%</t>
  </si>
  <si>
    <t>Di atas Rp9.200.000 sampai dengan Rp10.750.000</t>
  </si>
  <si>
    <t>1,5%</t>
  </si>
  <si>
    <t>Di atas Rp8.850.000 sampai dengan Rp9.800.000</t>
  </si>
  <si>
    <t>Di atas Rp7.500.000 sampai dengan Rp8.550.000</t>
  </si>
  <si>
    <t>Di atas Rp10.750.000 sampai dengan Rp11.250.000</t>
  </si>
  <si>
    <t>Di atas Rp9.800.000 sampai dengan Rp10.950.000</t>
  </si>
  <si>
    <t>No</t>
  </si>
  <si>
    <t>NIP</t>
  </si>
  <si>
    <t>Di atas Rp8.550.000 sampai dengan Rp9.650.000</t>
  </si>
  <si>
    <t>Nama</t>
  </si>
  <si>
    <t>1,75%</t>
  </si>
  <si>
    <t>THP Final</t>
  </si>
  <si>
    <t>Gaji Pokok</t>
  </si>
  <si>
    <t>Di atas Rp11.250.000 sampai dengan Rp11.600.000</t>
  </si>
  <si>
    <t>2,5%</t>
  </si>
  <si>
    <t>Bonus</t>
  </si>
  <si>
    <t>Lembur</t>
  </si>
  <si>
    <t>Sanksi</t>
  </si>
  <si>
    <t>Di atas Rp10.950.000 sampai dengan Rp11.200.000</t>
  </si>
  <si>
    <t>Lain</t>
  </si>
  <si>
    <t>Askes</t>
  </si>
  <si>
    <t>Rawat Inap</t>
  </si>
  <si>
    <t>Premi BPJS Kesehatan</t>
  </si>
  <si>
    <t>JKK</t>
  </si>
  <si>
    <t>Di atas Rp9.650.000 sampai dengan Rp10.050.000</t>
  </si>
  <si>
    <t>JKM</t>
  </si>
  <si>
    <t>Perdin</t>
  </si>
  <si>
    <t>BPJS Pensiun</t>
  </si>
  <si>
    <t>JHT &amp; Pensiun</t>
  </si>
  <si>
    <t>Di atas Rp11.600.000 sampai dengan Rp12.600.000</t>
  </si>
  <si>
    <t>T. Jabatan</t>
  </si>
  <si>
    <t>T. Fungsional</t>
  </si>
  <si>
    <t>Potongan Produktifitas</t>
  </si>
  <si>
    <t>Di atas Rp11.200.000 sampai dengan Rp12.050.000</t>
  </si>
  <si>
    <t>Sanksi Cetak</t>
  </si>
  <si>
    <t>T. PPH21</t>
  </si>
  <si>
    <t>PPH 21</t>
  </si>
  <si>
    <t>NIK</t>
  </si>
  <si>
    <t>POSISI</t>
  </si>
  <si>
    <t>Bruto Upload</t>
  </si>
  <si>
    <t>T. PPh</t>
  </si>
  <si>
    <t>Di atas Rp10.050.000 sampai dengan Rp10.350.000</t>
  </si>
  <si>
    <t>2,25%</t>
  </si>
  <si>
    <t>Di atas Rp12.600.000 sampai dengan Rp13.600.000</t>
  </si>
  <si>
    <t>Bruto + T. PPh</t>
  </si>
  <si>
    <t>Di atas Rp12.050.000 sampai dengan Rp12.950.000</t>
  </si>
  <si>
    <t>Kategori</t>
  </si>
  <si>
    <t>Tarif</t>
  </si>
  <si>
    <t>Di atas Rp10.350.000 sampai dengan Rp10.700.000</t>
  </si>
  <si>
    <t>PPh 21</t>
  </si>
  <si>
    <t>Angka T.PPh</t>
  </si>
  <si>
    <t>Di atas Rp13.600.000 sampai dengan Rp14.950.000</t>
  </si>
  <si>
    <t>Bruto Seharusnya Tanpa T.PPh</t>
  </si>
  <si>
    <t>Di atas Rp12.950.000 sampai dengan Rp14.150.000</t>
  </si>
  <si>
    <t>New NIK</t>
  </si>
  <si>
    <t>Di atas Rp10.700.000 sampai dengan Rp11.050.000</t>
  </si>
  <si>
    <t>Di atas Rp14.950.000 sampai dengan Rp16.400.000</t>
  </si>
  <si>
    <t>Di atas Rp14.150.000 sampai dengan Rp15.550.000</t>
  </si>
  <si>
    <t>Tenaga Kerja</t>
  </si>
  <si>
    <t>Di atas Rp11.050.000 sampai dengan Rp11.600.000</t>
  </si>
  <si>
    <t>3,5%</t>
  </si>
  <si>
    <t>Di atas Rp16.400.000 sampai dengan Rp18.450.000</t>
  </si>
  <si>
    <t>Di atas Rp15.550.000 sampai dengan Rp17.050.000</t>
  </si>
  <si>
    <t>Di atas Rp11.600.000 sampai dengan Rp12.500.000</t>
  </si>
  <si>
    <t>Di atas Rp18.450.000 sampai dengan Rp21.850.000</t>
  </si>
  <si>
    <t>Di atas Rp17.050.000 sampai dengan Rp19.500.000</t>
  </si>
  <si>
    <t>Di atas Rp12.500.000 sampai dengan Rp13.750.000</t>
  </si>
  <si>
    <t>Cost Center   Pemasaran</t>
  </si>
  <si>
    <t>Di atas Rp21.850.000 sampai dengan Rp26.000.000</t>
  </si>
  <si>
    <t>Di atas Rp19.500.000 sampai dengan Rp22.700.000</t>
  </si>
  <si>
    <t>Di atas Rp13.750.000 sampai dengan Rp15.100.000</t>
  </si>
  <si>
    <t>Di atas Rp26.000.000 sampai dengan Rp27.700.000</t>
  </si>
  <si>
    <t>Di atas Rp22.700.000 sampai dengan Rp26.600.000</t>
  </si>
  <si>
    <t>Di atas Rp15.100.000 sampai dengan Rp16.950.000</t>
  </si>
  <si>
    <t>Di atas Rp27.700.000 sampai dengan Rp29.350.000</t>
  </si>
  <si>
    <t>Di atas Rp26.600.000 sampai dengan Rp28.100.000</t>
  </si>
  <si>
    <t>Di atas Rp16.950.000 sampai dengan Rp19.750.000</t>
  </si>
  <si>
    <t>Di atas Rp29.350.000 sampai dengan Rp31.450.000</t>
  </si>
  <si>
    <t>Di atas Rp28.100.000 sampai dengan Rp30.100.000</t>
  </si>
  <si>
    <t>JPM</t>
  </si>
  <si>
    <t>Di atas Rp19.750.000 sampai dengan Rp24.150.000</t>
  </si>
  <si>
    <t>Di atas Rp31.450.000 sampai dengan Rp33.950.000</t>
  </si>
  <si>
    <t>Di atas Rp30.100.000 sampai dengan Rp32.600.000</t>
  </si>
  <si>
    <t>Di atas Rp24.150.000 sampai dengan Rp26.450.000</t>
  </si>
  <si>
    <t>Di atas Rp33.950.000 sampai dengan Rp37.100.000</t>
  </si>
  <si>
    <t>Di atas Rp32.600.000 sampai dengan Rp35.400.000</t>
  </si>
  <si>
    <t>Di atas Rp26.450.000 sampai dengan Rp28.000.000</t>
  </si>
  <si>
    <t>Di atas Rp37.100.000 sampai dengan Rp41.100.000</t>
  </si>
  <si>
    <t>Di atas Rp35.400.000 sampai dengan Rp38.900.000</t>
  </si>
  <si>
    <t>Di atas Rp28.000.000 sampai dengan Rp30.050.000</t>
  </si>
  <si>
    <t>AGUS TRIWAHYUDI</t>
  </si>
  <si>
    <t>Di atas Rp41.100.000 sampai dengan Rp45.800.000</t>
  </si>
  <si>
    <t>Di atas Rp38.900.000 sampai dengan Rp43.000.000</t>
  </si>
  <si>
    <t>Di atas Rp30.050.000 sampai dengan Rp32.400.000</t>
  </si>
  <si>
    <t>Di atas Rp45.800.000 sampai dengan Rp49.500.000</t>
  </si>
  <si>
    <t>Di atas Rp43.000.000 sampai dengan Rp47.400.000</t>
  </si>
  <si>
    <t>Di atas Rp32.400.000 sampai dengan Rp35.400.000</t>
  </si>
  <si>
    <t>Di atas Rp49.500.000 sampai dengan Rp53.800.000</t>
  </si>
  <si>
    <t>Di atas Rp47.400.000 sampai dengan Rp51.200.000</t>
  </si>
  <si>
    <t>Di atas Rp35.400.000 sampai dengan Rp39.100.000</t>
  </si>
  <si>
    <t>Di atas Rp53.800.000 sampai dengan Rp58.500.000</t>
  </si>
  <si>
    <t>Di atas Rp51.200.000 sampai dengan Rp55.800.000</t>
  </si>
  <si>
    <t>Di atas Rp39.100.000 sampai dengan Rp43.850.000</t>
  </si>
  <si>
    <t>Di atas Rp58.500.000 sampai dengan Rp64.000.000</t>
  </si>
  <si>
    <t>Di atas Rp55.800.000 sampai dengan Rp60.400.000</t>
  </si>
  <si>
    <t>Di atas Rp43.850.000 sampai dengan Rp47.800.000</t>
  </si>
  <si>
    <t>Di atas Rp64.000.000 sampai dengan Rp71.000.000</t>
  </si>
  <si>
    <t>Di atas Rp60.400.000 sampai dengan Rp66.700.000</t>
  </si>
  <si>
    <t>Di atas Rp47.800.000 sampai dengan Rp51.400.000</t>
  </si>
  <si>
    <t>Di atas Rp71.000.000 sampai dengan Rp80.000.000</t>
  </si>
  <si>
    <t>Di atas Rp66.700.000 sampai dengan Rp74.500.000</t>
  </si>
  <si>
    <t>Di atas Rp51.400.000 sampai dengan Rp56.300.000</t>
  </si>
  <si>
    <t>Di atas Rp80.000.000 sampai dengan Rp93.000.000</t>
  </si>
  <si>
    <t>Di atas Rp74.500.000 sampai dengan Rp83.200.000</t>
  </si>
  <si>
    <t>Di atas Rp56.300.000 sampai dengan Rp62.200.000</t>
  </si>
  <si>
    <t>Di atas Rp93.000.000 sampai dengan Rp109.000.000</t>
  </si>
  <si>
    <t>Di atas Rp83.200.000 sampai dengan Rp95.600.000</t>
  </si>
  <si>
    <t>Di atas Rp62.200.000 sampai dengan Rp68.600.000</t>
  </si>
  <si>
    <t>Di atas Rp109.000.000 sampai dengan Rp129.000.000</t>
  </si>
  <si>
    <t>Di atas Rp95.600.000 sampai dengan Rp110.000.000</t>
  </si>
  <si>
    <t>Di atas Rp68.600.000 sampai dengan Rp77.500.000</t>
  </si>
  <si>
    <t>Di atas Rp129.000.000 sampai dengan Rp163.000.000</t>
  </si>
  <si>
    <t>Di atas Rp110.000.000 sampai dengan Rp134.000.000</t>
  </si>
  <si>
    <t>Di atas Rp77.500.000 sampai dengan Rp89.000.000</t>
  </si>
  <si>
    <t>Di atas Rp163.000.000 sampai dengan Rp211.000.000</t>
  </si>
  <si>
    <t>Di atas Rp134.000.000 sampai dengan Rp169.000.000</t>
  </si>
  <si>
    <t>Di atas Rp89.000.000 sampai dengan Rp103.000.000</t>
  </si>
  <si>
    <t>Di atas Rp211.000.000 sampai dengan Rp374.000.000</t>
  </si>
  <si>
    <t>Di atas Rp169.000.000 sampai dengan Rp221.000.000</t>
  </si>
  <si>
    <t>Di atas Rp103.000.000 sampai dengan Rp125.000.000</t>
  </si>
  <si>
    <t>Di atas Rp374.000.000 sampai dengan Rp459.000.000</t>
  </si>
  <si>
    <t>Di atas Rp221.000.000 sampai dengan Rp390.000.000</t>
  </si>
  <si>
    <t>Di atas Rp125.000.000 sampai dengan Rp157.000.000</t>
  </si>
  <si>
    <t>Di atas Rp459.000.000 sampai dengan Rp555.000.000</t>
  </si>
  <si>
    <t>Di atas Rp390.000.000 sampai dengan Rp463.000.000</t>
  </si>
  <si>
    <t>Di atas Rp157.000.000 sampai dengan Rp206.000.000</t>
  </si>
  <si>
    <t>Di atas Rp555.000.000 sampai dengan Rp704.000.000</t>
  </si>
  <si>
    <t>Di atas Rp463.000.000 sampai dengan Rp561.000.000</t>
  </si>
  <si>
    <t>Di atas Rp206.000.000 sampai dengan Rp337.000.000</t>
  </si>
  <si>
    <t>Di atas Rp704.000.000 sampai dengan Rp957.000.000</t>
  </si>
  <si>
    <t>Di atas Rp561.000.000 sampai dengan Rp709.000.000</t>
  </si>
  <si>
    <t>Di atas Rp337.000.000 sampai dengan Rp454.000.000</t>
  </si>
  <si>
    <t>Di atas Rp957.000.000 sampai dengan Rp1.405.000.000</t>
  </si>
  <si>
    <t>Di atas Rp709.000.000 sampai dengan R965.000.000</t>
  </si>
  <si>
    <t>Di atas Rp454.000.000 sampai dengan Rp550.000.000</t>
  </si>
  <si>
    <t>Di atas Rp1.405.000.000</t>
  </si>
  <si>
    <t>Di atas Rp965.000.000 sampai dengan Rp1.419.000.000</t>
  </si>
  <si>
    <t>Di atas Rp550.000.000 sampai dengan Rp695.000.000</t>
  </si>
  <si>
    <t>AWAN BIMA SAPUTRA</t>
  </si>
  <si>
    <t>Di atas Rp1.419.000.000</t>
  </si>
  <si>
    <t>Di atas Rp695.000.000 sampai dengan Rp910.000.000</t>
  </si>
  <si>
    <t>Di atas Rp910.000.000 sampai dengan Rp1.400.000.000</t>
  </si>
  <si>
    <t>Di atas Rp1.400.000.000</t>
  </si>
  <si>
    <t>Total Cost Center  Pemasaran</t>
  </si>
  <si>
    <t>Cost Center   Umum</t>
  </si>
  <si>
    <t>MUHAMMAD DAVI IMAM GUMILANG</t>
  </si>
  <si>
    <t>NINDY PRAVITASARI</t>
  </si>
  <si>
    <t>RAHMAT ADITYA NUGROHO WIBOWO</t>
  </si>
  <si>
    <t>Total Cost Center  Umum</t>
  </si>
  <si>
    <t>Total Tenaga Kerja</t>
  </si>
  <si>
    <t>Tenaga Kerja   Tidak Langsung</t>
  </si>
  <si>
    <t>DURI PUSPITASARI</t>
  </si>
  <si>
    <t>0914834</t>
  </si>
  <si>
    <t>HARIYANTO</t>
  </si>
  <si>
    <t>MUHAMMAD MUZAMIL</t>
  </si>
  <si>
    <t>0814830</t>
  </si>
  <si>
    <t>AVIVUDIN HANI</t>
  </si>
  <si>
    <t>DENI PRIYATNO TIMUR</t>
  </si>
  <si>
    <t>0614841</t>
  </si>
  <si>
    <t>SUWANTO</t>
  </si>
  <si>
    <t>Total Cost Center  Produksi</t>
  </si>
  <si>
    <t>Total Tenaga Kerja Tidak Langsung</t>
  </si>
  <si>
    <t>ADITHYA WISHNU PUTRA</t>
  </si>
  <si>
    <t>FAUZA AULIA RACHMANITA</t>
  </si>
  <si>
    <t>RIZKY WISHUDAWATI</t>
  </si>
  <si>
    <t>TEDDY IRIAWAN WIBAWANTO</t>
  </si>
  <si>
    <t>VICKY NOVREZA</t>
  </si>
  <si>
    <t>SAIFUL AGUNG EFENDI</t>
  </si>
  <si>
    <t>Total PT. JPM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</si>
</sst>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p&quot;* #,##0.00_-;\-&quot;Rp&quot;* #,##0.00_-;_-&quot;Rp&quot;* &quot;-&quot;??_-;_-@"/>
    <numFmt numFmtId="165" formatCode="0_ "/>
    <numFmt numFmtId="166" formatCode="_(* #,##0_);_(* \(#,##0\);_(* &quot;-&quot;??_);_(@_)"/>
    <numFmt numFmtId="167" formatCode="_-* #,##0.00_-;\-* #,##0.00_-;_-* &quot;-&quot;??_-;_-@"/>
    <numFmt numFmtId="168" formatCode="#,##0_ "/>
  </numFmts>
  <fonts count="9">
    <font>
      <sz val="11.0"/>
      <color theme="1"/>
      <name val="Calibri"/>
      <scheme val="minor"/>
    </font>
    <font>
      <b/>
      <sz val="9.0"/>
      <color theme="1"/>
      <name val="Quattrocento Sans"/>
    </font>
    <font>
      <sz val="9.0"/>
      <color theme="1"/>
      <name val="Quattrocento Sans"/>
    </font>
    <font>
      <sz val="9.0"/>
      <color rgb="FF333333"/>
      <name val="Quattrocento Sans"/>
    </font>
    <font>
      <sz val="10.0"/>
      <color theme="1"/>
      <name val="Quattrocento Sans"/>
    </font>
    <font>
      <b/>
      <sz val="9.0"/>
      <color rgb="FF333333"/>
      <name val="Quattrocento Sans"/>
    </font>
    <font>
      <b/>
      <sz val="10.0"/>
      <color theme="1"/>
      <name val="Quattrocento Sans"/>
    </font>
    <font>
      <sz val="10.0"/>
      <color rgb="FF000000"/>
      <name val="Quattrocento Sans"/>
    </font>
    <font>
      <b/>
      <sz val="10.0"/>
      <color rgb="FFFF0000"/>
      <name val="Quattrocento Sans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1" fillId="2" fontId="3" numFmtId="0" xfId="0" applyBorder="1" applyFill="1" applyFont="1"/>
    <xf borderId="1" fillId="3" fontId="4" numFmtId="0" xfId="0" applyBorder="1" applyFill="1" applyFont="1"/>
    <xf borderId="1" fillId="2" fontId="3" numFmtId="164" xfId="0" applyBorder="1" applyFill="1" applyFont="1" applyNumberFormat="1"/>
    <xf borderId="0" fillId="0" fontId="4" numFmtId="0" xfId="0" applyFont="1"/>
    <xf borderId="0" fillId="0" fontId="4" numFmtId="0" xfId="0" applyAlignment="1" applyFont="1">
      <alignment horizontal="right"/>
    </xf>
    <xf borderId="2" fillId="2" fontId="5" numFmtId="0" xfId="0" applyBorder="1" applyFill="1" applyFont="1"/>
    <xf borderId="2" fillId="0" fontId="1" numFmtId="164" xfId="0" applyBorder="1" applyFont="1" applyNumberFormat="1"/>
    <xf borderId="2" fillId="2" fontId="3" numFmtId="0" xfId="0" applyBorder="1" applyFill="1" applyFont="1"/>
    <xf borderId="2" fillId="0" fontId="2" numFmtId="164" xfId="0" applyBorder="1" applyFont="1" applyNumberFormat="1"/>
    <xf borderId="2" fillId="2" fontId="3" numFmtId="9" xfId="0" applyAlignment="1" applyBorder="1" applyFill="1" applyFont="1" applyNumberFormat="1">
      <alignment horizontal="right"/>
    </xf>
    <xf borderId="0" fillId="0" fontId="4" numFmtId="0" xfId="0" applyAlignment="1" applyFont="1">
      <alignment horizontal="left"/>
    </xf>
    <xf borderId="2" fillId="2" fontId="3" numFmtId="164" xfId="0" applyBorder="1" applyFill="1" applyFont="1" applyNumberFormat="1"/>
    <xf borderId="0" fillId="0" fontId="4" numFmtId="165" xfId="0" applyAlignment="1" applyFont="1" applyNumberFormat="1">
      <alignment horizontal="left"/>
    </xf>
    <xf borderId="2" fillId="2" fontId="3" numFmtId="10" xfId="0" applyAlignment="1" applyBorder="1" applyFill="1" applyFont="1" applyNumberFormat="1">
      <alignment horizontal="right"/>
    </xf>
    <xf borderId="0" fillId="0" fontId="6" numFmtId="0" xfId="0" applyFont="1"/>
    <xf borderId="1" fillId="2" fontId="3" numFmtId="9" xfId="0" applyBorder="1" applyFill="1" applyFont="1" applyNumberFormat="1"/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left"/>
    </xf>
    <xf borderId="2" fillId="2" fontId="3" numFmtId="9" xfId="0" applyBorder="1" applyFill="1" applyFont="1" applyNumberFormat="1"/>
    <xf borderId="1" fillId="4" fontId="4" numFmtId="166" xfId="0" applyAlignment="1" applyBorder="1" applyFill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1" fillId="4" fontId="4" numFmtId="0" xfId="0" applyAlignment="1" applyBorder="1" applyFill="1" applyFont="1">
      <alignment horizontal="center"/>
    </xf>
    <xf borderId="0" fillId="0" fontId="6" numFmtId="166" xfId="0" applyFont="1" applyNumberFormat="1"/>
    <xf borderId="1" fillId="4" fontId="6" numFmtId="0" xfId="0" applyBorder="1" applyFill="1" applyFont="1"/>
    <xf borderId="1" fillId="4" fontId="4" numFmtId="0" xfId="0" applyBorder="1" applyFill="1" applyFont="1"/>
    <xf borderId="0" fillId="0" fontId="4" numFmtId="165" xfId="0" applyAlignment="1" applyFont="1" applyNumberFormat="1">
      <alignment horizontal="right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right"/>
    </xf>
    <xf borderId="1" fillId="5" fontId="7" numFmtId="168" xfId="0" applyAlignment="1" applyBorder="1" applyFill="1" applyFont="1" applyNumberFormat="1">
      <alignment horizontal="right"/>
    </xf>
    <xf borderId="0" fillId="0" fontId="4" numFmtId="168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4" numFmtId="10" xfId="0" applyFont="1" applyNumberFormat="1"/>
    <xf borderId="0" fillId="0" fontId="8" numFmtId="168" xfId="0" applyAlignment="1" applyFont="1" applyNumberFormat="1">
      <alignment horizontal="right"/>
    </xf>
    <xf borderId="0" fillId="0" fontId="6" numFmtId="168" xfId="0" applyAlignment="1" applyFont="1" applyNumberFormat="1">
      <alignment horizontal="right"/>
    </xf>
    <xf borderId="2" fillId="0" fontId="2" numFmtId="0" xfId="0" applyBorder="1" applyFont="1"/>
    <xf borderId="2" fillId="2" fontId="3" numFmtId="10" xfId="0" applyBorder="1" applyFill="1" applyFont="1" applyNumberFormat="1"/>
    <xf borderId="0" fillId="0" fontId="2" numFmtId="164" xfId="0" applyFont="1" applyNumberFormat="1"/>
    <xf borderId="1" fillId="6" fontId="6" numFmtId="0" xfId="0" applyBorder="1" applyFill="1" applyFont="1"/>
    <xf borderId="0" fillId="0" fontId="6" numFmtId="165" xfId="0" applyAlignment="1" applyFont="1" applyNumberFormat="1">
      <alignment horizontal="right"/>
    </xf>
    <xf borderId="1" fillId="7" fontId="6" numFmtId="168" xfId="0" applyAlignment="1" applyBorder="1" applyFill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16.57"/>
    <col customWidth="1" min="4" max="4" width="9.86"/>
    <col customWidth="1" min="5" max="5" width="13.0"/>
    <col customWidth="1" min="6" max="9" width="12.57"/>
    <col customWidth="1" min="10" max="10" width="61.57"/>
    <col customWidth="1" min="11" max="11" width="9.0"/>
    <col customWidth="1" min="12" max="13" width="12.14"/>
    <col customWidth="1" min="14" max="16" width="8.86"/>
    <col customWidth="1" min="17" max="17" width="57.43"/>
    <col customWidth="1" min="18" max="18" width="9.0"/>
    <col customWidth="1" min="19" max="20" width="12.14"/>
    <col customWidth="1" min="21" max="23" width="8.86"/>
    <col customWidth="1" min="24" max="24" width="56.14"/>
    <col customWidth="1" min="25" max="25" width="9.0"/>
    <col customWidth="1" min="26" max="27" width="12.14"/>
  </cols>
  <sheetData>
    <row r="1" ht="14.25" customHeight="1">
      <c r="A1" s="1" t="s">
        <v>0</v>
      </c>
      <c r="B1" s="2"/>
      <c r="C1" s="2"/>
      <c r="D1" s="1"/>
      <c r="E1" s="1"/>
      <c r="F1" s="1"/>
      <c r="G1" s="1"/>
      <c r="H1" s="1"/>
      <c r="I1" s="1"/>
      <c r="J1" s="1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4"/>
      <c r="B2" s="6"/>
      <c r="C2" s="6"/>
      <c r="D2" s="4"/>
      <c r="E2" s="4"/>
      <c r="F2" s="4"/>
      <c r="G2" s="4"/>
      <c r="H2" s="4"/>
      <c r="I2" s="4"/>
      <c r="J2" s="4" t="s">
        <v>3</v>
      </c>
      <c r="K2" s="4"/>
      <c r="L2" s="4"/>
      <c r="M2" s="3"/>
      <c r="N2" s="3"/>
      <c r="O2" s="3"/>
      <c r="P2" s="3"/>
      <c r="Q2" s="4" t="s">
        <v>4</v>
      </c>
      <c r="R2" s="3"/>
      <c r="S2" s="3"/>
      <c r="T2" s="3"/>
      <c r="U2" s="3"/>
      <c r="V2" s="3"/>
      <c r="W2" s="3"/>
      <c r="X2" s="4" t="s">
        <v>5</v>
      </c>
      <c r="Y2" s="3"/>
      <c r="Z2" s="3"/>
      <c r="AA2" s="3"/>
    </row>
    <row r="3" ht="14.25" customHeight="1">
      <c r="A3" s="4"/>
      <c r="B3" s="6"/>
      <c r="C3" s="6"/>
      <c r="D3" s="4"/>
      <c r="E3" s="4"/>
      <c r="F3" s="4"/>
      <c r="G3" s="4"/>
      <c r="H3" s="4"/>
      <c r="I3" s="4"/>
      <c r="J3" s="4" t="s">
        <v>6</v>
      </c>
      <c r="K3" s="4"/>
      <c r="L3" s="4"/>
      <c r="M3" s="3"/>
      <c r="N3" s="3"/>
      <c r="O3" s="3"/>
      <c r="P3" s="3"/>
      <c r="Q3" s="4" t="s">
        <v>7</v>
      </c>
      <c r="R3" s="3"/>
      <c r="S3" s="3"/>
      <c r="T3" s="3"/>
      <c r="U3" s="3"/>
      <c r="V3" s="3"/>
      <c r="W3" s="3"/>
      <c r="X3" s="3"/>
      <c r="Y3" s="3"/>
      <c r="Z3" s="3"/>
      <c r="AA3" s="3"/>
    </row>
    <row r="4" ht="14.25" customHeight="1">
      <c r="A4" s="9" t="s">
        <v>9</v>
      </c>
      <c r="B4" s="10" t="s">
        <v>11</v>
      </c>
      <c r="C4" s="10" t="s">
        <v>12</v>
      </c>
      <c r="D4" s="9" t="s">
        <v>13</v>
      </c>
      <c r="E4" s="4"/>
      <c r="F4" s="9" t="s">
        <v>9</v>
      </c>
      <c r="G4" s="9" t="s">
        <v>14</v>
      </c>
      <c r="H4" s="4"/>
      <c r="I4" s="4"/>
      <c r="J4" s="4" t="s">
        <v>15</v>
      </c>
      <c r="K4" s="4"/>
      <c r="L4" s="4"/>
      <c r="M4" s="3"/>
      <c r="N4" s="3"/>
      <c r="O4" s="3"/>
      <c r="P4" s="3"/>
      <c r="Q4" s="4" t="s">
        <v>16</v>
      </c>
      <c r="R4" s="3"/>
      <c r="S4" s="3"/>
      <c r="T4" s="3"/>
      <c r="U4" s="3"/>
      <c r="V4" s="3"/>
      <c r="W4" s="3"/>
      <c r="X4" s="3"/>
      <c r="Y4" s="3"/>
      <c r="Z4" s="3"/>
      <c r="AA4" s="3"/>
    </row>
    <row r="5" ht="14.25" customHeight="1">
      <c r="A5" s="11" t="s">
        <v>17</v>
      </c>
      <c r="B5" s="12">
        <v>0.0</v>
      </c>
      <c r="C5" s="12">
        <v>5400000.0</v>
      </c>
      <c r="D5" s="13">
        <v>0.0</v>
      </c>
      <c r="E5" s="4"/>
      <c r="F5" s="11" t="s">
        <v>17</v>
      </c>
      <c r="G5" s="11" t="s">
        <v>18</v>
      </c>
      <c r="H5" s="4"/>
      <c r="I5" s="4"/>
      <c r="J5" s="4"/>
      <c r="K5" s="4"/>
      <c r="L5" s="3"/>
      <c r="M5" s="3"/>
      <c r="N5" s="3"/>
      <c r="O5" s="3"/>
      <c r="P5" s="3"/>
      <c r="Q5" s="4" t="s">
        <v>19</v>
      </c>
      <c r="R5" s="3"/>
      <c r="S5" s="3"/>
      <c r="T5" s="3"/>
      <c r="U5" s="3"/>
      <c r="V5" s="3"/>
      <c r="W5" s="3"/>
      <c r="X5" s="3"/>
      <c r="Y5" s="3"/>
      <c r="Z5" s="3"/>
      <c r="AA5" s="3"/>
    </row>
    <row r="6" ht="14.25" customHeight="1">
      <c r="A6" s="11" t="s">
        <v>17</v>
      </c>
      <c r="B6" s="15">
        <v>5400001.0</v>
      </c>
      <c r="C6" s="15">
        <v>5650000.0</v>
      </c>
      <c r="D6" s="17">
        <v>0.0025</v>
      </c>
      <c r="E6" s="4"/>
      <c r="F6" s="11" t="s">
        <v>17</v>
      </c>
      <c r="G6" s="11" t="s">
        <v>22</v>
      </c>
      <c r="H6" s="4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4.25" customHeight="1">
      <c r="A7" s="11" t="s">
        <v>17</v>
      </c>
      <c r="B7" s="15">
        <v>5650001.0</v>
      </c>
      <c r="C7" s="15">
        <v>5950000.0</v>
      </c>
      <c r="D7" s="17">
        <v>0.005</v>
      </c>
      <c r="E7" s="4"/>
      <c r="F7" s="11" t="s">
        <v>17</v>
      </c>
      <c r="G7" s="11" t="s">
        <v>23</v>
      </c>
      <c r="H7" s="4"/>
      <c r="I7" s="4"/>
      <c r="J7" s="4" t="s">
        <v>24</v>
      </c>
      <c r="K7" s="3"/>
      <c r="L7" s="3"/>
      <c r="M7" s="3"/>
      <c r="N7" s="3"/>
      <c r="O7" s="3"/>
      <c r="P7" s="3"/>
      <c r="Q7" s="4" t="s">
        <v>25</v>
      </c>
      <c r="R7" s="3"/>
      <c r="S7" s="3"/>
      <c r="T7" s="3"/>
      <c r="U7" s="3"/>
      <c r="V7" s="3"/>
      <c r="W7" s="3"/>
      <c r="X7" s="4" t="s">
        <v>27</v>
      </c>
      <c r="Y7" s="3"/>
      <c r="Z7" s="3"/>
      <c r="AA7" s="3"/>
    </row>
    <row r="8" ht="14.25" customHeight="1">
      <c r="A8" s="11" t="s">
        <v>17</v>
      </c>
      <c r="B8" s="15">
        <v>5950001.0</v>
      </c>
      <c r="C8" s="15">
        <v>6300000.0</v>
      </c>
      <c r="D8" s="17">
        <v>0.0075</v>
      </c>
      <c r="E8" s="4"/>
      <c r="F8" s="11" t="s">
        <v>28</v>
      </c>
      <c r="G8" s="11" t="s">
        <v>29</v>
      </c>
      <c r="H8" s="4"/>
      <c r="I8" s="4"/>
      <c r="J8" s="4" t="s">
        <v>30</v>
      </c>
      <c r="K8" s="4" t="s">
        <v>13</v>
      </c>
      <c r="L8" s="3" t="s">
        <v>11</v>
      </c>
      <c r="M8" s="3" t="s">
        <v>12</v>
      </c>
      <c r="N8" s="3"/>
      <c r="O8" s="3"/>
      <c r="P8" s="3"/>
      <c r="Q8" s="4" t="s">
        <v>30</v>
      </c>
      <c r="R8" s="4" t="s">
        <v>13</v>
      </c>
      <c r="S8" s="3" t="s">
        <v>11</v>
      </c>
      <c r="T8" s="3" t="s">
        <v>12</v>
      </c>
      <c r="U8" s="3"/>
      <c r="V8" s="3"/>
      <c r="W8" s="3"/>
      <c r="X8" s="4" t="s">
        <v>30</v>
      </c>
      <c r="Y8" s="4" t="s">
        <v>13</v>
      </c>
      <c r="Z8" s="3" t="s">
        <v>11</v>
      </c>
      <c r="AA8" s="3" t="s">
        <v>12</v>
      </c>
    </row>
    <row r="9" ht="14.25" customHeight="1">
      <c r="A9" s="11" t="s">
        <v>17</v>
      </c>
      <c r="B9" s="15">
        <v>6300001.0</v>
      </c>
      <c r="C9" s="15">
        <v>6750000.0</v>
      </c>
      <c r="D9" s="13">
        <v>0.01</v>
      </c>
      <c r="E9" s="4"/>
      <c r="F9" s="11" t="s">
        <v>28</v>
      </c>
      <c r="G9" s="11" t="s">
        <v>32</v>
      </c>
      <c r="H9" s="4"/>
      <c r="I9" s="4"/>
      <c r="J9" s="4" t="s">
        <v>33</v>
      </c>
      <c r="K9" s="19">
        <v>0.0</v>
      </c>
      <c r="L9" s="3">
        <v>0.0</v>
      </c>
      <c r="M9" s="3">
        <v>5400000.0</v>
      </c>
      <c r="N9" s="3"/>
      <c r="O9" s="3"/>
      <c r="P9" s="3"/>
      <c r="Q9" s="4" t="s">
        <v>34</v>
      </c>
      <c r="R9" s="19">
        <v>0.0</v>
      </c>
      <c r="S9" s="3">
        <v>0.0</v>
      </c>
      <c r="T9" s="3">
        <v>6200000.0</v>
      </c>
      <c r="U9" s="3"/>
      <c r="V9" s="3"/>
      <c r="W9" s="3"/>
      <c r="X9" s="4" t="s">
        <v>35</v>
      </c>
      <c r="Y9" s="19">
        <v>0.0</v>
      </c>
      <c r="Z9" s="3">
        <v>0.0</v>
      </c>
      <c r="AA9" s="3">
        <v>6600000.0</v>
      </c>
    </row>
    <row r="10" ht="14.25" customHeight="1">
      <c r="A10" s="11" t="s">
        <v>17</v>
      </c>
      <c r="B10" s="15">
        <v>6750001.0</v>
      </c>
      <c r="C10" s="15">
        <v>7500000.0</v>
      </c>
      <c r="D10" s="17">
        <v>0.0125</v>
      </c>
      <c r="E10" s="4"/>
      <c r="F10" s="11" t="s">
        <v>28</v>
      </c>
      <c r="G10" s="11" t="s">
        <v>36</v>
      </c>
      <c r="H10" s="4"/>
      <c r="I10" s="4"/>
      <c r="J10" s="4" t="s">
        <v>37</v>
      </c>
      <c r="K10" s="4" t="s">
        <v>38</v>
      </c>
      <c r="L10" s="4">
        <v>5400001.0</v>
      </c>
      <c r="M10" s="4">
        <v>5650000.0</v>
      </c>
      <c r="N10" s="3"/>
      <c r="O10" s="3"/>
      <c r="P10" s="3"/>
      <c r="Q10" s="4" t="s">
        <v>39</v>
      </c>
      <c r="R10" s="4" t="s">
        <v>38</v>
      </c>
      <c r="S10" s="4">
        <v>6200001.0</v>
      </c>
      <c r="T10" s="4">
        <v>6500000.0</v>
      </c>
      <c r="U10" s="3"/>
      <c r="V10" s="3"/>
      <c r="W10" s="3"/>
      <c r="X10" s="4" t="s">
        <v>40</v>
      </c>
      <c r="Y10" s="4" t="s">
        <v>38</v>
      </c>
      <c r="Z10" s="4">
        <v>6600001.0</v>
      </c>
      <c r="AA10" s="4">
        <v>6950000.0</v>
      </c>
    </row>
    <row r="11" ht="14.25" customHeight="1">
      <c r="A11" s="11" t="s">
        <v>17</v>
      </c>
      <c r="B11" s="15">
        <v>7500001.0</v>
      </c>
      <c r="C11" s="15">
        <v>8550000.0</v>
      </c>
      <c r="D11" s="17">
        <v>0.015</v>
      </c>
      <c r="E11" s="4"/>
      <c r="F11" s="11" t="s">
        <v>28</v>
      </c>
      <c r="G11" s="11" t="s">
        <v>41</v>
      </c>
      <c r="H11" s="4"/>
      <c r="I11" s="4"/>
      <c r="J11" s="4" t="s">
        <v>42</v>
      </c>
      <c r="K11" s="4" t="s">
        <v>43</v>
      </c>
      <c r="L11" s="4">
        <v>5650001.0</v>
      </c>
      <c r="M11" s="4">
        <v>5950000.0</v>
      </c>
      <c r="N11" s="3"/>
      <c r="O11" s="3"/>
      <c r="P11" s="3"/>
      <c r="Q11" s="4" t="s">
        <v>45</v>
      </c>
      <c r="R11" s="4" t="s">
        <v>43</v>
      </c>
      <c r="S11" s="4">
        <v>6500001.0</v>
      </c>
      <c r="T11" s="4">
        <v>6850000.0</v>
      </c>
      <c r="U11" s="3"/>
      <c r="V11" s="3"/>
      <c r="W11" s="3"/>
      <c r="X11" s="4" t="s">
        <v>46</v>
      </c>
      <c r="Y11" s="4" t="s">
        <v>43</v>
      </c>
      <c r="Z11" s="4">
        <v>6950001.0</v>
      </c>
      <c r="AA11" s="4">
        <v>7350000.0</v>
      </c>
    </row>
    <row r="12" ht="14.25" customHeight="1">
      <c r="A12" s="11" t="s">
        <v>17</v>
      </c>
      <c r="B12" s="15">
        <v>8550001.0</v>
      </c>
      <c r="C12" s="15">
        <v>9650000.0</v>
      </c>
      <c r="D12" s="17">
        <v>0.0175</v>
      </c>
      <c r="E12" s="4"/>
      <c r="F12" s="11" t="s">
        <v>47</v>
      </c>
      <c r="G12" s="11" t="s">
        <v>49</v>
      </c>
      <c r="H12" s="4"/>
      <c r="I12" s="4"/>
      <c r="J12" s="4" t="s">
        <v>50</v>
      </c>
      <c r="K12" s="4" t="s">
        <v>51</v>
      </c>
      <c r="L12" s="4">
        <v>5950001.0</v>
      </c>
      <c r="M12" s="4">
        <v>6300000.0</v>
      </c>
      <c r="N12" s="3"/>
      <c r="O12" s="3"/>
      <c r="P12" s="3"/>
      <c r="Q12" s="4" t="s">
        <v>52</v>
      </c>
      <c r="R12" s="4" t="s">
        <v>51</v>
      </c>
      <c r="S12" s="4">
        <v>6850001.0</v>
      </c>
      <c r="T12" s="4">
        <v>7300000.0</v>
      </c>
      <c r="U12" s="3"/>
      <c r="V12" s="3"/>
      <c r="W12" s="3"/>
      <c r="X12" s="4" t="s">
        <v>53</v>
      </c>
      <c r="Y12" s="4" t="s">
        <v>51</v>
      </c>
      <c r="Z12" s="4">
        <v>7350001.0</v>
      </c>
      <c r="AA12" s="4">
        <v>7800000.0</v>
      </c>
    </row>
    <row r="13" ht="14.25" customHeight="1">
      <c r="A13" s="11" t="s">
        <v>17</v>
      </c>
      <c r="B13" s="15">
        <v>9650001.0</v>
      </c>
      <c r="C13" s="15">
        <v>1.005E7</v>
      </c>
      <c r="D13" s="13">
        <v>0.02</v>
      </c>
      <c r="E13" s="4"/>
      <c r="F13" s="4"/>
      <c r="G13" s="4"/>
      <c r="H13" s="4"/>
      <c r="I13" s="4"/>
      <c r="J13" s="4" t="s">
        <v>54</v>
      </c>
      <c r="K13" s="19">
        <v>0.01</v>
      </c>
      <c r="L13" s="4">
        <v>6300001.0</v>
      </c>
      <c r="M13" s="4">
        <v>6750000.0</v>
      </c>
      <c r="N13" s="3"/>
      <c r="O13" s="3"/>
      <c r="P13" s="3"/>
      <c r="Q13" s="4" t="s">
        <v>55</v>
      </c>
      <c r="R13" s="19">
        <v>0.01</v>
      </c>
      <c r="S13" s="4">
        <v>7300001.0</v>
      </c>
      <c r="T13" s="4">
        <v>9200000.0</v>
      </c>
      <c r="U13" s="3"/>
      <c r="V13" s="3"/>
      <c r="W13" s="3"/>
      <c r="X13" s="4" t="s">
        <v>56</v>
      </c>
      <c r="Y13" s="19">
        <v>0.01</v>
      </c>
      <c r="Z13" s="4">
        <v>7800001.0</v>
      </c>
      <c r="AA13" s="4">
        <v>8850000.0</v>
      </c>
    </row>
    <row r="14" ht="14.25" customHeight="1">
      <c r="A14" s="11" t="s">
        <v>17</v>
      </c>
      <c r="B14" s="15">
        <v>1.0050001E7</v>
      </c>
      <c r="C14" s="15">
        <v>1.035E7</v>
      </c>
      <c r="D14" s="17">
        <v>0.0225</v>
      </c>
      <c r="E14" s="4"/>
      <c r="F14" s="4"/>
      <c r="G14" s="4"/>
      <c r="H14" s="4"/>
      <c r="I14" s="4"/>
      <c r="J14" s="4" t="s">
        <v>58</v>
      </c>
      <c r="K14" s="4" t="s">
        <v>59</v>
      </c>
      <c r="L14" s="4">
        <v>6750001.0</v>
      </c>
      <c r="M14" s="4">
        <v>7500000.0</v>
      </c>
      <c r="N14" s="3"/>
      <c r="O14" s="3"/>
      <c r="P14" s="3"/>
      <c r="Q14" s="4" t="s">
        <v>60</v>
      </c>
      <c r="R14" s="4" t="s">
        <v>61</v>
      </c>
      <c r="S14" s="4">
        <v>9200001.0</v>
      </c>
      <c r="T14" s="4">
        <v>1.075E7</v>
      </c>
      <c r="U14" s="3"/>
      <c r="V14" s="3"/>
      <c r="W14" s="3"/>
      <c r="X14" s="4" t="s">
        <v>62</v>
      </c>
      <c r="Y14" s="4" t="s">
        <v>59</v>
      </c>
      <c r="Z14" s="4">
        <v>8850001.0</v>
      </c>
      <c r="AA14" s="4">
        <v>9800000.0</v>
      </c>
    </row>
    <row r="15" ht="14.25" customHeight="1">
      <c r="A15" s="11" t="s">
        <v>17</v>
      </c>
      <c r="B15" s="15">
        <v>1.0350001E7</v>
      </c>
      <c r="C15" s="15">
        <v>1.07E7</v>
      </c>
      <c r="D15" s="17">
        <v>0.025</v>
      </c>
      <c r="E15" s="4"/>
      <c r="F15" s="4"/>
      <c r="G15" s="4"/>
      <c r="H15" s="4"/>
      <c r="I15" s="4"/>
      <c r="J15" s="4" t="s">
        <v>63</v>
      </c>
      <c r="K15" s="4" t="s">
        <v>61</v>
      </c>
      <c r="L15" s="4">
        <v>7500001.0</v>
      </c>
      <c r="M15" s="4">
        <v>8550000.0</v>
      </c>
      <c r="N15" s="3"/>
      <c r="O15" s="3"/>
      <c r="P15" s="3"/>
      <c r="Q15" s="4" t="s">
        <v>64</v>
      </c>
      <c r="R15" s="19">
        <v>0.02</v>
      </c>
      <c r="S15" s="4">
        <v>1.0750001E7</v>
      </c>
      <c r="T15" s="4">
        <v>1.125E7</v>
      </c>
      <c r="U15" s="3"/>
      <c r="V15" s="3"/>
      <c r="W15" s="3"/>
      <c r="X15" s="4" t="s">
        <v>65</v>
      </c>
      <c r="Y15" s="4" t="s">
        <v>61</v>
      </c>
      <c r="Z15" s="4">
        <v>9800001.0</v>
      </c>
      <c r="AA15" s="4">
        <v>1.095E7</v>
      </c>
    </row>
    <row r="16" ht="14.25" customHeight="1">
      <c r="A16" s="11" t="s">
        <v>17</v>
      </c>
      <c r="B16" s="15">
        <v>1.0700001E7</v>
      </c>
      <c r="C16" s="15">
        <v>1.105E7</v>
      </c>
      <c r="D16" s="13">
        <v>0.03</v>
      </c>
      <c r="E16" s="4"/>
      <c r="F16" s="4"/>
      <c r="G16" s="4"/>
      <c r="H16" s="4"/>
      <c r="I16" s="4"/>
      <c r="J16" s="4" t="s">
        <v>68</v>
      </c>
      <c r="K16" s="4" t="s">
        <v>70</v>
      </c>
      <c r="L16" s="4">
        <v>8550001.0</v>
      </c>
      <c r="M16" s="4">
        <v>9650000.0</v>
      </c>
      <c r="N16" s="3"/>
      <c r="O16" s="3"/>
      <c r="P16" s="3"/>
      <c r="Q16" s="4" t="s">
        <v>73</v>
      </c>
      <c r="R16" s="4" t="s">
        <v>74</v>
      </c>
      <c r="S16" s="4">
        <v>1.1250001E7</v>
      </c>
      <c r="T16" s="4">
        <v>1.16E7</v>
      </c>
      <c r="U16" s="3"/>
      <c r="V16" s="3"/>
      <c r="W16" s="3"/>
      <c r="X16" s="4" t="s">
        <v>78</v>
      </c>
      <c r="Y16" s="4" t="s">
        <v>70</v>
      </c>
      <c r="Z16" s="4">
        <v>1.0950001E7</v>
      </c>
      <c r="AA16" s="4">
        <v>1.12E7</v>
      </c>
    </row>
    <row r="17" ht="14.25" customHeight="1">
      <c r="A17" s="11" t="s">
        <v>17</v>
      </c>
      <c r="B17" s="15">
        <v>1.1050001E7</v>
      </c>
      <c r="C17" s="15">
        <v>1.16E7</v>
      </c>
      <c r="D17" s="17">
        <v>0.035</v>
      </c>
      <c r="E17" s="4"/>
      <c r="F17" s="4"/>
      <c r="G17" s="4"/>
      <c r="H17" s="4"/>
      <c r="I17" s="4"/>
      <c r="J17" s="4" t="s">
        <v>84</v>
      </c>
      <c r="K17" s="19">
        <v>0.02</v>
      </c>
      <c r="L17" s="4">
        <v>9650001.0</v>
      </c>
      <c r="M17" s="4">
        <v>1.005E7</v>
      </c>
      <c r="N17" s="3"/>
      <c r="O17" s="3"/>
      <c r="P17" s="3"/>
      <c r="Q17" s="4" t="s">
        <v>89</v>
      </c>
      <c r="R17" s="19">
        <v>0.03</v>
      </c>
      <c r="S17" s="4">
        <v>1.1600001E7</v>
      </c>
      <c r="T17" s="4">
        <v>1.26E7</v>
      </c>
      <c r="U17" s="3"/>
      <c r="V17" s="3"/>
      <c r="W17" s="3"/>
      <c r="X17" s="4" t="s">
        <v>93</v>
      </c>
      <c r="Y17" s="19">
        <v>0.02</v>
      </c>
      <c r="Z17" s="4">
        <v>1.1200001E7</v>
      </c>
      <c r="AA17" s="4">
        <v>1.205E7</v>
      </c>
    </row>
    <row r="18" ht="14.25" customHeight="1">
      <c r="A18" s="11" t="s">
        <v>17</v>
      </c>
      <c r="B18" s="15">
        <v>1.1600001E7</v>
      </c>
      <c r="C18" s="15">
        <v>1.25E7</v>
      </c>
      <c r="D18" s="22">
        <v>0.04</v>
      </c>
      <c r="E18" s="4"/>
      <c r="F18" s="4"/>
      <c r="G18" s="4"/>
      <c r="H18" s="4"/>
      <c r="I18" s="4"/>
      <c r="J18" s="4" t="s">
        <v>101</v>
      </c>
      <c r="K18" s="4" t="s">
        <v>102</v>
      </c>
      <c r="L18" s="4">
        <v>1.0050001E7</v>
      </c>
      <c r="M18" s="4">
        <v>1.035E7</v>
      </c>
      <c r="N18" s="3"/>
      <c r="O18" s="3"/>
      <c r="P18" s="3"/>
      <c r="Q18" s="4" t="s">
        <v>103</v>
      </c>
      <c r="R18" s="19">
        <v>0.04</v>
      </c>
      <c r="S18" s="4">
        <v>1.2600001E7</v>
      </c>
      <c r="T18" s="4">
        <v>1.36E7</v>
      </c>
      <c r="U18" s="3"/>
      <c r="V18" s="3"/>
      <c r="W18" s="3"/>
      <c r="X18" s="4" t="s">
        <v>105</v>
      </c>
      <c r="Y18" s="19">
        <v>0.03</v>
      </c>
      <c r="Z18" s="4">
        <v>1.2050001E7</v>
      </c>
      <c r="AA18" s="4">
        <v>1.295E7</v>
      </c>
    </row>
    <row r="19" ht="14.25" customHeight="1">
      <c r="A19" s="11" t="s">
        <v>17</v>
      </c>
      <c r="B19" s="15">
        <v>1.2500001E7</v>
      </c>
      <c r="C19" s="15">
        <v>1.375E7</v>
      </c>
      <c r="D19" s="22">
        <v>0.05</v>
      </c>
      <c r="E19" s="4"/>
      <c r="F19" s="4"/>
      <c r="G19" s="4"/>
      <c r="H19" s="4"/>
      <c r="I19" s="4"/>
      <c r="J19" s="4" t="s">
        <v>108</v>
      </c>
      <c r="K19" s="4" t="s">
        <v>74</v>
      </c>
      <c r="L19" s="4">
        <v>1.0350001E7</v>
      </c>
      <c r="M19" s="4">
        <v>1.07E7</v>
      </c>
      <c r="N19" s="3"/>
      <c r="O19" s="3"/>
      <c r="P19" s="3"/>
      <c r="Q19" s="4" t="s">
        <v>111</v>
      </c>
      <c r="R19" s="19">
        <v>0.05</v>
      </c>
      <c r="S19" s="4">
        <v>1.3600001E7</v>
      </c>
      <c r="T19" s="4">
        <v>1.495E7</v>
      </c>
      <c r="U19" s="3"/>
      <c r="V19" s="3"/>
      <c r="W19" s="3"/>
      <c r="X19" s="4" t="s">
        <v>113</v>
      </c>
      <c r="Y19" s="19">
        <v>0.04</v>
      </c>
      <c r="Z19" s="4">
        <v>1.2950001E7</v>
      </c>
      <c r="AA19" s="4">
        <v>1.415E7</v>
      </c>
    </row>
    <row r="20" ht="14.25" customHeight="1">
      <c r="A20" s="11" t="s">
        <v>17</v>
      </c>
      <c r="B20" s="15">
        <v>1.3750001E7</v>
      </c>
      <c r="C20" s="15">
        <v>1.51E7</v>
      </c>
      <c r="D20" s="22">
        <v>0.06</v>
      </c>
      <c r="E20" s="4"/>
      <c r="F20" s="4"/>
      <c r="G20" s="4"/>
      <c r="H20" s="4"/>
      <c r="I20" s="4"/>
      <c r="J20" s="4" t="s">
        <v>115</v>
      </c>
      <c r="K20" s="19">
        <v>0.03</v>
      </c>
      <c r="L20" s="4">
        <v>1.0700001E7</v>
      </c>
      <c r="M20" s="4">
        <v>1.105E7</v>
      </c>
      <c r="N20" s="3"/>
      <c r="O20" s="3"/>
      <c r="P20" s="3"/>
      <c r="Q20" s="4" t="s">
        <v>116</v>
      </c>
      <c r="R20" s="19">
        <v>0.06</v>
      </c>
      <c r="S20" s="4">
        <v>1.4950001E7</v>
      </c>
      <c r="T20" s="4">
        <v>1.64E7</v>
      </c>
      <c r="U20" s="3"/>
      <c r="V20" s="3"/>
      <c r="W20" s="3"/>
      <c r="X20" s="4" t="s">
        <v>117</v>
      </c>
      <c r="Y20" s="19">
        <v>0.05</v>
      </c>
      <c r="Z20" s="4">
        <v>1.4150001E7</v>
      </c>
      <c r="AA20" s="4">
        <v>1.555E7</v>
      </c>
    </row>
    <row r="21" ht="14.25" customHeight="1">
      <c r="A21" s="11" t="s">
        <v>17</v>
      </c>
      <c r="B21" s="15">
        <v>1.5100001E7</v>
      </c>
      <c r="C21" s="15">
        <v>1.695E7</v>
      </c>
      <c r="D21" s="22">
        <v>0.07</v>
      </c>
      <c r="E21" s="4"/>
      <c r="F21" s="4"/>
      <c r="G21" s="4"/>
      <c r="H21" s="4"/>
      <c r="I21" s="4"/>
      <c r="J21" s="4" t="s">
        <v>119</v>
      </c>
      <c r="K21" s="4" t="s">
        <v>120</v>
      </c>
      <c r="L21" s="4">
        <v>1.1050001E7</v>
      </c>
      <c r="M21" s="4">
        <v>1.16E7</v>
      </c>
      <c r="N21" s="3"/>
      <c r="O21" s="3"/>
      <c r="P21" s="3"/>
      <c r="Q21" s="4" t="s">
        <v>121</v>
      </c>
      <c r="R21" s="19">
        <v>0.07</v>
      </c>
      <c r="S21" s="4">
        <v>1.6400001E7</v>
      </c>
      <c r="T21" s="4">
        <v>1.845E7</v>
      </c>
      <c r="U21" s="3"/>
      <c r="V21" s="3"/>
      <c r="W21" s="3"/>
      <c r="X21" s="4" t="s">
        <v>122</v>
      </c>
      <c r="Y21" s="19">
        <v>0.06</v>
      </c>
      <c r="Z21" s="4">
        <v>1.5550001E7</v>
      </c>
      <c r="AA21" s="4">
        <v>1.705E7</v>
      </c>
    </row>
    <row r="22" ht="14.25" customHeight="1">
      <c r="A22" s="11" t="s">
        <v>17</v>
      </c>
      <c r="B22" s="15">
        <v>1.6950001E7</v>
      </c>
      <c r="C22" s="15">
        <v>1.975E7</v>
      </c>
      <c r="D22" s="22">
        <v>0.08</v>
      </c>
      <c r="E22" s="4"/>
      <c r="F22" s="4"/>
      <c r="G22" s="4"/>
      <c r="H22" s="4"/>
      <c r="I22" s="4"/>
      <c r="J22" s="4" t="s">
        <v>123</v>
      </c>
      <c r="K22" s="19">
        <v>0.04</v>
      </c>
      <c r="L22" s="4">
        <v>1.1600001E7</v>
      </c>
      <c r="M22" s="4">
        <v>1.25E7</v>
      </c>
      <c r="N22" s="3"/>
      <c r="O22" s="3"/>
      <c r="P22" s="3"/>
      <c r="Q22" s="4" t="s">
        <v>124</v>
      </c>
      <c r="R22" s="19">
        <v>0.08</v>
      </c>
      <c r="S22" s="4">
        <v>1.8450001E7</v>
      </c>
      <c r="T22" s="4">
        <v>2.185E7</v>
      </c>
      <c r="U22" s="3"/>
      <c r="V22" s="3"/>
      <c r="W22" s="3"/>
      <c r="X22" s="4" t="s">
        <v>125</v>
      </c>
      <c r="Y22" s="19">
        <v>0.07</v>
      </c>
      <c r="Z22" s="4">
        <v>1.7050001E7</v>
      </c>
      <c r="AA22" s="4">
        <v>1.95E7</v>
      </c>
    </row>
    <row r="23" ht="14.25" customHeight="1">
      <c r="A23" s="11" t="s">
        <v>17</v>
      </c>
      <c r="B23" s="15">
        <v>1.9750001E7</v>
      </c>
      <c r="C23" s="15">
        <v>2.415E7</v>
      </c>
      <c r="D23" s="22">
        <v>0.09</v>
      </c>
      <c r="E23" s="4"/>
      <c r="F23" s="4"/>
      <c r="G23" s="4"/>
      <c r="H23" s="4"/>
      <c r="I23" s="4"/>
      <c r="J23" s="4" t="s">
        <v>126</v>
      </c>
      <c r="K23" s="19">
        <v>0.05</v>
      </c>
      <c r="L23" s="4">
        <v>1.2500001E7</v>
      </c>
      <c r="M23" s="4">
        <v>1.375E7</v>
      </c>
      <c r="N23" s="3"/>
      <c r="O23" s="3"/>
      <c r="P23" s="3"/>
      <c r="Q23" s="4" t="s">
        <v>128</v>
      </c>
      <c r="R23" s="19">
        <v>0.09</v>
      </c>
      <c r="S23" s="4">
        <v>2.1850001E7</v>
      </c>
      <c r="T23" s="4">
        <v>2.6E7</v>
      </c>
      <c r="U23" s="3"/>
      <c r="V23" s="3"/>
      <c r="W23" s="3"/>
      <c r="X23" s="4" t="s">
        <v>129</v>
      </c>
      <c r="Y23" s="19">
        <v>0.08</v>
      </c>
      <c r="Z23" s="4">
        <v>1.9500001E7</v>
      </c>
      <c r="AA23" s="4">
        <v>2.27E7</v>
      </c>
    </row>
    <row r="24" ht="14.25" customHeight="1">
      <c r="A24" s="11" t="s">
        <v>17</v>
      </c>
      <c r="B24" s="15">
        <v>2.4150001E7</v>
      </c>
      <c r="C24" s="15">
        <v>2.645E7</v>
      </c>
      <c r="D24" s="22">
        <v>0.1</v>
      </c>
      <c r="E24" s="4"/>
      <c r="F24" s="4"/>
      <c r="G24" s="4"/>
      <c r="H24" s="4"/>
      <c r="I24" s="4"/>
      <c r="J24" s="4" t="s">
        <v>130</v>
      </c>
      <c r="K24" s="19">
        <v>0.06</v>
      </c>
      <c r="L24" s="4">
        <v>1.3750001E7</v>
      </c>
      <c r="M24" s="4">
        <v>1.51E7</v>
      </c>
      <c r="N24" s="3"/>
      <c r="O24" s="3"/>
      <c r="P24" s="3"/>
      <c r="Q24" s="4" t="s">
        <v>131</v>
      </c>
      <c r="R24" s="19">
        <v>0.1</v>
      </c>
      <c r="S24" s="4">
        <v>2.6000001E7</v>
      </c>
      <c r="T24" s="4">
        <v>2.77E7</v>
      </c>
      <c r="U24" s="3"/>
      <c r="V24" s="3"/>
      <c r="W24" s="3"/>
      <c r="X24" s="4" t="s">
        <v>132</v>
      </c>
      <c r="Y24" s="19">
        <v>0.09</v>
      </c>
      <c r="Z24" s="4">
        <v>2.2700001E7</v>
      </c>
      <c r="AA24" s="4">
        <v>2.66E7</v>
      </c>
    </row>
    <row r="25" ht="14.25" customHeight="1">
      <c r="A25" s="11" t="s">
        <v>17</v>
      </c>
      <c r="B25" s="15">
        <v>2.6450001E7</v>
      </c>
      <c r="C25" s="15">
        <v>2.8E7</v>
      </c>
      <c r="D25" s="22">
        <v>0.11</v>
      </c>
      <c r="E25" s="4"/>
      <c r="F25" s="4"/>
      <c r="G25" s="4"/>
      <c r="H25" s="4"/>
      <c r="I25" s="4"/>
      <c r="J25" s="4" t="s">
        <v>133</v>
      </c>
      <c r="K25" s="19">
        <v>0.07</v>
      </c>
      <c r="L25" s="4">
        <v>1.5100001E7</v>
      </c>
      <c r="M25" s="4">
        <v>1.695E7</v>
      </c>
      <c r="N25" s="3"/>
      <c r="O25" s="3"/>
      <c r="P25" s="3"/>
      <c r="Q25" s="4" t="s">
        <v>134</v>
      </c>
      <c r="R25" s="19">
        <v>0.11</v>
      </c>
      <c r="S25" s="4">
        <v>2.7700001E7</v>
      </c>
      <c r="T25" s="4">
        <v>2.935E7</v>
      </c>
      <c r="U25" s="3"/>
      <c r="V25" s="3"/>
      <c r="W25" s="3"/>
      <c r="X25" s="4" t="s">
        <v>135</v>
      </c>
      <c r="Y25" s="19">
        <v>0.1</v>
      </c>
      <c r="Z25" s="4">
        <v>2.6600001E7</v>
      </c>
      <c r="AA25" s="4">
        <v>2.81E7</v>
      </c>
    </row>
    <row r="26" ht="14.25" customHeight="1">
      <c r="A26" s="11" t="s">
        <v>17</v>
      </c>
      <c r="B26" s="15">
        <v>2.8000001E7</v>
      </c>
      <c r="C26" s="15">
        <v>3.005E7</v>
      </c>
      <c r="D26" s="22">
        <v>0.12</v>
      </c>
      <c r="E26" s="4"/>
      <c r="F26" s="4"/>
      <c r="G26" s="4"/>
      <c r="H26" s="4"/>
      <c r="I26" s="4"/>
      <c r="J26" s="4" t="s">
        <v>136</v>
      </c>
      <c r="K26" s="19">
        <v>0.08</v>
      </c>
      <c r="L26" s="4">
        <v>1.6950001E7</v>
      </c>
      <c r="M26" s="4">
        <v>1.975E7</v>
      </c>
      <c r="N26" s="3"/>
      <c r="O26" s="3"/>
      <c r="P26" s="3"/>
      <c r="Q26" s="4" t="s">
        <v>137</v>
      </c>
      <c r="R26" s="19">
        <v>0.12</v>
      </c>
      <c r="S26" s="4">
        <v>2.9350001E7</v>
      </c>
      <c r="T26" s="4">
        <v>3.145E7</v>
      </c>
      <c r="U26" s="3"/>
      <c r="V26" s="3"/>
      <c r="W26" s="3"/>
      <c r="X26" s="4" t="s">
        <v>138</v>
      </c>
      <c r="Y26" s="19">
        <v>0.11</v>
      </c>
      <c r="Z26" s="4">
        <v>2.8100001E7</v>
      </c>
      <c r="AA26" s="4">
        <v>3.01E7</v>
      </c>
    </row>
    <row r="27" ht="14.25" customHeight="1">
      <c r="A27" s="11" t="s">
        <v>17</v>
      </c>
      <c r="B27" s="15">
        <v>3.0050001E7</v>
      </c>
      <c r="C27" s="15">
        <v>3.24E7</v>
      </c>
      <c r="D27" s="22">
        <v>0.13</v>
      </c>
      <c r="E27" s="4"/>
      <c r="F27" s="4"/>
      <c r="G27" s="4"/>
      <c r="H27" s="4"/>
      <c r="I27" s="4"/>
      <c r="J27" s="4" t="s">
        <v>140</v>
      </c>
      <c r="K27" s="19">
        <v>0.09</v>
      </c>
      <c r="L27" s="4">
        <v>1.9750001E7</v>
      </c>
      <c r="M27" s="4">
        <v>2.415E7</v>
      </c>
      <c r="N27" s="3"/>
      <c r="O27" s="3"/>
      <c r="P27" s="3"/>
      <c r="Q27" s="4" t="s">
        <v>141</v>
      </c>
      <c r="R27" s="19">
        <v>0.13</v>
      </c>
      <c r="S27" s="4">
        <v>3.1450001E7</v>
      </c>
      <c r="T27" s="4">
        <v>3.395E7</v>
      </c>
      <c r="U27" s="3"/>
      <c r="V27" s="3"/>
      <c r="W27" s="3"/>
      <c r="X27" s="4" t="s">
        <v>142</v>
      </c>
      <c r="Y27" s="19">
        <v>0.12</v>
      </c>
      <c r="Z27" s="4">
        <v>3.0100001E7</v>
      </c>
      <c r="AA27" s="4">
        <v>3.26E7</v>
      </c>
    </row>
    <row r="28" ht="14.25" customHeight="1">
      <c r="A28" s="11" t="s">
        <v>17</v>
      </c>
      <c r="B28" s="15">
        <v>3.2400001E7</v>
      </c>
      <c r="C28" s="15">
        <v>3.54E7</v>
      </c>
      <c r="D28" s="22">
        <v>0.14</v>
      </c>
      <c r="E28" s="4"/>
      <c r="F28" s="4"/>
      <c r="G28" s="4"/>
      <c r="H28" s="4"/>
      <c r="I28" s="4"/>
      <c r="J28" s="4" t="s">
        <v>143</v>
      </c>
      <c r="K28" s="19">
        <v>0.1</v>
      </c>
      <c r="L28" s="4">
        <v>2.4150001E7</v>
      </c>
      <c r="M28" s="4">
        <v>2.645E7</v>
      </c>
      <c r="N28" s="3"/>
      <c r="O28" s="3"/>
      <c r="P28" s="3"/>
      <c r="Q28" s="4" t="s">
        <v>144</v>
      </c>
      <c r="R28" s="19">
        <v>0.14</v>
      </c>
      <c r="S28" s="4">
        <v>3.3950001E7</v>
      </c>
      <c r="T28" s="4">
        <v>3.71E7</v>
      </c>
      <c r="U28" s="3"/>
      <c r="V28" s="3"/>
      <c r="W28" s="3"/>
      <c r="X28" s="4" t="s">
        <v>145</v>
      </c>
      <c r="Y28" s="19">
        <v>0.13</v>
      </c>
      <c r="Z28" s="4">
        <v>3.2600001E7</v>
      </c>
      <c r="AA28" s="4">
        <v>3.54E7</v>
      </c>
    </row>
    <row r="29" ht="14.25" customHeight="1">
      <c r="A29" s="11" t="s">
        <v>17</v>
      </c>
      <c r="B29" s="15">
        <v>3.5400001E7</v>
      </c>
      <c r="C29" s="15">
        <v>3.91E7</v>
      </c>
      <c r="D29" s="22">
        <v>0.15</v>
      </c>
      <c r="E29" s="4"/>
      <c r="F29" s="4"/>
      <c r="G29" s="4"/>
      <c r="H29" s="4"/>
      <c r="I29" s="4"/>
      <c r="J29" s="4" t="s">
        <v>146</v>
      </c>
      <c r="K29" s="19">
        <v>0.11</v>
      </c>
      <c r="L29" s="4">
        <v>2.6450001E7</v>
      </c>
      <c r="M29" s="4">
        <v>2.8E7</v>
      </c>
      <c r="N29" s="3"/>
      <c r="O29" s="3"/>
      <c r="P29" s="3"/>
      <c r="Q29" s="4" t="s">
        <v>147</v>
      </c>
      <c r="R29" s="19">
        <v>0.15</v>
      </c>
      <c r="S29" s="4">
        <v>3.7100001E7</v>
      </c>
      <c r="T29" s="4">
        <v>4.11E7</v>
      </c>
      <c r="U29" s="3"/>
      <c r="V29" s="3"/>
      <c r="W29" s="3"/>
      <c r="X29" s="4" t="s">
        <v>148</v>
      </c>
      <c r="Y29" s="19">
        <v>0.14</v>
      </c>
      <c r="Z29" s="4">
        <v>3.5400001E7</v>
      </c>
      <c r="AA29" s="4">
        <v>3.89E7</v>
      </c>
    </row>
    <row r="30" ht="14.25" customHeight="1">
      <c r="A30" s="11" t="s">
        <v>17</v>
      </c>
      <c r="B30" s="15">
        <v>3.9100001E7</v>
      </c>
      <c r="C30" s="15">
        <v>4.385E7</v>
      </c>
      <c r="D30" s="22">
        <v>0.16</v>
      </c>
      <c r="E30" s="4"/>
      <c r="F30" s="4"/>
      <c r="G30" s="4"/>
      <c r="H30" s="4"/>
      <c r="I30" s="4"/>
      <c r="J30" s="4" t="s">
        <v>149</v>
      </c>
      <c r="K30" s="19">
        <v>0.12</v>
      </c>
      <c r="L30" s="4">
        <v>2.8000001E7</v>
      </c>
      <c r="M30" s="4">
        <v>3.005E7</v>
      </c>
      <c r="N30" s="3"/>
      <c r="O30" s="3"/>
      <c r="P30" s="3"/>
      <c r="Q30" s="4" t="s">
        <v>151</v>
      </c>
      <c r="R30" s="19">
        <v>0.16</v>
      </c>
      <c r="S30" s="4">
        <v>4.1100001E7</v>
      </c>
      <c r="T30" s="4">
        <v>4.58E7</v>
      </c>
      <c r="U30" s="3"/>
      <c r="V30" s="3"/>
      <c r="W30" s="3"/>
      <c r="X30" s="4" t="s">
        <v>152</v>
      </c>
      <c r="Y30" s="19">
        <v>0.15</v>
      </c>
      <c r="Z30" s="4">
        <v>3.8900001E7</v>
      </c>
      <c r="AA30" s="4">
        <v>4.3E7</v>
      </c>
    </row>
    <row r="31" ht="14.25" customHeight="1">
      <c r="A31" s="11" t="s">
        <v>17</v>
      </c>
      <c r="B31" s="15">
        <v>4.3850001E7</v>
      </c>
      <c r="C31" s="15">
        <v>4.78E7</v>
      </c>
      <c r="D31" s="22">
        <v>0.17</v>
      </c>
      <c r="E31" s="4"/>
      <c r="F31" s="4"/>
      <c r="G31" s="4"/>
      <c r="H31" s="4"/>
      <c r="I31" s="4"/>
      <c r="J31" s="4" t="s">
        <v>153</v>
      </c>
      <c r="K31" s="19">
        <v>0.13</v>
      </c>
      <c r="L31" s="4">
        <v>3.0050001E7</v>
      </c>
      <c r="M31" s="4">
        <v>3.24E7</v>
      </c>
      <c r="N31" s="3"/>
      <c r="O31" s="3"/>
      <c r="P31" s="3"/>
      <c r="Q31" s="4" t="s">
        <v>154</v>
      </c>
      <c r="R31" s="19">
        <v>0.17</v>
      </c>
      <c r="S31" s="4">
        <v>4.5800001E7</v>
      </c>
      <c r="T31" s="4">
        <v>4.95E7</v>
      </c>
      <c r="U31" s="3"/>
      <c r="V31" s="3"/>
      <c r="W31" s="3"/>
      <c r="X31" s="4" t="s">
        <v>155</v>
      </c>
      <c r="Y31" s="19">
        <v>0.16</v>
      </c>
      <c r="Z31" s="4">
        <v>4.3000001E7</v>
      </c>
      <c r="AA31" s="4">
        <v>4.74E7</v>
      </c>
    </row>
    <row r="32" ht="14.25" customHeight="1">
      <c r="A32" s="11" t="s">
        <v>17</v>
      </c>
      <c r="B32" s="15">
        <v>4.7800001E7</v>
      </c>
      <c r="C32" s="15">
        <v>5.14E7</v>
      </c>
      <c r="D32" s="22">
        <v>0.18</v>
      </c>
      <c r="E32" s="4"/>
      <c r="F32" s="4"/>
      <c r="G32" s="4"/>
      <c r="H32" s="4"/>
      <c r="I32" s="4"/>
      <c r="J32" s="4" t="s">
        <v>156</v>
      </c>
      <c r="K32" s="19">
        <v>0.14</v>
      </c>
      <c r="L32" s="4">
        <v>3.2400001E7</v>
      </c>
      <c r="M32" s="4">
        <v>3.54E7</v>
      </c>
      <c r="N32" s="3"/>
      <c r="O32" s="3"/>
      <c r="P32" s="3"/>
      <c r="Q32" s="4" t="s">
        <v>157</v>
      </c>
      <c r="R32" s="19">
        <v>0.18</v>
      </c>
      <c r="S32" s="4">
        <v>4.9500001E7</v>
      </c>
      <c r="T32" s="4">
        <v>5.38E7</v>
      </c>
      <c r="U32" s="3"/>
      <c r="V32" s="3"/>
      <c r="W32" s="3"/>
      <c r="X32" s="4" t="s">
        <v>158</v>
      </c>
      <c r="Y32" s="19">
        <v>0.17</v>
      </c>
      <c r="Z32" s="4">
        <v>4.7400001E7</v>
      </c>
      <c r="AA32" s="4">
        <v>5.12E7</v>
      </c>
    </row>
    <row r="33" ht="14.25" customHeight="1">
      <c r="A33" s="11" t="s">
        <v>17</v>
      </c>
      <c r="B33" s="15">
        <v>5.1400001E7</v>
      </c>
      <c r="C33" s="15">
        <v>5.63E7</v>
      </c>
      <c r="D33" s="22">
        <v>0.19</v>
      </c>
      <c r="E33" s="4"/>
      <c r="F33" s="4"/>
      <c r="G33" s="4"/>
      <c r="H33" s="4"/>
      <c r="I33" s="4"/>
      <c r="J33" s="4" t="s">
        <v>159</v>
      </c>
      <c r="K33" s="19">
        <v>0.15</v>
      </c>
      <c r="L33" s="4">
        <v>3.5400001E7</v>
      </c>
      <c r="M33" s="4">
        <v>3.91E7</v>
      </c>
      <c r="N33" s="3"/>
      <c r="O33" s="3"/>
      <c r="P33" s="3"/>
      <c r="Q33" s="4" t="s">
        <v>160</v>
      </c>
      <c r="R33" s="19">
        <v>0.19</v>
      </c>
      <c r="S33" s="4">
        <v>5.3800001E7</v>
      </c>
      <c r="T33" s="4">
        <v>5.85E7</v>
      </c>
      <c r="U33" s="3"/>
      <c r="V33" s="3"/>
      <c r="W33" s="3"/>
      <c r="X33" s="4" t="s">
        <v>161</v>
      </c>
      <c r="Y33" s="19">
        <v>0.18</v>
      </c>
      <c r="Z33" s="4">
        <v>5.1200001E7</v>
      </c>
      <c r="AA33" s="4">
        <v>5.58E7</v>
      </c>
    </row>
    <row r="34" ht="14.25" customHeight="1">
      <c r="A34" s="11" t="s">
        <v>17</v>
      </c>
      <c r="B34" s="15">
        <v>5.6300001E7</v>
      </c>
      <c r="C34" s="15">
        <v>6.22E7</v>
      </c>
      <c r="D34" s="22">
        <v>0.2</v>
      </c>
      <c r="E34" s="4"/>
      <c r="F34" s="4"/>
      <c r="G34" s="4"/>
      <c r="H34" s="4"/>
      <c r="I34" s="4"/>
      <c r="J34" s="4" t="s">
        <v>162</v>
      </c>
      <c r="K34" s="19">
        <v>0.16</v>
      </c>
      <c r="L34" s="4">
        <v>3.9100001E7</v>
      </c>
      <c r="M34" s="4">
        <v>4.385E7</v>
      </c>
      <c r="N34" s="3"/>
      <c r="O34" s="3"/>
      <c r="P34" s="3"/>
      <c r="Q34" s="4" t="s">
        <v>163</v>
      </c>
      <c r="R34" s="19">
        <v>0.2</v>
      </c>
      <c r="S34" s="4">
        <v>5.8500001E7</v>
      </c>
      <c r="T34" s="4">
        <v>6.4E7</v>
      </c>
      <c r="U34" s="3"/>
      <c r="V34" s="3"/>
      <c r="W34" s="3"/>
      <c r="X34" s="4" t="s">
        <v>164</v>
      </c>
      <c r="Y34" s="19">
        <v>0.19</v>
      </c>
      <c r="Z34" s="4">
        <v>5.5800001E7</v>
      </c>
      <c r="AA34" s="4">
        <v>6.04E7</v>
      </c>
    </row>
    <row r="35" ht="14.25" customHeight="1">
      <c r="A35" s="11" t="s">
        <v>17</v>
      </c>
      <c r="B35" s="15">
        <v>6.2200001E7</v>
      </c>
      <c r="C35" s="15">
        <v>6.86E7</v>
      </c>
      <c r="D35" s="22">
        <v>0.21</v>
      </c>
      <c r="E35" s="4"/>
      <c r="F35" s="4"/>
      <c r="G35" s="4"/>
      <c r="H35" s="4"/>
      <c r="I35" s="4"/>
      <c r="J35" s="4" t="s">
        <v>165</v>
      </c>
      <c r="K35" s="19">
        <v>0.17</v>
      </c>
      <c r="L35" s="4">
        <v>4.3850001E7</v>
      </c>
      <c r="M35" s="4">
        <v>4.78E7</v>
      </c>
      <c r="N35" s="3"/>
      <c r="O35" s="3"/>
      <c r="P35" s="3"/>
      <c r="Q35" s="4" t="s">
        <v>166</v>
      </c>
      <c r="R35" s="19">
        <v>0.21</v>
      </c>
      <c r="S35" s="4">
        <v>6.4000001E7</v>
      </c>
      <c r="T35" s="4">
        <v>7.1E7</v>
      </c>
      <c r="U35" s="3"/>
      <c r="V35" s="3"/>
      <c r="W35" s="3"/>
      <c r="X35" s="4" t="s">
        <v>167</v>
      </c>
      <c r="Y35" s="19">
        <v>0.2</v>
      </c>
      <c r="Z35" s="4">
        <v>6.0400001E7</v>
      </c>
      <c r="AA35" s="4">
        <v>6.67E7</v>
      </c>
    </row>
    <row r="36" ht="14.25" customHeight="1">
      <c r="A36" s="11" t="s">
        <v>17</v>
      </c>
      <c r="B36" s="15">
        <v>6.8600001E7</v>
      </c>
      <c r="C36" s="15">
        <v>7.75E7</v>
      </c>
      <c r="D36" s="22">
        <v>0.22</v>
      </c>
      <c r="E36" s="4"/>
      <c r="F36" s="4"/>
      <c r="G36" s="4"/>
      <c r="H36" s="4"/>
      <c r="I36" s="4"/>
      <c r="J36" s="4" t="s">
        <v>168</v>
      </c>
      <c r="K36" s="19">
        <v>0.18</v>
      </c>
      <c r="L36" s="4">
        <v>4.7800001E7</v>
      </c>
      <c r="M36" s="4">
        <v>5.14E7</v>
      </c>
      <c r="N36" s="3"/>
      <c r="O36" s="3"/>
      <c r="P36" s="3"/>
      <c r="Q36" s="4" t="s">
        <v>169</v>
      </c>
      <c r="R36" s="19">
        <v>0.22</v>
      </c>
      <c r="S36" s="4">
        <v>7.1000001E7</v>
      </c>
      <c r="T36" s="4">
        <v>8.0E7</v>
      </c>
      <c r="U36" s="3"/>
      <c r="V36" s="3"/>
      <c r="W36" s="3"/>
      <c r="X36" s="4" t="s">
        <v>170</v>
      </c>
      <c r="Y36" s="19">
        <v>0.21</v>
      </c>
      <c r="Z36" s="4">
        <v>6.6700001E7</v>
      </c>
      <c r="AA36" s="4">
        <v>7.45E7</v>
      </c>
    </row>
    <row r="37" ht="14.25" customHeight="1">
      <c r="A37" s="11" t="s">
        <v>17</v>
      </c>
      <c r="B37" s="15">
        <v>7.7500001E7</v>
      </c>
      <c r="C37" s="15">
        <v>8.9E7</v>
      </c>
      <c r="D37" s="22">
        <v>0.23</v>
      </c>
      <c r="E37" s="4"/>
      <c r="F37" s="4"/>
      <c r="G37" s="4"/>
      <c r="H37" s="4"/>
      <c r="I37" s="4"/>
      <c r="J37" s="4" t="s">
        <v>171</v>
      </c>
      <c r="K37" s="19">
        <v>0.19</v>
      </c>
      <c r="L37" s="4">
        <v>5.1400001E7</v>
      </c>
      <c r="M37" s="4">
        <v>5.63E7</v>
      </c>
      <c r="N37" s="3"/>
      <c r="O37" s="3"/>
      <c r="P37" s="3"/>
      <c r="Q37" s="4" t="s">
        <v>172</v>
      </c>
      <c r="R37" s="19">
        <v>0.23</v>
      </c>
      <c r="S37" s="4">
        <v>8.0000001E7</v>
      </c>
      <c r="T37" s="4">
        <v>9.3E7</v>
      </c>
      <c r="U37" s="3"/>
      <c r="V37" s="3"/>
      <c r="W37" s="3"/>
      <c r="X37" s="4" t="s">
        <v>173</v>
      </c>
      <c r="Y37" s="19">
        <v>0.22</v>
      </c>
      <c r="Z37" s="4">
        <v>7.4500001E7</v>
      </c>
      <c r="AA37" s="4">
        <v>8.32E7</v>
      </c>
    </row>
    <row r="38" ht="14.25" customHeight="1">
      <c r="A38" s="11" t="s">
        <v>17</v>
      </c>
      <c r="B38" s="15">
        <v>8.9000001E7</v>
      </c>
      <c r="C38" s="15">
        <v>1.03E8</v>
      </c>
      <c r="D38" s="22">
        <v>0.24</v>
      </c>
      <c r="E38" s="4"/>
      <c r="F38" s="4"/>
      <c r="G38" s="4"/>
      <c r="H38" s="4"/>
      <c r="I38" s="4"/>
      <c r="J38" s="4" t="s">
        <v>174</v>
      </c>
      <c r="K38" s="19">
        <v>0.2</v>
      </c>
      <c r="L38" s="4">
        <v>5.6300001E7</v>
      </c>
      <c r="M38" s="4">
        <v>6.22E7</v>
      </c>
      <c r="N38" s="3"/>
      <c r="O38" s="3"/>
      <c r="P38" s="3"/>
      <c r="Q38" s="4" t="s">
        <v>175</v>
      </c>
      <c r="R38" s="19">
        <v>0.24</v>
      </c>
      <c r="S38" s="4">
        <v>9.3000001E7</v>
      </c>
      <c r="T38" s="4">
        <v>1.09E8</v>
      </c>
      <c r="U38" s="3"/>
      <c r="V38" s="3"/>
      <c r="W38" s="3"/>
      <c r="X38" s="4" t="s">
        <v>176</v>
      </c>
      <c r="Y38" s="19">
        <v>0.23</v>
      </c>
      <c r="Z38" s="4">
        <v>8.3200001E7</v>
      </c>
      <c r="AA38" s="4">
        <v>9.56E7</v>
      </c>
    </row>
    <row r="39" ht="14.25" customHeight="1">
      <c r="A39" s="11" t="s">
        <v>17</v>
      </c>
      <c r="B39" s="15">
        <v>1.03000001E8</v>
      </c>
      <c r="C39" s="15">
        <v>1.25E8</v>
      </c>
      <c r="D39" s="22">
        <v>0.25</v>
      </c>
      <c r="E39" s="4"/>
      <c r="F39" s="4"/>
      <c r="G39" s="4"/>
      <c r="H39" s="4"/>
      <c r="I39" s="4"/>
      <c r="J39" s="4" t="s">
        <v>177</v>
      </c>
      <c r="K39" s="19">
        <v>0.21</v>
      </c>
      <c r="L39" s="4">
        <v>6.2200001E7</v>
      </c>
      <c r="M39" s="4">
        <v>6.86E7</v>
      </c>
      <c r="N39" s="3"/>
      <c r="O39" s="3"/>
      <c r="P39" s="3"/>
      <c r="Q39" s="4" t="s">
        <v>178</v>
      </c>
      <c r="R39" s="19">
        <v>0.25</v>
      </c>
      <c r="S39" s="4">
        <v>1.09000001E8</v>
      </c>
      <c r="T39" s="4">
        <v>1.29E8</v>
      </c>
      <c r="U39" s="3"/>
      <c r="V39" s="3"/>
      <c r="W39" s="3"/>
      <c r="X39" s="4" t="s">
        <v>179</v>
      </c>
      <c r="Y39" s="19">
        <v>0.24</v>
      </c>
      <c r="Z39" s="4">
        <v>9.5600001E7</v>
      </c>
      <c r="AA39" s="4">
        <v>1.1E8</v>
      </c>
    </row>
    <row r="40" ht="14.25" customHeight="1">
      <c r="A40" s="11" t="s">
        <v>17</v>
      </c>
      <c r="B40" s="15">
        <v>1.25000001E8</v>
      </c>
      <c r="C40" s="15">
        <v>1.57E8</v>
      </c>
      <c r="D40" s="22">
        <v>0.26</v>
      </c>
      <c r="E40" s="4"/>
      <c r="F40" s="4"/>
      <c r="G40" s="4"/>
      <c r="H40" s="4"/>
      <c r="I40" s="4"/>
      <c r="J40" s="4" t="s">
        <v>180</v>
      </c>
      <c r="K40" s="19">
        <v>0.22</v>
      </c>
      <c r="L40" s="4">
        <v>6.8600001E7</v>
      </c>
      <c r="M40" s="4">
        <v>7.75E7</v>
      </c>
      <c r="N40" s="3"/>
      <c r="O40" s="3"/>
      <c r="P40" s="3"/>
      <c r="Q40" s="4" t="s">
        <v>181</v>
      </c>
      <c r="R40" s="19">
        <v>0.26</v>
      </c>
      <c r="S40" s="4">
        <v>1.29000001E8</v>
      </c>
      <c r="T40" s="4">
        <v>1.63E8</v>
      </c>
      <c r="U40" s="3"/>
      <c r="V40" s="3"/>
      <c r="W40" s="3"/>
      <c r="X40" s="4" t="s">
        <v>182</v>
      </c>
      <c r="Y40" s="19">
        <v>0.25</v>
      </c>
      <c r="Z40" s="4">
        <v>1.10000001E8</v>
      </c>
      <c r="AA40" s="4">
        <v>1.34E8</v>
      </c>
    </row>
    <row r="41" ht="14.25" customHeight="1">
      <c r="A41" s="11" t="s">
        <v>17</v>
      </c>
      <c r="B41" s="15">
        <v>1.57000001E8</v>
      </c>
      <c r="C41" s="15">
        <v>2.06E8</v>
      </c>
      <c r="D41" s="22">
        <v>0.27</v>
      </c>
      <c r="E41" s="4"/>
      <c r="F41" s="4"/>
      <c r="G41" s="4"/>
      <c r="H41" s="4"/>
      <c r="I41" s="4"/>
      <c r="J41" s="4" t="s">
        <v>183</v>
      </c>
      <c r="K41" s="19">
        <v>0.23</v>
      </c>
      <c r="L41" s="4">
        <v>7.7500001E7</v>
      </c>
      <c r="M41" s="4">
        <v>8.9E7</v>
      </c>
      <c r="N41" s="3"/>
      <c r="O41" s="3"/>
      <c r="P41" s="3"/>
      <c r="Q41" s="4" t="s">
        <v>184</v>
      </c>
      <c r="R41" s="19">
        <v>0.27</v>
      </c>
      <c r="S41" s="4">
        <v>1.63000001E8</v>
      </c>
      <c r="T41" s="4">
        <v>2.11E8</v>
      </c>
      <c r="U41" s="3"/>
      <c r="V41" s="3"/>
      <c r="W41" s="3"/>
      <c r="X41" s="4" t="s">
        <v>185</v>
      </c>
      <c r="Y41" s="19">
        <v>0.26</v>
      </c>
      <c r="Z41" s="4">
        <v>1.34000001E8</v>
      </c>
      <c r="AA41" s="4">
        <v>1.69E8</v>
      </c>
    </row>
    <row r="42" ht="14.25" customHeight="1">
      <c r="A42" s="11" t="s">
        <v>17</v>
      </c>
      <c r="B42" s="15">
        <v>2.06000001E8</v>
      </c>
      <c r="C42" s="15">
        <v>3.37E8</v>
      </c>
      <c r="D42" s="22">
        <v>0.28</v>
      </c>
      <c r="E42" s="4"/>
      <c r="F42" s="4"/>
      <c r="G42" s="4"/>
      <c r="H42" s="4"/>
      <c r="I42" s="4"/>
      <c r="J42" s="4" t="s">
        <v>186</v>
      </c>
      <c r="K42" s="19">
        <v>0.24</v>
      </c>
      <c r="L42" s="4">
        <v>8.9000001E7</v>
      </c>
      <c r="M42" s="4">
        <v>1.03E8</v>
      </c>
      <c r="N42" s="3"/>
      <c r="O42" s="3"/>
      <c r="P42" s="3"/>
      <c r="Q42" s="4" t="s">
        <v>187</v>
      </c>
      <c r="R42" s="19">
        <v>0.28</v>
      </c>
      <c r="S42" s="4">
        <v>2.11000001E8</v>
      </c>
      <c r="T42" s="4">
        <v>3.74E8</v>
      </c>
      <c r="U42" s="3"/>
      <c r="V42" s="3"/>
      <c r="W42" s="3"/>
      <c r="X42" s="4" t="s">
        <v>188</v>
      </c>
      <c r="Y42" s="19">
        <v>0.27</v>
      </c>
      <c r="Z42" s="4">
        <v>1.69000001E8</v>
      </c>
      <c r="AA42" s="4">
        <v>2.21E8</v>
      </c>
    </row>
    <row r="43" ht="14.25" customHeight="1">
      <c r="A43" s="11" t="s">
        <v>17</v>
      </c>
      <c r="B43" s="15">
        <v>3.37000001E8</v>
      </c>
      <c r="C43" s="15">
        <v>4.54E8</v>
      </c>
      <c r="D43" s="22">
        <v>0.29</v>
      </c>
      <c r="E43" s="4"/>
      <c r="F43" s="4"/>
      <c r="G43" s="4"/>
      <c r="H43" s="4"/>
      <c r="I43" s="4"/>
      <c r="J43" s="4" t="s">
        <v>189</v>
      </c>
      <c r="K43" s="19">
        <v>0.25</v>
      </c>
      <c r="L43" s="4">
        <v>1.03000001E8</v>
      </c>
      <c r="M43" s="4">
        <v>1.25E8</v>
      </c>
      <c r="N43" s="3"/>
      <c r="O43" s="3"/>
      <c r="P43" s="3"/>
      <c r="Q43" s="4" t="s">
        <v>190</v>
      </c>
      <c r="R43" s="19">
        <v>0.29</v>
      </c>
      <c r="S43" s="4">
        <v>3.74000001E8</v>
      </c>
      <c r="T43" s="4">
        <v>4.59E8</v>
      </c>
      <c r="U43" s="3"/>
      <c r="V43" s="3"/>
      <c r="W43" s="3"/>
      <c r="X43" s="4" t="s">
        <v>191</v>
      </c>
      <c r="Y43" s="19">
        <v>0.28</v>
      </c>
      <c r="Z43" s="4">
        <v>2.21000001E8</v>
      </c>
      <c r="AA43" s="4">
        <v>3.9E8</v>
      </c>
    </row>
    <row r="44" ht="14.25" customHeight="1">
      <c r="A44" s="11" t="s">
        <v>17</v>
      </c>
      <c r="B44" s="15">
        <v>4.54000001E8</v>
      </c>
      <c r="C44" s="15">
        <v>5.5E8</v>
      </c>
      <c r="D44" s="22">
        <v>0.3</v>
      </c>
      <c r="E44" s="4"/>
      <c r="F44" s="4"/>
      <c r="G44" s="4"/>
      <c r="H44" s="4"/>
      <c r="I44" s="4"/>
      <c r="J44" s="4" t="s">
        <v>192</v>
      </c>
      <c r="K44" s="19">
        <v>0.26</v>
      </c>
      <c r="L44" s="4">
        <v>1.25000001E8</v>
      </c>
      <c r="M44" s="4">
        <v>1.57E8</v>
      </c>
      <c r="N44" s="3"/>
      <c r="O44" s="3"/>
      <c r="P44" s="3"/>
      <c r="Q44" s="4" t="s">
        <v>193</v>
      </c>
      <c r="R44" s="19">
        <v>0.3</v>
      </c>
      <c r="S44" s="4">
        <v>4.59000001E8</v>
      </c>
      <c r="T44" s="4">
        <v>5.55E8</v>
      </c>
      <c r="U44" s="3"/>
      <c r="V44" s="3"/>
      <c r="W44" s="3"/>
      <c r="X44" s="4" t="s">
        <v>194</v>
      </c>
      <c r="Y44" s="19">
        <v>0.29</v>
      </c>
      <c r="Z44" s="4">
        <v>3.90000001E8</v>
      </c>
      <c r="AA44" s="4">
        <v>4.63E8</v>
      </c>
    </row>
    <row r="45" ht="14.25" customHeight="1">
      <c r="A45" s="11" t="s">
        <v>17</v>
      </c>
      <c r="B45" s="15">
        <v>5.50000001E8</v>
      </c>
      <c r="C45" s="15">
        <v>6.95E8</v>
      </c>
      <c r="D45" s="22">
        <v>0.31</v>
      </c>
      <c r="E45" s="4"/>
      <c r="F45" s="4"/>
      <c r="G45" s="4"/>
      <c r="H45" s="4"/>
      <c r="I45" s="4"/>
      <c r="J45" s="4" t="s">
        <v>195</v>
      </c>
      <c r="K45" s="19">
        <v>0.27</v>
      </c>
      <c r="L45" s="4">
        <v>1.57000001E8</v>
      </c>
      <c r="M45" s="4">
        <v>2.06E8</v>
      </c>
      <c r="N45" s="3"/>
      <c r="O45" s="3"/>
      <c r="P45" s="3"/>
      <c r="Q45" s="4" t="s">
        <v>196</v>
      </c>
      <c r="R45" s="19">
        <v>0.31</v>
      </c>
      <c r="S45" s="4">
        <v>5.55000001E8</v>
      </c>
      <c r="T45" s="4">
        <v>7.04E8</v>
      </c>
      <c r="U45" s="3"/>
      <c r="V45" s="3"/>
      <c r="W45" s="3"/>
      <c r="X45" s="4" t="s">
        <v>197</v>
      </c>
      <c r="Y45" s="19">
        <v>0.3</v>
      </c>
      <c r="Z45" s="4">
        <v>4.63000001E8</v>
      </c>
      <c r="AA45" s="4">
        <v>5.61E8</v>
      </c>
    </row>
    <row r="46" ht="14.25" customHeight="1">
      <c r="A46" s="11" t="s">
        <v>17</v>
      </c>
      <c r="B46" s="15">
        <v>6.95000001E8</v>
      </c>
      <c r="C46" s="15">
        <v>9.1E8</v>
      </c>
      <c r="D46" s="22">
        <v>0.32</v>
      </c>
      <c r="E46" s="4"/>
      <c r="F46" s="4"/>
      <c r="G46" s="4"/>
      <c r="H46" s="4"/>
      <c r="I46" s="4"/>
      <c r="J46" s="4" t="s">
        <v>198</v>
      </c>
      <c r="K46" s="19">
        <v>0.28</v>
      </c>
      <c r="L46" s="4">
        <v>2.06000001E8</v>
      </c>
      <c r="M46" s="4">
        <v>3.37E8</v>
      </c>
      <c r="N46" s="3"/>
      <c r="O46" s="3"/>
      <c r="P46" s="3"/>
      <c r="Q46" s="4" t="s">
        <v>199</v>
      </c>
      <c r="R46" s="19">
        <v>0.32</v>
      </c>
      <c r="S46" s="4">
        <v>7.04000001E8</v>
      </c>
      <c r="T46" s="4">
        <v>9.57E8</v>
      </c>
      <c r="U46" s="3"/>
      <c r="V46" s="3"/>
      <c r="W46" s="3"/>
      <c r="X46" s="4" t="s">
        <v>200</v>
      </c>
      <c r="Y46" s="19">
        <v>0.31</v>
      </c>
      <c r="Z46" s="4">
        <v>5.61000001E8</v>
      </c>
      <c r="AA46" s="4">
        <v>7.09E8</v>
      </c>
    </row>
    <row r="47" ht="14.25" customHeight="1">
      <c r="A47" s="11" t="s">
        <v>17</v>
      </c>
      <c r="B47" s="15">
        <v>9.10000001E8</v>
      </c>
      <c r="C47" s="15">
        <v>1.4E9</v>
      </c>
      <c r="D47" s="22">
        <v>0.33</v>
      </c>
      <c r="E47" s="4"/>
      <c r="F47" s="4"/>
      <c r="G47" s="4"/>
      <c r="H47" s="4"/>
      <c r="I47" s="4"/>
      <c r="J47" s="4" t="s">
        <v>201</v>
      </c>
      <c r="K47" s="19">
        <v>0.29</v>
      </c>
      <c r="L47" s="4">
        <v>3.37000001E8</v>
      </c>
      <c r="M47" s="4">
        <v>4.54E8</v>
      </c>
      <c r="N47" s="3"/>
      <c r="O47" s="3"/>
      <c r="P47" s="3"/>
      <c r="Q47" s="4" t="s">
        <v>202</v>
      </c>
      <c r="R47" s="19">
        <v>0.33</v>
      </c>
      <c r="S47" s="4">
        <v>9.57000001E8</v>
      </c>
      <c r="T47" s="4">
        <v>1.405E9</v>
      </c>
      <c r="U47" s="3"/>
      <c r="V47" s="3"/>
      <c r="W47" s="3"/>
      <c r="X47" s="4" t="s">
        <v>203</v>
      </c>
      <c r="Y47" s="19">
        <v>0.32</v>
      </c>
      <c r="Z47" s="4">
        <v>7.09000001E8</v>
      </c>
      <c r="AA47" s="4">
        <v>9.65E8</v>
      </c>
    </row>
    <row r="48" ht="14.25" customHeight="1">
      <c r="A48" s="11" t="s">
        <v>17</v>
      </c>
      <c r="B48" s="15">
        <v>1.400000001E9</v>
      </c>
      <c r="C48" s="15"/>
      <c r="D48" s="22">
        <v>0.34</v>
      </c>
      <c r="E48" s="4"/>
      <c r="F48" s="4"/>
      <c r="G48" s="4"/>
      <c r="H48" s="4"/>
      <c r="I48" s="4"/>
      <c r="J48" s="4" t="s">
        <v>204</v>
      </c>
      <c r="K48" s="19">
        <v>0.3</v>
      </c>
      <c r="L48" s="4">
        <v>4.54000001E8</v>
      </c>
      <c r="M48" s="4">
        <v>5.5E8</v>
      </c>
      <c r="N48" s="3"/>
      <c r="O48" s="3"/>
      <c r="P48" s="3"/>
      <c r="Q48" s="4" t="s">
        <v>205</v>
      </c>
      <c r="R48" s="19">
        <v>0.34</v>
      </c>
      <c r="S48" s="4">
        <v>1.405000001E9</v>
      </c>
      <c r="T48" s="4"/>
      <c r="U48" s="3"/>
      <c r="V48" s="3"/>
      <c r="W48" s="3"/>
      <c r="X48" s="4" t="s">
        <v>206</v>
      </c>
      <c r="Y48" s="19">
        <v>0.33</v>
      </c>
      <c r="Z48" s="4">
        <v>9.65000001E8</v>
      </c>
      <c r="AA48" s="4">
        <v>1.419E9</v>
      </c>
    </row>
    <row r="49" ht="14.25" customHeight="1">
      <c r="A49" s="11"/>
      <c r="B49" s="15"/>
      <c r="C49" s="15"/>
      <c r="D49" s="11"/>
      <c r="E49" s="4"/>
      <c r="F49" s="4"/>
      <c r="G49" s="4"/>
      <c r="H49" s="4"/>
      <c r="I49" s="4"/>
      <c r="J49" s="4" t="s">
        <v>207</v>
      </c>
      <c r="K49" s="19">
        <v>0.31</v>
      </c>
      <c r="L49" s="4">
        <v>5.50000001E8</v>
      </c>
      <c r="M49" s="4">
        <v>6.95E8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4" t="s">
        <v>209</v>
      </c>
      <c r="Y49" s="19">
        <v>0.34</v>
      </c>
      <c r="Z49" s="4">
        <v>1.419E9</v>
      </c>
      <c r="AA49" s="4"/>
    </row>
    <row r="50" ht="14.25" customHeight="1">
      <c r="A50" s="11" t="s">
        <v>28</v>
      </c>
      <c r="B50" s="12">
        <v>0.0</v>
      </c>
      <c r="C50" s="12">
        <v>6200000.0</v>
      </c>
      <c r="D50" s="22">
        <v>0.0</v>
      </c>
      <c r="E50" s="4"/>
      <c r="F50" s="4"/>
      <c r="G50" s="4"/>
      <c r="H50" s="4"/>
      <c r="I50" s="4"/>
      <c r="J50" s="4" t="s">
        <v>210</v>
      </c>
      <c r="K50" s="19">
        <v>0.32</v>
      </c>
      <c r="L50" s="4">
        <v>6.95000001E8</v>
      </c>
      <c r="M50" s="4">
        <v>9.1E8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1" t="s">
        <v>28</v>
      </c>
      <c r="B51" s="15">
        <v>6200001.0</v>
      </c>
      <c r="C51" s="15">
        <v>6500000.0</v>
      </c>
      <c r="D51" s="17">
        <v>0.0025</v>
      </c>
      <c r="E51" s="4"/>
      <c r="F51" s="4"/>
      <c r="G51" s="4"/>
      <c r="H51" s="4"/>
      <c r="I51" s="4"/>
      <c r="J51" s="4" t="s">
        <v>211</v>
      </c>
      <c r="K51" s="19">
        <v>0.33</v>
      </c>
      <c r="L51" s="4">
        <v>9.10000001E8</v>
      </c>
      <c r="M51" s="4">
        <v>1.4E9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1" t="s">
        <v>28</v>
      </c>
      <c r="B52" s="15">
        <v>6500001.0</v>
      </c>
      <c r="C52" s="15">
        <v>6850000.0</v>
      </c>
      <c r="D52" s="17">
        <v>0.005</v>
      </c>
      <c r="E52" s="4"/>
      <c r="F52" s="4"/>
      <c r="G52" s="4"/>
      <c r="H52" s="4"/>
      <c r="I52" s="4"/>
      <c r="J52" s="4" t="s">
        <v>212</v>
      </c>
      <c r="K52" s="19">
        <v>0.34</v>
      </c>
      <c r="L52" s="4">
        <v>1.400000001E9</v>
      </c>
      <c r="M52" s="4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1" t="s">
        <v>28</v>
      </c>
      <c r="B53" s="15">
        <v>6850001.0</v>
      </c>
      <c r="C53" s="15">
        <v>7300000.0</v>
      </c>
      <c r="D53" s="17">
        <v>0.0075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1" t="s">
        <v>28</v>
      </c>
      <c r="B54" s="15">
        <v>7300001.0</v>
      </c>
      <c r="C54" s="15">
        <v>9200000.0</v>
      </c>
      <c r="D54" s="13">
        <v>0.01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1" t="s">
        <v>28</v>
      </c>
      <c r="B55" s="15">
        <v>9200001.0</v>
      </c>
      <c r="C55" s="15">
        <v>1.075E7</v>
      </c>
      <c r="D55" s="17">
        <v>0.015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1" t="s">
        <v>28</v>
      </c>
      <c r="B56" s="15">
        <v>1.0750001E7</v>
      </c>
      <c r="C56" s="15">
        <v>1.125E7</v>
      </c>
      <c r="D56" s="13">
        <v>0.02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1" t="s">
        <v>28</v>
      </c>
      <c r="B57" s="15">
        <v>1.1250001E7</v>
      </c>
      <c r="C57" s="15">
        <v>1.16E7</v>
      </c>
      <c r="D57" s="17">
        <v>0.025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1" t="s">
        <v>28</v>
      </c>
      <c r="B58" s="15">
        <v>1.1600001E7</v>
      </c>
      <c r="C58" s="15">
        <v>1.26E7</v>
      </c>
      <c r="D58" s="13">
        <v>0.03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1" t="s">
        <v>28</v>
      </c>
      <c r="B59" s="15">
        <v>1.2600001E7</v>
      </c>
      <c r="C59" s="15">
        <v>1.36E7</v>
      </c>
      <c r="D59" s="13">
        <v>0.04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1" t="s">
        <v>28</v>
      </c>
      <c r="B60" s="15">
        <v>1.3600001E7</v>
      </c>
      <c r="C60" s="15">
        <v>1.495E7</v>
      </c>
      <c r="D60" s="13">
        <v>0.05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1" t="s">
        <v>28</v>
      </c>
      <c r="B61" s="15">
        <v>1.4950001E7</v>
      </c>
      <c r="C61" s="15">
        <v>1.64E7</v>
      </c>
      <c r="D61" s="13">
        <v>0.06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1" t="s">
        <v>28</v>
      </c>
      <c r="B62" s="15">
        <v>1.6400001E7</v>
      </c>
      <c r="C62" s="15">
        <v>1.845E7</v>
      </c>
      <c r="D62" s="22">
        <v>0.07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1" t="s">
        <v>28</v>
      </c>
      <c r="B63" s="15">
        <v>1.8450001E7</v>
      </c>
      <c r="C63" s="15">
        <v>2.185E7</v>
      </c>
      <c r="D63" s="22">
        <v>0.08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1" t="s">
        <v>28</v>
      </c>
      <c r="B64" s="15">
        <v>2.1850001E7</v>
      </c>
      <c r="C64" s="15">
        <v>2.6E7</v>
      </c>
      <c r="D64" s="22">
        <v>0.09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1" t="s">
        <v>28</v>
      </c>
      <c r="B65" s="15">
        <v>2.6000001E7</v>
      </c>
      <c r="C65" s="15">
        <v>2.77E7</v>
      </c>
      <c r="D65" s="22">
        <v>0.1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1" t="s">
        <v>28</v>
      </c>
      <c r="B66" s="15">
        <v>2.7700001E7</v>
      </c>
      <c r="C66" s="15">
        <v>2.935E7</v>
      </c>
      <c r="D66" s="22">
        <v>0.11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1" t="s">
        <v>28</v>
      </c>
      <c r="B67" s="15">
        <v>2.9350001E7</v>
      </c>
      <c r="C67" s="15">
        <v>3.145E7</v>
      </c>
      <c r="D67" s="22">
        <v>0.12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1" t="s">
        <v>28</v>
      </c>
      <c r="B68" s="15">
        <v>3.1450001E7</v>
      </c>
      <c r="C68" s="15">
        <v>3.395E7</v>
      </c>
      <c r="D68" s="22">
        <v>0.13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1" t="s">
        <v>28</v>
      </c>
      <c r="B69" s="15">
        <v>3.3950001E7</v>
      </c>
      <c r="C69" s="15">
        <v>3.71E7</v>
      </c>
      <c r="D69" s="22">
        <v>0.14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1" t="s">
        <v>28</v>
      </c>
      <c r="B70" s="15">
        <v>3.7100001E7</v>
      </c>
      <c r="C70" s="15">
        <v>4.11E7</v>
      </c>
      <c r="D70" s="22">
        <v>0.15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1" t="s">
        <v>28</v>
      </c>
      <c r="B71" s="15">
        <v>4.1100001E7</v>
      </c>
      <c r="C71" s="15">
        <v>4.58E7</v>
      </c>
      <c r="D71" s="22">
        <v>0.16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1" t="s">
        <v>28</v>
      </c>
      <c r="B72" s="15">
        <v>4.5800001E7</v>
      </c>
      <c r="C72" s="15">
        <v>4.95E7</v>
      </c>
      <c r="D72" s="22">
        <v>0.17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1" t="s">
        <v>28</v>
      </c>
      <c r="B73" s="15">
        <v>4.9500001E7</v>
      </c>
      <c r="C73" s="15">
        <v>5.38E7</v>
      </c>
      <c r="D73" s="22">
        <v>0.18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1" t="s">
        <v>28</v>
      </c>
      <c r="B74" s="15">
        <v>5.3800001E7</v>
      </c>
      <c r="C74" s="15">
        <v>5.85E7</v>
      </c>
      <c r="D74" s="22">
        <v>0.19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1" t="s">
        <v>28</v>
      </c>
      <c r="B75" s="15">
        <v>5.8500001E7</v>
      </c>
      <c r="C75" s="15">
        <v>6.4E7</v>
      </c>
      <c r="D75" s="22">
        <v>0.2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1" t="s">
        <v>28</v>
      </c>
      <c r="B76" s="15">
        <v>6.4000001E7</v>
      </c>
      <c r="C76" s="15">
        <v>7.1E7</v>
      </c>
      <c r="D76" s="22">
        <v>0.21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1" t="s">
        <v>28</v>
      </c>
      <c r="B77" s="15">
        <v>7.1000001E7</v>
      </c>
      <c r="C77" s="15">
        <v>8.0E7</v>
      </c>
      <c r="D77" s="22">
        <v>0.22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1" t="s">
        <v>28</v>
      </c>
      <c r="B78" s="15">
        <v>8.0000001E7</v>
      </c>
      <c r="C78" s="15">
        <v>9.3E7</v>
      </c>
      <c r="D78" s="22">
        <v>0.23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1" t="s">
        <v>28</v>
      </c>
      <c r="B79" s="15">
        <v>9.3000001E7</v>
      </c>
      <c r="C79" s="15">
        <v>1.09E8</v>
      </c>
      <c r="D79" s="22">
        <v>0.24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1" t="s">
        <v>28</v>
      </c>
      <c r="B80" s="15">
        <v>1.09000001E8</v>
      </c>
      <c r="C80" s="15">
        <v>1.29E8</v>
      </c>
      <c r="D80" s="22">
        <v>0.25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1" t="s">
        <v>28</v>
      </c>
      <c r="B81" s="15">
        <v>1.29000001E8</v>
      </c>
      <c r="C81" s="15">
        <v>1.63E8</v>
      </c>
      <c r="D81" s="22">
        <v>0.26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1" t="s">
        <v>28</v>
      </c>
      <c r="B82" s="15">
        <v>1.63000001E8</v>
      </c>
      <c r="C82" s="15">
        <v>2.11E8</v>
      </c>
      <c r="D82" s="22">
        <v>0.27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1" t="s">
        <v>28</v>
      </c>
      <c r="B83" s="15">
        <v>2.11000001E8</v>
      </c>
      <c r="C83" s="15">
        <v>3.74E8</v>
      </c>
      <c r="D83" s="22">
        <v>0.28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1" t="s">
        <v>28</v>
      </c>
      <c r="B84" s="15">
        <v>3.74000001E8</v>
      </c>
      <c r="C84" s="15">
        <v>4.59E8</v>
      </c>
      <c r="D84" s="22">
        <v>0.29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1" t="s">
        <v>28</v>
      </c>
      <c r="B85" s="15">
        <v>4.59000001E8</v>
      </c>
      <c r="C85" s="15">
        <v>5.55E8</v>
      </c>
      <c r="D85" s="22">
        <v>0.3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1" t="s">
        <v>28</v>
      </c>
      <c r="B86" s="15">
        <v>5.55000001E8</v>
      </c>
      <c r="C86" s="15">
        <v>7.04E8</v>
      </c>
      <c r="D86" s="22">
        <v>0.31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1" t="s">
        <v>28</v>
      </c>
      <c r="B87" s="15">
        <v>7.04000001E8</v>
      </c>
      <c r="C87" s="15">
        <v>9.57E8</v>
      </c>
      <c r="D87" s="22">
        <v>0.32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1" t="s">
        <v>28</v>
      </c>
      <c r="B88" s="15">
        <v>9.57000001E8</v>
      </c>
      <c r="C88" s="15">
        <v>1.405E9</v>
      </c>
      <c r="D88" s="22">
        <v>0.33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1" t="s">
        <v>28</v>
      </c>
      <c r="B89" s="15">
        <v>1.405000001E9</v>
      </c>
      <c r="C89" s="15"/>
      <c r="D89" s="22">
        <v>0.34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40"/>
      <c r="B90" s="12"/>
      <c r="C90" s="12"/>
      <c r="D90" s="4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40" t="s">
        <v>47</v>
      </c>
      <c r="B91" s="12">
        <v>0.0</v>
      </c>
      <c r="C91" s="12">
        <v>6600000.0</v>
      </c>
      <c r="D91" s="22">
        <v>0.0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40" t="s">
        <v>47</v>
      </c>
      <c r="B92" s="15">
        <v>6600001.0</v>
      </c>
      <c r="C92" s="15">
        <v>6950000.0</v>
      </c>
      <c r="D92" s="41">
        <v>0.0025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40" t="s">
        <v>47</v>
      </c>
      <c r="B93" s="15">
        <v>6950001.0</v>
      </c>
      <c r="C93" s="15">
        <v>7350000.0</v>
      </c>
      <c r="D93" s="41">
        <v>0.005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40" t="s">
        <v>47</v>
      </c>
      <c r="B94" s="15">
        <v>7350001.0</v>
      </c>
      <c r="C94" s="15">
        <v>7800000.0</v>
      </c>
      <c r="D94" s="41">
        <v>0.0075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40" t="s">
        <v>47</v>
      </c>
      <c r="B95" s="15">
        <v>7800001.0</v>
      </c>
      <c r="C95" s="15">
        <v>8850000.0</v>
      </c>
      <c r="D95" s="22">
        <v>0.01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40" t="s">
        <v>47</v>
      </c>
      <c r="B96" s="15">
        <v>8850001.0</v>
      </c>
      <c r="C96" s="15">
        <v>9800000.0</v>
      </c>
      <c r="D96" s="41">
        <v>0.0125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40" t="s">
        <v>47</v>
      </c>
      <c r="B97" s="15">
        <v>9800001.0</v>
      </c>
      <c r="C97" s="15">
        <v>1.095E7</v>
      </c>
      <c r="D97" s="41">
        <v>0.015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40" t="s">
        <v>47</v>
      </c>
      <c r="B98" s="15">
        <v>1.0950001E7</v>
      </c>
      <c r="C98" s="15">
        <v>1.12E7</v>
      </c>
      <c r="D98" s="41">
        <v>0.0175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40" t="s">
        <v>47</v>
      </c>
      <c r="B99" s="15">
        <v>1.1200001E7</v>
      </c>
      <c r="C99" s="15">
        <v>1.205E7</v>
      </c>
      <c r="D99" s="22">
        <v>0.02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40" t="s">
        <v>47</v>
      </c>
      <c r="B100" s="15">
        <v>1.2050001E7</v>
      </c>
      <c r="C100" s="15">
        <v>1.295E7</v>
      </c>
      <c r="D100" s="22">
        <v>0.03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40" t="s">
        <v>47</v>
      </c>
      <c r="B101" s="15">
        <v>1.2950001E7</v>
      </c>
      <c r="C101" s="15">
        <v>1.415E7</v>
      </c>
      <c r="D101" s="22">
        <v>0.04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40" t="s">
        <v>47</v>
      </c>
      <c r="B102" s="15">
        <v>1.4150001E7</v>
      </c>
      <c r="C102" s="15">
        <v>1.555E7</v>
      </c>
      <c r="D102" s="22">
        <v>0.05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40" t="s">
        <v>47</v>
      </c>
      <c r="B103" s="15">
        <v>1.5550001E7</v>
      </c>
      <c r="C103" s="15">
        <v>1.705E7</v>
      </c>
      <c r="D103" s="22">
        <v>0.06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40" t="s">
        <v>47</v>
      </c>
      <c r="B104" s="15">
        <v>1.7050001E7</v>
      </c>
      <c r="C104" s="15">
        <v>1.95E7</v>
      </c>
      <c r="D104" s="22">
        <v>0.07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40" t="s">
        <v>47</v>
      </c>
      <c r="B105" s="15">
        <v>1.9500001E7</v>
      </c>
      <c r="C105" s="15">
        <v>2.27E7</v>
      </c>
      <c r="D105" s="22">
        <v>0.08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40" t="s">
        <v>47</v>
      </c>
      <c r="B106" s="15">
        <v>2.2700001E7</v>
      </c>
      <c r="C106" s="15">
        <v>2.66E7</v>
      </c>
      <c r="D106" s="22">
        <v>0.09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40" t="s">
        <v>47</v>
      </c>
      <c r="B107" s="15">
        <v>2.6600001E7</v>
      </c>
      <c r="C107" s="15">
        <v>2.81E7</v>
      </c>
      <c r="D107" s="22">
        <v>0.1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40" t="s">
        <v>47</v>
      </c>
      <c r="B108" s="15">
        <v>2.8100001E7</v>
      </c>
      <c r="C108" s="15">
        <v>3.01E7</v>
      </c>
      <c r="D108" s="22">
        <v>0.11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40" t="s">
        <v>47</v>
      </c>
      <c r="B109" s="15">
        <v>3.0100001E7</v>
      </c>
      <c r="C109" s="15">
        <v>3.26E7</v>
      </c>
      <c r="D109" s="22">
        <v>0.12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40" t="s">
        <v>47</v>
      </c>
      <c r="B110" s="15">
        <v>3.2600001E7</v>
      </c>
      <c r="C110" s="15">
        <v>3.54E7</v>
      </c>
      <c r="D110" s="22">
        <v>0.13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40" t="s">
        <v>47</v>
      </c>
      <c r="B111" s="15">
        <v>3.5400001E7</v>
      </c>
      <c r="C111" s="15">
        <v>3.89E7</v>
      </c>
      <c r="D111" s="22">
        <v>0.14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40" t="s">
        <v>47</v>
      </c>
      <c r="B112" s="15">
        <v>3.8900001E7</v>
      </c>
      <c r="C112" s="15">
        <v>4.3E7</v>
      </c>
      <c r="D112" s="22">
        <v>0.15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40" t="s">
        <v>47</v>
      </c>
      <c r="B113" s="15">
        <v>4.3000001E7</v>
      </c>
      <c r="C113" s="15">
        <v>4.74E7</v>
      </c>
      <c r="D113" s="22">
        <v>0.16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40" t="s">
        <v>47</v>
      </c>
      <c r="B114" s="15">
        <v>4.7400001E7</v>
      </c>
      <c r="C114" s="15">
        <v>5.12E7</v>
      </c>
      <c r="D114" s="22">
        <v>0.17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40" t="s">
        <v>47</v>
      </c>
      <c r="B115" s="15">
        <v>5.1200001E7</v>
      </c>
      <c r="C115" s="15">
        <v>5.58E7</v>
      </c>
      <c r="D115" s="22">
        <v>0.18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40" t="s">
        <v>47</v>
      </c>
      <c r="B116" s="15">
        <v>5.5800001E7</v>
      </c>
      <c r="C116" s="15">
        <v>6.04E7</v>
      </c>
      <c r="D116" s="22">
        <v>0.19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40" t="s">
        <v>47</v>
      </c>
      <c r="B117" s="15">
        <v>6.0400001E7</v>
      </c>
      <c r="C117" s="15">
        <v>6.67E7</v>
      </c>
      <c r="D117" s="22">
        <v>0.2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40" t="s">
        <v>47</v>
      </c>
      <c r="B118" s="15">
        <v>6.6700001E7</v>
      </c>
      <c r="C118" s="15">
        <v>7.45E7</v>
      </c>
      <c r="D118" s="22">
        <v>0.21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40" t="s">
        <v>47</v>
      </c>
      <c r="B119" s="15">
        <v>7.4500001E7</v>
      </c>
      <c r="C119" s="15">
        <v>8.32E7</v>
      </c>
      <c r="D119" s="22">
        <v>0.22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40" t="s">
        <v>47</v>
      </c>
      <c r="B120" s="15">
        <v>8.3200001E7</v>
      </c>
      <c r="C120" s="15">
        <v>9.56E7</v>
      </c>
      <c r="D120" s="22">
        <v>0.23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40" t="s">
        <v>47</v>
      </c>
      <c r="B121" s="15">
        <v>9.5600001E7</v>
      </c>
      <c r="C121" s="15">
        <v>1.1E8</v>
      </c>
      <c r="D121" s="22">
        <v>0.24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40" t="s">
        <v>47</v>
      </c>
      <c r="B122" s="15">
        <v>1.10000001E8</v>
      </c>
      <c r="C122" s="15">
        <v>1.34E8</v>
      </c>
      <c r="D122" s="22">
        <v>0.25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40" t="s">
        <v>47</v>
      </c>
      <c r="B123" s="15">
        <v>1.34000001E8</v>
      </c>
      <c r="C123" s="15">
        <v>1.69E8</v>
      </c>
      <c r="D123" s="22">
        <v>0.26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40" t="s">
        <v>47</v>
      </c>
      <c r="B124" s="15">
        <v>1.69000001E8</v>
      </c>
      <c r="C124" s="15">
        <v>2.21E8</v>
      </c>
      <c r="D124" s="22">
        <v>0.27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40" t="s">
        <v>47</v>
      </c>
      <c r="B125" s="15">
        <v>2.21000001E8</v>
      </c>
      <c r="C125" s="15">
        <v>3.9E8</v>
      </c>
      <c r="D125" s="22">
        <v>0.28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40" t="s">
        <v>47</v>
      </c>
      <c r="B126" s="15">
        <v>3.90000001E8</v>
      </c>
      <c r="C126" s="15">
        <v>4.63E8</v>
      </c>
      <c r="D126" s="22">
        <v>0.29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40" t="s">
        <v>47</v>
      </c>
      <c r="B127" s="15">
        <v>4.63000001E8</v>
      </c>
      <c r="C127" s="15">
        <v>5.61E8</v>
      </c>
      <c r="D127" s="22">
        <v>0.3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40" t="s">
        <v>47</v>
      </c>
      <c r="B128" s="15">
        <v>5.61000001E8</v>
      </c>
      <c r="C128" s="15">
        <v>7.09E8</v>
      </c>
      <c r="D128" s="22">
        <v>0.31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40" t="s">
        <v>47</v>
      </c>
      <c r="B129" s="15">
        <v>7.09000001E8</v>
      </c>
      <c r="C129" s="15">
        <v>9.65E8</v>
      </c>
      <c r="D129" s="22">
        <v>0.32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40" t="s">
        <v>47</v>
      </c>
      <c r="B130" s="15">
        <v>9.65000001E8</v>
      </c>
      <c r="C130" s="15">
        <v>1.419E9</v>
      </c>
      <c r="D130" s="22">
        <v>0.33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40" t="s">
        <v>47</v>
      </c>
      <c r="B131" s="15">
        <v>1.419E9</v>
      </c>
      <c r="C131" s="15"/>
      <c r="D131" s="22">
        <v>0.34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3"/>
      <c r="B132" s="42"/>
      <c r="C132" s="4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3"/>
      <c r="B133" s="42"/>
      <c r="C133" s="4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3"/>
      <c r="B134" s="42"/>
      <c r="C134" s="4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3"/>
      <c r="B135" s="42"/>
      <c r="C135" s="4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3"/>
      <c r="B136" s="42"/>
      <c r="C136" s="4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3"/>
      <c r="B137" s="42"/>
      <c r="C137" s="4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3"/>
      <c r="B138" s="42"/>
      <c r="C138" s="4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3"/>
      <c r="B139" s="42"/>
      <c r="C139" s="4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3"/>
      <c r="B140" s="42"/>
      <c r="C140" s="4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3"/>
      <c r="B141" s="42"/>
      <c r="C141" s="4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3"/>
      <c r="B142" s="42"/>
      <c r="C142" s="4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3"/>
      <c r="B143" s="42"/>
      <c r="C143" s="4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3"/>
      <c r="B144" s="42"/>
      <c r="C144" s="4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3"/>
      <c r="B145" s="42"/>
      <c r="C145" s="4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3"/>
      <c r="B146" s="42"/>
      <c r="C146" s="4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3"/>
      <c r="B147" s="42"/>
      <c r="C147" s="4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3"/>
      <c r="B148" s="42"/>
      <c r="C148" s="4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3"/>
      <c r="B149" s="42"/>
      <c r="C149" s="4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3"/>
      <c r="B150" s="42"/>
      <c r="C150" s="4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3"/>
      <c r="B151" s="42"/>
      <c r="C151" s="4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3"/>
      <c r="B152" s="42"/>
      <c r="C152" s="4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3"/>
      <c r="B153" s="42"/>
      <c r="C153" s="4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3"/>
      <c r="B154" s="42"/>
      <c r="C154" s="4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3"/>
      <c r="B155" s="42"/>
      <c r="C155" s="4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3"/>
      <c r="B156" s="42"/>
      <c r="C156" s="4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3"/>
      <c r="B157" s="42"/>
      <c r="C157" s="4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3"/>
      <c r="B158" s="42"/>
      <c r="C158" s="4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3"/>
      <c r="B159" s="42"/>
      <c r="C159" s="4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3"/>
      <c r="B160" s="42"/>
      <c r="C160" s="4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3"/>
      <c r="B161" s="42"/>
      <c r="C161" s="4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3"/>
      <c r="B162" s="42"/>
      <c r="C162" s="4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3"/>
      <c r="B163" s="42"/>
      <c r="C163" s="4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3"/>
      <c r="B164" s="42"/>
      <c r="C164" s="4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3"/>
      <c r="B165" s="42"/>
      <c r="C165" s="4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3"/>
      <c r="B166" s="42"/>
      <c r="C166" s="4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3"/>
      <c r="B167" s="42"/>
      <c r="C167" s="4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3"/>
      <c r="B168" s="42"/>
      <c r="C168" s="4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3"/>
      <c r="B169" s="42"/>
      <c r="C169" s="4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3"/>
      <c r="B170" s="42"/>
      <c r="C170" s="4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3"/>
      <c r="B171" s="42"/>
      <c r="C171" s="4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3"/>
      <c r="B172" s="42"/>
      <c r="C172" s="4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3"/>
      <c r="B173" s="42"/>
      <c r="C173" s="4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3"/>
      <c r="B174" s="42"/>
      <c r="C174" s="4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3"/>
      <c r="B175" s="42"/>
      <c r="C175" s="4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3"/>
      <c r="B176" s="42"/>
      <c r="C176" s="4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3"/>
      <c r="B177" s="42"/>
      <c r="C177" s="4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3"/>
      <c r="B178" s="42"/>
      <c r="C178" s="4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3"/>
      <c r="B179" s="42"/>
      <c r="C179" s="4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3"/>
      <c r="B180" s="42"/>
      <c r="C180" s="4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3"/>
      <c r="B181" s="42"/>
      <c r="C181" s="4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3"/>
      <c r="B182" s="42"/>
      <c r="C182" s="4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3"/>
      <c r="B183" s="42"/>
      <c r="C183" s="4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3"/>
      <c r="B184" s="42"/>
      <c r="C184" s="4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3"/>
      <c r="B185" s="42"/>
      <c r="C185" s="4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3"/>
      <c r="B186" s="42"/>
      <c r="C186" s="4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3"/>
      <c r="B187" s="42"/>
      <c r="C187" s="4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3"/>
      <c r="B188" s="42"/>
      <c r="C188" s="4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3"/>
      <c r="B189" s="42"/>
      <c r="C189" s="4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3"/>
      <c r="B190" s="42"/>
      <c r="C190" s="4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3"/>
      <c r="B191" s="42"/>
      <c r="C191" s="4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3"/>
      <c r="B192" s="42"/>
      <c r="C192" s="4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3"/>
      <c r="B193" s="42"/>
      <c r="C193" s="4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3"/>
      <c r="B194" s="42"/>
      <c r="C194" s="4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3"/>
      <c r="B195" s="42"/>
      <c r="C195" s="4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3"/>
      <c r="B196" s="42"/>
      <c r="C196" s="4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3"/>
      <c r="B197" s="42"/>
      <c r="C197" s="4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3"/>
      <c r="B198" s="42"/>
      <c r="C198" s="4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3"/>
      <c r="B199" s="42"/>
      <c r="C199" s="4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3"/>
      <c r="B200" s="42"/>
      <c r="C200" s="4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3"/>
      <c r="B201" s="42"/>
      <c r="C201" s="4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3"/>
      <c r="B202" s="42"/>
      <c r="C202" s="4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3"/>
      <c r="B203" s="42"/>
      <c r="C203" s="4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3"/>
      <c r="B204" s="42"/>
      <c r="C204" s="4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3"/>
      <c r="B205" s="42"/>
      <c r="C205" s="4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3"/>
      <c r="B206" s="42"/>
      <c r="C206" s="4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3"/>
      <c r="B207" s="42"/>
      <c r="C207" s="4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3"/>
      <c r="B208" s="42"/>
      <c r="C208" s="4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3"/>
      <c r="B209" s="42"/>
      <c r="C209" s="4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3"/>
      <c r="B210" s="42"/>
      <c r="C210" s="4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3"/>
      <c r="B211" s="42"/>
      <c r="C211" s="4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3"/>
      <c r="B212" s="42"/>
      <c r="C212" s="4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3"/>
      <c r="B213" s="42"/>
      <c r="C213" s="4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3"/>
      <c r="B214" s="42"/>
      <c r="C214" s="4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3"/>
      <c r="B215" s="42"/>
      <c r="C215" s="4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3"/>
      <c r="B216" s="42"/>
      <c r="C216" s="4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3"/>
      <c r="B217" s="42"/>
      <c r="C217" s="4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3"/>
      <c r="B218" s="42"/>
      <c r="C218" s="4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3"/>
      <c r="B219" s="42"/>
      <c r="C219" s="4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3"/>
      <c r="B220" s="42"/>
      <c r="C220" s="4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3"/>
      <c r="B221" s="42"/>
      <c r="C221" s="4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3"/>
      <c r="B222" s="42"/>
      <c r="C222" s="4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3"/>
      <c r="B223" s="42"/>
      <c r="C223" s="4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3"/>
      <c r="B224" s="42"/>
      <c r="C224" s="4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3"/>
      <c r="B225" s="42"/>
      <c r="C225" s="4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3"/>
      <c r="B226" s="42"/>
      <c r="C226" s="4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3"/>
      <c r="B227" s="42"/>
      <c r="C227" s="4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3"/>
      <c r="B228" s="42"/>
      <c r="C228" s="4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3"/>
      <c r="B229" s="42"/>
      <c r="C229" s="4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3"/>
      <c r="B230" s="42"/>
      <c r="C230" s="4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3"/>
      <c r="B231" s="42"/>
      <c r="C231" s="4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3"/>
      <c r="B232" s="42"/>
      <c r="C232" s="4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3"/>
      <c r="B233" s="42"/>
      <c r="C233" s="4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3"/>
      <c r="B234" s="42"/>
      <c r="C234" s="4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3"/>
      <c r="B235" s="42"/>
      <c r="C235" s="4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3"/>
      <c r="B236" s="42"/>
      <c r="C236" s="4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3"/>
      <c r="B237" s="42"/>
      <c r="C237" s="4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3"/>
      <c r="B238" s="42"/>
      <c r="C238" s="4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3"/>
      <c r="B239" s="42"/>
      <c r="C239" s="4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3"/>
      <c r="B240" s="42"/>
      <c r="C240" s="4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3"/>
      <c r="B241" s="42"/>
      <c r="C241" s="4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3"/>
      <c r="B242" s="42"/>
      <c r="C242" s="4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3"/>
      <c r="B243" s="42"/>
      <c r="C243" s="4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3"/>
      <c r="B244" s="42"/>
      <c r="C244" s="4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3"/>
      <c r="B245" s="42"/>
      <c r="C245" s="4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3"/>
      <c r="B246" s="42"/>
      <c r="C246" s="4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3"/>
      <c r="B247" s="42"/>
      <c r="C247" s="4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3"/>
      <c r="B248" s="42"/>
      <c r="C248" s="4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3"/>
      <c r="B249" s="42"/>
      <c r="C249" s="4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3"/>
      <c r="B250" s="42"/>
      <c r="C250" s="4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3"/>
      <c r="B251" s="42"/>
      <c r="C251" s="4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3"/>
      <c r="B252" s="42"/>
      <c r="C252" s="4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3"/>
      <c r="B253" s="42"/>
      <c r="C253" s="4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3"/>
      <c r="B254" s="42"/>
      <c r="C254" s="4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3"/>
      <c r="B255" s="42"/>
      <c r="C255" s="4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3"/>
      <c r="B256" s="42"/>
      <c r="C256" s="4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3"/>
      <c r="B257" s="42"/>
      <c r="C257" s="4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3"/>
      <c r="B258" s="42"/>
      <c r="C258" s="4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3"/>
      <c r="B259" s="42"/>
      <c r="C259" s="4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3"/>
      <c r="B260" s="42"/>
      <c r="C260" s="4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3"/>
      <c r="B261" s="42"/>
      <c r="C261" s="4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3"/>
      <c r="B262" s="42"/>
      <c r="C262" s="4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3"/>
      <c r="B263" s="42"/>
      <c r="C263" s="4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3"/>
      <c r="B264" s="42"/>
      <c r="C264" s="4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3"/>
      <c r="B265" s="42"/>
      <c r="C265" s="4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3"/>
      <c r="B266" s="42"/>
      <c r="C266" s="4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3"/>
      <c r="B267" s="42"/>
      <c r="C267" s="4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3"/>
      <c r="B268" s="42"/>
      <c r="C268" s="4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3"/>
      <c r="B269" s="42"/>
      <c r="C269" s="4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3"/>
      <c r="B270" s="42"/>
      <c r="C270" s="4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3"/>
      <c r="B271" s="42"/>
      <c r="C271" s="4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3"/>
      <c r="B272" s="42"/>
      <c r="C272" s="4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3"/>
      <c r="B273" s="42"/>
      <c r="C273" s="4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3"/>
      <c r="B274" s="42"/>
      <c r="C274" s="4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3"/>
      <c r="B275" s="42"/>
      <c r="C275" s="4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3"/>
      <c r="B276" s="42"/>
      <c r="C276" s="4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3"/>
      <c r="B277" s="42"/>
      <c r="C277" s="4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3"/>
      <c r="B278" s="42"/>
      <c r="C278" s="4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3"/>
      <c r="B279" s="42"/>
      <c r="C279" s="4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3"/>
      <c r="B280" s="42"/>
      <c r="C280" s="4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3"/>
      <c r="B281" s="42"/>
      <c r="C281" s="4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3"/>
      <c r="B282" s="42"/>
      <c r="C282" s="4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3"/>
      <c r="B283" s="42"/>
      <c r="C283" s="4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3"/>
      <c r="B284" s="42"/>
      <c r="C284" s="4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3"/>
      <c r="B285" s="42"/>
      <c r="C285" s="4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3"/>
      <c r="B286" s="42"/>
      <c r="C286" s="4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3"/>
      <c r="B287" s="42"/>
      <c r="C287" s="4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3"/>
      <c r="B288" s="42"/>
      <c r="C288" s="4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3"/>
      <c r="B289" s="42"/>
      <c r="C289" s="4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3"/>
      <c r="B290" s="42"/>
      <c r="C290" s="4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3"/>
      <c r="B291" s="42"/>
      <c r="C291" s="4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3"/>
      <c r="B292" s="42"/>
      <c r="C292" s="4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3"/>
      <c r="B293" s="42"/>
      <c r="C293" s="4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3"/>
      <c r="B294" s="42"/>
      <c r="C294" s="4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3"/>
      <c r="B295" s="42"/>
      <c r="C295" s="4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3"/>
      <c r="B296" s="42"/>
      <c r="C296" s="4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3"/>
      <c r="B297" s="42"/>
      <c r="C297" s="4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3"/>
      <c r="B298" s="42"/>
      <c r="C298" s="4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3"/>
      <c r="B299" s="42"/>
      <c r="C299" s="4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3"/>
      <c r="B300" s="42"/>
      <c r="C300" s="4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3"/>
      <c r="B301" s="42"/>
      <c r="C301" s="4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3"/>
      <c r="B302" s="42"/>
      <c r="C302" s="4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3"/>
      <c r="B303" s="42"/>
      <c r="C303" s="4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3"/>
      <c r="B304" s="42"/>
      <c r="C304" s="4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3"/>
      <c r="B305" s="42"/>
      <c r="C305" s="4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3"/>
      <c r="B306" s="42"/>
      <c r="C306" s="4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3"/>
      <c r="B307" s="42"/>
      <c r="C307" s="4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3"/>
      <c r="B308" s="42"/>
      <c r="C308" s="4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3"/>
      <c r="B309" s="42"/>
      <c r="C309" s="4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3"/>
      <c r="B310" s="42"/>
      <c r="C310" s="4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3"/>
      <c r="B311" s="42"/>
      <c r="C311" s="4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3"/>
      <c r="B312" s="42"/>
      <c r="C312" s="4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3"/>
      <c r="B313" s="42"/>
      <c r="C313" s="4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3"/>
      <c r="B314" s="42"/>
      <c r="C314" s="4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3"/>
      <c r="B315" s="42"/>
      <c r="C315" s="4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3"/>
      <c r="B316" s="42"/>
      <c r="C316" s="4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3"/>
      <c r="B317" s="42"/>
      <c r="C317" s="4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3"/>
      <c r="B318" s="42"/>
      <c r="C318" s="4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3"/>
      <c r="B319" s="42"/>
      <c r="C319" s="4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3"/>
      <c r="B320" s="42"/>
      <c r="C320" s="4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3"/>
      <c r="B321" s="42"/>
      <c r="C321" s="4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3"/>
      <c r="B322" s="42"/>
      <c r="C322" s="4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3"/>
      <c r="B323" s="42"/>
      <c r="C323" s="4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3"/>
      <c r="B324" s="42"/>
      <c r="C324" s="4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3"/>
      <c r="B325" s="42"/>
      <c r="C325" s="4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3"/>
      <c r="B326" s="42"/>
      <c r="C326" s="4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3"/>
      <c r="B327" s="42"/>
      <c r="C327" s="4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3"/>
      <c r="B328" s="42"/>
      <c r="C328" s="4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3"/>
      <c r="B329" s="42"/>
      <c r="C329" s="4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3"/>
      <c r="B330" s="42"/>
      <c r="C330" s="4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3"/>
      <c r="B331" s="42"/>
      <c r="C331" s="4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3"/>
      <c r="B332" s="42"/>
      <c r="C332" s="4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3"/>
      <c r="B333" s="42"/>
      <c r="C333" s="4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3"/>
      <c r="B334" s="42"/>
      <c r="C334" s="4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3"/>
      <c r="B335" s="42"/>
      <c r="C335" s="4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3"/>
      <c r="B336" s="42"/>
      <c r="C336" s="4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3"/>
      <c r="B337" s="42"/>
      <c r="C337" s="4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3"/>
      <c r="B338" s="42"/>
      <c r="C338" s="4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3"/>
      <c r="B339" s="42"/>
      <c r="C339" s="4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3"/>
      <c r="B340" s="42"/>
      <c r="C340" s="4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3"/>
      <c r="B341" s="42"/>
      <c r="C341" s="4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3"/>
      <c r="B342" s="42"/>
      <c r="C342" s="4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3"/>
      <c r="B343" s="42"/>
      <c r="C343" s="4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3"/>
      <c r="B344" s="42"/>
      <c r="C344" s="4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3"/>
      <c r="B345" s="42"/>
      <c r="C345" s="4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3"/>
      <c r="B346" s="42"/>
      <c r="C346" s="4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3"/>
      <c r="B347" s="42"/>
      <c r="C347" s="4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3"/>
      <c r="B348" s="42"/>
      <c r="C348" s="4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3"/>
      <c r="B349" s="42"/>
      <c r="C349" s="4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3"/>
      <c r="B350" s="42"/>
      <c r="C350" s="4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3"/>
      <c r="B351" s="42"/>
      <c r="C351" s="4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3"/>
      <c r="B352" s="42"/>
      <c r="C352" s="4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3"/>
      <c r="B353" s="42"/>
      <c r="C353" s="4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3"/>
      <c r="B354" s="42"/>
      <c r="C354" s="4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3"/>
      <c r="B355" s="42"/>
      <c r="C355" s="4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3"/>
      <c r="B356" s="42"/>
      <c r="C356" s="4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3"/>
      <c r="B357" s="42"/>
      <c r="C357" s="4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3"/>
      <c r="B358" s="42"/>
      <c r="C358" s="4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3"/>
      <c r="B359" s="42"/>
      <c r="C359" s="4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3"/>
      <c r="B360" s="42"/>
      <c r="C360" s="4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3"/>
      <c r="B361" s="42"/>
      <c r="C361" s="4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3"/>
      <c r="B362" s="42"/>
      <c r="C362" s="4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3"/>
      <c r="B363" s="42"/>
      <c r="C363" s="4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3"/>
      <c r="B364" s="42"/>
      <c r="C364" s="4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3"/>
      <c r="B365" s="42"/>
      <c r="C365" s="4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3"/>
      <c r="B366" s="42"/>
      <c r="C366" s="4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3"/>
      <c r="B367" s="42"/>
      <c r="C367" s="4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3"/>
      <c r="B368" s="42"/>
      <c r="C368" s="4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3"/>
      <c r="B369" s="42"/>
      <c r="C369" s="4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3"/>
      <c r="B370" s="42"/>
      <c r="C370" s="4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3"/>
      <c r="B371" s="42"/>
      <c r="C371" s="4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3"/>
      <c r="B372" s="42"/>
      <c r="C372" s="4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3"/>
      <c r="B373" s="42"/>
      <c r="C373" s="4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3"/>
      <c r="B374" s="42"/>
      <c r="C374" s="4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3"/>
      <c r="B375" s="42"/>
      <c r="C375" s="4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3"/>
      <c r="B376" s="42"/>
      <c r="C376" s="4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3"/>
      <c r="B377" s="42"/>
      <c r="C377" s="4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3"/>
      <c r="B378" s="42"/>
      <c r="C378" s="4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3"/>
      <c r="B379" s="42"/>
      <c r="C379" s="4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3"/>
      <c r="B380" s="42"/>
      <c r="C380" s="4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3"/>
      <c r="B381" s="42"/>
      <c r="C381" s="4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3"/>
      <c r="B382" s="42"/>
      <c r="C382" s="4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3"/>
      <c r="B383" s="42"/>
      <c r="C383" s="4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3"/>
      <c r="B384" s="42"/>
      <c r="C384" s="4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3"/>
      <c r="B385" s="42"/>
      <c r="C385" s="4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3"/>
      <c r="B386" s="42"/>
      <c r="C386" s="4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3"/>
      <c r="B387" s="42"/>
      <c r="C387" s="4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3"/>
      <c r="B388" s="42"/>
      <c r="C388" s="4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3"/>
      <c r="B389" s="42"/>
      <c r="C389" s="4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3"/>
      <c r="B390" s="42"/>
      <c r="C390" s="4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3"/>
      <c r="B391" s="42"/>
      <c r="C391" s="4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3"/>
      <c r="B392" s="42"/>
      <c r="C392" s="4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3"/>
      <c r="B393" s="42"/>
      <c r="C393" s="4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3"/>
      <c r="B394" s="42"/>
      <c r="C394" s="4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3"/>
      <c r="B395" s="42"/>
      <c r="C395" s="4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3"/>
      <c r="B396" s="42"/>
      <c r="C396" s="4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3"/>
      <c r="B397" s="42"/>
      <c r="C397" s="4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3"/>
      <c r="B398" s="42"/>
      <c r="C398" s="4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3"/>
      <c r="B399" s="42"/>
      <c r="C399" s="4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3"/>
      <c r="B400" s="42"/>
      <c r="C400" s="4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3"/>
      <c r="B401" s="42"/>
      <c r="C401" s="4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3"/>
      <c r="B402" s="42"/>
      <c r="C402" s="4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3"/>
      <c r="B403" s="42"/>
      <c r="C403" s="4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3"/>
      <c r="B404" s="42"/>
      <c r="C404" s="4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3"/>
      <c r="B405" s="42"/>
      <c r="C405" s="4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3"/>
      <c r="B406" s="42"/>
      <c r="C406" s="4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3"/>
      <c r="B407" s="42"/>
      <c r="C407" s="4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3"/>
      <c r="B408" s="42"/>
      <c r="C408" s="4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3"/>
      <c r="B409" s="42"/>
      <c r="C409" s="4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3"/>
      <c r="B410" s="42"/>
      <c r="C410" s="4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3"/>
      <c r="B411" s="42"/>
      <c r="C411" s="4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3"/>
      <c r="B412" s="42"/>
      <c r="C412" s="4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3"/>
      <c r="B413" s="42"/>
      <c r="C413" s="4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3"/>
      <c r="B414" s="42"/>
      <c r="C414" s="4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3"/>
      <c r="B415" s="42"/>
      <c r="C415" s="4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3"/>
      <c r="B416" s="42"/>
      <c r="C416" s="4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3"/>
      <c r="B417" s="42"/>
      <c r="C417" s="4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3"/>
      <c r="B418" s="42"/>
      <c r="C418" s="4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3"/>
      <c r="B419" s="42"/>
      <c r="C419" s="4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3"/>
      <c r="B420" s="42"/>
      <c r="C420" s="4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3"/>
      <c r="B421" s="42"/>
      <c r="C421" s="4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3"/>
      <c r="B422" s="42"/>
      <c r="C422" s="4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3"/>
      <c r="B423" s="42"/>
      <c r="C423" s="4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3"/>
      <c r="B424" s="42"/>
      <c r="C424" s="4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3"/>
      <c r="B425" s="42"/>
      <c r="C425" s="4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3"/>
      <c r="B426" s="42"/>
      <c r="C426" s="4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3"/>
      <c r="B427" s="42"/>
      <c r="C427" s="4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3"/>
      <c r="B428" s="42"/>
      <c r="C428" s="4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3"/>
      <c r="B429" s="42"/>
      <c r="C429" s="4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3"/>
      <c r="B430" s="42"/>
      <c r="C430" s="4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3"/>
      <c r="B431" s="42"/>
      <c r="C431" s="4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3"/>
      <c r="B432" s="42"/>
      <c r="C432" s="4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3"/>
      <c r="B433" s="42"/>
      <c r="C433" s="4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3"/>
      <c r="B434" s="42"/>
      <c r="C434" s="4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3"/>
      <c r="B435" s="42"/>
      <c r="C435" s="4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3"/>
      <c r="B436" s="42"/>
      <c r="C436" s="4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3"/>
      <c r="B437" s="42"/>
      <c r="C437" s="4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3"/>
      <c r="B438" s="42"/>
      <c r="C438" s="4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3"/>
      <c r="B439" s="42"/>
      <c r="C439" s="4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3"/>
      <c r="B440" s="42"/>
      <c r="C440" s="4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3"/>
      <c r="B441" s="42"/>
      <c r="C441" s="4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3"/>
      <c r="B442" s="42"/>
      <c r="C442" s="4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3"/>
      <c r="B443" s="42"/>
      <c r="C443" s="4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3"/>
      <c r="B444" s="42"/>
      <c r="C444" s="4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3"/>
      <c r="B445" s="42"/>
      <c r="C445" s="4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3"/>
      <c r="B446" s="42"/>
      <c r="C446" s="4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3"/>
      <c r="B447" s="42"/>
      <c r="C447" s="4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3"/>
      <c r="B448" s="42"/>
      <c r="C448" s="4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3"/>
      <c r="B449" s="42"/>
      <c r="C449" s="4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3"/>
      <c r="B450" s="42"/>
      <c r="C450" s="4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3"/>
      <c r="B451" s="42"/>
      <c r="C451" s="4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3"/>
      <c r="B452" s="42"/>
      <c r="C452" s="4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3"/>
      <c r="B453" s="42"/>
      <c r="C453" s="4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3"/>
      <c r="B454" s="42"/>
      <c r="C454" s="4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3"/>
      <c r="B455" s="42"/>
      <c r="C455" s="4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3"/>
      <c r="B456" s="42"/>
      <c r="C456" s="4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3"/>
      <c r="B457" s="42"/>
      <c r="C457" s="4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3"/>
      <c r="B458" s="42"/>
      <c r="C458" s="4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3"/>
      <c r="B459" s="42"/>
      <c r="C459" s="4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3"/>
      <c r="B460" s="42"/>
      <c r="C460" s="4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3"/>
      <c r="B461" s="42"/>
      <c r="C461" s="4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3"/>
      <c r="B462" s="42"/>
      <c r="C462" s="4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3"/>
      <c r="B463" s="42"/>
      <c r="C463" s="4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3"/>
      <c r="B464" s="42"/>
      <c r="C464" s="4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3"/>
      <c r="B465" s="42"/>
      <c r="C465" s="4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3"/>
      <c r="B466" s="42"/>
      <c r="C466" s="4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3"/>
      <c r="B467" s="42"/>
      <c r="C467" s="4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3"/>
      <c r="B468" s="42"/>
      <c r="C468" s="4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3"/>
      <c r="B469" s="42"/>
      <c r="C469" s="4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3"/>
      <c r="B470" s="42"/>
      <c r="C470" s="4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3"/>
      <c r="B471" s="42"/>
      <c r="C471" s="4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3"/>
      <c r="B472" s="42"/>
      <c r="C472" s="4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3"/>
      <c r="B473" s="42"/>
      <c r="C473" s="4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3"/>
      <c r="B474" s="42"/>
      <c r="C474" s="4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3"/>
      <c r="B475" s="42"/>
      <c r="C475" s="4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3"/>
      <c r="B476" s="42"/>
      <c r="C476" s="4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3"/>
      <c r="B477" s="42"/>
      <c r="C477" s="4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3"/>
      <c r="B478" s="42"/>
      <c r="C478" s="4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3"/>
      <c r="B479" s="42"/>
      <c r="C479" s="4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3"/>
      <c r="B480" s="42"/>
      <c r="C480" s="4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3"/>
      <c r="B481" s="42"/>
      <c r="C481" s="4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3"/>
      <c r="B482" s="42"/>
      <c r="C482" s="4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3"/>
      <c r="B483" s="42"/>
      <c r="C483" s="4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3"/>
      <c r="B484" s="42"/>
      <c r="C484" s="4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3"/>
      <c r="B485" s="42"/>
      <c r="C485" s="4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3"/>
      <c r="B486" s="42"/>
      <c r="C486" s="4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3"/>
      <c r="B487" s="42"/>
      <c r="C487" s="4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3"/>
      <c r="B488" s="42"/>
      <c r="C488" s="4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3"/>
      <c r="B489" s="42"/>
      <c r="C489" s="4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3"/>
      <c r="B490" s="42"/>
      <c r="C490" s="4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3"/>
      <c r="B491" s="42"/>
      <c r="C491" s="4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3"/>
      <c r="B492" s="42"/>
      <c r="C492" s="4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3"/>
      <c r="B493" s="42"/>
      <c r="C493" s="4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3"/>
      <c r="B494" s="42"/>
      <c r="C494" s="4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3"/>
      <c r="B495" s="42"/>
      <c r="C495" s="4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3"/>
      <c r="B496" s="42"/>
      <c r="C496" s="4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3"/>
      <c r="B497" s="42"/>
      <c r="C497" s="4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3"/>
      <c r="B498" s="42"/>
      <c r="C498" s="4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3"/>
      <c r="B499" s="42"/>
      <c r="C499" s="4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3"/>
      <c r="B500" s="42"/>
      <c r="C500" s="4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3"/>
      <c r="B501" s="42"/>
      <c r="C501" s="4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3"/>
      <c r="B502" s="42"/>
      <c r="C502" s="4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3"/>
      <c r="B503" s="42"/>
      <c r="C503" s="4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3"/>
      <c r="B504" s="42"/>
      <c r="C504" s="4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3"/>
      <c r="B505" s="42"/>
      <c r="C505" s="4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3"/>
      <c r="B506" s="42"/>
      <c r="C506" s="4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3"/>
      <c r="B507" s="42"/>
      <c r="C507" s="4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3"/>
      <c r="B508" s="42"/>
      <c r="C508" s="4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3"/>
      <c r="B509" s="42"/>
      <c r="C509" s="4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3"/>
      <c r="B510" s="42"/>
      <c r="C510" s="4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3"/>
      <c r="B511" s="42"/>
      <c r="C511" s="4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3"/>
      <c r="B512" s="42"/>
      <c r="C512" s="4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3"/>
      <c r="B513" s="42"/>
      <c r="C513" s="4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3"/>
      <c r="B514" s="42"/>
      <c r="C514" s="4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3"/>
      <c r="B515" s="42"/>
      <c r="C515" s="4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3"/>
      <c r="B516" s="42"/>
      <c r="C516" s="4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3"/>
      <c r="B517" s="42"/>
      <c r="C517" s="4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3"/>
      <c r="B518" s="42"/>
      <c r="C518" s="4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3"/>
      <c r="B519" s="42"/>
      <c r="C519" s="4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3"/>
      <c r="B520" s="42"/>
      <c r="C520" s="4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3"/>
      <c r="B521" s="42"/>
      <c r="C521" s="4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3"/>
      <c r="B522" s="42"/>
      <c r="C522" s="4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3"/>
      <c r="B523" s="42"/>
      <c r="C523" s="4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3"/>
      <c r="B524" s="42"/>
      <c r="C524" s="4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3"/>
      <c r="B525" s="42"/>
      <c r="C525" s="4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3"/>
      <c r="B526" s="42"/>
      <c r="C526" s="4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3"/>
      <c r="B527" s="42"/>
      <c r="C527" s="4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3"/>
      <c r="B528" s="42"/>
      <c r="C528" s="4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3"/>
      <c r="B529" s="42"/>
      <c r="C529" s="4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3"/>
      <c r="B530" s="42"/>
      <c r="C530" s="4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3"/>
      <c r="B531" s="42"/>
      <c r="C531" s="4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3"/>
      <c r="B532" s="42"/>
      <c r="C532" s="4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3"/>
      <c r="B533" s="42"/>
      <c r="C533" s="4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3"/>
      <c r="B534" s="42"/>
      <c r="C534" s="4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3"/>
      <c r="B535" s="42"/>
      <c r="C535" s="4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3"/>
      <c r="B536" s="42"/>
      <c r="C536" s="4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3"/>
      <c r="B537" s="42"/>
      <c r="C537" s="4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3"/>
      <c r="B538" s="42"/>
      <c r="C538" s="4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3"/>
      <c r="B539" s="42"/>
      <c r="C539" s="4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3"/>
      <c r="B540" s="42"/>
      <c r="C540" s="4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3"/>
      <c r="B541" s="42"/>
      <c r="C541" s="4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3"/>
      <c r="B542" s="42"/>
      <c r="C542" s="4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3"/>
      <c r="B543" s="42"/>
      <c r="C543" s="4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3"/>
      <c r="B544" s="42"/>
      <c r="C544" s="4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3"/>
      <c r="B545" s="42"/>
      <c r="C545" s="4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3"/>
      <c r="B546" s="42"/>
      <c r="C546" s="4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3"/>
      <c r="B547" s="42"/>
      <c r="C547" s="4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3"/>
      <c r="B548" s="42"/>
      <c r="C548" s="4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3"/>
      <c r="B549" s="42"/>
      <c r="C549" s="4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3"/>
      <c r="B550" s="42"/>
      <c r="C550" s="4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3"/>
      <c r="B551" s="42"/>
      <c r="C551" s="4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3"/>
      <c r="B552" s="42"/>
      <c r="C552" s="4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3"/>
      <c r="B553" s="42"/>
      <c r="C553" s="4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3"/>
      <c r="B554" s="42"/>
      <c r="C554" s="4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3"/>
      <c r="B555" s="42"/>
      <c r="C555" s="4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3"/>
      <c r="B556" s="42"/>
      <c r="C556" s="4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3"/>
      <c r="B557" s="42"/>
      <c r="C557" s="4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3"/>
      <c r="B558" s="42"/>
      <c r="C558" s="4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3"/>
      <c r="B559" s="42"/>
      <c r="C559" s="4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3"/>
      <c r="B560" s="42"/>
      <c r="C560" s="4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3"/>
      <c r="B561" s="42"/>
      <c r="C561" s="4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3"/>
      <c r="B562" s="42"/>
      <c r="C562" s="4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3"/>
      <c r="B563" s="42"/>
      <c r="C563" s="4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3"/>
      <c r="B564" s="42"/>
      <c r="C564" s="4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3"/>
      <c r="B565" s="42"/>
      <c r="C565" s="4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3"/>
      <c r="B566" s="42"/>
      <c r="C566" s="4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3"/>
      <c r="B567" s="42"/>
      <c r="C567" s="4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3"/>
      <c r="B568" s="42"/>
      <c r="C568" s="4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3"/>
      <c r="B569" s="42"/>
      <c r="C569" s="4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3"/>
      <c r="B570" s="42"/>
      <c r="C570" s="4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3"/>
      <c r="B571" s="42"/>
      <c r="C571" s="4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3"/>
      <c r="B572" s="42"/>
      <c r="C572" s="4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3"/>
      <c r="B573" s="42"/>
      <c r="C573" s="4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3"/>
      <c r="B574" s="42"/>
      <c r="C574" s="4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3"/>
      <c r="B575" s="42"/>
      <c r="C575" s="4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3"/>
      <c r="B576" s="42"/>
      <c r="C576" s="4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3"/>
      <c r="B577" s="42"/>
      <c r="C577" s="4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3"/>
      <c r="B578" s="42"/>
      <c r="C578" s="4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3"/>
      <c r="B579" s="42"/>
      <c r="C579" s="4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3"/>
      <c r="B580" s="42"/>
      <c r="C580" s="4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3"/>
      <c r="B581" s="42"/>
      <c r="C581" s="4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3"/>
      <c r="B582" s="42"/>
      <c r="C582" s="4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3"/>
      <c r="B583" s="42"/>
      <c r="C583" s="4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3"/>
      <c r="B584" s="42"/>
      <c r="C584" s="4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3"/>
      <c r="B585" s="42"/>
      <c r="C585" s="4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3"/>
      <c r="B586" s="42"/>
      <c r="C586" s="4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3"/>
      <c r="B587" s="42"/>
      <c r="C587" s="4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3"/>
      <c r="B588" s="42"/>
      <c r="C588" s="4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3"/>
      <c r="B589" s="42"/>
      <c r="C589" s="4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3"/>
      <c r="B590" s="42"/>
      <c r="C590" s="4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3"/>
      <c r="B591" s="42"/>
      <c r="C591" s="4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3"/>
      <c r="B592" s="42"/>
      <c r="C592" s="4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3"/>
      <c r="B593" s="42"/>
      <c r="C593" s="4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3"/>
      <c r="B594" s="42"/>
      <c r="C594" s="4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3"/>
      <c r="B595" s="42"/>
      <c r="C595" s="4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3"/>
      <c r="B596" s="42"/>
      <c r="C596" s="4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3"/>
      <c r="B597" s="42"/>
      <c r="C597" s="4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3"/>
      <c r="B598" s="42"/>
      <c r="C598" s="4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3"/>
      <c r="B599" s="42"/>
      <c r="C599" s="4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3"/>
      <c r="B600" s="42"/>
      <c r="C600" s="4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3"/>
      <c r="B601" s="42"/>
      <c r="C601" s="4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3"/>
      <c r="B602" s="42"/>
      <c r="C602" s="4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3"/>
      <c r="B603" s="42"/>
      <c r="C603" s="4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3"/>
      <c r="B604" s="42"/>
      <c r="C604" s="4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3"/>
      <c r="B605" s="42"/>
      <c r="C605" s="4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3"/>
      <c r="B606" s="42"/>
      <c r="C606" s="4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3"/>
      <c r="B607" s="42"/>
      <c r="C607" s="4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3"/>
      <c r="B608" s="42"/>
      <c r="C608" s="4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3"/>
      <c r="B609" s="42"/>
      <c r="C609" s="4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3"/>
      <c r="B610" s="42"/>
      <c r="C610" s="4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3"/>
      <c r="B611" s="42"/>
      <c r="C611" s="4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3"/>
      <c r="B612" s="42"/>
      <c r="C612" s="4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3"/>
      <c r="B613" s="42"/>
      <c r="C613" s="4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3"/>
      <c r="B614" s="42"/>
      <c r="C614" s="4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3"/>
      <c r="B615" s="42"/>
      <c r="C615" s="4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3"/>
      <c r="B616" s="42"/>
      <c r="C616" s="4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3"/>
      <c r="B617" s="42"/>
      <c r="C617" s="4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3"/>
      <c r="B618" s="42"/>
      <c r="C618" s="4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3"/>
      <c r="B619" s="42"/>
      <c r="C619" s="4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3"/>
      <c r="B620" s="42"/>
      <c r="C620" s="4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3"/>
      <c r="B621" s="42"/>
      <c r="C621" s="4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3"/>
      <c r="B622" s="42"/>
      <c r="C622" s="4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3"/>
      <c r="B623" s="42"/>
      <c r="C623" s="4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3"/>
      <c r="B624" s="42"/>
      <c r="C624" s="4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3"/>
      <c r="B625" s="42"/>
      <c r="C625" s="4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3"/>
      <c r="B626" s="42"/>
      <c r="C626" s="4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3"/>
      <c r="B627" s="42"/>
      <c r="C627" s="4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3"/>
      <c r="B628" s="42"/>
      <c r="C628" s="4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3"/>
      <c r="B629" s="42"/>
      <c r="C629" s="4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3"/>
      <c r="B630" s="42"/>
      <c r="C630" s="4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3"/>
      <c r="B631" s="42"/>
      <c r="C631" s="4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3"/>
      <c r="B632" s="42"/>
      <c r="C632" s="4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3"/>
      <c r="B633" s="42"/>
      <c r="C633" s="4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3"/>
      <c r="B634" s="42"/>
      <c r="C634" s="4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3"/>
      <c r="B635" s="42"/>
      <c r="C635" s="4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3"/>
      <c r="B636" s="42"/>
      <c r="C636" s="4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3"/>
      <c r="B637" s="42"/>
      <c r="C637" s="4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3"/>
      <c r="B638" s="42"/>
      <c r="C638" s="4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3"/>
      <c r="B639" s="42"/>
      <c r="C639" s="4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3"/>
      <c r="B640" s="42"/>
      <c r="C640" s="4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3"/>
      <c r="B641" s="42"/>
      <c r="C641" s="4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3"/>
      <c r="B642" s="42"/>
      <c r="C642" s="4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3"/>
      <c r="B643" s="42"/>
      <c r="C643" s="4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3"/>
      <c r="B644" s="42"/>
      <c r="C644" s="4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3"/>
      <c r="B645" s="42"/>
      <c r="C645" s="4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3"/>
      <c r="B646" s="42"/>
      <c r="C646" s="4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3"/>
      <c r="B647" s="42"/>
      <c r="C647" s="4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3"/>
      <c r="B648" s="42"/>
      <c r="C648" s="4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3"/>
      <c r="B649" s="42"/>
      <c r="C649" s="4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3"/>
      <c r="B650" s="42"/>
      <c r="C650" s="4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3"/>
      <c r="B651" s="42"/>
      <c r="C651" s="4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3"/>
      <c r="B652" s="42"/>
      <c r="C652" s="4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3"/>
      <c r="B653" s="42"/>
      <c r="C653" s="4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3"/>
      <c r="B654" s="42"/>
      <c r="C654" s="4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3"/>
      <c r="B655" s="42"/>
      <c r="C655" s="4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3"/>
      <c r="B656" s="42"/>
      <c r="C656" s="4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3"/>
      <c r="B657" s="42"/>
      <c r="C657" s="4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3"/>
      <c r="B658" s="42"/>
      <c r="C658" s="4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3"/>
      <c r="B659" s="42"/>
      <c r="C659" s="4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3"/>
      <c r="B660" s="42"/>
      <c r="C660" s="4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3"/>
      <c r="B661" s="42"/>
      <c r="C661" s="4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3"/>
      <c r="B662" s="42"/>
      <c r="C662" s="4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3"/>
      <c r="B663" s="42"/>
      <c r="C663" s="4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3"/>
      <c r="B664" s="42"/>
      <c r="C664" s="4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3"/>
      <c r="B665" s="42"/>
      <c r="C665" s="4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3"/>
      <c r="B666" s="42"/>
      <c r="C666" s="4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3"/>
      <c r="B667" s="42"/>
      <c r="C667" s="4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3"/>
      <c r="B668" s="42"/>
      <c r="C668" s="4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3"/>
      <c r="B669" s="42"/>
      <c r="C669" s="4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3"/>
      <c r="B670" s="42"/>
      <c r="C670" s="4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3"/>
      <c r="B671" s="42"/>
      <c r="C671" s="4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3"/>
      <c r="B672" s="42"/>
      <c r="C672" s="4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3"/>
      <c r="B673" s="42"/>
      <c r="C673" s="4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3"/>
      <c r="B674" s="42"/>
      <c r="C674" s="4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3"/>
      <c r="B675" s="42"/>
      <c r="C675" s="4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3"/>
      <c r="B676" s="42"/>
      <c r="C676" s="4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3"/>
      <c r="B677" s="42"/>
      <c r="C677" s="4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3"/>
      <c r="B678" s="42"/>
      <c r="C678" s="4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3"/>
      <c r="B679" s="42"/>
      <c r="C679" s="4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3"/>
      <c r="B680" s="42"/>
      <c r="C680" s="4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3"/>
      <c r="B681" s="42"/>
      <c r="C681" s="4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3"/>
      <c r="B682" s="42"/>
      <c r="C682" s="4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3"/>
      <c r="B683" s="42"/>
      <c r="C683" s="4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3"/>
      <c r="B684" s="42"/>
      <c r="C684" s="4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3"/>
      <c r="B685" s="42"/>
      <c r="C685" s="4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3"/>
      <c r="B686" s="42"/>
      <c r="C686" s="4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3"/>
      <c r="B687" s="42"/>
      <c r="C687" s="4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3"/>
      <c r="B688" s="42"/>
      <c r="C688" s="4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3"/>
      <c r="B689" s="42"/>
      <c r="C689" s="4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3"/>
      <c r="B690" s="42"/>
      <c r="C690" s="4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3"/>
      <c r="B691" s="42"/>
      <c r="C691" s="4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3"/>
      <c r="B692" s="42"/>
      <c r="C692" s="4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3"/>
      <c r="B693" s="42"/>
      <c r="C693" s="4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3"/>
      <c r="B694" s="42"/>
      <c r="C694" s="4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3"/>
      <c r="B695" s="42"/>
      <c r="C695" s="4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3"/>
      <c r="B696" s="42"/>
      <c r="C696" s="4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3"/>
      <c r="B697" s="42"/>
      <c r="C697" s="4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3"/>
      <c r="B698" s="42"/>
      <c r="C698" s="4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3"/>
      <c r="B699" s="42"/>
      <c r="C699" s="4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3"/>
      <c r="B700" s="42"/>
      <c r="C700" s="4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3"/>
      <c r="B701" s="42"/>
      <c r="C701" s="4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3"/>
      <c r="B702" s="42"/>
      <c r="C702" s="4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3"/>
      <c r="B703" s="42"/>
      <c r="C703" s="4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3"/>
      <c r="B704" s="42"/>
      <c r="C704" s="4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3"/>
      <c r="B705" s="42"/>
      <c r="C705" s="4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3"/>
      <c r="B706" s="42"/>
      <c r="C706" s="4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3"/>
      <c r="B707" s="42"/>
      <c r="C707" s="4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3"/>
      <c r="B708" s="42"/>
      <c r="C708" s="4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3"/>
      <c r="B709" s="42"/>
      <c r="C709" s="4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3"/>
      <c r="B710" s="42"/>
      <c r="C710" s="4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3"/>
      <c r="B711" s="42"/>
      <c r="C711" s="4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3"/>
      <c r="B712" s="42"/>
      <c r="C712" s="4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3"/>
      <c r="B713" s="42"/>
      <c r="C713" s="4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3"/>
      <c r="B714" s="42"/>
      <c r="C714" s="4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3"/>
      <c r="B715" s="42"/>
      <c r="C715" s="4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3"/>
      <c r="B716" s="42"/>
      <c r="C716" s="4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3"/>
      <c r="B717" s="42"/>
      <c r="C717" s="4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3"/>
      <c r="B718" s="42"/>
      <c r="C718" s="4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3"/>
      <c r="B719" s="42"/>
      <c r="C719" s="4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3"/>
      <c r="B720" s="42"/>
      <c r="C720" s="4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3"/>
      <c r="B721" s="42"/>
      <c r="C721" s="4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3"/>
      <c r="B722" s="42"/>
      <c r="C722" s="4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3"/>
      <c r="B723" s="42"/>
      <c r="C723" s="4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3"/>
      <c r="B724" s="42"/>
      <c r="C724" s="4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3"/>
      <c r="B725" s="42"/>
      <c r="C725" s="4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3"/>
      <c r="B726" s="42"/>
      <c r="C726" s="4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3"/>
      <c r="B727" s="42"/>
      <c r="C727" s="4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3"/>
      <c r="B728" s="42"/>
      <c r="C728" s="4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3"/>
      <c r="B729" s="42"/>
      <c r="C729" s="4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3"/>
      <c r="B730" s="42"/>
      <c r="C730" s="4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3"/>
      <c r="B731" s="42"/>
      <c r="C731" s="4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3"/>
      <c r="B732" s="42"/>
      <c r="C732" s="4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3"/>
      <c r="B733" s="42"/>
      <c r="C733" s="4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3"/>
      <c r="B734" s="42"/>
      <c r="C734" s="4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3"/>
      <c r="B735" s="42"/>
      <c r="C735" s="4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3"/>
      <c r="B736" s="42"/>
      <c r="C736" s="4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3"/>
      <c r="B737" s="42"/>
      <c r="C737" s="4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3"/>
      <c r="B738" s="42"/>
      <c r="C738" s="4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3"/>
      <c r="B739" s="42"/>
      <c r="C739" s="4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3"/>
      <c r="B740" s="42"/>
      <c r="C740" s="4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3"/>
      <c r="B741" s="42"/>
      <c r="C741" s="4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3"/>
      <c r="B742" s="42"/>
      <c r="C742" s="4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3"/>
      <c r="B743" s="42"/>
      <c r="C743" s="4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3"/>
      <c r="B744" s="42"/>
      <c r="C744" s="4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3"/>
      <c r="B745" s="42"/>
      <c r="C745" s="4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3"/>
      <c r="B746" s="42"/>
      <c r="C746" s="4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3"/>
      <c r="B747" s="42"/>
      <c r="C747" s="4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3"/>
      <c r="B748" s="42"/>
      <c r="C748" s="4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3"/>
      <c r="B749" s="42"/>
      <c r="C749" s="4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3"/>
      <c r="B750" s="42"/>
      <c r="C750" s="4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3"/>
      <c r="B751" s="42"/>
      <c r="C751" s="4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3"/>
      <c r="B752" s="42"/>
      <c r="C752" s="4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3"/>
      <c r="B753" s="42"/>
      <c r="C753" s="4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3"/>
      <c r="B754" s="42"/>
      <c r="C754" s="4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3"/>
      <c r="B755" s="42"/>
      <c r="C755" s="4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3"/>
      <c r="B756" s="42"/>
      <c r="C756" s="4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3"/>
      <c r="B757" s="42"/>
      <c r="C757" s="4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3"/>
      <c r="B758" s="42"/>
      <c r="C758" s="4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3"/>
      <c r="B759" s="42"/>
      <c r="C759" s="4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3"/>
      <c r="B760" s="42"/>
      <c r="C760" s="4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3"/>
      <c r="B761" s="42"/>
      <c r="C761" s="4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3"/>
      <c r="B762" s="42"/>
      <c r="C762" s="4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3"/>
      <c r="B763" s="42"/>
      <c r="C763" s="4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3"/>
      <c r="B764" s="42"/>
      <c r="C764" s="4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3"/>
      <c r="B765" s="42"/>
      <c r="C765" s="4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3"/>
      <c r="B766" s="42"/>
      <c r="C766" s="4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3"/>
      <c r="B767" s="42"/>
      <c r="C767" s="4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3"/>
      <c r="B768" s="42"/>
      <c r="C768" s="4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3"/>
      <c r="B769" s="42"/>
      <c r="C769" s="4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3"/>
      <c r="B770" s="42"/>
      <c r="C770" s="4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3"/>
      <c r="B771" s="42"/>
      <c r="C771" s="4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3"/>
      <c r="B772" s="42"/>
      <c r="C772" s="4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3"/>
      <c r="B773" s="42"/>
      <c r="C773" s="4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3"/>
      <c r="B774" s="42"/>
      <c r="C774" s="4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3"/>
      <c r="B775" s="42"/>
      <c r="C775" s="4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3"/>
      <c r="B776" s="42"/>
      <c r="C776" s="4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3"/>
      <c r="B777" s="42"/>
      <c r="C777" s="4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3"/>
      <c r="B778" s="42"/>
      <c r="C778" s="4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3"/>
      <c r="B779" s="42"/>
      <c r="C779" s="4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3"/>
      <c r="B780" s="42"/>
      <c r="C780" s="4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3"/>
      <c r="B781" s="42"/>
      <c r="C781" s="4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3"/>
      <c r="B782" s="42"/>
      <c r="C782" s="4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3"/>
      <c r="B783" s="42"/>
      <c r="C783" s="4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3"/>
      <c r="B784" s="42"/>
      <c r="C784" s="4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3"/>
      <c r="B785" s="42"/>
      <c r="C785" s="4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3"/>
      <c r="B786" s="42"/>
      <c r="C786" s="4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3"/>
      <c r="B787" s="42"/>
      <c r="C787" s="4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3"/>
      <c r="B788" s="42"/>
      <c r="C788" s="4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3"/>
      <c r="B789" s="42"/>
      <c r="C789" s="4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3"/>
      <c r="B790" s="42"/>
      <c r="C790" s="4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3"/>
      <c r="B791" s="42"/>
      <c r="C791" s="4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3"/>
      <c r="B792" s="42"/>
      <c r="C792" s="4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3"/>
      <c r="B793" s="42"/>
      <c r="C793" s="4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3"/>
      <c r="B794" s="42"/>
      <c r="C794" s="4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3"/>
      <c r="B795" s="42"/>
      <c r="C795" s="4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3"/>
      <c r="B796" s="42"/>
      <c r="C796" s="4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3"/>
      <c r="B797" s="42"/>
      <c r="C797" s="4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3"/>
      <c r="B798" s="42"/>
      <c r="C798" s="4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3"/>
      <c r="B799" s="42"/>
      <c r="C799" s="4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3"/>
      <c r="B800" s="42"/>
      <c r="C800" s="4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3"/>
      <c r="B801" s="42"/>
      <c r="C801" s="4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3"/>
      <c r="B802" s="42"/>
      <c r="C802" s="4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3"/>
      <c r="B803" s="42"/>
      <c r="C803" s="4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3"/>
      <c r="B804" s="42"/>
      <c r="C804" s="4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3"/>
      <c r="B805" s="42"/>
      <c r="C805" s="4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3"/>
      <c r="B806" s="42"/>
      <c r="C806" s="4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3"/>
      <c r="B807" s="42"/>
      <c r="C807" s="4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3"/>
      <c r="B808" s="42"/>
      <c r="C808" s="4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3"/>
      <c r="B809" s="42"/>
      <c r="C809" s="4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3"/>
      <c r="B810" s="42"/>
      <c r="C810" s="4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3"/>
      <c r="B811" s="42"/>
      <c r="C811" s="4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3"/>
      <c r="B812" s="42"/>
      <c r="C812" s="4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3"/>
      <c r="B813" s="42"/>
      <c r="C813" s="4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3"/>
      <c r="B814" s="42"/>
      <c r="C814" s="4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3"/>
      <c r="B815" s="42"/>
      <c r="C815" s="4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3"/>
      <c r="B816" s="42"/>
      <c r="C816" s="4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3"/>
      <c r="B817" s="42"/>
      <c r="C817" s="4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3"/>
      <c r="B818" s="42"/>
      <c r="C818" s="4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3"/>
      <c r="B819" s="42"/>
      <c r="C819" s="4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3"/>
      <c r="B820" s="42"/>
      <c r="C820" s="4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3"/>
      <c r="B821" s="42"/>
      <c r="C821" s="4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3"/>
      <c r="B822" s="42"/>
      <c r="C822" s="4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3"/>
      <c r="B823" s="42"/>
      <c r="C823" s="4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3"/>
      <c r="B824" s="42"/>
      <c r="C824" s="4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3"/>
      <c r="B825" s="42"/>
      <c r="C825" s="4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3"/>
      <c r="B826" s="42"/>
      <c r="C826" s="4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3"/>
      <c r="B827" s="42"/>
      <c r="C827" s="4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3"/>
      <c r="B828" s="42"/>
      <c r="C828" s="4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3"/>
      <c r="B829" s="42"/>
      <c r="C829" s="4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3"/>
      <c r="B830" s="42"/>
      <c r="C830" s="4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3"/>
      <c r="B831" s="42"/>
      <c r="C831" s="4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3"/>
      <c r="B832" s="42"/>
      <c r="C832" s="4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3"/>
      <c r="B833" s="42"/>
      <c r="C833" s="4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3"/>
      <c r="B834" s="42"/>
      <c r="C834" s="4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3"/>
      <c r="B835" s="42"/>
      <c r="C835" s="4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3"/>
      <c r="B836" s="42"/>
      <c r="C836" s="4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3"/>
      <c r="B837" s="42"/>
      <c r="C837" s="4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3"/>
      <c r="B838" s="42"/>
      <c r="C838" s="4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3"/>
      <c r="B839" s="42"/>
      <c r="C839" s="4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3"/>
      <c r="B840" s="42"/>
      <c r="C840" s="4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3"/>
      <c r="B841" s="42"/>
      <c r="C841" s="4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3"/>
      <c r="B842" s="42"/>
      <c r="C842" s="4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3"/>
      <c r="B843" s="42"/>
      <c r="C843" s="4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3"/>
      <c r="B844" s="42"/>
      <c r="C844" s="4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3"/>
      <c r="B845" s="42"/>
      <c r="C845" s="4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3"/>
      <c r="B846" s="42"/>
      <c r="C846" s="4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3"/>
      <c r="B847" s="42"/>
      <c r="C847" s="4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3"/>
      <c r="B848" s="42"/>
      <c r="C848" s="4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3"/>
      <c r="B849" s="42"/>
      <c r="C849" s="4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3"/>
      <c r="B850" s="42"/>
      <c r="C850" s="4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3"/>
      <c r="B851" s="42"/>
      <c r="C851" s="4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3"/>
      <c r="B852" s="42"/>
      <c r="C852" s="4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3"/>
      <c r="B853" s="42"/>
      <c r="C853" s="4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3"/>
      <c r="B854" s="42"/>
      <c r="C854" s="4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3"/>
      <c r="B855" s="42"/>
      <c r="C855" s="4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3"/>
      <c r="B856" s="42"/>
      <c r="C856" s="4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3"/>
      <c r="B857" s="42"/>
      <c r="C857" s="4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3"/>
      <c r="B858" s="42"/>
      <c r="C858" s="4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3"/>
      <c r="B859" s="42"/>
      <c r="C859" s="4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3"/>
      <c r="B860" s="42"/>
      <c r="C860" s="4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3"/>
      <c r="B861" s="42"/>
      <c r="C861" s="4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3"/>
      <c r="B862" s="42"/>
      <c r="C862" s="4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3"/>
      <c r="B863" s="42"/>
      <c r="C863" s="4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3"/>
      <c r="B864" s="42"/>
      <c r="C864" s="4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3"/>
      <c r="B865" s="42"/>
      <c r="C865" s="4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3"/>
      <c r="B866" s="42"/>
      <c r="C866" s="4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3"/>
      <c r="B867" s="42"/>
      <c r="C867" s="4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3"/>
      <c r="B868" s="42"/>
      <c r="C868" s="4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3"/>
      <c r="B869" s="42"/>
      <c r="C869" s="4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3"/>
      <c r="B870" s="42"/>
      <c r="C870" s="4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3"/>
      <c r="B871" s="42"/>
      <c r="C871" s="4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3"/>
      <c r="B872" s="42"/>
      <c r="C872" s="4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3"/>
      <c r="B873" s="42"/>
      <c r="C873" s="4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3"/>
      <c r="B874" s="42"/>
      <c r="C874" s="4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3"/>
      <c r="B875" s="42"/>
      <c r="C875" s="4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3"/>
      <c r="B876" s="42"/>
      <c r="C876" s="4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3"/>
      <c r="B877" s="42"/>
      <c r="C877" s="4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3"/>
      <c r="B878" s="42"/>
      <c r="C878" s="4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3"/>
      <c r="B879" s="42"/>
      <c r="C879" s="4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3"/>
      <c r="B880" s="42"/>
      <c r="C880" s="4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3"/>
      <c r="B881" s="42"/>
      <c r="C881" s="4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3"/>
      <c r="B882" s="42"/>
      <c r="C882" s="4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3"/>
      <c r="B883" s="42"/>
      <c r="C883" s="4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3"/>
      <c r="B884" s="42"/>
      <c r="C884" s="4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3"/>
      <c r="B885" s="42"/>
      <c r="C885" s="4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3"/>
      <c r="B886" s="42"/>
      <c r="C886" s="4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3"/>
      <c r="B887" s="42"/>
      <c r="C887" s="4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3"/>
      <c r="B888" s="42"/>
      <c r="C888" s="4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3"/>
      <c r="B889" s="42"/>
      <c r="C889" s="4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3"/>
      <c r="B890" s="42"/>
      <c r="C890" s="4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3"/>
      <c r="B891" s="42"/>
      <c r="C891" s="4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3"/>
      <c r="B892" s="42"/>
      <c r="C892" s="4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3"/>
      <c r="B893" s="42"/>
      <c r="C893" s="4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3"/>
      <c r="B894" s="42"/>
      <c r="C894" s="4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3"/>
      <c r="B895" s="42"/>
      <c r="C895" s="4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3"/>
      <c r="B896" s="42"/>
      <c r="C896" s="4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3"/>
      <c r="B897" s="42"/>
      <c r="C897" s="4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3"/>
      <c r="B898" s="42"/>
      <c r="C898" s="4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3"/>
      <c r="B899" s="42"/>
      <c r="C899" s="4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3"/>
      <c r="B900" s="42"/>
      <c r="C900" s="4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3"/>
      <c r="B901" s="42"/>
      <c r="C901" s="4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3"/>
      <c r="B902" s="42"/>
      <c r="C902" s="4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3"/>
      <c r="B903" s="42"/>
      <c r="C903" s="4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3"/>
      <c r="B904" s="42"/>
      <c r="C904" s="4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3"/>
      <c r="B905" s="42"/>
      <c r="C905" s="4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3"/>
      <c r="B906" s="42"/>
      <c r="C906" s="4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3"/>
      <c r="B907" s="42"/>
      <c r="C907" s="4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3"/>
      <c r="B908" s="42"/>
      <c r="C908" s="4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3"/>
      <c r="B909" s="42"/>
      <c r="C909" s="4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3"/>
      <c r="B910" s="42"/>
      <c r="C910" s="4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3"/>
      <c r="B911" s="42"/>
      <c r="C911" s="4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3"/>
      <c r="B912" s="42"/>
      <c r="C912" s="4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3"/>
      <c r="B913" s="42"/>
      <c r="C913" s="4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3"/>
      <c r="B914" s="42"/>
      <c r="C914" s="4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3"/>
      <c r="B915" s="42"/>
      <c r="C915" s="4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3"/>
      <c r="B916" s="42"/>
      <c r="C916" s="4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3"/>
      <c r="B917" s="42"/>
      <c r="C917" s="4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3"/>
      <c r="B918" s="42"/>
      <c r="C918" s="4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3"/>
      <c r="B919" s="42"/>
      <c r="C919" s="4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3"/>
      <c r="B920" s="42"/>
      <c r="C920" s="4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3"/>
      <c r="B921" s="42"/>
      <c r="C921" s="4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3"/>
      <c r="B922" s="42"/>
      <c r="C922" s="4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3"/>
      <c r="B923" s="42"/>
      <c r="C923" s="4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3"/>
      <c r="B924" s="42"/>
      <c r="C924" s="4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3"/>
      <c r="B925" s="42"/>
      <c r="C925" s="4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3"/>
      <c r="B926" s="42"/>
      <c r="C926" s="4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3"/>
      <c r="B927" s="42"/>
      <c r="C927" s="4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3"/>
      <c r="B928" s="42"/>
      <c r="C928" s="4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3"/>
      <c r="B929" s="42"/>
      <c r="C929" s="4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3"/>
      <c r="B930" s="42"/>
      <c r="C930" s="4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3"/>
      <c r="B931" s="42"/>
      <c r="C931" s="4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3"/>
      <c r="B932" s="42"/>
      <c r="C932" s="4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3"/>
      <c r="B933" s="42"/>
      <c r="C933" s="4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3"/>
      <c r="B934" s="42"/>
      <c r="C934" s="4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3"/>
      <c r="B935" s="42"/>
      <c r="C935" s="4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3"/>
      <c r="B936" s="42"/>
      <c r="C936" s="4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3"/>
      <c r="B937" s="42"/>
      <c r="C937" s="4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3"/>
      <c r="B938" s="42"/>
      <c r="C938" s="4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3"/>
      <c r="B939" s="42"/>
      <c r="C939" s="4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3"/>
      <c r="B940" s="42"/>
      <c r="C940" s="4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3"/>
      <c r="B941" s="42"/>
      <c r="C941" s="4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3"/>
      <c r="B942" s="42"/>
      <c r="C942" s="4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3"/>
      <c r="B943" s="42"/>
      <c r="C943" s="4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3"/>
      <c r="B944" s="42"/>
      <c r="C944" s="4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3"/>
      <c r="B945" s="42"/>
      <c r="C945" s="4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3"/>
      <c r="B946" s="42"/>
      <c r="C946" s="4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3"/>
      <c r="B947" s="42"/>
      <c r="C947" s="4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3"/>
      <c r="B948" s="42"/>
      <c r="C948" s="4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3"/>
      <c r="B949" s="42"/>
      <c r="C949" s="4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3"/>
      <c r="B950" s="42"/>
      <c r="C950" s="4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3"/>
      <c r="B951" s="42"/>
      <c r="C951" s="4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3"/>
      <c r="B952" s="42"/>
      <c r="C952" s="4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3"/>
      <c r="B953" s="42"/>
      <c r="C953" s="4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3"/>
      <c r="B954" s="42"/>
      <c r="C954" s="4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3"/>
      <c r="B955" s="42"/>
      <c r="C955" s="4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3"/>
      <c r="B956" s="42"/>
      <c r="C956" s="4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3"/>
      <c r="B957" s="42"/>
      <c r="C957" s="4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3"/>
      <c r="B958" s="42"/>
      <c r="C958" s="4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3"/>
      <c r="B959" s="42"/>
      <c r="C959" s="4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3"/>
      <c r="B960" s="42"/>
      <c r="C960" s="4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3"/>
      <c r="B961" s="42"/>
      <c r="C961" s="4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3"/>
      <c r="B962" s="42"/>
      <c r="C962" s="4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3"/>
      <c r="B963" s="42"/>
      <c r="C963" s="4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3"/>
      <c r="B964" s="42"/>
      <c r="C964" s="4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3"/>
      <c r="B965" s="42"/>
      <c r="C965" s="4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3"/>
      <c r="B966" s="42"/>
      <c r="C966" s="4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3"/>
      <c r="B967" s="42"/>
      <c r="C967" s="4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3"/>
      <c r="B968" s="42"/>
      <c r="C968" s="4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3"/>
      <c r="B969" s="42"/>
      <c r="C969" s="4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3"/>
      <c r="B970" s="42"/>
      <c r="C970" s="4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3"/>
      <c r="B971" s="42"/>
      <c r="C971" s="4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3"/>
      <c r="B972" s="42"/>
      <c r="C972" s="4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3"/>
      <c r="B973" s="42"/>
      <c r="C973" s="4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3"/>
      <c r="B974" s="42"/>
      <c r="C974" s="4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3"/>
      <c r="B975" s="42"/>
      <c r="C975" s="4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3"/>
      <c r="B976" s="42"/>
      <c r="C976" s="4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3"/>
      <c r="B977" s="42"/>
      <c r="C977" s="4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3"/>
      <c r="B978" s="42"/>
      <c r="C978" s="4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3"/>
      <c r="B979" s="42"/>
      <c r="C979" s="4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3"/>
      <c r="B980" s="42"/>
      <c r="C980" s="4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3"/>
      <c r="B981" s="42"/>
      <c r="C981" s="4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3"/>
      <c r="B982" s="42"/>
      <c r="C982" s="4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3"/>
      <c r="B983" s="42"/>
      <c r="C983" s="4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3"/>
      <c r="B984" s="42"/>
      <c r="C984" s="4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4.25" customHeight="1">
      <c r="A985" s="3"/>
      <c r="B985" s="42"/>
      <c r="C985" s="4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4.25" customHeight="1">
      <c r="A986" s="3"/>
      <c r="B986" s="42"/>
      <c r="C986" s="4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4.25" customHeight="1">
      <c r="A987" s="3"/>
      <c r="B987" s="42"/>
      <c r="C987" s="4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4.25" customHeight="1">
      <c r="A988" s="3"/>
      <c r="B988" s="42"/>
      <c r="C988" s="4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4.25" customHeight="1">
      <c r="A989" s="3"/>
      <c r="B989" s="42"/>
      <c r="C989" s="4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4.25" customHeight="1">
      <c r="A990" s="3"/>
      <c r="B990" s="42"/>
      <c r="C990" s="4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4.25" customHeight="1">
      <c r="A991" s="3"/>
      <c r="B991" s="42"/>
      <c r="C991" s="4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4.25" customHeight="1">
      <c r="A992" s="3"/>
      <c r="B992" s="42"/>
      <c r="C992" s="4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4.25" customHeight="1">
      <c r="A993" s="3"/>
      <c r="B993" s="42"/>
      <c r="C993" s="4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4.25" customHeight="1">
      <c r="A994" s="3"/>
      <c r="B994" s="42"/>
      <c r="C994" s="4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4.25" customHeight="1">
      <c r="A995" s="3"/>
      <c r="B995" s="42"/>
      <c r="C995" s="4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4.25" customHeight="1">
      <c r="A996" s="3"/>
      <c r="B996" s="42"/>
      <c r="C996" s="4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4.25" customHeight="1">
      <c r="A997" s="3"/>
      <c r="B997" s="42"/>
      <c r="C997" s="4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4.25" customHeight="1">
      <c r="A998" s="3"/>
      <c r="B998" s="42"/>
      <c r="C998" s="4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4.25" customHeight="1">
      <c r="A999" s="3"/>
      <c r="B999" s="42"/>
      <c r="C999" s="4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4.25" customHeight="1">
      <c r="A1000" s="3"/>
      <c r="B1000" s="42"/>
      <c r="C1000" s="4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4.43" defaultRowHeight="15.0"/>
  <cols>
    <col customWidth="1" min="1" max="2" width="5.29"/>
    <col customWidth="1" min="3" max="3" width="9.29"/>
    <col customWidth="1" min="4" max="4" width="8.29"/>
    <col customWidth="1" min="5" max="5" width="17.71"/>
    <col customWidth="1" min="6" max="6" width="3.71"/>
    <col customWidth="1" min="7" max="8" width="13.71"/>
    <col customWidth="1" min="9" max="9" width="10.71"/>
    <col customWidth="1" min="10" max="10" width="12.29"/>
    <col customWidth="1" min="11" max="12" width="10.0"/>
    <col customWidth="1" min="13" max="14" width="11.14"/>
    <col customWidth="1" min="15" max="15" width="15.43"/>
    <col customWidth="1" min="16" max="16" width="11.14"/>
    <col customWidth="1" min="17" max="17" width="10.0"/>
    <col customWidth="1" min="18" max="19" width="11.14"/>
    <col customWidth="1" min="20" max="21" width="12.29"/>
    <col customWidth="1" min="22" max="22" width="10.0"/>
    <col customWidth="1" min="23" max="23" width="15.43"/>
    <col customWidth="1" min="24" max="24" width="10.0"/>
    <col customWidth="1" min="25" max="25" width="6.71"/>
    <col customWidth="1" min="26" max="26" width="5.57"/>
    <col customWidth="1" min="27" max="27" width="18.43"/>
    <col customWidth="1" min="28" max="28" width="8.71"/>
    <col customWidth="1" min="29" max="29" width="17.71"/>
    <col customWidth="1" min="30" max="30" width="13.14"/>
    <col customWidth="1" min="31" max="31" width="13.57"/>
    <col customWidth="1" min="32" max="33" width="8.71"/>
    <col customWidth="1" min="34" max="34" width="12.43"/>
    <col customWidth="1" min="35" max="42" width="8.71"/>
    <col customWidth="1" min="43" max="43" width="15.71"/>
    <col customWidth="1" min="44" max="44" width="8.71"/>
  </cols>
  <sheetData>
    <row r="1" ht="14.25" customHeight="1">
      <c r="A1" s="5"/>
      <c r="B1" s="5"/>
      <c r="C1" s="7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 t="s">
        <v>8</v>
      </c>
      <c r="Q1" s="7" t="s">
        <v>10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4" t="s">
        <v>20</v>
      </c>
      <c r="Q2" s="16">
        <v>1.0</v>
      </c>
      <c r="R2" s="14" t="s">
        <v>21</v>
      </c>
      <c r="S2" s="16">
        <v>5.0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ht="14.25" customHeight="1">
      <c r="A3" s="7"/>
      <c r="B3" s="7"/>
      <c r="C3" s="18" t="s">
        <v>26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ht="14.25" customHeight="1">
      <c r="A4" s="7"/>
      <c r="B4" s="7"/>
      <c r="C4" s="18" t="s">
        <v>31</v>
      </c>
      <c r="D4" s="18"/>
      <c r="E4" s="18"/>
      <c r="F4" s="18"/>
      <c r="G4" s="1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ht="14.25" customHeight="1">
      <c r="A6" s="7"/>
      <c r="B6" s="7"/>
      <c r="C6" s="7"/>
      <c r="D6" s="7" t="s">
        <v>44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ht="14.25" customHeight="1">
      <c r="A7" s="7"/>
      <c r="B7" s="7"/>
      <c r="C7" s="7" t="s">
        <v>48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ht="14.25" customHeight="1">
      <c r="A8" s="7"/>
      <c r="B8" s="7"/>
      <c r="C8" s="7" t="s">
        <v>57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ht="14.25" customHeight="1">
      <c r="A9" s="7"/>
      <c r="B9" s="7"/>
      <c r="C9" s="20" t="s">
        <v>66</v>
      </c>
      <c r="D9" s="20" t="s">
        <v>67</v>
      </c>
      <c r="E9" s="20" t="s">
        <v>69</v>
      </c>
      <c r="F9" s="7"/>
      <c r="G9" s="20" t="s">
        <v>71</v>
      </c>
      <c r="H9" s="20" t="s">
        <v>72</v>
      </c>
      <c r="I9" s="20" t="s">
        <v>75</v>
      </c>
      <c r="J9" s="20" t="s">
        <v>76</v>
      </c>
      <c r="K9" s="20" t="s">
        <v>77</v>
      </c>
      <c r="L9" s="20" t="s">
        <v>79</v>
      </c>
      <c r="M9" s="20" t="s">
        <v>80</v>
      </c>
      <c r="N9" s="20" t="s">
        <v>81</v>
      </c>
      <c r="O9" s="20" t="s">
        <v>82</v>
      </c>
      <c r="P9" s="20" t="s">
        <v>83</v>
      </c>
      <c r="Q9" s="20" t="s">
        <v>85</v>
      </c>
      <c r="R9" s="20" t="s">
        <v>86</v>
      </c>
      <c r="S9" s="20" t="s">
        <v>87</v>
      </c>
      <c r="T9" s="20" t="s">
        <v>88</v>
      </c>
      <c r="U9" s="20" t="s">
        <v>90</v>
      </c>
      <c r="V9" s="20" t="s">
        <v>91</v>
      </c>
      <c r="W9" s="20" t="s">
        <v>92</v>
      </c>
      <c r="X9" s="20" t="s">
        <v>94</v>
      </c>
      <c r="Y9" s="20" t="s">
        <v>95</v>
      </c>
      <c r="Z9" s="20" t="s">
        <v>96</v>
      </c>
      <c r="AA9" s="21" t="s">
        <v>97</v>
      </c>
      <c r="AB9" s="7" t="s">
        <v>98</v>
      </c>
      <c r="AC9" s="20" t="s">
        <v>99</v>
      </c>
      <c r="AD9" s="23" t="s">
        <v>100</v>
      </c>
      <c r="AE9" s="24" t="s">
        <v>104</v>
      </c>
      <c r="AF9" s="20" t="s">
        <v>106</v>
      </c>
      <c r="AG9" s="25" t="s">
        <v>107</v>
      </c>
      <c r="AH9" s="26" t="s">
        <v>109</v>
      </c>
      <c r="AI9" s="7" t="s">
        <v>110</v>
      </c>
      <c r="AJ9" s="7"/>
      <c r="AK9" s="7"/>
      <c r="AL9" s="7"/>
      <c r="AM9" s="27" t="s">
        <v>112</v>
      </c>
      <c r="AN9" s="7"/>
      <c r="AO9" s="7"/>
      <c r="AP9" s="7"/>
      <c r="AQ9" s="28" t="s">
        <v>114</v>
      </c>
      <c r="AR9" s="29"/>
    </row>
    <row r="10" ht="14.25" customHeight="1">
      <c r="A10" s="7"/>
      <c r="B10" s="7"/>
      <c r="C10" s="7" t="s">
        <v>118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ht="14.25" customHeight="1">
      <c r="A11" s="7"/>
      <c r="B11" s="7"/>
      <c r="C11" s="7" t="s">
        <v>127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ht="14.25" customHeight="1">
      <c r="A12" s="7"/>
      <c r="B12" s="7"/>
      <c r="C12" s="20" t="s">
        <v>66</v>
      </c>
      <c r="D12" s="20" t="s">
        <v>67</v>
      </c>
      <c r="E12" s="20" t="s">
        <v>69</v>
      </c>
      <c r="F12" s="7"/>
      <c r="G12" s="20" t="s">
        <v>71</v>
      </c>
      <c r="H12" s="20" t="s">
        <v>72</v>
      </c>
      <c r="I12" s="20" t="s">
        <v>75</v>
      </c>
      <c r="J12" s="20" t="s">
        <v>76</v>
      </c>
      <c r="K12" s="20" t="s">
        <v>77</v>
      </c>
      <c r="L12" s="20" t="s">
        <v>79</v>
      </c>
      <c r="M12" s="20" t="s">
        <v>80</v>
      </c>
      <c r="N12" s="20" t="s">
        <v>81</v>
      </c>
      <c r="O12" s="20" t="s">
        <v>82</v>
      </c>
      <c r="P12" s="20" t="s">
        <v>83</v>
      </c>
      <c r="Q12" s="20" t="s">
        <v>85</v>
      </c>
      <c r="R12" s="20" t="s">
        <v>86</v>
      </c>
      <c r="S12" s="20" t="s">
        <v>87</v>
      </c>
      <c r="T12" s="20" t="s">
        <v>88</v>
      </c>
      <c r="U12" s="20" t="s">
        <v>90</v>
      </c>
      <c r="V12" s="20" t="s">
        <v>91</v>
      </c>
      <c r="W12" s="20" t="s">
        <v>92</v>
      </c>
      <c r="X12" s="20" t="s">
        <v>94</v>
      </c>
      <c r="Y12" s="20" t="s">
        <v>95</v>
      </c>
      <c r="Z12" s="20" t="s">
        <v>96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ht="14.25" customHeight="1">
      <c r="A13" s="7" t="s">
        <v>139</v>
      </c>
      <c r="B13" s="7"/>
      <c r="C13" s="30" t="str">
        <f t="shared" ref="C13:C14" si="1">TEXT(D13,"0000000")</f>
        <v>2514936</v>
      </c>
      <c r="D13" s="31">
        <v>2514936.0</v>
      </c>
      <c r="E13" s="14" t="s">
        <v>150</v>
      </c>
      <c r="F13" s="14" t="s">
        <v>18</v>
      </c>
      <c r="G13" s="32">
        <v>6053513.0</v>
      </c>
      <c r="H13" s="32">
        <v>6053513.0</v>
      </c>
      <c r="I13" s="30">
        <v>0.0</v>
      </c>
      <c r="J13" s="30">
        <v>0.0</v>
      </c>
      <c r="K13" s="30">
        <v>0.0</v>
      </c>
      <c r="L13" s="30">
        <v>0.0</v>
      </c>
      <c r="M13" s="30">
        <v>0.0</v>
      </c>
      <c r="N13" s="30">
        <v>0.0</v>
      </c>
      <c r="O13" s="33">
        <v>240000.0</v>
      </c>
      <c r="P13" s="32">
        <v>53876.0</v>
      </c>
      <c r="Q13" s="32">
        <v>18161.0</v>
      </c>
      <c r="R13" s="30">
        <v>0.0</v>
      </c>
      <c r="S13" s="30">
        <v>0.0</v>
      </c>
      <c r="T13" s="32">
        <v>223980.0</v>
      </c>
      <c r="U13" s="30">
        <v>0.0</v>
      </c>
      <c r="V13" s="30">
        <v>0.0</v>
      </c>
      <c r="W13" s="30">
        <v>0.0</v>
      </c>
      <c r="X13" s="30">
        <v>0.0</v>
      </c>
      <c r="Y13" s="30">
        <v>0.0</v>
      </c>
      <c r="Z13" s="30">
        <v>0.0</v>
      </c>
      <c r="AA13" s="7" t="str">
        <f>VLOOKUP(C13,[2]Sheet1!$B$9:$Z$1392,25,0)</f>
        <v>#ERROR!</v>
      </c>
      <c r="AB13" s="7" t="str">
        <f>VLOOKUP(C13,[2]Sheet1!$B$9:$AA$1392,26,0)</f>
        <v>#ERROR!</v>
      </c>
      <c r="AC13" s="34">
        <f t="shared" ref="AC13:AC14" si="2">SUM(G13,N13,O13,P13,Q13)-SUM(K13,L13,W13,X13)</f>
        <v>6365550</v>
      </c>
      <c r="AD13" s="35" t="str">
        <f t="shared" ref="AD13:AD14" si="3">ROUND(AC13*(AI13/(100-AI13)),0)</f>
        <v>#REF!</v>
      </c>
      <c r="AE13" s="35" t="str">
        <f t="shared" ref="AE13:AE14" si="4">AC13+AD13</f>
        <v>#REF!</v>
      </c>
      <c r="AF13" s="7" t="str">
        <f t="array" ref="AF13">INDEX('TABEL TER'!F$5:F$12,MATCH($F13,'TABEL TER'!G$5:G$12,0))</f>
        <v>TER A</v>
      </c>
      <c r="AG13" s="36" t="str">
        <f>IF($AF13="TER A",VLOOKUP($AE13,'TABEL TER'!$B$5:$D$48,3,TRUE),IF($AF13="TER B",VLOOKUP($AE13,'TABEL TER'!$B$50:$D$89,3,TRUE),IF($AF13="TER C",VLOOKUP($AE13,'TABEL TER'!$B$91:$D$131,3,TRUE))))</f>
        <v>#REF!</v>
      </c>
      <c r="AH13" s="35" t="str">
        <f t="shared" ref="AH13:AH14" si="5">ROUND(AE13*AG13,0)</f>
        <v>#REF!</v>
      </c>
      <c r="AI13" s="35" t="str">
        <f t="shared" ref="AI13:AI14" si="6">AG13*100</f>
        <v>#REF!</v>
      </c>
      <c r="AJ13" s="7" t="str">
        <f t="shared" ref="AJ13:AJ14" si="7">IF(AH13=0,"TIDAK","YA")</f>
        <v>#REF!</v>
      </c>
      <c r="AK13" s="37">
        <f t="shared" ref="AK13:AK14" si="8">P13/G13</f>
        <v>0.008899956108</v>
      </c>
      <c r="AL13" s="7"/>
      <c r="AM13" s="7"/>
      <c r="AN13" s="7"/>
      <c r="AO13" s="7"/>
      <c r="AP13" s="7"/>
      <c r="AQ13" s="7" t="str">
        <f>INDEX([1]Sheet1!$A:$K,MATCH(C13,[1]Sheet1!$A:$A,0),7)</f>
        <v>#ERROR!</v>
      </c>
      <c r="AR13" s="7" t="str">
        <f t="shared" ref="AR13:AR14" si="9">AA13=AQ13</f>
        <v>#ERROR!</v>
      </c>
    </row>
    <row r="14" ht="14.25" customHeight="1">
      <c r="A14" s="7" t="s">
        <v>139</v>
      </c>
      <c r="B14" s="7"/>
      <c r="C14" s="30" t="str">
        <f t="shared" si="1"/>
        <v>2214823</v>
      </c>
      <c r="D14" s="31">
        <v>2214823.0</v>
      </c>
      <c r="E14" s="14" t="s">
        <v>208</v>
      </c>
      <c r="F14" s="14" t="s">
        <v>22</v>
      </c>
      <c r="G14" s="32">
        <v>5288797.0</v>
      </c>
      <c r="H14" s="32">
        <v>5288797.0</v>
      </c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30">
        <v>0.0</v>
      </c>
      <c r="O14" s="33">
        <v>201304.0</v>
      </c>
      <c r="P14" s="32">
        <v>47070.0</v>
      </c>
      <c r="Q14" s="32">
        <v>15866.0</v>
      </c>
      <c r="R14" s="30">
        <v>0.0</v>
      </c>
      <c r="S14" s="30">
        <v>0.0</v>
      </c>
      <c r="T14" s="32">
        <v>195685.0</v>
      </c>
      <c r="U14" s="30">
        <v>0.0</v>
      </c>
      <c r="V14" s="30">
        <v>0.0</v>
      </c>
      <c r="W14" s="30">
        <v>0.0</v>
      </c>
      <c r="X14" s="30">
        <v>0.0</v>
      </c>
      <c r="Y14" s="30">
        <v>0.0</v>
      </c>
      <c r="Z14" s="30">
        <v>0.0</v>
      </c>
      <c r="AA14" s="7" t="str">
        <f>VLOOKUP(C14,[2]Sheet1!$B$9:$Z$1392,25,0)</f>
        <v>#ERROR!</v>
      </c>
      <c r="AB14" s="7" t="str">
        <f>VLOOKUP(C14,[2]Sheet1!$B$9:$AA$1392,26,0)</f>
        <v>#ERROR!</v>
      </c>
      <c r="AC14" s="34">
        <f t="shared" si="2"/>
        <v>5553037</v>
      </c>
      <c r="AD14" s="35" t="str">
        <f t="shared" si="3"/>
        <v>#REF!</v>
      </c>
      <c r="AE14" s="35" t="str">
        <f t="shared" si="4"/>
        <v>#REF!</v>
      </c>
      <c r="AF14" s="7" t="str">
        <f t="array" ref="AF14">INDEX('TABEL TER'!F$5:F$12,MATCH($F14,'TABEL TER'!G$5:G$12,0))</f>
        <v>TER A</v>
      </c>
      <c r="AG14" s="36" t="str">
        <f>IF($AF14="TER A",VLOOKUP($AE14,'TABEL TER'!$B$5:$D$48,3,TRUE),IF($AF14="TER B",VLOOKUP($AE14,'TABEL TER'!$B$50:$D$89,3,TRUE),IF($AF14="TER C",VLOOKUP($AE14,'TABEL TER'!$B$91:$D$131,3,TRUE))))</f>
        <v>#REF!</v>
      </c>
      <c r="AH14" s="35" t="str">
        <f t="shared" si="5"/>
        <v>#REF!</v>
      </c>
      <c r="AI14" s="35" t="str">
        <f t="shared" si="6"/>
        <v>#REF!</v>
      </c>
      <c r="AJ14" s="7" t="str">
        <f t="shared" si="7"/>
        <v>#REF!</v>
      </c>
      <c r="AK14" s="37">
        <f t="shared" si="8"/>
        <v>0.008899944543</v>
      </c>
      <c r="AL14" s="7"/>
      <c r="AM14" s="7"/>
      <c r="AN14" s="7"/>
      <c r="AO14" s="7"/>
      <c r="AP14" s="7"/>
      <c r="AQ14" s="7" t="str">
        <f>INDEX([1]Sheet1!$A:$K,MATCH(C14,[1]Sheet1!$A:$A,0),7)</f>
        <v>#ERROR!</v>
      </c>
      <c r="AR14" s="7" t="str">
        <f t="shared" si="9"/>
        <v>#ERROR!</v>
      </c>
    </row>
    <row r="15" ht="14.25" customHeight="1">
      <c r="A15" s="7"/>
      <c r="B15" s="7"/>
      <c r="C15" s="7" t="s">
        <v>213</v>
      </c>
      <c r="D15" s="7"/>
      <c r="E15" s="7"/>
      <c r="F15" s="7"/>
      <c r="G15" s="32">
        <v>1.134231E7</v>
      </c>
      <c r="H15" s="32">
        <v>1.134231E7</v>
      </c>
      <c r="I15" s="30">
        <v>0.0</v>
      </c>
      <c r="J15" s="30">
        <v>0.0</v>
      </c>
      <c r="K15" s="30">
        <v>0.0</v>
      </c>
      <c r="L15" s="30">
        <v>0.0</v>
      </c>
      <c r="M15" s="30">
        <v>0.0</v>
      </c>
      <c r="N15" s="30">
        <v>0.0</v>
      </c>
      <c r="O15" s="38">
        <f t="shared" ref="O15:Q15" si="10">SUM(O13:O14)</f>
        <v>441304</v>
      </c>
      <c r="P15" s="39">
        <f t="shared" si="10"/>
        <v>100946</v>
      </c>
      <c r="Q15" s="39">
        <f t="shared" si="10"/>
        <v>34027</v>
      </c>
      <c r="R15" s="30">
        <v>0.0</v>
      </c>
      <c r="S15" s="30">
        <v>0.0</v>
      </c>
      <c r="T15" s="32">
        <v>419665.0</v>
      </c>
      <c r="U15" s="30">
        <v>0.0</v>
      </c>
      <c r="V15" s="30">
        <v>0.0</v>
      </c>
      <c r="W15" s="30">
        <v>0.0</v>
      </c>
      <c r="X15" s="30">
        <v>0.0</v>
      </c>
      <c r="Y15" s="30">
        <v>0.0</v>
      </c>
      <c r="Z15" s="30">
        <v>0.0</v>
      </c>
      <c r="AA15" s="7"/>
      <c r="AB15" s="7"/>
      <c r="AC15" s="38">
        <f t="shared" ref="AC15:AE15" si="11">SUM(AC13:AC14)</f>
        <v>11918587</v>
      </c>
      <c r="AD15" s="38" t="str">
        <f t="shared" si="11"/>
        <v>#REF!</v>
      </c>
      <c r="AE15" s="38" t="str">
        <f t="shared" si="11"/>
        <v>#REF!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ht="14.25" customHeight="1">
      <c r="A16" s="7"/>
      <c r="B16" s="7"/>
      <c r="C16" s="7" t="s">
        <v>214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ht="14.25" customHeight="1">
      <c r="A17" s="7"/>
      <c r="B17" s="7"/>
      <c r="C17" s="20" t="s">
        <v>66</v>
      </c>
      <c r="D17" s="20" t="s">
        <v>67</v>
      </c>
      <c r="E17" s="20" t="s">
        <v>69</v>
      </c>
      <c r="F17" s="7"/>
      <c r="G17" s="20" t="s">
        <v>71</v>
      </c>
      <c r="H17" s="20" t="s">
        <v>72</v>
      </c>
      <c r="I17" s="20" t="s">
        <v>75</v>
      </c>
      <c r="J17" s="20" t="s">
        <v>76</v>
      </c>
      <c r="K17" s="20" t="s">
        <v>77</v>
      </c>
      <c r="L17" s="20" t="s">
        <v>79</v>
      </c>
      <c r="M17" s="20" t="s">
        <v>80</v>
      </c>
      <c r="N17" s="20" t="s">
        <v>81</v>
      </c>
      <c r="O17" s="20" t="s">
        <v>82</v>
      </c>
      <c r="P17" s="20" t="s">
        <v>83</v>
      </c>
      <c r="Q17" s="20" t="s">
        <v>85</v>
      </c>
      <c r="R17" s="20" t="s">
        <v>86</v>
      </c>
      <c r="S17" s="20" t="s">
        <v>87</v>
      </c>
      <c r="T17" s="20" t="s">
        <v>88</v>
      </c>
      <c r="U17" s="20" t="s">
        <v>90</v>
      </c>
      <c r="V17" s="20" t="s">
        <v>91</v>
      </c>
      <c r="W17" s="20" t="s">
        <v>92</v>
      </c>
      <c r="X17" s="20" t="s">
        <v>94</v>
      </c>
      <c r="Y17" s="20" t="s">
        <v>95</v>
      </c>
      <c r="Z17" s="20" t="s">
        <v>96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ht="14.25" customHeight="1">
      <c r="A18" s="7" t="s">
        <v>139</v>
      </c>
      <c r="B18" s="7"/>
      <c r="C18" s="30" t="str">
        <f t="shared" ref="C18:C20" si="12">TEXT(D18,"0000000")</f>
        <v>2314824</v>
      </c>
      <c r="D18" s="31">
        <v>2314824.0</v>
      </c>
      <c r="E18" s="14" t="s">
        <v>215</v>
      </c>
      <c r="F18" s="14" t="s">
        <v>18</v>
      </c>
      <c r="G18" s="32">
        <v>7908432.0</v>
      </c>
      <c r="H18" s="32">
        <v>6408432.0</v>
      </c>
      <c r="I18" s="30">
        <v>0.0</v>
      </c>
      <c r="J18" s="30">
        <v>0.0</v>
      </c>
      <c r="K18" s="32">
        <v>209388.0</v>
      </c>
      <c r="L18" s="30">
        <v>0.0</v>
      </c>
      <c r="M18" s="30">
        <v>0.0</v>
      </c>
      <c r="N18" s="30">
        <v>0.0</v>
      </c>
      <c r="O18" s="33">
        <v>201304.0</v>
      </c>
      <c r="P18" s="32">
        <v>70385.0</v>
      </c>
      <c r="Q18" s="32">
        <v>23725.0</v>
      </c>
      <c r="R18" s="30">
        <v>0.0</v>
      </c>
      <c r="S18" s="30">
        <v>0.0</v>
      </c>
      <c r="T18" s="32">
        <v>292612.0</v>
      </c>
      <c r="U18" s="32">
        <v>1500000.0</v>
      </c>
      <c r="V18" s="30">
        <v>0.0</v>
      </c>
      <c r="W18" s="30">
        <v>0.0</v>
      </c>
      <c r="X18" s="30">
        <v>0.0</v>
      </c>
      <c r="Y18" s="30">
        <v>0.0</v>
      </c>
      <c r="Z18" s="30">
        <v>0.0</v>
      </c>
      <c r="AA18" s="7" t="str">
        <f>VLOOKUP(C18,[2]Sheet1!$B$9:$Z$1392,25,0)</f>
        <v>#ERROR!</v>
      </c>
      <c r="AB18" s="7" t="str">
        <f>VLOOKUP(C18,[2]Sheet1!$B$9:$AA$1392,26,0)</f>
        <v>#ERROR!</v>
      </c>
      <c r="AC18" s="34">
        <f t="shared" ref="AC18:AC20" si="13">SUM(G18,N18,O18,P18,Q18)-SUM(K18,L18,W18,X18)</f>
        <v>7994458</v>
      </c>
      <c r="AD18" s="35" t="str">
        <f t="shared" ref="AD18:AD20" si="14">ROUND(AC18*(AI18/(100-AI18)),0)</f>
        <v>#REF!</v>
      </c>
      <c r="AE18" s="35" t="str">
        <f t="shared" ref="AE18:AE20" si="15">AC18+AD18</f>
        <v>#REF!</v>
      </c>
      <c r="AF18" s="7" t="str">
        <f t="array" ref="AF18">INDEX('TABEL TER'!F$5:F$12,MATCH($F18,'TABEL TER'!G$5:G$12,0))</f>
        <v>TER A</v>
      </c>
      <c r="AG18" s="36" t="str">
        <f>IF($AF18="TER A",VLOOKUP($AE18,'TABEL TER'!$B$5:$D$48,3,TRUE),IF($AF18="TER B",VLOOKUP($AE18,'TABEL TER'!$B$50:$D$89,3,TRUE),IF($AF18="TER C",VLOOKUP($AE18,'TABEL TER'!$B$91:$D$131,3,TRUE))))</f>
        <v>#REF!</v>
      </c>
      <c r="AH18" s="35" t="str">
        <f t="shared" ref="AH18:AH20" si="16">ROUND(AE18*AG18,0)</f>
        <v>#REF!</v>
      </c>
      <c r="AI18" s="35" t="str">
        <f t="shared" ref="AI18:AI20" si="17">AG18*100</f>
        <v>#REF!</v>
      </c>
      <c r="AJ18" s="7" t="str">
        <f t="shared" ref="AJ18:AJ20" si="18">IF(AH18=0,"TIDAK","YA")</f>
        <v>#REF!</v>
      </c>
      <c r="AK18" s="37">
        <f t="shared" ref="AK18:AK20" si="19">P18/G18</f>
        <v>0.008899994335</v>
      </c>
      <c r="AL18" s="7"/>
      <c r="AM18" s="7"/>
      <c r="AN18" s="7"/>
      <c r="AO18" s="7"/>
      <c r="AP18" s="7"/>
      <c r="AQ18" s="7" t="str">
        <f>INDEX([1]Sheet1!$A:$K,MATCH(C18,[1]Sheet1!$A:$A,0),7)</f>
        <v>#ERROR!</v>
      </c>
      <c r="AR18" s="7" t="str">
        <f t="shared" ref="AR18:AR20" si="20">AA18=AQ18</f>
        <v>#ERROR!</v>
      </c>
    </row>
    <row r="19" ht="14.25" customHeight="1">
      <c r="A19" s="7" t="s">
        <v>139</v>
      </c>
      <c r="B19" s="7"/>
      <c r="C19" s="30" t="str">
        <f t="shared" si="12"/>
        <v>2514914</v>
      </c>
      <c r="D19" s="31">
        <v>2514914.0</v>
      </c>
      <c r="E19" s="14" t="s">
        <v>216</v>
      </c>
      <c r="F19" s="14" t="s">
        <v>18</v>
      </c>
      <c r="G19" s="32">
        <v>5288796.0</v>
      </c>
      <c r="H19" s="32">
        <v>5288796.0</v>
      </c>
      <c r="I19" s="30">
        <v>0.0</v>
      </c>
      <c r="J19" s="30">
        <v>0.0</v>
      </c>
      <c r="K19" s="32">
        <v>89496.0</v>
      </c>
      <c r="L19" s="30">
        <v>0.0</v>
      </c>
      <c r="M19" s="30">
        <v>0.0</v>
      </c>
      <c r="N19" s="30">
        <v>0.0</v>
      </c>
      <c r="O19" s="33">
        <v>0.0</v>
      </c>
      <c r="P19" s="32">
        <v>47070.0</v>
      </c>
      <c r="Q19" s="32">
        <v>15866.0</v>
      </c>
      <c r="R19" s="30">
        <v>0.0</v>
      </c>
      <c r="S19" s="30">
        <v>0.0</v>
      </c>
      <c r="T19" s="32">
        <v>195685.0</v>
      </c>
      <c r="U19" s="30">
        <v>0.0</v>
      </c>
      <c r="V19" s="30">
        <v>0.0</v>
      </c>
      <c r="W19" s="30">
        <v>0.0</v>
      </c>
      <c r="X19" s="30">
        <v>0.0</v>
      </c>
      <c r="Y19" s="30">
        <v>0.0</v>
      </c>
      <c r="Z19" s="30">
        <v>0.0</v>
      </c>
      <c r="AA19" s="7" t="str">
        <f>VLOOKUP(C19,[2]Sheet1!$B$9:$Z$1392,25,0)</f>
        <v>#ERROR!</v>
      </c>
      <c r="AB19" s="7" t="str">
        <f>VLOOKUP(C19,[2]Sheet1!$B$9:$AA$1392,26,0)</f>
        <v>#ERROR!</v>
      </c>
      <c r="AC19" s="34">
        <f t="shared" si="13"/>
        <v>5262236</v>
      </c>
      <c r="AD19" s="35" t="str">
        <f t="shared" si="14"/>
        <v>#REF!</v>
      </c>
      <c r="AE19" s="35" t="str">
        <f t="shared" si="15"/>
        <v>#REF!</v>
      </c>
      <c r="AF19" s="7" t="str">
        <f t="array" ref="AF19">INDEX('TABEL TER'!F$5:F$12,MATCH($F19,'TABEL TER'!G$5:G$12,0))</f>
        <v>TER A</v>
      </c>
      <c r="AG19" s="36" t="str">
        <f>IF($AF19="TER A",VLOOKUP($AE19,'TABEL TER'!$B$5:$D$48,3,TRUE),IF($AF19="TER B",VLOOKUP($AE19,'TABEL TER'!$B$50:$D$89,3,TRUE),IF($AF19="TER C",VLOOKUP($AE19,'TABEL TER'!$B$91:$D$131,3,TRUE))))</f>
        <v>#REF!</v>
      </c>
      <c r="AH19" s="35" t="str">
        <f t="shared" si="16"/>
        <v>#REF!</v>
      </c>
      <c r="AI19" s="35" t="str">
        <f t="shared" si="17"/>
        <v>#REF!</v>
      </c>
      <c r="AJ19" s="7" t="str">
        <f t="shared" si="18"/>
        <v>#REF!</v>
      </c>
      <c r="AK19" s="37">
        <f t="shared" si="19"/>
        <v>0.008899946226</v>
      </c>
      <c r="AL19" s="7"/>
      <c r="AM19" s="7"/>
      <c r="AN19" s="7"/>
      <c r="AO19" s="7"/>
      <c r="AP19" s="7"/>
      <c r="AQ19" s="7" t="str">
        <f>INDEX([1]Sheet1!$A:$K,MATCH(C19,[1]Sheet1!$A:$A,0),7)</f>
        <v>#ERROR!</v>
      </c>
      <c r="AR19" s="7" t="str">
        <f t="shared" si="20"/>
        <v>#ERROR!</v>
      </c>
    </row>
    <row r="20" ht="14.25" customHeight="1">
      <c r="A20" s="7" t="s">
        <v>139</v>
      </c>
      <c r="B20" s="7"/>
      <c r="C20" s="30" t="str">
        <f t="shared" si="12"/>
        <v>2314851</v>
      </c>
      <c r="D20" s="31">
        <v>2314851.0</v>
      </c>
      <c r="E20" s="14" t="s">
        <v>217</v>
      </c>
      <c r="F20" s="14" t="s">
        <v>32</v>
      </c>
      <c r="G20" s="32">
        <v>5676999.0</v>
      </c>
      <c r="H20" s="32">
        <v>5676999.0</v>
      </c>
      <c r="I20" s="30">
        <v>0.0</v>
      </c>
      <c r="J20" s="30">
        <v>0.0</v>
      </c>
      <c r="K20" s="30">
        <v>0.0</v>
      </c>
      <c r="L20" s="30">
        <v>0.0</v>
      </c>
      <c r="M20" s="30">
        <v>0.0</v>
      </c>
      <c r="N20" s="30">
        <v>0.0</v>
      </c>
      <c r="O20" s="33">
        <v>201304.0</v>
      </c>
      <c r="P20" s="32">
        <v>50525.0</v>
      </c>
      <c r="Q20" s="32">
        <v>17031.0</v>
      </c>
      <c r="R20" s="30">
        <v>0.0</v>
      </c>
      <c r="S20" s="30">
        <v>0.0</v>
      </c>
      <c r="T20" s="32">
        <v>210049.0</v>
      </c>
      <c r="U20" s="30">
        <v>0.0</v>
      </c>
      <c r="V20" s="30">
        <v>0.0</v>
      </c>
      <c r="W20" s="30">
        <v>0.0</v>
      </c>
      <c r="X20" s="30">
        <v>0.0</v>
      </c>
      <c r="Y20" s="30">
        <v>0.0</v>
      </c>
      <c r="Z20" s="30">
        <v>0.0</v>
      </c>
      <c r="AA20" s="7" t="str">
        <f>VLOOKUP(C20,[2]Sheet1!$B$9:$Z$1392,25,0)</f>
        <v>#ERROR!</v>
      </c>
      <c r="AB20" s="7" t="str">
        <f>VLOOKUP(C20,[2]Sheet1!$B$9:$AA$1392,26,0)</f>
        <v>#ERROR!</v>
      </c>
      <c r="AC20" s="34">
        <f t="shared" si="13"/>
        <v>5945859</v>
      </c>
      <c r="AD20" s="35" t="str">
        <f t="shared" si="14"/>
        <v>#REF!</v>
      </c>
      <c r="AE20" s="35" t="str">
        <f t="shared" si="15"/>
        <v>#REF!</v>
      </c>
      <c r="AF20" s="7" t="str">
        <f t="array" ref="AF20">INDEX('TABEL TER'!F$5:F$12,MATCH($F20,'TABEL TER'!G$5:G$12,0))</f>
        <v>TER B</v>
      </c>
      <c r="AG20" s="36" t="str">
        <f>IF($AF20="TER A",VLOOKUP($AE20,'TABEL TER'!$B$5:$D$48,3,TRUE),IF($AF20="TER B",VLOOKUP($AE20,'TABEL TER'!$B$50:$D$89,3,TRUE),IF($AF20="TER C",VLOOKUP($AE20,'TABEL TER'!$B$91:$D$131,3,TRUE))))</f>
        <v>#REF!</v>
      </c>
      <c r="AH20" s="35" t="str">
        <f t="shared" si="16"/>
        <v>#REF!</v>
      </c>
      <c r="AI20" s="35" t="str">
        <f t="shared" si="17"/>
        <v>#REF!</v>
      </c>
      <c r="AJ20" s="7" t="str">
        <f t="shared" si="18"/>
        <v>#REF!</v>
      </c>
      <c r="AK20" s="37">
        <f t="shared" si="19"/>
        <v>0.008899948723</v>
      </c>
      <c r="AL20" s="7"/>
      <c r="AM20" s="7"/>
      <c r="AN20" s="7"/>
      <c r="AO20" s="7"/>
      <c r="AP20" s="7"/>
      <c r="AQ20" s="7" t="str">
        <f>INDEX([1]Sheet1!$A:$K,MATCH(C20,[1]Sheet1!$A:$A,0),7)</f>
        <v>#ERROR!</v>
      </c>
      <c r="AR20" s="7" t="str">
        <f t="shared" si="20"/>
        <v>#ERROR!</v>
      </c>
    </row>
    <row r="21" ht="14.25" customHeight="1">
      <c r="A21" s="7"/>
      <c r="B21" s="7"/>
      <c r="C21" s="7" t="s">
        <v>218</v>
      </c>
      <c r="D21" s="7"/>
      <c r="E21" s="7"/>
      <c r="F21" s="7"/>
      <c r="G21" s="32">
        <v>1.8874227E7</v>
      </c>
      <c r="H21" s="32">
        <v>1.7374227E7</v>
      </c>
      <c r="I21" s="30">
        <v>0.0</v>
      </c>
      <c r="J21" s="30">
        <v>0.0</v>
      </c>
      <c r="K21" s="32">
        <v>298884.0</v>
      </c>
      <c r="L21" s="30">
        <v>0.0</v>
      </c>
      <c r="M21" s="30">
        <v>0.0</v>
      </c>
      <c r="N21" s="30">
        <v>0.0</v>
      </c>
      <c r="O21" s="38">
        <f t="shared" ref="O21:Q21" si="21">SUM(O18:O20)</f>
        <v>402608</v>
      </c>
      <c r="P21" s="39">
        <f t="shared" si="21"/>
        <v>167980</v>
      </c>
      <c r="Q21" s="39">
        <f t="shared" si="21"/>
        <v>56622</v>
      </c>
      <c r="R21" s="30">
        <v>0.0</v>
      </c>
      <c r="S21" s="30">
        <v>0.0</v>
      </c>
      <c r="T21" s="32">
        <v>698346.0</v>
      </c>
      <c r="U21" s="32">
        <v>1500000.0</v>
      </c>
      <c r="V21" s="30">
        <v>0.0</v>
      </c>
      <c r="W21" s="30">
        <v>0.0</v>
      </c>
      <c r="X21" s="30">
        <v>0.0</v>
      </c>
      <c r="Y21" s="30">
        <v>0.0</v>
      </c>
      <c r="Z21" s="30">
        <v>0.0</v>
      </c>
      <c r="AA21" s="7"/>
      <c r="AB21" s="7"/>
      <c r="AC21" s="38">
        <f t="shared" ref="AC21:AE21" si="22">SUM(AC18:AC20)</f>
        <v>19202553</v>
      </c>
      <c r="AD21" s="38" t="str">
        <f t="shared" si="22"/>
        <v>#REF!</v>
      </c>
      <c r="AE21" s="38" t="str">
        <f t="shared" si="22"/>
        <v>#REF!</v>
      </c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ht="14.25" customHeight="1">
      <c r="A22" s="7"/>
      <c r="B22" s="7"/>
      <c r="C22" s="7" t="s">
        <v>219</v>
      </c>
      <c r="D22" s="7"/>
      <c r="E22" s="7"/>
      <c r="F22" s="7"/>
      <c r="G22" s="32">
        <v>3.0216537E7</v>
      </c>
      <c r="H22" s="32">
        <v>2.8716537E7</v>
      </c>
      <c r="I22" s="30">
        <v>0.0</v>
      </c>
      <c r="J22" s="30">
        <v>0.0</v>
      </c>
      <c r="K22" s="32">
        <v>298884.0</v>
      </c>
      <c r="L22" s="30">
        <v>0.0</v>
      </c>
      <c r="M22" s="30">
        <v>0.0</v>
      </c>
      <c r="N22" s="30">
        <v>0.0</v>
      </c>
      <c r="O22" s="32">
        <v>997110.0</v>
      </c>
      <c r="P22" s="32">
        <v>268927.0</v>
      </c>
      <c r="Q22" s="32">
        <v>90650.0</v>
      </c>
      <c r="R22" s="30">
        <v>0.0</v>
      </c>
      <c r="S22" s="30">
        <v>0.0</v>
      </c>
      <c r="T22" s="32">
        <v>1118012.0</v>
      </c>
      <c r="U22" s="32">
        <v>1500000.0</v>
      </c>
      <c r="V22" s="30">
        <v>0.0</v>
      </c>
      <c r="W22" s="30">
        <v>0.0</v>
      </c>
      <c r="X22" s="30">
        <v>0.0</v>
      </c>
      <c r="Y22" s="30">
        <v>0.0</v>
      </c>
      <c r="Z22" s="30">
        <v>0.0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ht="14.25" customHeight="1">
      <c r="A23" s="7"/>
      <c r="B23" s="7"/>
      <c r="C23" s="7"/>
      <c r="D23" s="7"/>
      <c r="E23" s="7"/>
      <c r="F23" s="7"/>
      <c r="G23" s="32">
        <v>3.0216537E7</v>
      </c>
      <c r="H23" s="32">
        <v>2.8716537E7</v>
      </c>
      <c r="I23" s="30">
        <v>0.0</v>
      </c>
      <c r="J23" s="30">
        <v>0.0</v>
      </c>
      <c r="K23" s="32">
        <v>298884.0</v>
      </c>
      <c r="L23" s="30">
        <v>0.0</v>
      </c>
      <c r="M23" s="30">
        <v>0.0</v>
      </c>
      <c r="N23" s="30">
        <v>0.0</v>
      </c>
      <c r="O23" s="32">
        <v>997110.0</v>
      </c>
      <c r="P23" s="32">
        <v>268927.0</v>
      </c>
      <c r="Q23" s="32">
        <v>90650.0</v>
      </c>
      <c r="R23" s="30">
        <v>0.0</v>
      </c>
      <c r="S23" s="30">
        <v>0.0</v>
      </c>
      <c r="T23" s="32">
        <v>1118012.0</v>
      </c>
      <c r="U23" s="32">
        <v>1500000.0</v>
      </c>
      <c r="V23" s="30">
        <v>0.0</v>
      </c>
      <c r="W23" s="30">
        <v>0.0</v>
      </c>
      <c r="X23" s="30">
        <v>0.0</v>
      </c>
      <c r="Y23" s="30">
        <v>0.0</v>
      </c>
      <c r="Z23" s="30">
        <v>0.0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ht="14.25" customHeight="1">
      <c r="A24" s="5"/>
      <c r="B24" s="5"/>
      <c r="C24" s="7" t="s">
        <v>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 t="s">
        <v>8</v>
      </c>
      <c r="Q24" s="7" t="s">
        <v>10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4" t="s">
        <v>20</v>
      </c>
      <c r="Q25" s="16">
        <v>2.0</v>
      </c>
      <c r="R25" s="14" t="s">
        <v>21</v>
      </c>
      <c r="S25" s="16">
        <v>3.0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ht="14.25" customHeight="1">
      <c r="A26" s="7"/>
      <c r="B26" s="7"/>
      <c r="C26" s="18" t="s">
        <v>26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ht="14.25" customHeight="1">
      <c r="A27" s="7"/>
      <c r="B27" s="7"/>
      <c r="C27" s="18" t="s">
        <v>31</v>
      </c>
      <c r="D27" s="18"/>
      <c r="E27" s="18"/>
      <c r="F27" s="18"/>
      <c r="G27" s="1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ht="14.25" customHeight="1">
      <c r="A30" s="7"/>
      <c r="B30" s="7"/>
      <c r="C30" s="7" t="s">
        <v>220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ht="14.25" customHeight="1">
      <c r="A31" s="7"/>
      <c r="B31" s="7"/>
      <c r="C31" s="7" t="s">
        <v>57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ht="14.25" customHeight="1">
      <c r="A32" s="7"/>
      <c r="B32" s="7"/>
      <c r="C32" s="20" t="s">
        <v>66</v>
      </c>
      <c r="D32" s="20" t="s">
        <v>67</v>
      </c>
      <c r="E32" s="20" t="s">
        <v>69</v>
      </c>
      <c r="F32" s="7"/>
      <c r="G32" s="20" t="s">
        <v>71</v>
      </c>
      <c r="H32" s="20" t="s">
        <v>72</v>
      </c>
      <c r="I32" s="20" t="s">
        <v>75</v>
      </c>
      <c r="J32" s="20" t="s">
        <v>76</v>
      </c>
      <c r="K32" s="20" t="s">
        <v>77</v>
      </c>
      <c r="L32" s="20" t="s">
        <v>79</v>
      </c>
      <c r="M32" s="20" t="s">
        <v>80</v>
      </c>
      <c r="N32" s="20" t="s">
        <v>81</v>
      </c>
      <c r="O32" s="20" t="s">
        <v>82</v>
      </c>
      <c r="P32" s="20" t="s">
        <v>83</v>
      </c>
      <c r="Q32" s="20" t="s">
        <v>85</v>
      </c>
      <c r="R32" s="20" t="s">
        <v>86</v>
      </c>
      <c r="S32" s="20" t="s">
        <v>87</v>
      </c>
      <c r="T32" s="20" t="s">
        <v>88</v>
      </c>
      <c r="U32" s="20" t="s">
        <v>90</v>
      </c>
      <c r="V32" s="20" t="s">
        <v>91</v>
      </c>
      <c r="W32" s="20" t="s">
        <v>92</v>
      </c>
      <c r="X32" s="20" t="s">
        <v>94</v>
      </c>
      <c r="Y32" s="20" t="s">
        <v>95</v>
      </c>
      <c r="Z32" s="20" t="s">
        <v>96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ht="14.25" customHeight="1">
      <c r="A33" s="7" t="s">
        <v>139</v>
      </c>
      <c r="B33" s="7"/>
      <c r="C33" s="30" t="str">
        <f t="shared" ref="C33:C38" si="23">TEXT(D33,"0000000")</f>
        <v>1714833</v>
      </c>
      <c r="D33" s="31">
        <v>1714833.0</v>
      </c>
      <c r="E33" s="14" t="s">
        <v>221</v>
      </c>
      <c r="F33" s="14" t="s">
        <v>18</v>
      </c>
      <c r="G33" s="32">
        <v>5424796.0</v>
      </c>
      <c r="H33" s="32">
        <v>5424796.0</v>
      </c>
      <c r="I33" s="30">
        <v>0.0</v>
      </c>
      <c r="J33" s="30">
        <v>0.0</v>
      </c>
      <c r="K33" s="30">
        <v>0.0</v>
      </c>
      <c r="L33" s="30">
        <v>0.0</v>
      </c>
      <c r="M33" s="30">
        <v>0.0</v>
      </c>
      <c r="N33" s="30">
        <v>0.0</v>
      </c>
      <c r="O33" s="33">
        <v>201304.0</v>
      </c>
      <c r="P33" s="32">
        <v>48281.0</v>
      </c>
      <c r="Q33" s="32">
        <v>16274.0</v>
      </c>
      <c r="R33" s="30">
        <v>0.0</v>
      </c>
      <c r="S33" s="30">
        <v>0.0</v>
      </c>
      <c r="T33" s="32">
        <v>200717.0</v>
      </c>
      <c r="U33" s="30">
        <v>0.0</v>
      </c>
      <c r="V33" s="30">
        <v>0.0</v>
      </c>
      <c r="W33" s="30">
        <v>0.0</v>
      </c>
      <c r="X33" s="30">
        <v>0.0</v>
      </c>
      <c r="Y33" s="30">
        <v>0.0</v>
      </c>
      <c r="Z33" s="30">
        <v>0.0</v>
      </c>
      <c r="AA33" s="7" t="str">
        <f>VLOOKUP(C33,[2]Sheet1!$B$9:$Z$1392,25,0)</f>
        <v>#ERROR!</v>
      </c>
      <c r="AB33" s="7" t="str">
        <f>VLOOKUP(C33,[2]Sheet1!$B$9:$AA$1392,26,0)</f>
        <v>#ERROR!</v>
      </c>
      <c r="AC33" s="34">
        <f t="shared" ref="AC33:AC38" si="24">SUM(G33,N33,O33,P33,Q33)-SUM(K33,L33,W33,X33)</f>
        <v>5690655</v>
      </c>
      <c r="AD33" s="35" t="str">
        <f t="shared" ref="AD33:AD38" si="25">ROUND(AC33*(AI33/(100-AI33)),0)</f>
        <v>#REF!</v>
      </c>
      <c r="AE33" s="35" t="str">
        <f t="shared" ref="AE33:AE38" si="26">AC33+AD33</f>
        <v>#REF!</v>
      </c>
      <c r="AF33" s="7" t="str">
        <f t="array" ref="AF33">INDEX('TABEL TER'!F$5:F$12,MATCH($F33,'TABEL TER'!G$5:G$12,0))</f>
        <v>TER A</v>
      </c>
      <c r="AG33" s="36" t="str">
        <f>IF($AF33="TER A",VLOOKUP($AE33,'TABEL TER'!$B$5:$D$48,3,TRUE),IF($AF33="TER B",VLOOKUP($AE33,'TABEL TER'!$B$50:$D$89,3,TRUE),IF($AF33="TER C",VLOOKUP($AE33,'TABEL TER'!$B$91:$D$131,3,TRUE))))</f>
        <v>#REF!</v>
      </c>
      <c r="AH33" s="35" t="str">
        <f t="shared" ref="AH33:AH38" si="27">ROUND(AE33*AG33,0)</f>
        <v>#REF!</v>
      </c>
      <c r="AI33" s="35" t="str">
        <f t="shared" ref="AI33:AI38" si="28">AG33*100</f>
        <v>#REF!</v>
      </c>
      <c r="AJ33" s="7" t="str">
        <f t="shared" ref="AJ33:AJ38" si="29">IF(AH33=0,"TIDAK","YA")</f>
        <v>#REF!</v>
      </c>
      <c r="AK33" s="37">
        <f t="shared" ref="AK33:AK38" si="30">P33/G33</f>
        <v>0.008900058177</v>
      </c>
      <c r="AL33" s="7"/>
      <c r="AM33" s="7"/>
      <c r="AN33" s="7"/>
      <c r="AO33" s="7"/>
      <c r="AP33" s="7"/>
      <c r="AQ33" s="7" t="str">
        <f>INDEX([1]Sheet1!$A:$K,MATCH(C33,[1]Sheet1!$A:$A,0),7)</f>
        <v>#ERROR!</v>
      </c>
      <c r="AR33" s="7" t="str">
        <f t="shared" ref="AR33:AR38" si="31">AA33=AQ33</f>
        <v>#ERROR!</v>
      </c>
    </row>
    <row r="34" ht="14.25" customHeight="1">
      <c r="A34" s="7" t="s">
        <v>139</v>
      </c>
      <c r="B34" s="7"/>
      <c r="C34" s="30" t="str">
        <f t="shared" si="23"/>
        <v>0914834</v>
      </c>
      <c r="D34" s="20" t="s">
        <v>222</v>
      </c>
      <c r="E34" s="14" t="s">
        <v>223</v>
      </c>
      <c r="F34" s="14" t="s">
        <v>32</v>
      </c>
      <c r="G34" s="32">
        <v>5288796.0</v>
      </c>
      <c r="H34" s="32">
        <v>5038796.0</v>
      </c>
      <c r="I34" s="30">
        <v>0.0</v>
      </c>
      <c r="J34" s="30">
        <v>0.0</v>
      </c>
      <c r="K34" s="30">
        <v>0.0</v>
      </c>
      <c r="L34" s="30">
        <v>0.0</v>
      </c>
      <c r="M34" s="30">
        <v>0.0</v>
      </c>
      <c r="N34" s="30">
        <v>0.0</v>
      </c>
      <c r="O34" s="33">
        <v>201304.0</v>
      </c>
      <c r="P34" s="32">
        <v>47070.0</v>
      </c>
      <c r="Q34" s="32">
        <v>15866.0</v>
      </c>
      <c r="R34" s="30">
        <v>0.0</v>
      </c>
      <c r="S34" s="30">
        <v>0.0</v>
      </c>
      <c r="T34" s="32">
        <v>195685.0</v>
      </c>
      <c r="U34" s="32">
        <v>250000.0</v>
      </c>
      <c r="V34" s="30">
        <v>0.0</v>
      </c>
      <c r="W34" s="30">
        <v>0.0</v>
      </c>
      <c r="X34" s="30">
        <v>0.0</v>
      </c>
      <c r="Y34" s="30">
        <v>0.0</v>
      </c>
      <c r="Z34" s="30">
        <v>0.0</v>
      </c>
      <c r="AA34" s="7" t="str">
        <f>VLOOKUP(C34,[2]Sheet1!$B$9:$Z$1392,25,0)</f>
        <v>#ERROR!</v>
      </c>
      <c r="AB34" s="7" t="str">
        <f>VLOOKUP(C34,[2]Sheet1!$B$9:$AA$1392,26,0)</f>
        <v>#ERROR!</v>
      </c>
      <c r="AC34" s="34">
        <f t="shared" si="24"/>
        <v>5553036</v>
      </c>
      <c r="AD34" s="35" t="str">
        <f t="shared" si="25"/>
        <v>#REF!</v>
      </c>
      <c r="AE34" s="35" t="str">
        <f t="shared" si="26"/>
        <v>#REF!</v>
      </c>
      <c r="AF34" s="7" t="str">
        <f t="array" ref="AF34">INDEX('TABEL TER'!F$5:F$12,MATCH($F34,'TABEL TER'!G$5:G$12,0))</f>
        <v>TER B</v>
      </c>
      <c r="AG34" s="36" t="str">
        <f>IF($AF34="TER A",VLOOKUP($AE34,'TABEL TER'!$B$5:$D$48,3,TRUE),IF($AF34="TER B",VLOOKUP($AE34,'TABEL TER'!$B$50:$D$89,3,TRUE),IF($AF34="TER C",VLOOKUP($AE34,'TABEL TER'!$B$91:$D$131,3,TRUE))))</f>
        <v>#REF!</v>
      </c>
      <c r="AH34" s="35" t="str">
        <f t="shared" si="27"/>
        <v>#REF!</v>
      </c>
      <c r="AI34" s="35" t="str">
        <f t="shared" si="28"/>
        <v>#REF!</v>
      </c>
      <c r="AJ34" s="7" t="str">
        <f t="shared" si="29"/>
        <v>#REF!</v>
      </c>
      <c r="AK34" s="37">
        <f t="shared" si="30"/>
        <v>0.008899946226</v>
      </c>
      <c r="AL34" s="7"/>
      <c r="AM34" s="7"/>
      <c r="AN34" s="7"/>
      <c r="AO34" s="7"/>
      <c r="AP34" s="7"/>
      <c r="AQ34" s="7" t="str">
        <f>INDEX([1]Sheet1!$A:$K,MATCH(C34,[1]Sheet1!$A:$A,0),7)</f>
        <v>#ERROR!</v>
      </c>
      <c r="AR34" s="7" t="str">
        <f t="shared" si="31"/>
        <v>#ERROR!</v>
      </c>
    </row>
    <row r="35" ht="14.25" customHeight="1">
      <c r="A35" s="7" t="s">
        <v>139</v>
      </c>
      <c r="B35" s="7"/>
      <c r="C35" s="30" t="str">
        <f t="shared" si="23"/>
        <v>1714837</v>
      </c>
      <c r="D35" s="31">
        <v>1714837.0</v>
      </c>
      <c r="E35" s="14" t="s">
        <v>224</v>
      </c>
      <c r="F35" s="14" t="s">
        <v>41</v>
      </c>
      <c r="G35" s="32">
        <v>5288796.0</v>
      </c>
      <c r="H35" s="32">
        <v>5288796.0</v>
      </c>
      <c r="I35" s="30">
        <v>0.0</v>
      </c>
      <c r="J35" s="30">
        <v>0.0</v>
      </c>
      <c r="K35" s="30">
        <v>0.0</v>
      </c>
      <c r="L35" s="30">
        <v>0.0</v>
      </c>
      <c r="M35" s="30">
        <v>0.0</v>
      </c>
      <c r="N35" s="30">
        <v>0.0</v>
      </c>
      <c r="O35" s="33">
        <v>201304.0</v>
      </c>
      <c r="P35" s="32">
        <v>47070.0</v>
      </c>
      <c r="Q35" s="32">
        <v>15866.0</v>
      </c>
      <c r="R35" s="30">
        <v>0.0</v>
      </c>
      <c r="S35" s="30">
        <v>0.0</v>
      </c>
      <c r="T35" s="32">
        <v>195685.0</v>
      </c>
      <c r="U35" s="30">
        <v>0.0</v>
      </c>
      <c r="V35" s="30">
        <v>0.0</v>
      </c>
      <c r="W35" s="30">
        <v>0.0</v>
      </c>
      <c r="X35" s="30">
        <v>0.0</v>
      </c>
      <c r="Y35" s="30">
        <v>0.0</v>
      </c>
      <c r="Z35" s="30">
        <v>0.0</v>
      </c>
      <c r="AA35" s="7" t="str">
        <f>VLOOKUP(C35,[2]Sheet1!$B$9:$Z$1392,25,0)</f>
        <v>#ERROR!</v>
      </c>
      <c r="AB35" s="7" t="str">
        <f>VLOOKUP(C35,[2]Sheet1!$B$9:$AA$1392,26,0)</f>
        <v>#ERROR!</v>
      </c>
      <c r="AC35" s="34">
        <f t="shared" si="24"/>
        <v>5553036</v>
      </c>
      <c r="AD35" s="35" t="str">
        <f t="shared" si="25"/>
        <v>#REF!</v>
      </c>
      <c r="AE35" s="35" t="str">
        <f t="shared" si="26"/>
        <v>#REF!</v>
      </c>
      <c r="AF35" s="7" t="str">
        <f t="array" ref="AF35">INDEX('TABEL TER'!F$5:F$12,MATCH($F35,'TABEL TER'!G$5:G$12,0))</f>
        <v>TER B</v>
      </c>
      <c r="AG35" s="36" t="str">
        <f>IF($AF35="TER A",VLOOKUP($AE35,'TABEL TER'!$B$5:$D$48,3,TRUE),IF($AF35="TER B",VLOOKUP($AE35,'TABEL TER'!$B$50:$D$89,3,TRUE),IF($AF35="TER C",VLOOKUP($AE35,'TABEL TER'!$B$91:$D$131,3,TRUE))))</f>
        <v>#REF!</v>
      </c>
      <c r="AH35" s="35" t="str">
        <f t="shared" si="27"/>
        <v>#REF!</v>
      </c>
      <c r="AI35" s="35" t="str">
        <f t="shared" si="28"/>
        <v>#REF!</v>
      </c>
      <c r="AJ35" s="7" t="str">
        <f t="shared" si="29"/>
        <v>#REF!</v>
      </c>
      <c r="AK35" s="37">
        <f t="shared" si="30"/>
        <v>0.008899946226</v>
      </c>
      <c r="AL35" s="7"/>
      <c r="AM35" s="7"/>
      <c r="AN35" s="7"/>
      <c r="AO35" s="7"/>
      <c r="AP35" s="7"/>
      <c r="AQ35" s="7" t="str">
        <f>INDEX([1]Sheet1!$A:$K,MATCH(C35,[1]Sheet1!$A:$A,0),7)</f>
        <v>#ERROR!</v>
      </c>
      <c r="AR35" s="7" t="str">
        <f t="shared" si="31"/>
        <v>#ERROR!</v>
      </c>
    </row>
    <row r="36" ht="14.25" customHeight="1">
      <c r="A36" s="7" t="s">
        <v>139</v>
      </c>
      <c r="B36" s="7"/>
      <c r="C36" s="30" t="str">
        <f t="shared" si="23"/>
        <v>0814830</v>
      </c>
      <c r="D36" s="20" t="s">
        <v>225</v>
      </c>
      <c r="E36" s="14" t="s">
        <v>226</v>
      </c>
      <c r="F36" s="14" t="s">
        <v>41</v>
      </c>
      <c r="G36" s="32">
        <v>4271179.0</v>
      </c>
      <c r="H36" s="32">
        <v>3771179.0</v>
      </c>
      <c r="I36" s="30">
        <v>0.0</v>
      </c>
      <c r="J36" s="30">
        <v>0.0</v>
      </c>
      <c r="K36" s="30">
        <v>0.0</v>
      </c>
      <c r="L36" s="30">
        <v>0.0</v>
      </c>
      <c r="M36" s="30">
        <v>0.0</v>
      </c>
      <c r="N36" s="30">
        <v>0.0</v>
      </c>
      <c r="O36" s="33">
        <v>198472.0</v>
      </c>
      <c r="P36" s="32">
        <v>38013.0</v>
      </c>
      <c r="Q36" s="32">
        <v>12814.0</v>
      </c>
      <c r="R36" s="30">
        <v>0.0</v>
      </c>
      <c r="S36" s="30">
        <v>0.0</v>
      </c>
      <c r="T36" s="32">
        <v>158034.0</v>
      </c>
      <c r="U36" s="32">
        <v>500000.0</v>
      </c>
      <c r="V36" s="30">
        <v>0.0</v>
      </c>
      <c r="W36" s="30">
        <v>0.0</v>
      </c>
      <c r="X36" s="30">
        <v>0.0</v>
      </c>
      <c r="Y36" s="30">
        <v>0.0</v>
      </c>
      <c r="Z36" s="30">
        <v>0.0</v>
      </c>
      <c r="AA36" s="7" t="str">
        <f>VLOOKUP(C36,[2]Sheet1!$B$9:$Z$1392,25,0)</f>
        <v>#ERROR!</v>
      </c>
      <c r="AB36" s="7" t="str">
        <f>VLOOKUP(C36,[2]Sheet1!$B$9:$AA$1392,26,0)</f>
        <v>#ERROR!</v>
      </c>
      <c r="AC36" s="34">
        <f t="shared" si="24"/>
        <v>4520478</v>
      </c>
      <c r="AD36" s="35" t="str">
        <f t="shared" si="25"/>
        <v>#REF!</v>
      </c>
      <c r="AE36" s="35" t="str">
        <f t="shared" si="26"/>
        <v>#REF!</v>
      </c>
      <c r="AF36" s="7" t="str">
        <f t="array" ref="AF36">INDEX('TABEL TER'!F$5:F$12,MATCH($F36,'TABEL TER'!G$5:G$12,0))</f>
        <v>TER B</v>
      </c>
      <c r="AG36" s="36" t="str">
        <f>IF($AF36="TER A",VLOOKUP($AE36,'TABEL TER'!$B$5:$D$48,3,TRUE),IF($AF36="TER B",VLOOKUP($AE36,'TABEL TER'!$B$50:$D$89,3,TRUE),IF($AF36="TER C",VLOOKUP($AE36,'TABEL TER'!$B$91:$D$131,3,TRUE))))</f>
        <v>#REF!</v>
      </c>
      <c r="AH36" s="35" t="str">
        <f t="shared" si="27"/>
        <v>#REF!</v>
      </c>
      <c r="AI36" s="35" t="str">
        <f t="shared" si="28"/>
        <v>#REF!</v>
      </c>
      <c r="AJ36" s="7" t="str">
        <f t="shared" si="29"/>
        <v>#REF!</v>
      </c>
      <c r="AK36" s="37">
        <f t="shared" si="30"/>
        <v>0.008899884552</v>
      </c>
      <c r="AL36" s="7"/>
      <c r="AM36" s="7"/>
      <c r="AN36" s="7"/>
      <c r="AO36" s="7"/>
      <c r="AP36" s="7"/>
      <c r="AQ36" s="7" t="str">
        <f>INDEX([1]Sheet1!$A:$K,MATCH(C36,[1]Sheet1!$A:$A,0),7)</f>
        <v>#ERROR!</v>
      </c>
      <c r="AR36" s="7" t="str">
        <f t="shared" si="31"/>
        <v>#ERROR!</v>
      </c>
    </row>
    <row r="37" ht="14.25" customHeight="1">
      <c r="A37" s="7" t="s">
        <v>139</v>
      </c>
      <c r="B37" s="7"/>
      <c r="C37" s="30" t="str">
        <f t="shared" si="23"/>
        <v>1914840</v>
      </c>
      <c r="D37" s="31">
        <v>1914840.0</v>
      </c>
      <c r="E37" s="14" t="s">
        <v>227</v>
      </c>
      <c r="F37" s="14" t="s">
        <v>18</v>
      </c>
      <c r="G37" s="32">
        <v>3012197.0</v>
      </c>
      <c r="H37" s="32">
        <v>3012197.0</v>
      </c>
      <c r="I37" s="30">
        <v>0.0</v>
      </c>
      <c r="J37" s="30">
        <v>0.0</v>
      </c>
      <c r="K37" s="30">
        <v>0.0</v>
      </c>
      <c r="L37" s="30">
        <v>0.0</v>
      </c>
      <c r="M37" s="30">
        <v>0.0</v>
      </c>
      <c r="N37" s="30">
        <v>0.0</v>
      </c>
      <c r="O37" s="33">
        <v>113544.0</v>
      </c>
      <c r="P37" s="32">
        <v>26809.0</v>
      </c>
      <c r="Q37" s="32">
        <v>9037.0</v>
      </c>
      <c r="R37" s="30">
        <v>0.0</v>
      </c>
      <c r="S37" s="30">
        <v>0.0</v>
      </c>
      <c r="T37" s="32">
        <v>111451.0</v>
      </c>
      <c r="U37" s="30">
        <v>0.0</v>
      </c>
      <c r="V37" s="30">
        <v>0.0</v>
      </c>
      <c r="W37" s="30">
        <v>0.0</v>
      </c>
      <c r="X37" s="30">
        <v>0.0</v>
      </c>
      <c r="Y37" s="30">
        <v>0.0</v>
      </c>
      <c r="Z37" s="30">
        <v>0.0</v>
      </c>
      <c r="AA37" s="7" t="str">
        <f>VLOOKUP(C37,[2]Sheet1!$B$9:$Z$1392,25,0)</f>
        <v>#ERROR!</v>
      </c>
      <c r="AB37" s="7" t="str">
        <f>VLOOKUP(C37,[2]Sheet1!$B$9:$AA$1392,26,0)</f>
        <v>#ERROR!</v>
      </c>
      <c r="AC37" s="34">
        <f t="shared" si="24"/>
        <v>3161587</v>
      </c>
      <c r="AD37" s="35" t="str">
        <f t="shared" si="25"/>
        <v>#REF!</v>
      </c>
      <c r="AE37" s="35" t="str">
        <f t="shared" si="26"/>
        <v>#REF!</v>
      </c>
      <c r="AF37" s="7" t="str">
        <f t="array" ref="AF37">INDEX('TABEL TER'!F$5:F$12,MATCH($F37,'TABEL TER'!G$5:G$12,0))</f>
        <v>TER A</v>
      </c>
      <c r="AG37" s="36" t="str">
        <f>IF($AF37="TER A",VLOOKUP($AE37,'TABEL TER'!$B$5:$D$48,3,TRUE),IF($AF37="TER B",VLOOKUP($AE37,'TABEL TER'!$B$50:$D$89,3,TRUE),IF($AF37="TER C",VLOOKUP($AE37,'TABEL TER'!$B$91:$D$131,3,TRUE))))</f>
        <v>#REF!</v>
      </c>
      <c r="AH37" s="35" t="str">
        <f t="shared" si="27"/>
        <v>#REF!</v>
      </c>
      <c r="AI37" s="35" t="str">
        <f t="shared" si="28"/>
        <v>#REF!</v>
      </c>
      <c r="AJ37" s="7" t="str">
        <f t="shared" si="29"/>
        <v>#REF!</v>
      </c>
      <c r="AK37" s="37">
        <f t="shared" si="30"/>
        <v>0.008900148297</v>
      </c>
      <c r="AL37" s="7"/>
      <c r="AM37" s="7"/>
      <c r="AN37" s="7"/>
      <c r="AO37" s="7"/>
      <c r="AP37" s="7"/>
      <c r="AQ37" s="7" t="str">
        <f>INDEX([1]Sheet1!$A:$K,MATCH(C37,[1]Sheet1!$A:$A,0),7)</f>
        <v>#ERROR!</v>
      </c>
      <c r="AR37" s="7" t="str">
        <f t="shared" si="31"/>
        <v>#ERROR!</v>
      </c>
    </row>
    <row r="38" ht="14.25" customHeight="1">
      <c r="A38" s="7" t="s">
        <v>139</v>
      </c>
      <c r="B38" s="7"/>
      <c r="C38" s="30" t="str">
        <f t="shared" si="23"/>
        <v>0614841</v>
      </c>
      <c r="D38" s="20" t="s">
        <v>228</v>
      </c>
      <c r="E38" s="14" t="s">
        <v>229</v>
      </c>
      <c r="F38" s="14" t="s">
        <v>32</v>
      </c>
      <c r="G38" s="32">
        <v>5755401.0</v>
      </c>
      <c r="H38" s="32">
        <v>5255401.0</v>
      </c>
      <c r="I38" s="30">
        <v>0.0</v>
      </c>
      <c r="J38" s="30">
        <v>0.0</v>
      </c>
      <c r="K38" s="30">
        <v>0.0</v>
      </c>
      <c r="L38" s="30">
        <v>0.0</v>
      </c>
      <c r="M38" s="30">
        <v>0.0</v>
      </c>
      <c r="N38" s="30">
        <v>0.0</v>
      </c>
      <c r="O38" s="33">
        <v>201304.0</v>
      </c>
      <c r="P38" s="32">
        <v>51223.0</v>
      </c>
      <c r="Q38" s="32">
        <v>17266.0</v>
      </c>
      <c r="R38" s="30">
        <v>0.0</v>
      </c>
      <c r="S38" s="30">
        <v>0.0</v>
      </c>
      <c r="T38" s="32">
        <v>212950.0</v>
      </c>
      <c r="U38" s="32">
        <v>500000.0</v>
      </c>
      <c r="V38" s="30">
        <v>0.0</v>
      </c>
      <c r="W38" s="30">
        <v>0.0</v>
      </c>
      <c r="X38" s="30">
        <v>0.0</v>
      </c>
      <c r="Y38" s="30">
        <v>0.0</v>
      </c>
      <c r="Z38" s="30">
        <v>0.0</v>
      </c>
      <c r="AA38" s="7" t="str">
        <f>VLOOKUP(C38,[2]Sheet1!$B$9:$Z$1392,25,0)</f>
        <v>#ERROR!</v>
      </c>
      <c r="AB38" s="7" t="str">
        <f>VLOOKUP(C38,[2]Sheet1!$B$9:$AA$1392,26,0)</f>
        <v>#ERROR!</v>
      </c>
      <c r="AC38" s="34">
        <f t="shared" si="24"/>
        <v>6025194</v>
      </c>
      <c r="AD38" s="35" t="str">
        <f t="shared" si="25"/>
        <v>#REF!</v>
      </c>
      <c r="AE38" s="35" t="str">
        <f t="shared" si="26"/>
        <v>#REF!</v>
      </c>
      <c r="AF38" s="7" t="str">
        <f t="array" ref="AF38">INDEX('TABEL TER'!F$5:F$12,MATCH($F38,'TABEL TER'!G$5:G$12,0))</f>
        <v>TER B</v>
      </c>
      <c r="AG38" s="36" t="str">
        <f>IF($AF38="TER A",VLOOKUP($AE38,'TABEL TER'!$B$5:$D$48,3,TRUE),IF($AF38="TER B",VLOOKUP($AE38,'TABEL TER'!$B$50:$D$89,3,TRUE),IF($AF38="TER C",VLOOKUP($AE38,'TABEL TER'!$B$91:$D$131,3,TRUE))))</f>
        <v>#REF!</v>
      </c>
      <c r="AH38" s="35" t="str">
        <f t="shared" si="27"/>
        <v>#REF!</v>
      </c>
      <c r="AI38" s="35" t="str">
        <f t="shared" si="28"/>
        <v>#REF!</v>
      </c>
      <c r="AJ38" s="7" t="str">
        <f t="shared" si="29"/>
        <v>#REF!</v>
      </c>
      <c r="AK38" s="37">
        <f t="shared" si="30"/>
        <v>0.008899988029</v>
      </c>
      <c r="AL38" s="7"/>
      <c r="AM38" s="7"/>
      <c r="AN38" s="7"/>
      <c r="AO38" s="7"/>
      <c r="AP38" s="7"/>
      <c r="AQ38" s="7" t="str">
        <f>INDEX([1]Sheet1!$A:$K,MATCH(C38,[1]Sheet1!$A:$A,0),7)</f>
        <v>#ERROR!</v>
      </c>
      <c r="AR38" s="7" t="str">
        <f t="shared" si="31"/>
        <v>#ERROR!</v>
      </c>
    </row>
    <row r="39" ht="14.25" customHeight="1">
      <c r="A39" s="7"/>
      <c r="B39" s="7"/>
      <c r="C39" s="7" t="s">
        <v>230</v>
      </c>
      <c r="D39" s="7"/>
      <c r="E39" s="7"/>
      <c r="F39" s="7"/>
      <c r="G39" s="32">
        <v>2.9041165E7</v>
      </c>
      <c r="H39" s="32">
        <v>2.7791165E7</v>
      </c>
      <c r="I39" s="30">
        <v>0.0</v>
      </c>
      <c r="J39" s="30">
        <v>0.0</v>
      </c>
      <c r="K39" s="30">
        <v>0.0</v>
      </c>
      <c r="L39" s="30">
        <v>0.0</v>
      </c>
      <c r="M39" s="30">
        <v>0.0</v>
      </c>
      <c r="N39" s="30">
        <v>0.0</v>
      </c>
      <c r="O39" s="38">
        <f t="shared" ref="O39:Q39" si="32">SUM(O33:O38)</f>
        <v>1117232</v>
      </c>
      <c r="P39" s="39">
        <f t="shared" si="32"/>
        <v>258466</v>
      </c>
      <c r="Q39" s="39">
        <f t="shared" si="32"/>
        <v>87123</v>
      </c>
      <c r="R39" s="30">
        <v>0.0</v>
      </c>
      <c r="S39" s="30">
        <v>0.0</v>
      </c>
      <c r="T39" s="32">
        <v>1074523.0</v>
      </c>
      <c r="U39" s="32">
        <v>1250000.0</v>
      </c>
      <c r="V39" s="30">
        <v>0.0</v>
      </c>
      <c r="W39" s="30">
        <v>0.0</v>
      </c>
      <c r="X39" s="30">
        <v>0.0</v>
      </c>
      <c r="Y39" s="30">
        <v>0.0</v>
      </c>
      <c r="Z39" s="30">
        <v>0.0</v>
      </c>
      <c r="AA39" s="7"/>
      <c r="AB39" s="7"/>
      <c r="AC39" s="38">
        <f t="shared" ref="AC39:AE39" si="33">SUM(AC33:AC38)</f>
        <v>30503986</v>
      </c>
      <c r="AD39" s="38" t="str">
        <f t="shared" si="33"/>
        <v>#REF!</v>
      </c>
      <c r="AE39" s="38" t="str">
        <f t="shared" si="33"/>
        <v>#REF!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ht="14.25" customHeight="1">
      <c r="A40" s="7"/>
      <c r="B40" s="7"/>
      <c r="C40" s="7" t="s">
        <v>231</v>
      </c>
      <c r="D40" s="7"/>
      <c r="E40" s="7"/>
      <c r="F40" s="7"/>
      <c r="G40" s="32">
        <v>2.9041165E7</v>
      </c>
      <c r="H40" s="32">
        <v>2.7791165E7</v>
      </c>
      <c r="I40" s="30">
        <v>0.0</v>
      </c>
      <c r="J40" s="30">
        <v>0.0</v>
      </c>
      <c r="K40" s="30">
        <v>0.0</v>
      </c>
      <c r="L40" s="30">
        <v>0.0</v>
      </c>
      <c r="M40" s="30">
        <v>0.0</v>
      </c>
      <c r="N40" s="30">
        <v>0.0</v>
      </c>
      <c r="O40" s="32">
        <v>1161647.0</v>
      </c>
      <c r="P40" s="32">
        <v>258466.0</v>
      </c>
      <c r="Q40" s="32">
        <v>87123.0</v>
      </c>
      <c r="R40" s="30">
        <v>0.0</v>
      </c>
      <c r="S40" s="30">
        <v>0.0</v>
      </c>
      <c r="T40" s="32">
        <v>1074523.0</v>
      </c>
      <c r="U40" s="32">
        <v>1250000.0</v>
      </c>
      <c r="V40" s="30">
        <v>0.0</v>
      </c>
      <c r="W40" s="30">
        <v>0.0</v>
      </c>
      <c r="X40" s="30">
        <v>0.0</v>
      </c>
      <c r="Y40" s="30">
        <v>0.0</v>
      </c>
      <c r="Z40" s="30">
        <v>0.0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ht="14.25" customHeight="1">
      <c r="A42" s="5"/>
      <c r="B42" s="5"/>
      <c r="C42" s="7" t="s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 t="s">
        <v>8</v>
      </c>
      <c r="Q42" s="7" t="s">
        <v>10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14" t="s">
        <v>20</v>
      </c>
      <c r="Q43" s="16">
        <v>3.0</v>
      </c>
      <c r="R43" s="14" t="s">
        <v>21</v>
      </c>
      <c r="S43" s="16">
        <v>3.0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ht="14.25" customHeight="1">
      <c r="A44" s="7"/>
      <c r="B44" s="7"/>
      <c r="C44" s="18" t="s">
        <v>26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ht="14.25" customHeight="1">
      <c r="A45" s="7"/>
      <c r="B45" s="7"/>
      <c r="C45" s="18" t="s">
        <v>31</v>
      </c>
      <c r="D45" s="18"/>
      <c r="E45" s="18"/>
      <c r="F45" s="18"/>
      <c r="G45" s="1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ht="14.25" customHeight="1">
      <c r="A48" s="7"/>
      <c r="B48" s="7"/>
      <c r="C48" s="7" t="s">
        <v>118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ht="14.25" customHeight="1">
      <c r="A49" s="7"/>
      <c r="B49" s="7"/>
      <c r="C49" s="7" t="s">
        <v>127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ht="14.25" customHeight="1">
      <c r="A50" s="7"/>
      <c r="B50" s="7"/>
      <c r="C50" s="20" t="s">
        <v>66</v>
      </c>
      <c r="D50" s="20" t="s">
        <v>67</v>
      </c>
      <c r="E50" s="20" t="s">
        <v>69</v>
      </c>
      <c r="F50" s="7"/>
      <c r="G50" s="20" t="s">
        <v>71</v>
      </c>
      <c r="H50" s="20" t="s">
        <v>72</v>
      </c>
      <c r="I50" s="20" t="s">
        <v>75</v>
      </c>
      <c r="J50" s="20" t="s">
        <v>76</v>
      </c>
      <c r="K50" s="20" t="s">
        <v>77</v>
      </c>
      <c r="L50" s="20" t="s">
        <v>79</v>
      </c>
      <c r="M50" s="20" t="s">
        <v>80</v>
      </c>
      <c r="N50" s="20" t="s">
        <v>81</v>
      </c>
      <c r="O50" s="20" t="s">
        <v>82</v>
      </c>
      <c r="P50" s="20" t="s">
        <v>83</v>
      </c>
      <c r="Q50" s="20" t="s">
        <v>85</v>
      </c>
      <c r="R50" s="20" t="s">
        <v>86</v>
      </c>
      <c r="S50" s="20" t="s">
        <v>87</v>
      </c>
      <c r="T50" s="20" t="s">
        <v>88</v>
      </c>
      <c r="U50" s="20" t="s">
        <v>90</v>
      </c>
      <c r="V50" s="20" t="s">
        <v>91</v>
      </c>
      <c r="W50" s="20" t="s">
        <v>92</v>
      </c>
      <c r="X50" s="20" t="s">
        <v>94</v>
      </c>
      <c r="Y50" s="20" t="s">
        <v>95</v>
      </c>
      <c r="Z50" s="20" t="s">
        <v>96</v>
      </c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ht="14.25" customHeight="1">
      <c r="A51" s="7" t="s">
        <v>139</v>
      </c>
      <c r="B51" s="7"/>
      <c r="C51" s="30" t="str">
        <f>TEXT(D51,"0000000")</f>
        <v>2214845</v>
      </c>
      <c r="D51" s="31">
        <v>2214845.0</v>
      </c>
      <c r="E51" s="14" t="s">
        <v>232</v>
      </c>
      <c r="F51" s="14" t="s">
        <v>41</v>
      </c>
      <c r="G51" s="32">
        <v>8073489.0</v>
      </c>
      <c r="H51" s="32">
        <v>7073489.0</v>
      </c>
      <c r="I51" s="30">
        <v>0.0</v>
      </c>
      <c r="J51" s="30">
        <v>0.0</v>
      </c>
      <c r="K51" s="30">
        <v>0.0</v>
      </c>
      <c r="L51" s="30">
        <v>0.0</v>
      </c>
      <c r="M51" s="30">
        <v>0.0</v>
      </c>
      <c r="N51" s="30">
        <v>0.0</v>
      </c>
      <c r="O51" s="33">
        <v>309892.0</v>
      </c>
      <c r="P51" s="32">
        <v>71854.0</v>
      </c>
      <c r="Q51" s="32">
        <v>24220.0</v>
      </c>
      <c r="R51" s="30">
        <v>0.0</v>
      </c>
      <c r="S51" s="30">
        <v>0.0</v>
      </c>
      <c r="T51" s="32">
        <v>298719.0</v>
      </c>
      <c r="U51" s="32">
        <v>1000000.0</v>
      </c>
      <c r="V51" s="30">
        <v>0.0</v>
      </c>
      <c r="W51" s="30">
        <v>0.0</v>
      </c>
      <c r="X51" s="30">
        <v>0.0</v>
      </c>
      <c r="Y51" s="30">
        <v>0.0</v>
      </c>
      <c r="Z51" s="30">
        <v>0.0</v>
      </c>
      <c r="AA51" s="7" t="str">
        <f>VLOOKUP(C51,[2]Sheet1!$B$9:$Z$1392,25,0)</f>
        <v>#ERROR!</v>
      </c>
      <c r="AB51" s="7" t="str">
        <f>VLOOKUP(C51,[2]Sheet1!$B$9:$AA$1392,26,0)</f>
        <v>#ERROR!</v>
      </c>
      <c r="AC51" s="34">
        <f>SUM(G51,N51,O51,P51,Q51)-SUM(K51,L51,W51,X51)</f>
        <v>8479455</v>
      </c>
      <c r="AD51" s="35" t="str">
        <f>ROUND(AC51*(AI51/(100-AI51)),0)</f>
        <v>#REF!</v>
      </c>
      <c r="AE51" s="35" t="str">
        <f>AC51+AD51</f>
        <v>#REF!</v>
      </c>
      <c r="AF51" s="7" t="str">
        <f t="array" ref="AF51">INDEX('TABEL TER'!F$5:F$12,MATCH($F51,'TABEL TER'!G$5:G$12,0))</f>
        <v>TER B</v>
      </c>
      <c r="AG51" s="36" t="str">
        <f>IF($AF51="TER A",VLOOKUP($AE51,'TABEL TER'!$B$5:$D$48,3,TRUE),IF($AF51="TER B",VLOOKUP($AE51,'TABEL TER'!$B$50:$D$89,3,TRUE),IF($AF51="TER C",VLOOKUP($AE51,'TABEL TER'!$B$91:$D$131,3,TRUE))))</f>
        <v>#REF!</v>
      </c>
      <c r="AH51" s="35" t="str">
        <f>ROUND(AE51*AG51,0)</f>
        <v>#REF!</v>
      </c>
      <c r="AI51" s="35" t="str">
        <f>AG51*100</f>
        <v>#REF!</v>
      </c>
      <c r="AJ51" s="7" t="str">
        <f>IF(AH51=0,"TIDAK","YA")</f>
        <v>#REF!</v>
      </c>
      <c r="AK51" s="37">
        <f>P51/G51</f>
        <v>0.008899993547</v>
      </c>
      <c r="AL51" s="7"/>
      <c r="AM51" s="7"/>
      <c r="AN51" s="7"/>
      <c r="AO51" s="7"/>
      <c r="AP51" s="7"/>
      <c r="AQ51" s="7" t="str">
        <f>INDEX([1]Sheet1!$A:$K,MATCH(C51,[1]Sheet1!$A:$A,0),7)</f>
        <v>#ERROR!</v>
      </c>
      <c r="AR51" s="7" t="str">
        <f>AA51=AQ51</f>
        <v>#ERROR!</v>
      </c>
    </row>
    <row r="52" ht="14.25" customHeight="1">
      <c r="A52" s="7"/>
      <c r="B52" s="7"/>
      <c r="C52" s="7" t="s">
        <v>213</v>
      </c>
      <c r="D52" s="7"/>
      <c r="E52" s="7"/>
      <c r="F52" s="7"/>
      <c r="G52" s="32">
        <v>8073489.0</v>
      </c>
      <c r="H52" s="32">
        <v>7073489.0</v>
      </c>
      <c r="I52" s="30">
        <v>0.0</v>
      </c>
      <c r="J52" s="30">
        <v>0.0</v>
      </c>
      <c r="K52" s="30">
        <v>0.0</v>
      </c>
      <c r="L52" s="30">
        <v>0.0</v>
      </c>
      <c r="M52" s="30">
        <v>0.0</v>
      </c>
      <c r="N52" s="30">
        <v>0.0</v>
      </c>
      <c r="O52" s="38">
        <f t="shared" ref="O52:Q52" si="34">SUM(O51)</f>
        <v>309892</v>
      </c>
      <c r="P52" s="39">
        <f t="shared" si="34"/>
        <v>71854</v>
      </c>
      <c r="Q52" s="39">
        <f t="shared" si="34"/>
        <v>24220</v>
      </c>
      <c r="R52" s="30">
        <v>0.0</v>
      </c>
      <c r="S52" s="30">
        <v>0.0</v>
      </c>
      <c r="T52" s="32">
        <v>298719.0</v>
      </c>
      <c r="U52" s="32">
        <v>1000000.0</v>
      </c>
      <c r="V52" s="30">
        <v>0.0</v>
      </c>
      <c r="W52" s="30">
        <v>0.0</v>
      </c>
      <c r="X52" s="30">
        <v>0.0</v>
      </c>
      <c r="Y52" s="30">
        <v>0.0</v>
      </c>
      <c r="Z52" s="30">
        <v>0.0</v>
      </c>
      <c r="AA52" s="7"/>
      <c r="AB52" s="7"/>
      <c r="AC52" s="38">
        <f t="shared" ref="AC52:AE52" si="35">SUM(AC51)</f>
        <v>8479455</v>
      </c>
      <c r="AD52" s="38" t="str">
        <f t="shared" si="35"/>
        <v>#REF!</v>
      </c>
      <c r="AE52" s="38" t="str">
        <f t="shared" si="35"/>
        <v>#REF!</v>
      </c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ht="14.25" customHeight="1">
      <c r="A53" s="7"/>
      <c r="B53" s="7"/>
      <c r="C53" s="7" t="s">
        <v>214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ht="14.25" customHeight="1">
      <c r="A54" s="7"/>
      <c r="B54" s="7"/>
      <c r="C54" s="20" t="s">
        <v>66</v>
      </c>
      <c r="D54" s="20" t="s">
        <v>67</v>
      </c>
      <c r="E54" s="20" t="s">
        <v>69</v>
      </c>
      <c r="F54" s="7"/>
      <c r="G54" s="20" t="s">
        <v>71</v>
      </c>
      <c r="H54" s="20" t="s">
        <v>72</v>
      </c>
      <c r="I54" s="20" t="s">
        <v>75</v>
      </c>
      <c r="J54" s="20" t="s">
        <v>76</v>
      </c>
      <c r="K54" s="20" t="s">
        <v>77</v>
      </c>
      <c r="L54" s="20" t="s">
        <v>79</v>
      </c>
      <c r="M54" s="20" t="s">
        <v>80</v>
      </c>
      <c r="N54" s="20" t="s">
        <v>81</v>
      </c>
      <c r="O54" s="20" t="s">
        <v>82</v>
      </c>
      <c r="P54" s="20" t="s">
        <v>83</v>
      </c>
      <c r="Q54" s="20" t="s">
        <v>85</v>
      </c>
      <c r="R54" s="20" t="s">
        <v>86</v>
      </c>
      <c r="S54" s="20" t="s">
        <v>87</v>
      </c>
      <c r="T54" s="20" t="s">
        <v>88</v>
      </c>
      <c r="U54" s="20" t="s">
        <v>90</v>
      </c>
      <c r="V54" s="20" t="s">
        <v>91</v>
      </c>
      <c r="W54" s="20" t="s">
        <v>92</v>
      </c>
      <c r="X54" s="20" t="s">
        <v>94</v>
      </c>
      <c r="Y54" s="20" t="s">
        <v>95</v>
      </c>
      <c r="Z54" s="20" t="s">
        <v>96</v>
      </c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ht="14.25" customHeight="1">
      <c r="A55" s="7" t="s">
        <v>139</v>
      </c>
      <c r="B55" s="7"/>
      <c r="C55" s="30" t="str">
        <f t="shared" ref="C55:C59" si="36">TEXT(D55,"0000000")</f>
        <v>1914842</v>
      </c>
      <c r="D55" s="31">
        <v>1914842.0</v>
      </c>
      <c r="E55" s="14" t="s">
        <v>233</v>
      </c>
      <c r="F55" s="14" t="s">
        <v>18</v>
      </c>
      <c r="G55" s="32">
        <v>5288796.0</v>
      </c>
      <c r="H55" s="32">
        <v>5288796.0</v>
      </c>
      <c r="I55" s="30">
        <v>0.0</v>
      </c>
      <c r="J55" s="30">
        <v>0.0</v>
      </c>
      <c r="K55" s="30">
        <v>0.0</v>
      </c>
      <c r="L55" s="30">
        <v>0.0</v>
      </c>
      <c r="M55" s="30">
        <v>0.0</v>
      </c>
      <c r="N55" s="30">
        <v>0.0</v>
      </c>
      <c r="O55" s="33">
        <v>201304.0</v>
      </c>
      <c r="P55" s="32">
        <v>47070.0</v>
      </c>
      <c r="Q55" s="32">
        <v>15866.0</v>
      </c>
      <c r="R55" s="30">
        <v>0.0</v>
      </c>
      <c r="S55" s="30">
        <v>0.0</v>
      </c>
      <c r="T55" s="32">
        <v>195685.0</v>
      </c>
      <c r="U55" s="30">
        <v>0.0</v>
      </c>
      <c r="V55" s="30">
        <v>0.0</v>
      </c>
      <c r="W55" s="30">
        <v>0.0</v>
      </c>
      <c r="X55" s="30">
        <v>0.0</v>
      </c>
      <c r="Y55" s="30">
        <v>0.0</v>
      </c>
      <c r="Z55" s="30">
        <v>0.0</v>
      </c>
      <c r="AA55" s="7" t="str">
        <f>VLOOKUP(C55,[2]Sheet1!$B$9:$Z$1392,25,0)</f>
        <v>#ERROR!</v>
      </c>
      <c r="AB55" s="7" t="str">
        <f>VLOOKUP(C55,[2]Sheet1!$B$9:$AA$1392,26,0)</f>
        <v>#ERROR!</v>
      </c>
      <c r="AC55" s="34">
        <f t="shared" ref="AC55:AC59" si="37">SUM(G55,N55,O55,P55,Q55)-SUM(K55,L55,W55,X55)</f>
        <v>5553036</v>
      </c>
      <c r="AD55" s="35" t="str">
        <f t="shared" ref="AD55:AD59" si="38">ROUND(AC55*(AI55/(100-AI55)),0)</f>
        <v>#REF!</v>
      </c>
      <c r="AE55" s="35" t="str">
        <f t="shared" ref="AE55:AE59" si="39">AC55+AD55</f>
        <v>#REF!</v>
      </c>
      <c r="AF55" s="7" t="str">
        <f t="array" ref="AF55">INDEX('TABEL TER'!F$5:F$12,MATCH($F55,'TABEL TER'!G$5:G$12,0))</f>
        <v>TER A</v>
      </c>
      <c r="AG55" s="36" t="str">
        <f>IF($AF55="TER A",VLOOKUP($AE55,'TABEL TER'!$B$5:$D$48,3,TRUE),IF($AF55="TER B",VLOOKUP($AE55,'TABEL TER'!$B$50:$D$89,3,TRUE),IF($AF55="TER C",VLOOKUP($AE55,'TABEL TER'!$B$91:$D$131,3,TRUE))))</f>
        <v>#REF!</v>
      </c>
      <c r="AH55" s="35" t="str">
        <f t="shared" ref="AH55:AH59" si="40">ROUND(AE55*AG55,0)</f>
        <v>#REF!</v>
      </c>
      <c r="AI55" s="35" t="str">
        <f t="shared" ref="AI55:AI59" si="41">AG55*100</f>
        <v>#REF!</v>
      </c>
      <c r="AJ55" s="7" t="str">
        <f t="shared" ref="AJ55:AJ59" si="42">IF(AH55=0,"TIDAK","YA")</f>
        <v>#REF!</v>
      </c>
      <c r="AK55" s="37">
        <f t="shared" ref="AK55:AK59" si="43">P55/G55</f>
        <v>0.008899946226</v>
      </c>
      <c r="AL55" s="7"/>
      <c r="AM55" s="7"/>
      <c r="AN55" s="7"/>
      <c r="AO55" s="7"/>
      <c r="AP55" s="7"/>
      <c r="AQ55" s="7" t="str">
        <f>INDEX([1]Sheet1!$A:$K,MATCH(C55,[1]Sheet1!$A:$A,0),7)</f>
        <v>#ERROR!</v>
      </c>
      <c r="AR55" s="7" t="str">
        <f t="shared" ref="AR55:AR59" si="44">AA55=AQ55</f>
        <v>#ERROR!</v>
      </c>
    </row>
    <row r="56" ht="14.25" customHeight="1">
      <c r="A56" s="7" t="s">
        <v>139</v>
      </c>
      <c r="B56" s="7"/>
      <c r="C56" s="30" t="str">
        <f t="shared" si="36"/>
        <v>1914839</v>
      </c>
      <c r="D56" s="31">
        <v>1914839.0</v>
      </c>
      <c r="E56" s="14" t="s">
        <v>234</v>
      </c>
      <c r="F56" s="14" t="s">
        <v>18</v>
      </c>
      <c r="G56" s="32">
        <v>5288796.0</v>
      </c>
      <c r="H56" s="32">
        <v>5288796.0</v>
      </c>
      <c r="I56" s="30">
        <v>0.0</v>
      </c>
      <c r="J56" s="30">
        <v>0.0</v>
      </c>
      <c r="K56" s="30">
        <v>0.0</v>
      </c>
      <c r="L56" s="30">
        <v>0.0</v>
      </c>
      <c r="M56" s="30">
        <v>0.0</v>
      </c>
      <c r="N56" s="30">
        <v>0.0</v>
      </c>
      <c r="O56" s="33">
        <v>201304.0</v>
      </c>
      <c r="P56" s="32">
        <v>47070.0</v>
      </c>
      <c r="Q56" s="32">
        <v>15866.0</v>
      </c>
      <c r="R56" s="30">
        <v>0.0</v>
      </c>
      <c r="S56" s="30">
        <v>0.0</v>
      </c>
      <c r="T56" s="32">
        <v>195685.0</v>
      </c>
      <c r="U56" s="30">
        <v>0.0</v>
      </c>
      <c r="V56" s="30">
        <v>0.0</v>
      </c>
      <c r="W56" s="30">
        <v>0.0</v>
      </c>
      <c r="X56" s="30">
        <v>0.0</v>
      </c>
      <c r="Y56" s="30">
        <v>0.0</v>
      </c>
      <c r="Z56" s="30">
        <v>0.0</v>
      </c>
      <c r="AA56" s="7" t="str">
        <f>VLOOKUP(C56,[2]Sheet1!$B$9:$Z$1392,25,0)</f>
        <v>#ERROR!</v>
      </c>
      <c r="AB56" s="7" t="str">
        <f>VLOOKUP(C56,[2]Sheet1!$B$9:$AA$1392,26,0)</f>
        <v>#ERROR!</v>
      </c>
      <c r="AC56" s="34">
        <f t="shared" si="37"/>
        <v>5553036</v>
      </c>
      <c r="AD56" s="35" t="str">
        <f t="shared" si="38"/>
        <v>#REF!</v>
      </c>
      <c r="AE56" s="35" t="str">
        <f t="shared" si="39"/>
        <v>#REF!</v>
      </c>
      <c r="AF56" s="7" t="str">
        <f t="array" ref="AF56">INDEX('TABEL TER'!F$5:F$12,MATCH($F56,'TABEL TER'!G$5:G$12,0))</f>
        <v>TER A</v>
      </c>
      <c r="AG56" s="36" t="str">
        <f>IF($AF56="TER A",VLOOKUP($AE56,'TABEL TER'!$B$5:$D$48,3,TRUE),IF($AF56="TER B",VLOOKUP($AE56,'TABEL TER'!$B$50:$D$89,3,TRUE),IF($AF56="TER C",VLOOKUP($AE56,'TABEL TER'!$B$91:$D$131,3,TRUE))))</f>
        <v>#REF!</v>
      </c>
      <c r="AH56" s="35" t="str">
        <f t="shared" si="40"/>
        <v>#REF!</v>
      </c>
      <c r="AI56" s="35" t="str">
        <f t="shared" si="41"/>
        <v>#REF!</v>
      </c>
      <c r="AJ56" s="7" t="str">
        <f t="shared" si="42"/>
        <v>#REF!</v>
      </c>
      <c r="AK56" s="37">
        <f t="shared" si="43"/>
        <v>0.008899946226</v>
      </c>
      <c r="AL56" s="7"/>
      <c r="AM56" s="7"/>
      <c r="AN56" s="7"/>
      <c r="AO56" s="7"/>
      <c r="AP56" s="7"/>
      <c r="AQ56" s="7" t="str">
        <f>INDEX([1]Sheet1!$A:$K,MATCH(C56,[1]Sheet1!$A:$A,0),7)</f>
        <v>#ERROR!</v>
      </c>
      <c r="AR56" s="7" t="str">
        <f t="shared" si="44"/>
        <v>#ERROR!</v>
      </c>
    </row>
    <row r="57" ht="14.25" customHeight="1">
      <c r="A57" s="7" t="s">
        <v>139</v>
      </c>
      <c r="B57" s="7"/>
      <c r="C57" s="30" t="str">
        <f t="shared" si="36"/>
        <v>1414838</v>
      </c>
      <c r="D57" s="31">
        <v>1414838.0</v>
      </c>
      <c r="E57" s="14" t="s">
        <v>235</v>
      </c>
      <c r="F57" s="14" t="s">
        <v>32</v>
      </c>
      <c r="G57" s="32">
        <v>5288796.0</v>
      </c>
      <c r="H57" s="32">
        <v>5288796.0</v>
      </c>
      <c r="I57" s="30">
        <v>0.0</v>
      </c>
      <c r="J57" s="30">
        <v>0.0</v>
      </c>
      <c r="K57" s="30">
        <v>0.0</v>
      </c>
      <c r="L57" s="30">
        <v>0.0</v>
      </c>
      <c r="M57" s="30">
        <v>0.0</v>
      </c>
      <c r="N57" s="30">
        <v>0.0</v>
      </c>
      <c r="O57" s="33">
        <v>201304.0</v>
      </c>
      <c r="P57" s="32">
        <v>47070.0</v>
      </c>
      <c r="Q57" s="32">
        <v>15866.0</v>
      </c>
      <c r="R57" s="30">
        <v>0.0</v>
      </c>
      <c r="S57" s="30">
        <v>0.0</v>
      </c>
      <c r="T57" s="32">
        <v>195685.0</v>
      </c>
      <c r="U57" s="30">
        <v>0.0</v>
      </c>
      <c r="V57" s="30">
        <v>0.0</v>
      </c>
      <c r="W57" s="30">
        <v>0.0</v>
      </c>
      <c r="X57" s="30">
        <v>0.0</v>
      </c>
      <c r="Y57" s="30">
        <v>0.0</v>
      </c>
      <c r="Z57" s="30">
        <v>0.0</v>
      </c>
      <c r="AA57" s="7" t="str">
        <f>VLOOKUP(C57,[2]Sheet1!$B$9:$Z$1392,25,0)</f>
        <v>#ERROR!</v>
      </c>
      <c r="AB57" s="7" t="str">
        <f>VLOOKUP(C57,[2]Sheet1!$B$9:$AA$1392,26,0)</f>
        <v>#ERROR!</v>
      </c>
      <c r="AC57" s="34">
        <f t="shared" si="37"/>
        <v>5553036</v>
      </c>
      <c r="AD57" s="35" t="str">
        <f t="shared" si="38"/>
        <v>#REF!</v>
      </c>
      <c r="AE57" s="35" t="str">
        <f t="shared" si="39"/>
        <v>#REF!</v>
      </c>
      <c r="AF57" s="7" t="str">
        <f t="array" ref="AF57">INDEX('TABEL TER'!F$5:F$12,MATCH($F57,'TABEL TER'!G$5:G$12,0))</f>
        <v>TER B</v>
      </c>
      <c r="AG57" s="36" t="str">
        <f>IF($AF57="TER A",VLOOKUP($AE57,'TABEL TER'!$B$5:$D$48,3,TRUE),IF($AF57="TER B",VLOOKUP($AE57,'TABEL TER'!$B$50:$D$89,3,TRUE),IF($AF57="TER C",VLOOKUP($AE57,'TABEL TER'!$B$91:$D$131,3,TRUE))))</f>
        <v>#REF!</v>
      </c>
      <c r="AH57" s="35" t="str">
        <f t="shared" si="40"/>
        <v>#REF!</v>
      </c>
      <c r="AI57" s="35" t="str">
        <f t="shared" si="41"/>
        <v>#REF!</v>
      </c>
      <c r="AJ57" s="7" t="str">
        <f t="shared" si="42"/>
        <v>#REF!</v>
      </c>
      <c r="AK57" s="37">
        <f t="shared" si="43"/>
        <v>0.008899946226</v>
      </c>
      <c r="AL57" s="7"/>
      <c r="AM57" s="7"/>
      <c r="AN57" s="7"/>
      <c r="AO57" s="7"/>
      <c r="AP57" s="7"/>
      <c r="AQ57" s="7" t="str">
        <f>INDEX([1]Sheet1!$A:$K,MATCH(C57,[1]Sheet1!$A:$A,0),7)</f>
        <v>#ERROR!</v>
      </c>
      <c r="AR57" s="7" t="str">
        <f t="shared" si="44"/>
        <v>#ERROR!</v>
      </c>
    </row>
    <row r="58" ht="14.25" customHeight="1">
      <c r="A58" s="7" t="s">
        <v>139</v>
      </c>
      <c r="B58" s="7"/>
      <c r="C58" s="30" t="str">
        <f t="shared" si="36"/>
        <v>1714829</v>
      </c>
      <c r="D58" s="31">
        <v>1714829.0</v>
      </c>
      <c r="E58" s="14" t="s">
        <v>236</v>
      </c>
      <c r="F58" s="14" t="s">
        <v>18</v>
      </c>
      <c r="G58" s="32">
        <v>5288796.0</v>
      </c>
      <c r="H58" s="32">
        <v>5288796.0</v>
      </c>
      <c r="I58" s="30">
        <v>0.0</v>
      </c>
      <c r="J58" s="30">
        <v>0.0</v>
      </c>
      <c r="K58" s="32">
        <v>53501.0</v>
      </c>
      <c r="L58" s="30">
        <v>0.0</v>
      </c>
      <c r="M58" s="30">
        <v>0.0</v>
      </c>
      <c r="N58" s="30">
        <v>0.0</v>
      </c>
      <c r="O58" s="33">
        <v>201304.0</v>
      </c>
      <c r="P58" s="32">
        <v>47070.0</v>
      </c>
      <c r="Q58" s="32">
        <v>15866.0</v>
      </c>
      <c r="R58" s="30">
        <v>0.0</v>
      </c>
      <c r="S58" s="30">
        <v>0.0</v>
      </c>
      <c r="T58" s="32">
        <v>195685.0</v>
      </c>
      <c r="U58" s="30">
        <v>0.0</v>
      </c>
      <c r="V58" s="30">
        <v>0.0</v>
      </c>
      <c r="W58" s="30">
        <v>0.0</v>
      </c>
      <c r="X58" s="30">
        <v>0.0</v>
      </c>
      <c r="Y58" s="30">
        <v>0.0</v>
      </c>
      <c r="Z58" s="30">
        <v>0.0</v>
      </c>
      <c r="AA58" s="7" t="str">
        <f>VLOOKUP(C58,[2]Sheet1!$B$9:$Z$1392,25,0)</f>
        <v>#ERROR!</v>
      </c>
      <c r="AB58" s="7" t="str">
        <f>VLOOKUP(C58,[2]Sheet1!$B$9:$AA$1392,26,0)</f>
        <v>#ERROR!</v>
      </c>
      <c r="AC58" s="34">
        <f t="shared" si="37"/>
        <v>5499535</v>
      </c>
      <c r="AD58" s="35" t="str">
        <f t="shared" si="38"/>
        <v>#REF!</v>
      </c>
      <c r="AE58" s="35" t="str">
        <f t="shared" si="39"/>
        <v>#REF!</v>
      </c>
      <c r="AF58" s="7" t="str">
        <f t="array" ref="AF58">INDEX('TABEL TER'!F$5:F$12,MATCH($F58,'TABEL TER'!G$5:G$12,0))</f>
        <v>TER A</v>
      </c>
      <c r="AG58" s="36" t="str">
        <f>IF($AF58="TER A",VLOOKUP($AE58,'TABEL TER'!$B$5:$D$48,3,TRUE),IF($AF58="TER B",VLOOKUP($AE58,'TABEL TER'!$B$50:$D$89,3,TRUE),IF($AF58="TER C",VLOOKUP($AE58,'TABEL TER'!$B$91:$D$131,3,TRUE))))</f>
        <v>#REF!</v>
      </c>
      <c r="AH58" s="35" t="str">
        <f t="shared" si="40"/>
        <v>#REF!</v>
      </c>
      <c r="AI58" s="35" t="str">
        <f t="shared" si="41"/>
        <v>#REF!</v>
      </c>
      <c r="AJ58" s="7" t="str">
        <f t="shared" si="42"/>
        <v>#REF!</v>
      </c>
      <c r="AK58" s="37">
        <f t="shared" si="43"/>
        <v>0.008899946226</v>
      </c>
      <c r="AL58" s="7"/>
      <c r="AM58" s="7"/>
      <c r="AN58" s="7"/>
      <c r="AO58" s="7"/>
      <c r="AP58" s="7"/>
      <c r="AQ58" s="7" t="str">
        <f>INDEX([1]Sheet1!$A:$K,MATCH(C58,[1]Sheet1!$A:$A,0),7)</f>
        <v>#ERROR!</v>
      </c>
      <c r="AR58" s="7" t="str">
        <f t="shared" si="44"/>
        <v>#ERROR!</v>
      </c>
    </row>
    <row r="59" ht="14.25" customHeight="1">
      <c r="A59" s="7" t="s">
        <v>139</v>
      </c>
      <c r="B59" s="7"/>
      <c r="C59" s="30" t="str">
        <f t="shared" si="36"/>
        <v>1414848</v>
      </c>
      <c r="D59" s="31">
        <v>1414848.0</v>
      </c>
      <c r="E59" s="14" t="s">
        <v>237</v>
      </c>
      <c r="F59" s="14" t="s">
        <v>49</v>
      </c>
      <c r="G59" s="32">
        <v>5288796.0</v>
      </c>
      <c r="H59" s="32">
        <v>5288796.0</v>
      </c>
      <c r="I59" s="30">
        <v>0.0</v>
      </c>
      <c r="J59" s="30">
        <v>0.0</v>
      </c>
      <c r="K59" s="32">
        <v>7643.0</v>
      </c>
      <c r="L59" s="30">
        <v>0.0</v>
      </c>
      <c r="M59" s="30">
        <v>0.0</v>
      </c>
      <c r="N59" s="30">
        <v>0.0</v>
      </c>
      <c r="O59" s="33">
        <v>201304.0</v>
      </c>
      <c r="P59" s="32">
        <v>47070.0</v>
      </c>
      <c r="Q59" s="32">
        <v>15866.0</v>
      </c>
      <c r="R59" s="30">
        <v>0.0</v>
      </c>
      <c r="S59" s="30">
        <v>0.0</v>
      </c>
      <c r="T59" s="32">
        <v>195685.0</v>
      </c>
      <c r="U59" s="30">
        <v>0.0</v>
      </c>
      <c r="V59" s="30">
        <v>0.0</v>
      </c>
      <c r="W59" s="30">
        <v>0.0</v>
      </c>
      <c r="X59" s="30">
        <v>0.0</v>
      </c>
      <c r="Y59" s="30">
        <v>0.0</v>
      </c>
      <c r="Z59" s="30">
        <v>0.0</v>
      </c>
      <c r="AA59" s="7" t="str">
        <f>VLOOKUP(C59,[2]Sheet1!$B$9:$Z$1392,25,0)</f>
        <v>#ERROR!</v>
      </c>
      <c r="AB59" s="7" t="str">
        <f>VLOOKUP(C59,[2]Sheet1!$B$9:$AA$1392,26,0)</f>
        <v>#ERROR!</v>
      </c>
      <c r="AC59" s="34">
        <f t="shared" si="37"/>
        <v>5545393</v>
      </c>
      <c r="AD59" s="35" t="str">
        <f t="shared" si="38"/>
        <v>#REF!</v>
      </c>
      <c r="AE59" s="35" t="str">
        <f t="shared" si="39"/>
        <v>#REF!</v>
      </c>
      <c r="AF59" s="7" t="str">
        <f t="array" ref="AF59">INDEX('TABEL TER'!F$5:F$12,MATCH($F59,'TABEL TER'!G$5:G$12,0))</f>
        <v>TER C</v>
      </c>
      <c r="AG59" s="36" t="str">
        <f>IF($AF59="TER A",VLOOKUP($AE59,'TABEL TER'!$B$5:$D$48,3,TRUE),IF($AF59="TER B",VLOOKUP($AE59,'TABEL TER'!$B$50:$D$89,3,TRUE),IF($AF59="TER C",VLOOKUP($AE59,'TABEL TER'!$B$91:$D$131,3,TRUE))))</f>
        <v>#REF!</v>
      </c>
      <c r="AH59" s="35" t="str">
        <f t="shared" si="40"/>
        <v>#REF!</v>
      </c>
      <c r="AI59" s="35" t="str">
        <f t="shared" si="41"/>
        <v>#REF!</v>
      </c>
      <c r="AJ59" s="7" t="str">
        <f t="shared" si="42"/>
        <v>#REF!</v>
      </c>
      <c r="AK59" s="37">
        <f t="shared" si="43"/>
        <v>0.008899946226</v>
      </c>
      <c r="AL59" s="7"/>
      <c r="AM59" s="7"/>
      <c r="AN59" s="7"/>
      <c r="AO59" s="7"/>
      <c r="AP59" s="7"/>
      <c r="AQ59" s="7" t="str">
        <f>INDEX([1]Sheet1!$A:$K,MATCH(C59,[1]Sheet1!$A:$A,0),7)</f>
        <v>#ERROR!</v>
      </c>
      <c r="AR59" s="7" t="str">
        <f t="shared" si="44"/>
        <v>#ERROR!</v>
      </c>
    </row>
    <row r="60" ht="14.25" customHeight="1">
      <c r="A60" s="7"/>
      <c r="B60" s="7"/>
      <c r="C60" s="7" t="s">
        <v>218</v>
      </c>
      <c r="D60" s="7"/>
      <c r="E60" s="7"/>
      <c r="F60" s="7"/>
      <c r="G60" s="32">
        <v>2.644398E7</v>
      </c>
      <c r="H60" s="32">
        <v>2.644398E7</v>
      </c>
      <c r="I60" s="30">
        <v>0.0</v>
      </c>
      <c r="J60" s="30">
        <v>0.0</v>
      </c>
      <c r="K60" s="32">
        <v>61144.0</v>
      </c>
      <c r="L60" s="30">
        <v>0.0</v>
      </c>
      <c r="M60" s="30">
        <v>0.0</v>
      </c>
      <c r="N60" s="30">
        <v>0.0</v>
      </c>
      <c r="O60" s="38">
        <f t="shared" ref="O60:Q60" si="45">SUM(O55:O59)</f>
        <v>1006520</v>
      </c>
      <c r="P60" s="39">
        <f t="shared" si="45"/>
        <v>235350</v>
      </c>
      <c r="Q60" s="39">
        <f t="shared" si="45"/>
        <v>79330</v>
      </c>
      <c r="R60" s="30">
        <v>0.0</v>
      </c>
      <c r="S60" s="30">
        <v>0.0</v>
      </c>
      <c r="T60" s="32">
        <v>978427.0</v>
      </c>
      <c r="U60" s="30">
        <v>0.0</v>
      </c>
      <c r="V60" s="30">
        <v>0.0</v>
      </c>
      <c r="W60" s="30">
        <v>0.0</v>
      </c>
      <c r="X60" s="30">
        <v>0.0</v>
      </c>
      <c r="Y60" s="30">
        <v>0.0</v>
      </c>
      <c r="Z60" s="30">
        <v>0.0</v>
      </c>
      <c r="AA60" s="7"/>
      <c r="AB60" s="7"/>
      <c r="AC60" s="38">
        <f t="shared" ref="AC60:AE60" si="46">SUM(AC55:AC59)</f>
        <v>27704036</v>
      </c>
      <c r="AD60" s="38" t="str">
        <f t="shared" si="46"/>
        <v>#REF!</v>
      </c>
      <c r="AE60" s="38" t="str">
        <f t="shared" si="46"/>
        <v>#REF!</v>
      </c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ht="14.25" customHeight="1">
      <c r="A61" s="7"/>
      <c r="B61" s="7"/>
      <c r="C61" s="7" t="s">
        <v>219</v>
      </c>
      <c r="D61" s="7"/>
      <c r="E61" s="7"/>
      <c r="F61" s="7"/>
      <c r="G61" s="32">
        <v>3.4517469E7</v>
      </c>
      <c r="H61" s="32">
        <v>3.3517469E7</v>
      </c>
      <c r="I61" s="30">
        <v>0.0</v>
      </c>
      <c r="J61" s="30">
        <v>0.0</v>
      </c>
      <c r="K61" s="32">
        <v>61144.0</v>
      </c>
      <c r="L61" s="30">
        <v>0.0</v>
      </c>
      <c r="M61" s="30">
        <v>0.0</v>
      </c>
      <c r="N61" s="30">
        <v>0.0</v>
      </c>
      <c r="O61" s="32">
        <v>1377760.0</v>
      </c>
      <c r="P61" s="32">
        <v>307205.0</v>
      </c>
      <c r="Q61" s="32">
        <v>103552.0</v>
      </c>
      <c r="R61" s="30">
        <v>0.0</v>
      </c>
      <c r="S61" s="30">
        <v>0.0</v>
      </c>
      <c r="T61" s="32">
        <v>1277146.0</v>
      </c>
      <c r="U61" s="32">
        <v>1000000.0</v>
      </c>
      <c r="V61" s="30">
        <v>0.0</v>
      </c>
      <c r="W61" s="30">
        <v>0.0</v>
      </c>
      <c r="X61" s="30">
        <v>0.0</v>
      </c>
      <c r="Y61" s="30">
        <v>0.0</v>
      </c>
      <c r="Z61" s="30">
        <v>0.0</v>
      </c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ht="14.25" customHeight="1">
      <c r="A62" s="7"/>
      <c r="B62" s="7"/>
      <c r="C62" s="7"/>
      <c r="D62" s="7"/>
      <c r="E62" s="7"/>
      <c r="F62" s="7"/>
      <c r="G62" s="32">
        <v>6.3558634E7</v>
      </c>
      <c r="H62" s="32">
        <v>6.1308634E7</v>
      </c>
      <c r="I62" s="30">
        <v>0.0</v>
      </c>
      <c r="J62" s="30">
        <v>0.0</v>
      </c>
      <c r="K62" s="32">
        <v>61144.0</v>
      </c>
      <c r="L62" s="30">
        <v>0.0</v>
      </c>
      <c r="M62" s="30">
        <v>0.0</v>
      </c>
      <c r="N62" s="30">
        <v>0.0</v>
      </c>
      <c r="O62" s="32">
        <v>2539407.0</v>
      </c>
      <c r="P62" s="32">
        <v>565672.0</v>
      </c>
      <c r="Q62" s="32">
        <v>190676.0</v>
      </c>
      <c r="R62" s="30">
        <v>0.0</v>
      </c>
      <c r="S62" s="30">
        <v>0.0</v>
      </c>
      <c r="T62" s="32">
        <v>2351669.0</v>
      </c>
      <c r="U62" s="32">
        <v>2250000.0</v>
      </c>
      <c r="V62" s="30">
        <v>0.0</v>
      </c>
      <c r="W62" s="30">
        <v>0.0</v>
      </c>
      <c r="X62" s="30">
        <v>0.0</v>
      </c>
      <c r="Y62" s="30">
        <v>0.0</v>
      </c>
      <c r="Z62" s="30">
        <v>0.0</v>
      </c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ht="14.25" customHeight="1">
      <c r="A63" s="7"/>
      <c r="B63" s="7"/>
      <c r="C63" s="7"/>
      <c r="D63" s="7"/>
      <c r="E63" s="7"/>
      <c r="F63" s="7"/>
      <c r="G63" s="32">
        <v>9.3775171E7</v>
      </c>
      <c r="H63" s="32">
        <v>9.0025171E7</v>
      </c>
      <c r="I63" s="30">
        <v>0.0</v>
      </c>
      <c r="J63" s="30">
        <v>0.0</v>
      </c>
      <c r="K63" s="32">
        <v>360028.0</v>
      </c>
      <c r="L63" s="30">
        <v>0.0</v>
      </c>
      <c r="M63" s="30">
        <v>0.0</v>
      </c>
      <c r="N63" s="30">
        <v>0.0</v>
      </c>
      <c r="O63" s="32">
        <v>3536517.0</v>
      </c>
      <c r="P63" s="32">
        <v>834599.0</v>
      </c>
      <c r="Q63" s="32">
        <v>281326.0</v>
      </c>
      <c r="R63" s="30">
        <v>0.0</v>
      </c>
      <c r="S63" s="30">
        <v>0.0</v>
      </c>
      <c r="T63" s="32">
        <v>3469681.0</v>
      </c>
      <c r="U63" s="32">
        <v>3750000.0</v>
      </c>
      <c r="V63" s="30">
        <v>0.0</v>
      </c>
      <c r="W63" s="30">
        <v>0.0</v>
      </c>
      <c r="X63" s="30">
        <v>0.0</v>
      </c>
      <c r="Y63" s="30">
        <v>0.0</v>
      </c>
      <c r="Z63" s="30">
        <v>0.0</v>
      </c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ht="14.25" customHeight="1">
      <c r="A64" s="7"/>
      <c r="B64" s="7"/>
      <c r="C64" s="43" t="s">
        <v>238</v>
      </c>
      <c r="D64" s="43"/>
      <c r="E64" s="43"/>
      <c r="F64" s="7"/>
      <c r="G64" s="39">
        <v>9.3775171E7</v>
      </c>
      <c r="H64" s="39">
        <v>9.0025171E7</v>
      </c>
      <c r="I64" s="44">
        <v>0.0</v>
      </c>
      <c r="J64" s="44">
        <v>0.0</v>
      </c>
      <c r="K64" s="39">
        <v>360028.0</v>
      </c>
      <c r="L64" s="44">
        <v>0.0</v>
      </c>
      <c r="M64" s="44">
        <v>0.0</v>
      </c>
      <c r="N64" s="44">
        <v>0.0</v>
      </c>
      <c r="O64" s="45">
        <f>SUM(O60,O52,O39,O21,O15)</f>
        <v>3277556</v>
      </c>
      <c r="P64" s="39">
        <v>834599.0</v>
      </c>
      <c r="Q64" s="39">
        <v>281326.0</v>
      </c>
      <c r="R64" s="44">
        <v>0.0</v>
      </c>
      <c r="S64" s="44">
        <v>0.0</v>
      </c>
      <c r="T64" s="39">
        <v>3469681.0</v>
      </c>
      <c r="U64" s="39">
        <v>3750000.0</v>
      </c>
      <c r="V64" s="44">
        <v>0.0</v>
      </c>
      <c r="W64" s="44">
        <v>0.0</v>
      </c>
      <c r="X64" s="44">
        <v>0.0</v>
      </c>
      <c r="Y64" s="44">
        <v>0.0</v>
      </c>
      <c r="Z64" s="44">
        <v>0.0</v>
      </c>
      <c r="AA64" s="7"/>
      <c r="AB64" s="7"/>
      <c r="AC64" s="45">
        <f t="shared" ref="AC64:AE64" si="47">SUM(AC60,AC52,AC39,AC21,AC15)</f>
        <v>97808617</v>
      </c>
      <c r="AD64" s="45" t="str">
        <f t="shared" si="47"/>
        <v>#REF!</v>
      </c>
      <c r="AE64" s="45" t="str">
        <f t="shared" si="47"/>
        <v>#REF!</v>
      </c>
      <c r="AF64" s="39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</row>
  </sheetData>
  <autoFilter ref="$A$9:$AR$64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