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SDM JPM" sheetId="1" r:id="rId5"/>
  </sheets>
  <definedNames>
    <definedName hidden="1" localSheetId="0" name="_xlnm._FilterDatabase">'Data SDM JPM'!$A$76:$T$96</definedName>
  </definedNames>
  <calcPr/>
</workbook>
</file>

<file path=xl/sharedStrings.xml><?xml version="1.0" encoding="utf-8"?>
<sst xmlns="http://schemas.openxmlformats.org/spreadsheetml/2006/main" count="291" uniqueCount="155">
  <si>
    <t>PEMETAAN SDM SBU EKSPEDISI</t>
  </si>
  <si>
    <t>PERIODE TAHUN 2024</t>
  </si>
  <si>
    <t>Bagian</t>
  </si>
  <si>
    <t>Kebutuhan</t>
  </si>
  <si>
    <t>BIAYA ORGANIK</t>
  </si>
  <si>
    <t>BIAYA OS</t>
  </si>
  <si>
    <t>Existing</t>
  </si>
  <si>
    <t>Selisih SDM</t>
  </si>
  <si>
    <t>Tetap</t>
  </si>
  <si>
    <t>Kontrak</t>
  </si>
  <si>
    <t>Outsourcing</t>
  </si>
  <si>
    <t>Total</t>
  </si>
  <si>
    <t>JPM Karah/Holding</t>
  </si>
  <si>
    <t>General Manager</t>
  </si>
  <si>
    <t>Accounting/Finance</t>
  </si>
  <si>
    <t>- Manager Accounting/Finance</t>
  </si>
  <si>
    <t>- Kasir</t>
  </si>
  <si>
    <t>- Keuangan</t>
  </si>
  <si>
    <t>- Accounting</t>
  </si>
  <si>
    <t>- Invoicing</t>
  </si>
  <si>
    <t>- Piutang</t>
  </si>
  <si>
    <t>HRD &amp; Umum</t>
  </si>
  <si>
    <t>- HRD</t>
  </si>
  <si>
    <t>- Umum</t>
  </si>
  <si>
    <t>Information Technology</t>
  </si>
  <si>
    <t>Pemasaran</t>
  </si>
  <si>
    <t>- Manager Sales</t>
  </si>
  <si>
    <t>- Sales</t>
  </si>
  <si>
    <t>- Marketing Support</t>
  </si>
  <si>
    <t>Pembelian</t>
  </si>
  <si>
    <r>
      <rPr>
        <rFont val="Times New Roman"/>
        <b/>
        <color rgb="FF000000"/>
        <sz val="7.0"/>
      </rPr>
      <t xml:space="preserve">- </t>
    </r>
    <r>
      <rPr>
        <rFont val="Times New Roman"/>
        <b val="0"/>
        <color rgb="FF000000"/>
        <sz val="7.0"/>
      </rPr>
      <t>Domestik</t>
    </r>
  </si>
  <si>
    <t>- EMKL</t>
  </si>
  <si>
    <t>Product Planning Control/Operasional</t>
  </si>
  <si>
    <t>- Manager Operasional</t>
  </si>
  <si>
    <t>- Vendor Management</t>
  </si>
  <si>
    <t>- PIC Kargo</t>
  </si>
  <si>
    <t>- PIC Project/EMKL</t>
  </si>
  <si>
    <t>- Tracking/Fleed</t>
  </si>
  <si>
    <t>- Admin Operasional</t>
  </si>
  <si>
    <t>Produksi/Driver</t>
  </si>
  <si>
    <t>- Komersial</t>
  </si>
  <si>
    <t>- Project</t>
  </si>
  <si>
    <t>- Mitra</t>
  </si>
  <si>
    <t>Teknik</t>
  </si>
  <si>
    <t>JPM Bekasi</t>
  </si>
  <si>
    <t>- Kasir, DO, Invoice</t>
  </si>
  <si>
    <t>- Driver Kargo</t>
  </si>
  <si>
    <t>- PIC Project</t>
  </si>
  <si>
    <t>- Driver Project</t>
  </si>
  <si>
    <t>JPM Gresik</t>
  </si>
  <si>
    <t>- PIC Koran</t>
  </si>
  <si>
    <t>- Driver Koran</t>
  </si>
  <si>
    <t>- Keamanan/Kepolisian Kargo</t>
  </si>
  <si>
    <t>JPM Jember</t>
  </si>
  <si>
    <t>- PIC Komersial</t>
  </si>
  <si>
    <t>- Driver Komersial</t>
  </si>
  <si>
    <t>JPM Malang</t>
  </si>
  <si>
    <t>Total SDM</t>
  </si>
  <si>
    <t>% BIAYA GAJI / OMZET PER BULAN</t>
  </si>
  <si>
    <t>BIAYA GAJI PER BULAN JPM 2025</t>
  </si>
  <si>
    <t>STATUS</t>
  </si>
  <si>
    <t>KEBUTUHAN</t>
  </si>
  <si>
    <t>EXISTING</t>
  </si>
  <si>
    <t>SDM</t>
  </si>
  <si>
    <t>RP</t>
  </si>
  <si>
    <t>Gaji Saja</t>
  </si>
  <si>
    <t>Per Bulan</t>
  </si>
  <si>
    <t>THR</t>
  </si>
  <si>
    <t>BPJS (Perusahaan)</t>
  </si>
  <si>
    <t>Rawat Jalan</t>
  </si>
  <si>
    <t>Rawat Inap</t>
  </si>
  <si>
    <t>CABANG</t>
  </si>
  <si>
    <t>No</t>
  </si>
  <si>
    <t>NIP</t>
  </si>
  <si>
    <t>Nama Pegawai</t>
  </si>
  <si>
    <t>Jabatan</t>
  </si>
  <si>
    <t>Departemen</t>
  </si>
  <si>
    <t>Cost Center</t>
  </si>
  <si>
    <t>Status Karyawan</t>
  </si>
  <si>
    <t>AwalMasuk</t>
  </si>
  <si>
    <t>Awal/Periode</t>
  </si>
  <si>
    <t>AwalDiangkat</t>
  </si>
  <si>
    <t>Status</t>
  </si>
  <si>
    <t>Pendidikan</t>
  </si>
  <si>
    <t>L/P</t>
  </si>
  <si>
    <t>TanggalLahir</t>
  </si>
  <si>
    <t>Masa Kerja</t>
  </si>
  <si>
    <t>Usia</t>
  </si>
  <si>
    <t>Job Desc</t>
  </si>
  <si>
    <t>JPM</t>
  </si>
  <si>
    <t>ANGGIT RATNA KUSUMA</t>
  </si>
  <si>
    <t>Karu Piutang Ekspedisi</t>
  </si>
  <si>
    <t>Accounting/Finan ce</t>
  </si>
  <si>
    <t>Piutang</t>
  </si>
  <si>
    <t>TK / 0</t>
  </si>
  <si>
    <t>S1</t>
  </si>
  <si>
    <t>P</t>
  </si>
  <si>
    <t>FAUZA AULIA RACHMANITA</t>
  </si>
  <si>
    <t>Staff Accounting Ekspedisi</t>
  </si>
  <si>
    <t>Akuntansi</t>
  </si>
  <si>
    <t>SMK</t>
  </si>
  <si>
    <t>RIZKY WISHUDAWATI</t>
  </si>
  <si>
    <t>Staff Keuangan Ekspedisi</t>
  </si>
  <si>
    <t>Keuangan</t>
  </si>
  <si>
    <t>TIA DEWI MUAMANAH</t>
  </si>
  <si>
    <t>SLTA</t>
  </si>
  <si>
    <t>MUCHLISIN</t>
  </si>
  <si>
    <t>Umum</t>
  </si>
  <si>
    <t>TK / 3</t>
  </si>
  <si>
    <t>L</t>
  </si>
  <si>
    <t>VICKY NOVREZA</t>
  </si>
  <si>
    <t>Staff IT Ekspedisi</t>
  </si>
  <si>
    <t>IT</t>
  </si>
  <si>
    <t>ADITHYA WISHNU PUTRA</t>
  </si>
  <si>
    <t>Kadiv Marketing</t>
  </si>
  <si>
    <t>TEDDY IRIAWAN WIBAWANTO</t>
  </si>
  <si>
    <t>Marketing</t>
  </si>
  <si>
    <t>TK / 1</t>
  </si>
  <si>
    <t>SAIFUL AGUNG EFENDI</t>
  </si>
  <si>
    <t>Staff Purchasing Ekspedisi</t>
  </si>
  <si>
    <t>DURI PUSPITASARI</t>
  </si>
  <si>
    <t>Staff PPIC Ekspedisi</t>
  </si>
  <si>
    <t>Product Planning Control</t>
  </si>
  <si>
    <t>PPIC</t>
  </si>
  <si>
    <t>01-JAN-17</t>
  </si>
  <si>
    <t>MUHAMMAD MUZAMIL</t>
  </si>
  <si>
    <t>MA</t>
  </si>
  <si>
    <t>0814830</t>
  </si>
  <si>
    <t>AVIVUDIN HANI</t>
  </si>
  <si>
    <t>Karu Ekspedisi</t>
  </si>
  <si>
    <t>Produksi</t>
  </si>
  <si>
    <t>Ekspedisi</t>
  </si>
  <si>
    <t>TK / 2</t>
  </si>
  <si>
    <t>0614841</t>
  </si>
  <si>
    <t>SUWANTO</t>
  </si>
  <si>
    <t>Karu Ekspedisi Koran</t>
  </si>
  <si>
    <t>DENI PRIYATNO TIMUR</t>
  </si>
  <si>
    <t>Staff Ekspedisi</t>
  </si>
  <si>
    <t>ANTO</t>
  </si>
  <si>
    <t>Karu Mekanik Ekspedisi</t>
  </si>
  <si>
    <t>Mekanik</t>
  </si>
  <si>
    <t>MUHAMMAD DAVI IMAM GUMILANG</t>
  </si>
  <si>
    <t>Kadiv Acc, Keu, Pajak</t>
  </si>
  <si>
    <t>RAHMAT ADITYA NUGROHO WIBOWO</t>
  </si>
  <si>
    <t>Staff Piutang Ekspedisi</t>
  </si>
  <si>
    <t>Kontrak 2</t>
  </si>
  <si>
    <t>K / 1</t>
  </si>
  <si>
    <t>AWAN BIMA SAPUTRA</t>
  </si>
  <si>
    <t>Kadiv PPIC Ekspedisi</t>
  </si>
  <si>
    <t>DIMAS SATRIO UTOMO</t>
  </si>
  <si>
    <t>Staff Project &amp; Exim</t>
  </si>
  <si>
    <t>Kontrak 1</t>
  </si>
  <si>
    <t>0914834</t>
  </si>
  <si>
    <t>HARIYANTO</t>
  </si>
  <si>
    <t>Karu PPIC Ekspedisi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</si>
</sst>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(* #,##0_);_(* \(#,##0\);_(* &quot;-&quot;??_);_(@_)"/>
    <numFmt numFmtId="165" formatCode="#,###"/>
    <numFmt numFmtId="166" formatCode="#,###_);\(#,###\)"/>
    <numFmt numFmtId="167" formatCode="0_ "/>
  </numFmts>
  <fonts count="12">
    <font>
      <sz val="9.0"/>
      <color theme="1"/>
      <name val="Quattrocento Sans"/>
      <scheme val="minor"/>
    </font>
    <font>
      <b/>
      <sz val="7.0"/>
      <color rgb="FF000000"/>
      <name val="Times New Roman"/>
    </font>
    <font>
      <sz val="7.0"/>
      <color rgb="FF000000"/>
      <name val="Times New Roman"/>
    </font>
    <font>
      <sz val="7.0"/>
      <color theme="1"/>
      <name val="Times New Roman"/>
    </font>
    <font>
      <sz val="10.0"/>
      <color theme="1"/>
      <name val="Quattrocento Sans"/>
    </font>
    <font/>
    <font>
      <b/>
      <sz val="7.0"/>
      <color theme="1"/>
      <name val="Times New Roman"/>
    </font>
    <font>
      <b/>
      <u/>
      <sz val="7.0"/>
      <color rgb="FF000000"/>
      <name val="Times New Roman"/>
    </font>
    <font>
      <b/>
      <sz val="10.0"/>
      <color theme="1"/>
      <name val="Quattrocento Sans"/>
    </font>
    <font>
      <sz val="9.0"/>
      <color theme="1"/>
      <name val="Times New Roman"/>
    </font>
    <font>
      <b/>
      <sz val="9.0"/>
      <color theme="1"/>
      <name val="Times New Roman"/>
    </font>
    <font>
      <sz val="9.0"/>
      <color theme="1"/>
      <name val="Quattrocento Sans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top"/>
    </xf>
    <xf borderId="0" fillId="0" fontId="1" numFmtId="0" xfId="0" applyAlignment="1" applyFont="1">
      <alignment horizontal="left" vertical="top"/>
    </xf>
    <xf borderId="0" fillId="0" fontId="2" numFmtId="0" xfId="0" applyAlignment="1" applyFont="1">
      <alignment horizontal="left" vertical="top"/>
    </xf>
    <xf borderId="0" fillId="0" fontId="3" numFmtId="0" xfId="0" applyFont="1"/>
    <xf borderId="0" fillId="0" fontId="3" numFmtId="164" xfId="0" applyFont="1" applyNumberFormat="1"/>
    <xf borderId="0" fillId="0" fontId="4" numFmtId="0" xfId="0" applyFont="1"/>
    <xf borderId="0" fillId="0" fontId="1" numFmtId="0" xfId="0" applyAlignment="1" applyFont="1">
      <alignment horizontal="center" vertical="top"/>
    </xf>
    <xf borderId="0" fillId="0" fontId="1" numFmtId="0" xfId="0" applyAlignment="1" applyFont="1">
      <alignment horizontal="center" shrinkToFit="0" vertical="top" wrapText="1"/>
    </xf>
    <xf borderId="0" fillId="0" fontId="1" numFmtId="9" xfId="0" applyAlignment="1" applyFont="1" applyNumberFormat="1">
      <alignment horizontal="center" vertical="top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5" numFmtId="0" xfId="0" applyBorder="1" applyFont="1"/>
    <xf borderId="4" fillId="0" fontId="5" numFmtId="0" xfId="0" applyBorder="1" applyFont="1"/>
    <xf borderId="1" fillId="0" fontId="6" numFmtId="0" xfId="0" applyAlignment="1" applyBorder="1" applyFont="1">
      <alignment horizontal="center" shrinkToFit="0" vertical="center" wrapText="1"/>
    </xf>
    <xf borderId="1" fillId="0" fontId="6" numFmtId="164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5" fillId="0" fontId="5" numFmtId="0" xfId="0" applyBorder="1" applyFont="1"/>
    <xf borderId="6" fillId="0" fontId="1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center"/>
    </xf>
    <xf borderId="6" fillId="0" fontId="2" numFmtId="165" xfId="0" applyAlignment="1" applyBorder="1" applyFont="1" applyNumberFormat="1">
      <alignment horizontal="center" vertical="center"/>
    </xf>
    <xf borderId="6" fillId="0" fontId="1" numFmtId="165" xfId="0" applyAlignment="1" applyBorder="1" applyFont="1" applyNumberFormat="1">
      <alignment horizontal="center" vertical="center"/>
    </xf>
    <xf borderId="6" fillId="0" fontId="3" numFmtId="164" xfId="0" applyAlignment="1" applyBorder="1" applyFont="1" applyNumberFormat="1">
      <alignment horizontal="center" vertical="center"/>
    </xf>
    <xf borderId="6" fillId="0" fontId="1" numFmtId="0" xfId="0" applyAlignment="1" applyBorder="1" applyFont="1">
      <alignment vertical="center"/>
    </xf>
    <xf quotePrefix="1" borderId="6" fillId="0" fontId="2" numFmtId="0" xfId="0" applyAlignment="1" applyBorder="1" applyFont="1">
      <alignment vertical="center"/>
    </xf>
    <xf borderId="6" fillId="0" fontId="3" numFmtId="0" xfId="0" applyAlignment="1" applyBorder="1" applyFont="1">
      <alignment vertical="center"/>
    </xf>
    <xf borderId="6" fillId="0" fontId="3" numFmtId="0" xfId="0" applyAlignment="1" applyBorder="1" applyFont="1">
      <alignment horizontal="center" vertical="center"/>
    </xf>
    <xf borderId="6" fillId="0" fontId="2" numFmtId="0" xfId="0" applyAlignment="1" applyBorder="1" applyFont="1">
      <alignment vertical="center"/>
    </xf>
    <xf borderId="6" fillId="2" fontId="1" numFmtId="0" xfId="0" applyAlignment="1" applyBorder="1" applyFill="1" applyFont="1">
      <alignment vertical="center"/>
    </xf>
    <xf borderId="6" fillId="2" fontId="1" numFmtId="165" xfId="0" applyAlignment="1" applyBorder="1" applyFill="1" applyFont="1" applyNumberFormat="1">
      <alignment horizontal="center" vertical="center"/>
    </xf>
    <xf borderId="6" fillId="2" fontId="1" numFmtId="164" xfId="0" applyAlignment="1" applyBorder="1" applyFill="1" applyFont="1" applyNumberFormat="1">
      <alignment horizontal="center" vertical="center"/>
    </xf>
    <xf borderId="0" fillId="0" fontId="3" numFmtId="0" xfId="0" applyAlignment="1" applyFont="1">
      <alignment horizontal="left"/>
    </xf>
    <xf borderId="5" fillId="0" fontId="1" numFmtId="10" xfId="0" applyAlignment="1" applyBorder="1" applyFont="1" applyNumberFormat="1">
      <alignment horizontal="center" vertical="top"/>
    </xf>
    <xf borderId="0" fillId="0" fontId="1" numFmtId="10" xfId="0" applyAlignment="1" applyFont="1" applyNumberFormat="1">
      <alignment horizontal="center" vertical="top"/>
    </xf>
    <xf borderId="0" fillId="0" fontId="8" numFmtId="0" xfId="0" applyAlignment="1" applyFont="1">
      <alignment horizontal="left"/>
    </xf>
    <xf borderId="0" fillId="0" fontId="8" numFmtId="0" xfId="0" applyAlignment="1" applyFont="1">
      <alignment horizontal="center"/>
    </xf>
    <xf borderId="0" fillId="0" fontId="8" numFmtId="166" xfId="0" applyAlignment="1" applyFont="1" applyNumberFormat="1">
      <alignment horizontal="center"/>
    </xf>
    <xf borderId="1" fillId="0" fontId="8" numFmtId="0" xfId="0" applyAlignment="1" applyBorder="1" applyFont="1">
      <alignment horizontal="center"/>
    </xf>
    <xf borderId="2" fillId="0" fontId="8" numFmtId="0" xfId="0" applyAlignment="1" applyBorder="1" applyFont="1">
      <alignment horizontal="center"/>
    </xf>
    <xf borderId="5" fillId="0" fontId="8" numFmtId="0" xfId="0" applyAlignment="1" applyBorder="1" applyFont="1">
      <alignment horizontal="center"/>
    </xf>
    <xf borderId="6" fillId="0" fontId="8" numFmtId="0" xfId="0" applyAlignment="1" applyBorder="1" applyFont="1">
      <alignment horizontal="center"/>
    </xf>
    <xf borderId="6" fillId="0" fontId="8" numFmtId="0" xfId="0" applyAlignment="1" applyBorder="1" applyFont="1">
      <alignment horizontal="left"/>
    </xf>
    <xf borderId="6" fillId="0" fontId="4" numFmtId="166" xfId="0" applyAlignment="1" applyBorder="1" applyFont="1" applyNumberFormat="1">
      <alignment horizontal="center"/>
    </xf>
    <xf borderId="6" fillId="0" fontId="4" numFmtId="164" xfId="0" applyAlignment="1" applyBorder="1" applyFont="1" applyNumberFormat="1">
      <alignment horizontal="center"/>
    </xf>
    <xf borderId="1" fillId="0" fontId="8" numFmtId="166" xfId="0" applyAlignment="1" applyBorder="1" applyFont="1" applyNumberFormat="1">
      <alignment horizontal="center"/>
    </xf>
    <xf borderId="1" fillId="0" fontId="8" numFmtId="164" xfId="0" applyAlignment="1" applyBorder="1" applyFont="1" applyNumberFormat="1">
      <alignment horizontal="center"/>
    </xf>
    <xf borderId="6" fillId="0" fontId="8" numFmtId="166" xfId="0" applyAlignment="1" applyBorder="1" applyFont="1" applyNumberFormat="1">
      <alignment horizontal="center"/>
    </xf>
    <xf borderId="6" fillId="0" fontId="8" numFmtId="164" xfId="0" applyAlignment="1" applyBorder="1" applyFont="1" applyNumberFormat="1">
      <alignment horizontal="center"/>
    </xf>
    <xf borderId="6" fillId="0" fontId="4" numFmtId="0" xfId="0" applyAlignment="1" applyBorder="1" applyFont="1">
      <alignment horizontal="center"/>
    </xf>
    <xf borderId="0" fillId="0" fontId="8" numFmtId="164" xfId="0" applyAlignment="1" applyFont="1" applyNumberFormat="1">
      <alignment horizontal="center"/>
    </xf>
    <xf borderId="6" fillId="0" fontId="8" numFmtId="0" xfId="0" applyBorder="1" applyFont="1"/>
    <xf borderId="6" fillId="0" fontId="8" numFmtId="164" xfId="0" applyBorder="1" applyFont="1" applyNumberFormat="1"/>
    <xf borderId="0" fillId="0" fontId="4" numFmtId="0" xfId="0" applyAlignment="1" applyFont="1">
      <alignment horizontal="left"/>
    </xf>
    <xf borderId="6" fillId="0" fontId="3" numFmtId="0" xfId="0" applyBorder="1" applyFont="1"/>
    <xf borderId="6" fillId="0" fontId="3" numFmtId="0" xfId="0" applyAlignment="1" applyBorder="1" applyFont="1">
      <alignment horizontal="center"/>
    </xf>
    <xf borderId="6" fillId="0" fontId="3" numFmtId="164" xfId="0" applyAlignment="1" applyBorder="1" applyFont="1" applyNumberFormat="1">
      <alignment horizontal="center"/>
    </xf>
    <xf borderId="6" fillId="0" fontId="9" numFmtId="0" xfId="0" applyAlignment="1" applyBorder="1" applyFont="1">
      <alignment horizontal="center"/>
    </xf>
    <xf borderId="7" fillId="3" fontId="10" numFmtId="14" xfId="0" applyAlignment="1" applyBorder="1" applyFill="1" applyFont="1" applyNumberFormat="1">
      <alignment horizontal="center" shrinkToFit="0" vertical="center" wrapText="1"/>
    </xf>
    <xf borderId="6" fillId="0" fontId="3" numFmtId="167" xfId="0" applyAlignment="1" applyBorder="1" applyFont="1" applyNumberFormat="1">
      <alignment horizontal="center" vertical="center"/>
    </xf>
    <xf borderId="6" fillId="0" fontId="3" numFmtId="0" xfId="0" applyAlignment="1" applyBorder="1" applyFont="1">
      <alignment horizontal="left" shrinkToFit="0" vertical="center" wrapText="1"/>
    </xf>
    <xf borderId="6" fillId="0" fontId="3" numFmtId="14" xfId="0" applyAlignment="1" applyBorder="1" applyFont="1" applyNumberFormat="1">
      <alignment horizontal="center" vertical="center"/>
    </xf>
    <xf borderId="6" fillId="0" fontId="3" numFmtId="2" xfId="0" applyAlignment="1" applyBorder="1" applyFont="1" applyNumberFormat="1">
      <alignment horizontal="center" vertical="center"/>
    </xf>
    <xf borderId="6" fillId="0" fontId="9" numFmtId="0" xfId="0" applyBorder="1" applyFont="1"/>
    <xf borderId="0" fillId="0" fontId="4" numFmtId="0" xfId="0" applyAlignment="1" applyFont="1">
      <alignment vertical="center"/>
    </xf>
    <xf borderId="0" fillId="0" fontId="11" numFmtId="0" xfId="0" applyAlignment="1" applyFont="1">
      <alignment vertical="center"/>
    </xf>
    <xf borderId="0" fillId="0" fontId="4" numFmtId="164" xfId="0" applyFont="1" applyNumberFormat="1"/>
    <xf borderId="0" fillId="0" fontId="1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Quattrocento Sans"/>
        <a:ea typeface="Quattrocento Sans"/>
        <a:cs typeface="Quattrocento Sans"/>
      </a:majorFont>
      <a:minorFont>
        <a:latin typeface="Quattrocento Sans"/>
        <a:ea typeface="Quattrocento Sans"/>
        <a:cs typeface="Quattrocento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4.43" defaultRowHeight="15.0"/>
  <cols>
    <col customWidth="1" min="1" max="1" width="26.14"/>
    <col customWidth="1" min="2" max="3" width="13.57"/>
    <col customWidth="1" min="4" max="4" width="16.71"/>
    <col customWidth="1" min="5" max="5" width="15.43"/>
    <col customWidth="1" min="6" max="12" width="13.57"/>
    <col customWidth="1" min="13" max="14" width="12.0"/>
    <col customWidth="1" min="15" max="20" width="8.71"/>
    <col customWidth="1" min="21" max="21" width="7.86"/>
    <col customWidth="1" min="22" max="28" width="8.71"/>
  </cols>
  <sheetData>
    <row r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4"/>
      <c r="N1" s="5"/>
      <c r="O1" s="4"/>
      <c r="P1" s="4"/>
      <c r="Q1" s="4"/>
      <c r="R1" s="4"/>
      <c r="S1" s="4"/>
      <c r="T1" s="6"/>
      <c r="U1" s="6"/>
      <c r="V1" s="6"/>
      <c r="W1" s="6"/>
      <c r="X1" s="6"/>
      <c r="Y1" s="6"/>
      <c r="Z1" s="6"/>
      <c r="AA1" s="6"/>
      <c r="AB1" s="6"/>
    </row>
    <row r="2">
      <c r="A2" s="1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8"/>
      <c r="M2" s="4"/>
      <c r="N2" s="5"/>
      <c r="O2" s="4"/>
      <c r="P2" s="4"/>
      <c r="Q2" s="4"/>
      <c r="R2" s="4"/>
      <c r="S2" s="4"/>
      <c r="T2" s="6"/>
      <c r="U2" s="6"/>
      <c r="V2" s="6"/>
      <c r="W2" s="6"/>
      <c r="X2" s="6"/>
      <c r="Y2" s="6"/>
      <c r="Z2" s="6"/>
      <c r="AA2" s="6"/>
      <c r="AB2" s="6"/>
    </row>
    <row r="3">
      <c r="A3" s="1"/>
      <c r="B3" s="7"/>
      <c r="C3" s="7"/>
      <c r="D3" s="7"/>
      <c r="E3" s="7"/>
      <c r="F3" s="9">
        <v>0.05</v>
      </c>
      <c r="G3" s="7"/>
      <c r="H3" s="7"/>
      <c r="I3" s="7"/>
      <c r="J3" s="7"/>
      <c r="K3" s="7"/>
      <c r="L3" s="8"/>
      <c r="M3" s="4"/>
      <c r="N3" s="5"/>
      <c r="O3" s="4"/>
      <c r="P3" s="4"/>
      <c r="Q3" s="4"/>
      <c r="R3" s="4"/>
      <c r="S3" s="4"/>
      <c r="T3" s="6"/>
      <c r="U3" s="6"/>
      <c r="V3" s="6"/>
      <c r="W3" s="6"/>
      <c r="X3" s="6"/>
      <c r="Y3" s="6"/>
      <c r="Z3" s="6"/>
      <c r="AA3" s="6"/>
      <c r="AB3" s="6"/>
    </row>
    <row r="4" ht="26.25" customHeight="1">
      <c r="A4" s="10" t="s">
        <v>2</v>
      </c>
      <c r="B4" s="11" t="s">
        <v>3</v>
      </c>
      <c r="C4" s="12"/>
      <c r="D4" s="12"/>
      <c r="E4" s="13"/>
      <c r="F4" s="14" t="s">
        <v>4</v>
      </c>
      <c r="G4" s="15" t="s">
        <v>5</v>
      </c>
      <c r="H4" s="11" t="s">
        <v>6</v>
      </c>
      <c r="I4" s="12"/>
      <c r="J4" s="12"/>
      <c r="K4" s="13"/>
      <c r="L4" s="16" t="s">
        <v>7</v>
      </c>
      <c r="M4" s="14" t="s">
        <v>4</v>
      </c>
      <c r="N4" s="15" t="s">
        <v>5</v>
      </c>
      <c r="O4" s="17"/>
      <c r="P4" s="17"/>
      <c r="Q4" s="17"/>
      <c r="R4" s="17"/>
      <c r="S4" s="17"/>
      <c r="T4" s="18"/>
      <c r="U4" s="18"/>
      <c r="V4" s="18"/>
      <c r="W4" s="18"/>
      <c r="X4" s="18"/>
      <c r="Y4" s="18"/>
      <c r="Z4" s="18"/>
      <c r="AA4" s="18"/>
      <c r="AB4" s="18"/>
    </row>
    <row r="5">
      <c r="A5" s="19"/>
      <c r="B5" s="20" t="s">
        <v>8</v>
      </c>
      <c r="C5" s="20" t="s">
        <v>9</v>
      </c>
      <c r="D5" s="20" t="s">
        <v>10</v>
      </c>
      <c r="E5" s="20" t="s">
        <v>11</v>
      </c>
      <c r="F5" s="19"/>
      <c r="G5" s="19"/>
      <c r="H5" s="20" t="s">
        <v>8</v>
      </c>
      <c r="I5" s="20" t="s">
        <v>9</v>
      </c>
      <c r="J5" s="20" t="s">
        <v>10</v>
      </c>
      <c r="K5" s="20" t="s">
        <v>11</v>
      </c>
      <c r="L5" s="19"/>
      <c r="M5" s="19"/>
      <c r="N5" s="19"/>
      <c r="O5" s="4"/>
      <c r="P5" s="4"/>
      <c r="Q5" s="4"/>
      <c r="R5" s="4"/>
      <c r="S5" s="4"/>
      <c r="T5" s="6"/>
      <c r="U5" s="6"/>
      <c r="V5" s="6"/>
      <c r="W5" s="6"/>
      <c r="X5" s="6"/>
      <c r="Y5" s="6"/>
      <c r="Z5" s="6"/>
      <c r="AA5" s="6"/>
      <c r="AB5" s="6"/>
    </row>
    <row r="6">
      <c r="A6" s="21" t="s">
        <v>12</v>
      </c>
      <c r="B6" s="22"/>
      <c r="C6" s="22"/>
      <c r="D6" s="22"/>
      <c r="E6" s="23"/>
      <c r="F6" s="22">
        <f t="shared" ref="F6:G6" si="1">M6+(M6*$F$3)</f>
        <v>0</v>
      </c>
      <c r="G6" s="22">
        <f t="shared" si="1"/>
        <v>0</v>
      </c>
      <c r="H6" s="22"/>
      <c r="I6" s="22"/>
      <c r="J6" s="22"/>
      <c r="K6" s="23"/>
      <c r="L6" s="23"/>
      <c r="M6" s="24"/>
      <c r="N6" s="24"/>
      <c r="O6" s="4"/>
      <c r="P6" s="4"/>
      <c r="Q6" s="4"/>
      <c r="R6" s="4"/>
      <c r="S6" s="4"/>
      <c r="T6" s="6"/>
      <c r="U6" s="6"/>
      <c r="V6" s="6"/>
      <c r="W6" s="6"/>
      <c r="X6" s="6"/>
      <c r="Y6" s="6"/>
      <c r="Z6" s="6"/>
      <c r="AA6" s="6"/>
      <c r="AB6" s="6"/>
    </row>
    <row r="7">
      <c r="A7" s="25" t="s">
        <v>13</v>
      </c>
      <c r="B7" s="22">
        <v>1.0</v>
      </c>
      <c r="C7" s="22"/>
      <c r="D7" s="22"/>
      <c r="E7" s="23">
        <f t="shared" ref="E7:E58" si="2">SUM(B7:D7)</f>
        <v>1</v>
      </c>
      <c r="F7" s="22">
        <f>17000000</f>
        <v>17000000</v>
      </c>
      <c r="G7" s="22">
        <f>N7+(N7*$F$3)</f>
        <v>0</v>
      </c>
      <c r="H7" s="22"/>
      <c r="I7" s="22"/>
      <c r="J7" s="22"/>
      <c r="K7" s="23">
        <f t="shared" ref="K7:K58" si="4">SUM(H7:J7)</f>
        <v>0</v>
      </c>
      <c r="L7" s="23">
        <f t="shared" ref="L7:L58" si="5">K7-E7</f>
        <v>-1</v>
      </c>
      <c r="M7" s="24"/>
      <c r="N7" s="24"/>
      <c r="O7" s="4"/>
      <c r="P7" s="4"/>
      <c r="Q7" s="4"/>
      <c r="R7" s="4"/>
      <c r="S7" s="4"/>
      <c r="T7" s="6"/>
      <c r="U7" s="6"/>
      <c r="V7" s="6"/>
      <c r="W7" s="6"/>
      <c r="X7" s="6"/>
      <c r="Y7" s="6"/>
      <c r="Z7" s="6"/>
      <c r="AA7" s="6"/>
      <c r="AB7" s="6"/>
    </row>
    <row r="8">
      <c r="A8" s="25" t="s">
        <v>14</v>
      </c>
      <c r="B8" s="22"/>
      <c r="C8" s="22"/>
      <c r="D8" s="22"/>
      <c r="E8" s="23">
        <f t="shared" si="2"/>
        <v>0</v>
      </c>
      <c r="F8" s="22">
        <f t="shared" ref="F8:G8" si="3">M8+(M8*$F$3)</f>
        <v>0</v>
      </c>
      <c r="G8" s="22">
        <f t="shared" si="3"/>
        <v>0</v>
      </c>
      <c r="H8" s="22"/>
      <c r="I8" s="22"/>
      <c r="J8" s="22"/>
      <c r="K8" s="23">
        <f t="shared" si="4"/>
        <v>0</v>
      </c>
      <c r="L8" s="23">
        <f t="shared" si="5"/>
        <v>0</v>
      </c>
      <c r="M8" s="24"/>
      <c r="N8" s="24"/>
      <c r="O8" s="4"/>
      <c r="P8" s="4"/>
      <c r="Q8" s="4"/>
      <c r="R8" s="4"/>
      <c r="S8" s="4"/>
      <c r="T8" s="6"/>
      <c r="U8" s="6"/>
      <c r="V8" s="6"/>
      <c r="W8" s="6"/>
      <c r="X8" s="6"/>
      <c r="Y8" s="6"/>
      <c r="Z8" s="6"/>
      <c r="AA8" s="6"/>
      <c r="AB8" s="6"/>
    </row>
    <row r="9">
      <c r="A9" s="26" t="s">
        <v>15</v>
      </c>
      <c r="B9" s="22"/>
      <c r="C9" s="22">
        <f>1</f>
        <v>1</v>
      </c>
      <c r="D9" s="22"/>
      <c r="E9" s="23">
        <f t="shared" si="2"/>
        <v>1</v>
      </c>
      <c r="F9" s="22">
        <f t="shared" ref="F9:G9" si="6">M9+(M9*$F$3)</f>
        <v>7402511.55</v>
      </c>
      <c r="G9" s="22">
        <f t="shared" si="6"/>
        <v>0</v>
      </c>
      <c r="H9" s="22"/>
      <c r="I9" s="22">
        <f>1</f>
        <v>1</v>
      </c>
      <c r="J9" s="22"/>
      <c r="K9" s="23">
        <f t="shared" si="4"/>
        <v>1</v>
      </c>
      <c r="L9" s="23">
        <f t="shared" si="5"/>
        <v>0</v>
      </c>
      <c r="M9" s="24">
        <f>7050011</f>
        <v>7050011</v>
      </c>
      <c r="N9" s="24"/>
      <c r="O9" s="4"/>
      <c r="P9" s="4"/>
      <c r="Q9" s="4"/>
      <c r="R9" s="4"/>
      <c r="S9" s="4"/>
      <c r="T9" s="6"/>
      <c r="U9" s="6"/>
      <c r="V9" s="6"/>
      <c r="W9" s="6"/>
      <c r="X9" s="6"/>
      <c r="Y9" s="6"/>
      <c r="Z9" s="6"/>
      <c r="AA9" s="6"/>
      <c r="AB9" s="6"/>
    </row>
    <row r="10">
      <c r="A10" s="26" t="s">
        <v>16</v>
      </c>
      <c r="B10" s="22">
        <f>1</f>
        <v>1</v>
      </c>
      <c r="C10" s="22"/>
      <c r="D10" s="22"/>
      <c r="E10" s="23">
        <f t="shared" si="2"/>
        <v>1</v>
      </c>
      <c r="F10" s="22">
        <f t="shared" ref="F10:G10" si="7">M10+(M10*$F$3)</f>
        <v>4023180</v>
      </c>
      <c r="G10" s="22">
        <f t="shared" si="7"/>
        <v>0</v>
      </c>
      <c r="H10" s="22">
        <f>1</f>
        <v>1</v>
      </c>
      <c r="I10" s="22"/>
      <c r="J10" s="22"/>
      <c r="K10" s="23">
        <f t="shared" si="4"/>
        <v>1</v>
      </c>
      <c r="L10" s="23">
        <f t="shared" si="5"/>
        <v>0</v>
      </c>
      <c r="M10" s="24">
        <f>3831600</f>
        <v>3831600</v>
      </c>
      <c r="N10" s="24"/>
      <c r="O10" s="4"/>
      <c r="P10" s="4"/>
      <c r="Q10" s="4"/>
      <c r="R10" s="4"/>
      <c r="S10" s="4"/>
      <c r="T10" s="6"/>
      <c r="U10" s="6"/>
      <c r="V10" s="6"/>
      <c r="W10" s="6"/>
      <c r="X10" s="6"/>
      <c r="Y10" s="6"/>
      <c r="Z10" s="6"/>
      <c r="AA10" s="6"/>
      <c r="AB10" s="6"/>
    </row>
    <row r="11">
      <c r="A11" s="26" t="s">
        <v>17</v>
      </c>
      <c r="B11" s="22">
        <f>2</f>
        <v>2</v>
      </c>
      <c r="C11" s="22"/>
      <c r="D11" s="22"/>
      <c r="E11" s="23">
        <f t="shared" si="2"/>
        <v>2</v>
      </c>
      <c r="F11" s="22">
        <f t="shared" ref="F11:G11" si="8">M11+(M11*$F$3)</f>
        <v>7403294.85</v>
      </c>
      <c r="G11" s="22">
        <f t="shared" si="8"/>
        <v>0</v>
      </c>
      <c r="H11" s="22">
        <f>2</f>
        <v>2</v>
      </c>
      <c r="I11" s="22"/>
      <c r="J11" s="22"/>
      <c r="K11" s="23">
        <f t="shared" si="4"/>
        <v>2</v>
      </c>
      <c r="L11" s="23">
        <f t="shared" si="5"/>
        <v>0</v>
      </c>
      <c r="M11" s="24">
        <f>7050757</f>
        <v>7050757</v>
      </c>
      <c r="N11" s="24"/>
      <c r="O11" s="4"/>
      <c r="P11" s="4"/>
      <c r="Q11" s="4"/>
      <c r="R11" s="4"/>
      <c r="S11" s="4"/>
      <c r="T11" s="6"/>
      <c r="U11" s="6"/>
      <c r="V11" s="6"/>
      <c r="W11" s="6"/>
      <c r="X11" s="6"/>
      <c r="Y11" s="6"/>
      <c r="Z11" s="6"/>
      <c r="AA11" s="6"/>
      <c r="AB11" s="6"/>
    </row>
    <row r="12">
      <c r="A12" s="26" t="s">
        <v>18</v>
      </c>
      <c r="B12" s="22"/>
      <c r="C12" s="22">
        <f>1</f>
        <v>1</v>
      </c>
      <c r="D12" s="22"/>
      <c r="E12" s="23">
        <f t="shared" si="2"/>
        <v>1</v>
      </c>
      <c r="F12" s="22">
        <f t="shared" ref="F12:G12" si="9">M12+(M12*$F$3)</f>
        <v>5141305.05</v>
      </c>
      <c r="G12" s="22">
        <f t="shared" si="9"/>
        <v>0</v>
      </c>
      <c r="H12" s="22"/>
      <c r="I12" s="22">
        <f>1</f>
        <v>1</v>
      </c>
      <c r="J12" s="22"/>
      <c r="K12" s="23">
        <f t="shared" si="4"/>
        <v>1</v>
      </c>
      <c r="L12" s="23">
        <f t="shared" si="5"/>
        <v>0</v>
      </c>
      <c r="M12" s="24">
        <f>4896481</f>
        <v>4896481</v>
      </c>
      <c r="N12" s="24"/>
      <c r="O12" s="4"/>
      <c r="P12" s="4"/>
      <c r="Q12" s="4"/>
      <c r="R12" s="4"/>
      <c r="S12" s="4"/>
      <c r="T12" s="6"/>
      <c r="U12" s="6"/>
      <c r="V12" s="6"/>
      <c r="W12" s="6"/>
      <c r="X12" s="6"/>
      <c r="Y12" s="6"/>
      <c r="Z12" s="6"/>
      <c r="AA12" s="6"/>
      <c r="AB12" s="6"/>
    </row>
    <row r="13">
      <c r="A13" s="26" t="s">
        <v>19</v>
      </c>
      <c r="B13" s="22"/>
      <c r="C13" s="22"/>
      <c r="D13" s="22"/>
      <c r="E13" s="23">
        <f t="shared" si="2"/>
        <v>0</v>
      </c>
      <c r="F13" s="22">
        <f t="shared" ref="F13:G13" si="10">M13+(M13*$F$3)</f>
        <v>0</v>
      </c>
      <c r="G13" s="22">
        <f t="shared" si="10"/>
        <v>0</v>
      </c>
      <c r="H13" s="22"/>
      <c r="I13" s="22"/>
      <c r="J13" s="22"/>
      <c r="K13" s="23">
        <f t="shared" si="4"/>
        <v>0</v>
      </c>
      <c r="L13" s="23">
        <f t="shared" si="5"/>
        <v>0</v>
      </c>
      <c r="M13" s="24"/>
      <c r="N13" s="24"/>
      <c r="O13" s="4"/>
      <c r="P13" s="4"/>
      <c r="Q13" s="4"/>
      <c r="R13" s="4"/>
      <c r="S13" s="4"/>
      <c r="T13" s="6"/>
      <c r="U13" s="6"/>
      <c r="V13" s="6"/>
      <c r="W13" s="6"/>
      <c r="X13" s="6"/>
      <c r="Y13" s="6"/>
      <c r="Z13" s="6"/>
      <c r="AA13" s="6"/>
      <c r="AB13" s="6"/>
    </row>
    <row r="14">
      <c r="A14" s="26" t="s">
        <v>20</v>
      </c>
      <c r="B14" s="22"/>
      <c r="C14" s="22">
        <f>1</f>
        <v>1</v>
      </c>
      <c r="D14" s="22"/>
      <c r="E14" s="23">
        <f t="shared" si="2"/>
        <v>1</v>
      </c>
      <c r="F14" s="22">
        <f t="shared" ref="F14:G14" si="11">M14+(M14*$F$3)</f>
        <v>4961752.95</v>
      </c>
      <c r="G14" s="22">
        <f t="shared" si="11"/>
        <v>0</v>
      </c>
      <c r="H14" s="22"/>
      <c r="I14" s="22">
        <f>1</f>
        <v>1</v>
      </c>
      <c r="J14" s="22"/>
      <c r="K14" s="23">
        <f t="shared" si="4"/>
        <v>1</v>
      </c>
      <c r="L14" s="23">
        <f t="shared" si="5"/>
        <v>0</v>
      </c>
      <c r="M14" s="24">
        <f>4725479</f>
        <v>4725479</v>
      </c>
      <c r="N14" s="24"/>
      <c r="O14" s="4"/>
      <c r="P14" s="4"/>
      <c r="Q14" s="4"/>
      <c r="R14" s="4"/>
      <c r="S14" s="4"/>
      <c r="T14" s="6"/>
      <c r="U14" s="6"/>
      <c r="V14" s="6"/>
      <c r="W14" s="6"/>
      <c r="X14" s="6"/>
      <c r="Y14" s="6"/>
      <c r="Z14" s="6"/>
      <c r="AA14" s="6"/>
      <c r="AB14" s="6"/>
    </row>
    <row r="15">
      <c r="A15" s="25" t="s">
        <v>21</v>
      </c>
      <c r="B15" s="22"/>
      <c r="C15" s="22"/>
      <c r="D15" s="22"/>
      <c r="E15" s="23">
        <f t="shared" si="2"/>
        <v>0</v>
      </c>
      <c r="F15" s="22">
        <f t="shared" ref="F15:G15" si="12">M15+(M15*$F$3)</f>
        <v>0</v>
      </c>
      <c r="G15" s="22">
        <f t="shared" si="12"/>
        <v>0</v>
      </c>
      <c r="H15" s="22"/>
      <c r="I15" s="22"/>
      <c r="J15" s="22"/>
      <c r="K15" s="23">
        <f t="shared" si="4"/>
        <v>0</v>
      </c>
      <c r="L15" s="23">
        <f t="shared" si="5"/>
        <v>0</v>
      </c>
      <c r="M15" s="24"/>
      <c r="N15" s="24"/>
      <c r="O15" s="4"/>
      <c r="P15" s="4"/>
      <c r="Q15" s="4"/>
      <c r="R15" s="4"/>
      <c r="S15" s="4"/>
      <c r="T15" s="6"/>
      <c r="U15" s="6"/>
      <c r="V15" s="6"/>
      <c r="W15" s="6"/>
      <c r="X15" s="6"/>
      <c r="Y15" s="6"/>
      <c r="Z15" s="6"/>
      <c r="AA15" s="6"/>
      <c r="AB15" s="6"/>
    </row>
    <row r="16">
      <c r="A16" s="26" t="s">
        <v>22</v>
      </c>
      <c r="B16" s="22"/>
      <c r="C16" s="22"/>
      <c r="D16" s="22"/>
      <c r="E16" s="23">
        <f t="shared" si="2"/>
        <v>0</v>
      </c>
      <c r="F16" s="22">
        <f t="shared" ref="F16:G16" si="13">M16+(M16*$F$3)</f>
        <v>0</v>
      </c>
      <c r="G16" s="22">
        <f t="shared" si="13"/>
        <v>0</v>
      </c>
      <c r="H16" s="22"/>
      <c r="I16" s="22"/>
      <c r="J16" s="22"/>
      <c r="K16" s="23">
        <f t="shared" si="4"/>
        <v>0</v>
      </c>
      <c r="L16" s="23">
        <f t="shared" si="5"/>
        <v>0</v>
      </c>
      <c r="M16" s="24"/>
      <c r="N16" s="24"/>
      <c r="O16" s="4"/>
      <c r="P16" s="4"/>
      <c r="Q16" s="4"/>
      <c r="R16" s="4"/>
      <c r="S16" s="4"/>
      <c r="T16" s="6"/>
      <c r="U16" s="6"/>
      <c r="V16" s="6"/>
      <c r="W16" s="6"/>
      <c r="X16" s="6"/>
      <c r="Y16" s="6"/>
      <c r="Z16" s="6"/>
      <c r="AA16" s="6"/>
      <c r="AB16" s="6"/>
    </row>
    <row r="17">
      <c r="A17" s="26" t="s">
        <v>23</v>
      </c>
      <c r="B17" s="22">
        <f t="shared" ref="B17:B18" si="15">1</f>
        <v>1</v>
      </c>
      <c r="C17" s="22"/>
      <c r="D17" s="22"/>
      <c r="E17" s="23">
        <f t="shared" si="2"/>
        <v>1</v>
      </c>
      <c r="F17" s="22">
        <f t="shared" ref="F17:G17" si="14">M17+(M17*$F$3)</f>
        <v>4449831.75</v>
      </c>
      <c r="G17" s="22">
        <f t="shared" si="14"/>
        <v>0</v>
      </c>
      <c r="H17" s="22">
        <f t="shared" ref="H17:H18" si="17">1</f>
        <v>1</v>
      </c>
      <c r="I17" s="22"/>
      <c r="J17" s="22"/>
      <c r="K17" s="23">
        <f t="shared" si="4"/>
        <v>1</v>
      </c>
      <c r="L17" s="23">
        <f t="shared" si="5"/>
        <v>0</v>
      </c>
      <c r="M17" s="24">
        <f>4237935</f>
        <v>4237935</v>
      </c>
      <c r="N17" s="24"/>
      <c r="O17" s="4"/>
      <c r="P17" s="4"/>
      <c r="Q17" s="4"/>
      <c r="R17" s="4"/>
      <c r="S17" s="4"/>
      <c r="T17" s="6"/>
      <c r="U17" s="6"/>
      <c r="V17" s="6"/>
      <c r="W17" s="6"/>
      <c r="X17" s="6"/>
      <c r="Y17" s="6"/>
      <c r="Z17" s="6"/>
      <c r="AA17" s="6"/>
      <c r="AB17" s="6"/>
    </row>
    <row r="18">
      <c r="A18" s="25" t="s">
        <v>24</v>
      </c>
      <c r="B18" s="22">
        <f t="shared" si="15"/>
        <v>1</v>
      </c>
      <c r="C18" s="22"/>
      <c r="D18" s="22"/>
      <c r="E18" s="23">
        <f t="shared" si="2"/>
        <v>1</v>
      </c>
      <c r="F18" s="22">
        <f t="shared" ref="F18:G18" si="16">M18+(M18*$F$3)</f>
        <v>5194350</v>
      </c>
      <c r="G18" s="22">
        <f t="shared" si="16"/>
        <v>0</v>
      </c>
      <c r="H18" s="22">
        <f t="shared" si="17"/>
        <v>1</v>
      </c>
      <c r="I18" s="22"/>
      <c r="J18" s="22"/>
      <c r="K18" s="23">
        <f t="shared" si="4"/>
        <v>1</v>
      </c>
      <c r="L18" s="23">
        <f t="shared" si="5"/>
        <v>0</v>
      </c>
      <c r="M18" s="24">
        <f>4947000</f>
        <v>4947000</v>
      </c>
      <c r="N18" s="24"/>
      <c r="O18" s="4"/>
      <c r="P18" s="4"/>
      <c r="Q18" s="4"/>
      <c r="R18" s="4"/>
      <c r="S18" s="4"/>
      <c r="T18" s="6"/>
      <c r="U18" s="6"/>
      <c r="V18" s="6"/>
      <c r="W18" s="6"/>
      <c r="X18" s="6"/>
      <c r="Y18" s="6"/>
      <c r="Z18" s="6"/>
      <c r="AA18" s="6"/>
      <c r="AB18" s="6"/>
    </row>
    <row r="19">
      <c r="A19" s="25" t="s">
        <v>25</v>
      </c>
      <c r="B19" s="22"/>
      <c r="C19" s="22"/>
      <c r="D19" s="22"/>
      <c r="E19" s="23">
        <f t="shared" si="2"/>
        <v>0</v>
      </c>
      <c r="F19" s="22">
        <f t="shared" ref="F19:G19" si="18">M19+(M19*$F$3)</f>
        <v>0</v>
      </c>
      <c r="G19" s="22">
        <f t="shared" si="18"/>
        <v>0</v>
      </c>
      <c r="H19" s="22"/>
      <c r="I19" s="22"/>
      <c r="J19" s="22"/>
      <c r="K19" s="23">
        <f t="shared" si="4"/>
        <v>0</v>
      </c>
      <c r="L19" s="23">
        <f t="shared" si="5"/>
        <v>0</v>
      </c>
      <c r="M19" s="24"/>
      <c r="N19" s="24"/>
      <c r="O19" s="4"/>
      <c r="P19" s="4"/>
      <c r="Q19" s="4"/>
      <c r="R19" s="4"/>
      <c r="S19" s="4"/>
      <c r="T19" s="6"/>
      <c r="U19" s="6"/>
      <c r="V19" s="6"/>
      <c r="W19" s="6"/>
      <c r="X19" s="6"/>
      <c r="Y19" s="6"/>
      <c r="Z19" s="6"/>
      <c r="AA19" s="6"/>
      <c r="AB19" s="6"/>
    </row>
    <row r="20">
      <c r="A20" s="26" t="s">
        <v>26</v>
      </c>
      <c r="B20" s="22">
        <f>1</f>
        <v>1</v>
      </c>
      <c r="C20" s="22"/>
      <c r="D20" s="22"/>
      <c r="E20" s="23">
        <f t="shared" si="2"/>
        <v>1</v>
      </c>
      <c r="F20" s="22">
        <f t="shared" ref="F20:G20" si="19">M20+(M20*$F$3)</f>
        <v>7925400</v>
      </c>
      <c r="G20" s="22">
        <f t="shared" si="19"/>
        <v>0</v>
      </c>
      <c r="H20" s="22">
        <f>1</f>
        <v>1</v>
      </c>
      <c r="I20" s="22"/>
      <c r="J20" s="22"/>
      <c r="K20" s="23">
        <f t="shared" si="4"/>
        <v>1</v>
      </c>
      <c r="L20" s="23">
        <f t="shared" si="5"/>
        <v>0</v>
      </c>
      <c r="M20" s="24">
        <f>7548000</f>
        <v>7548000</v>
      </c>
      <c r="N20" s="24"/>
      <c r="O20" s="4"/>
      <c r="P20" s="4"/>
      <c r="Q20" s="4"/>
      <c r="R20" s="4"/>
      <c r="S20" s="4"/>
      <c r="T20" s="6"/>
      <c r="U20" s="6"/>
      <c r="V20" s="6"/>
      <c r="W20" s="6"/>
      <c r="X20" s="6"/>
      <c r="Y20" s="6"/>
      <c r="Z20" s="6"/>
      <c r="AA20" s="6"/>
      <c r="AB20" s="6"/>
    </row>
    <row r="21" ht="15.75" customHeight="1">
      <c r="A21" s="26" t="s">
        <v>27</v>
      </c>
      <c r="B21" s="22"/>
      <c r="C21" s="22">
        <v>1.0</v>
      </c>
      <c r="D21" s="22"/>
      <c r="E21" s="23">
        <f t="shared" si="2"/>
        <v>1</v>
      </c>
      <c r="F21" s="22">
        <f>5000000</f>
        <v>5000000</v>
      </c>
      <c r="G21" s="22">
        <f>N21+(N21*$F$3)</f>
        <v>0</v>
      </c>
      <c r="H21" s="22"/>
      <c r="I21" s="22"/>
      <c r="J21" s="22"/>
      <c r="K21" s="23">
        <f t="shared" si="4"/>
        <v>0</v>
      </c>
      <c r="L21" s="23">
        <f t="shared" si="5"/>
        <v>-1</v>
      </c>
      <c r="M21" s="24"/>
      <c r="N21" s="24"/>
      <c r="O21" s="4"/>
      <c r="P21" s="4"/>
      <c r="Q21" s="4"/>
      <c r="R21" s="4"/>
      <c r="S21" s="4"/>
      <c r="T21" s="6"/>
      <c r="U21" s="6"/>
      <c r="V21" s="6"/>
      <c r="W21" s="6"/>
      <c r="X21" s="6"/>
      <c r="Y21" s="6"/>
      <c r="Z21" s="6"/>
      <c r="AA21" s="6"/>
      <c r="AB21" s="6"/>
    </row>
    <row r="22" ht="15.75" customHeight="1">
      <c r="A22" s="26" t="s">
        <v>28</v>
      </c>
      <c r="B22" s="22">
        <f>1</f>
        <v>1</v>
      </c>
      <c r="C22" s="22"/>
      <c r="D22" s="22">
        <v>1.0</v>
      </c>
      <c r="E22" s="23">
        <f t="shared" si="2"/>
        <v>2</v>
      </c>
      <c r="F22" s="22">
        <f t="shared" ref="F22:G22" si="20">M22+(M22*$F$3)</f>
        <v>4663583.4</v>
      </c>
      <c r="G22" s="22">
        <f t="shared" si="20"/>
        <v>3150000</v>
      </c>
      <c r="H22" s="22">
        <f>1</f>
        <v>1</v>
      </c>
      <c r="I22" s="22"/>
      <c r="J22" s="22">
        <v>1.0</v>
      </c>
      <c r="K22" s="23">
        <f t="shared" si="4"/>
        <v>2</v>
      </c>
      <c r="L22" s="23">
        <f t="shared" si="5"/>
        <v>0</v>
      </c>
      <c r="M22" s="24">
        <f>4441508</f>
        <v>4441508</v>
      </c>
      <c r="N22" s="24">
        <v>3000000.0</v>
      </c>
      <c r="O22" s="4"/>
      <c r="P22" s="4"/>
      <c r="Q22" s="4"/>
      <c r="R22" s="4"/>
      <c r="S22" s="4"/>
      <c r="T22" s="6"/>
      <c r="U22" s="6"/>
      <c r="V22" s="6"/>
      <c r="W22" s="6"/>
      <c r="X22" s="6"/>
      <c r="Y22" s="6"/>
      <c r="Z22" s="6"/>
      <c r="AA22" s="6"/>
      <c r="AB22" s="6"/>
    </row>
    <row r="23" ht="15.75" customHeight="1">
      <c r="A23" s="25" t="s">
        <v>29</v>
      </c>
      <c r="B23" s="22"/>
      <c r="C23" s="22"/>
      <c r="D23" s="22"/>
      <c r="E23" s="23">
        <f t="shared" si="2"/>
        <v>0</v>
      </c>
      <c r="F23" s="22">
        <f t="shared" ref="F23:G23" si="21">M23+(M23*$F$3)</f>
        <v>0</v>
      </c>
      <c r="G23" s="22">
        <f t="shared" si="21"/>
        <v>0</v>
      </c>
      <c r="H23" s="22"/>
      <c r="I23" s="22"/>
      <c r="J23" s="22"/>
      <c r="K23" s="23">
        <f t="shared" si="4"/>
        <v>0</v>
      </c>
      <c r="L23" s="23">
        <f t="shared" si="5"/>
        <v>0</v>
      </c>
      <c r="M23" s="24"/>
      <c r="N23" s="24"/>
      <c r="O23" s="4"/>
      <c r="P23" s="4"/>
      <c r="Q23" s="4"/>
      <c r="R23" s="4"/>
      <c r="S23" s="4"/>
      <c r="T23" s="6"/>
      <c r="U23" s="6"/>
      <c r="V23" s="6"/>
      <c r="W23" s="6"/>
      <c r="X23" s="6"/>
      <c r="Y23" s="6"/>
      <c r="Z23" s="6"/>
      <c r="AA23" s="6"/>
      <c r="AB23" s="6"/>
    </row>
    <row r="24" ht="15.75" customHeight="1">
      <c r="A24" s="25" t="s">
        <v>30</v>
      </c>
      <c r="B24" s="22">
        <f>1</f>
        <v>1</v>
      </c>
      <c r="C24" s="22"/>
      <c r="D24" s="22"/>
      <c r="E24" s="23">
        <f t="shared" si="2"/>
        <v>1</v>
      </c>
      <c r="F24" s="22">
        <f t="shared" ref="F24:G24" si="22">M24+(M24*$F$3)</f>
        <v>4630798.2</v>
      </c>
      <c r="G24" s="22">
        <f t="shared" si="22"/>
        <v>0</v>
      </c>
      <c r="H24" s="22">
        <f>1</f>
        <v>1</v>
      </c>
      <c r="I24" s="22"/>
      <c r="J24" s="22"/>
      <c r="K24" s="23">
        <f t="shared" si="4"/>
        <v>1</v>
      </c>
      <c r="L24" s="23">
        <f t="shared" si="5"/>
        <v>0</v>
      </c>
      <c r="M24" s="24">
        <f>4410284</f>
        <v>4410284</v>
      </c>
      <c r="N24" s="24"/>
      <c r="O24" s="4"/>
      <c r="P24" s="4"/>
      <c r="Q24" s="4"/>
      <c r="R24" s="4"/>
      <c r="S24" s="4"/>
      <c r="T24" s="6"/>
      <c r="U24" s="6"/>
      <c r="V24" s="6"/>
      <c r="W24" s="6"/>
      <c r="X24" s="6"/>
      <c r="Y24" s="6"/>
      <c r="Z24" s="6"/>
      <c r="AA24" s="6"/>
      <c r="AB24" s="6"/>
    </row>
    <row r="25" ht="15.75" customHeight="1">
      <c r="A25" s="26" t="s">
        <v>31</v>
      </c>
      <c r="B25" s="22"/>
      <c r="C25" s="22">
        <f>1+1</f>
        <v>2</v>
      </c>
      <c r="D25" s="22"/>
      <c r="E25" s="23">
        <f t="shared" si="2"/>
        <v>2</v>
      </c>
      <c r="F25" s="22">
        <f>M25+(M25*$F$3)+5092500</f>
        <v>10185000</v>
      </c>
      <c r="G25" s="22">
        <f>N25+(N25*$F$3)</f>
        <v>0</v>
      </c>
      <c r="H25" s="22"/>
      <c r="I25" s="22">
        <f>1</f>
        <v>1</v>
      </c>
      <c r="J25" s="22"/>
      <c r="K25" s="23">
        <f t="shared" si="4"/>
        <v>1</v>
      </c>
      <c r="L25" s="23">
        <f t="shared" si="5"/>
        <v>-1</v>
      </c>
      <c r="M25" s="24">
        <f>4850000</f>
        <v>4850000</v>
      </c>
      <c r="N25" s="24"/>
      <c r="O25" s="4"/>
      <c r="P25" s="4"/>
      <c r="Q25" s="4"/>
      <c r="R25" s="4"/>
      <c r="S25" s="4"/>
      <c r="T25" s="6"/>
      <c r="U25" s="6"/>
      <c r="V25" s="6"/>
      <c r="W25" s="6"/>
      <c r="X25" s="6"/>
      <c r="Y25" s="6"/>
      <c r="Z25" s="6"/>
      <c r="AA25" s="6"/>
      <c r="AB25" s="6"/>
    </row>
    <row r="26" ht="15.75" customHeight="1">
      <c r="A26" s="25" t="s">
        <v>32</v>
      </c>
      <c r="B26" s="22"/>
      <c r="C26" s="22"/>
      <c r="D26" s="22"/>
      <c r="E26" s="23">
        <f t="shared" si="2"/>
        <v>0</v>
      </c>
      <c r="F26" s="22">
        <f t="shared" ref="F26:G26" si="23">M26+(M26*$F$3)</f>
        <v>0</v>
      </c>
      <c r="G26" s="22">
        <f t="shared" si="23"/>
        <v>0</v>
      </c>
      <c r="H26" s="22"/>
      <c r="I26" s="22"/>
      <c r="J26" s="22"/>
      <c r="K26" s="23">
        <f t="shared" si="4"/>
        <v>0</v>
      </c>
      <c r="L26" s="23">
        <f t="shared" si="5"/>
        <v>0</v>
      </c>
      <c r="M26" s="24"/>
      <c r="N26" s="24"/>
      <c r="O26" s="4"/>
      <c r="P26" s="4"/>
      <c r="Q26" s="4"/>
      <c r="R26" s="4"/>
      <c r="S26" s="4"/>
      <c r="T26" s="6"/>
      <c r="U26" s="6"/>
      <c r="V26" s="6"/>
      <c r="W26" s="6"/>
      <c r="X26" s="6"/>
      <c r="Y26" s="6"/>
      <c r="Z26" s="6"/>
      <c r="AA26" s="6"/>
      <c r="AB26" s="6"/>
    </row>
    <row r="27" ht="15.75" customHeight="1">
      <c r="A27" s="26" t="s">
        <v>33</v>
      </c>
      <c r="B27" s="22"/>
      <c r="C27" s="22">
        <f t="shared" ref="C27:C28" si="24">1</f>
        <v>1</v>
      </c>
      <c r="D27" s="22"/>
      <c r="E27" s="23">
        <f t="shared" si="2"/>
        <v>1</v>
      </c>
      <c r="F27" s="22">
        <f>9000000</f>
        <v>9000000</v>
      </c>
      <c r="G27" s="22">
        <f t="shared" ref="G27:G28" si="25">N27+(N27*$F$3)</f>
        <v>0</v>
      </c>
      <c r="H27" s="22"/>
      <c r="I27" s="22"/>
      <c r="J27" s="22"/>
      <c r="K27" s="23">
        <f t="shared" si="4"/>
        <v>0</v>
      </c>
      <c r="L27" s="23">
        <f t="shared" si="5"/>
        <v>-1</v>
      </c>
      <c r="M27" s="24"/>
      <c r="N27" s="24"/>
      <c r="O27" s="4"/>
      <c r="P27" s="4"/>
      <c r="Q27" s="4"/>
      <c r="R27" s="4"/>
      <c r="S27" s="4"/>
      <c r="T27" s="6"/>
      <c r="U27" s="6"/>
      <c r="V27" s="6"/>
      <c r="W27" s="6"/>
      <c r="X27" s="6"/>
      <c r="Y27" s="6"/>
      <c r="Z27" s="6"/>
      <c r="AA27" s="6"/>
      <c r="AB27" s="6"/>
    </row>
    <row r="28" ht="15.75" customHeight="1">
      <c r="A28" s="26" t="s">
        <v>34</v>
      </c>
      <c r="B28" s="22"/>
      <c r="C28" s="22">
        <f t="shared" si="24"/>
        <v>1</v>
      </c>
      <c r="D28" s="22"/>
      <c r="E28" s="23">
        <f t="shared" si="2"/>
        <v>1</v>
      </c>
      <c r="F28" s="22">
        <f>7500000</f>
        <v>7500000</v>
      </c>
      <c r="G28" s="22">
        <f t="shared" si="25"/>
        <v>0</v>
      </c>
      <c r="H28" s="22"/>
      <c r="I28" s="22"/>
      <c r="J28" s="22"/>
      <c r="K28" s="23">
        <f t="shared" si="4"/>
        <v>0</v>
      </c>
      <c r="L28" s="23">
        <f t="shared" si="5"/>
        <v>-1</v>
      </c>
      <c r="M28" s="24"/>
      <c r="N28" s="24"/>
      <c r="O28" s="4"/>
      <c r="P28" s="4"/>
      <c r="Q28" s="4"/>
      <c r="R28" s="4"/>
      <c r="S28" s="4"/>
      <c r="T28" s="6"/>
      <c r="U28" s="6"/>
      <c r="V28" s="6"/>
      <c r="W28" s="6"/>
      <c r="X28" s="6"/>
      <c r="Y28" s="6"/>
      <c r="Z28" s="6"/>
      <c r="AA28" s="6"/>
      <c r="AB28" s="6"/>
    </row>
    <row r="29" ht="15.75" customHeight="1">
      <c r="A29" s="26" t="s">
        <v>35</v>
      </c>
      <c r="B29" s="22">
        <f>1</f>
        <v>1</v>
      </c>
      <c r="C29" s="22"/>
      <c r="D29" s="22"/>
      <c r="E29" s="23">
        <f t="shared" si="2"/>
        <v>1</v>
      </c>
      <c r="F29" s="22">
        <f t="shared" ref="F29:G29" si="26">M29+(M29*$F$3)</f>
        <v>5228066.55</v>
      </c>
      <c r="G29" s="22">
        <f t="shared" si="26"/>
        <v>0</v>
      </c>
      <c r="H29" s="22">
        <f>1</f>
        <v>1</v>
      </c>
      <c r="I29" s="22"/>
      <c r="J29" s="22"/>
      <c r="K29" s="23">
        <f t="shared" si="4"/>
        <v>1</v>
      </c>
      <c r="L29" s="23">
        <f t="shared" si="5"/>
        <v>0</v>
      </c>
      <c r="M29" s="24">
        <f>4979111</f>
        <v>4979111</v>
      </c>
      <c r="N29" s="24"/>
      <c r="O29" s="4"/>
      <c r="P29" s="4"/>
      <c r="Q29" s="4"/>
      <c r="R29" s="4"/>
      <c r="S29" s="4"/>
      <c r="T29" s="6"/>
      <c r="U29" s="6"/>
      <c r="V29" s="6"/>
      <c r="W29" s="6"/>
      <c r="X29" s="6"/>
      <c r="Y29" s="6"/>
      <c r="Z29" s="6"/>
      <c r="AA29" s="6"/>
      <c r="AB29" s="6"/>
    </row>
    <row r="30" ht="15.75" customHeight="1">
      <c r="A30" s="26" t="s">
        <v>36</v>
      </c>
      <c r="B30" s="22"/>
      <c r="C30" s="22">
        <f>1</f>
        <v>1</v>
      </c>
      <c r="D30" s="22">
        <v>1.0</v>
      </c>
      <c r="E30" s="23">
        <f t="shared" si="2"/>
        <v>2</v>
      </c>
      <c r="F30" s="22">
        <f t="shared" ref="F30:G30" si="27">M30+(M30*$F$3)</f>
        <v>8767511.55</v>
      </c>
      <c r="G30" s="22">
        <f t="shared" si="27"/>
        <v>3517500</v>
      </c>
      <c r="H30" s="22"/>
      <c r="I30" s="22">
        <f>1</f>
        <v>1</v>
      </c>
      <c r="J30" s="22">
        <v>1.0</v>
      </c>
      <c r="K30" s="23">
        <f t="shared" si="4"/>
        <v>2</v>
      </c>
      <c r="L30" s="23">
        <f t="shared" si="5"/>
        <v>0</v>
      </c>
      <c r="M30" s="24">
        <f>8350011</f>
        <v>8350011</v>
      </c>
      <c r="N30" s="24">
        <v>3350000.0</v>
      </c>
      <c r="O30" s="4"/>
      <c r="P30" s="4"/>
      <c r="Q30" s="4"/>
      <c r="R30" s="4"/>
      <c r="S30" s="4"/>
      <c r="T30" s="6"/>
      <c r="U30" s="6"/>
      <c r="V30" s="6"/>
      <c r="W30" s="6"/>
      <c r="X30" s="6"/>
      <c r="Y30" s="6"/>
      <c r="Z30" s="6"/>
      <c r="AA30" s="6"/>
      <c r="AB30" s="6"/>
    </row>
    <row r="31" ht="15.0" customHeight="1">
      <c r="A31" s="27"/>
      <c r="B31" s="28"/>
      <c r="C31" s="28"/>
      <c r="D31" s="28"/>
      <c r="E31" s="23">
        <f t="shared" si="2"/>
        <v>0</v>
      </c>
      <c r="F31" s="22">
        <f t="shared" ref="F31:G31" si="28">M31+(M31*$F$3)</f>
        <v>0</v>
      </c>
      <c r="G31" s="22">
        <f t="shared" si="28"/>
        <v>0</v>
      </c>
      <c r="H31" s="28"/>
      <c r="I31" s="28"/>
      <c r="J31" s="28"/>
      <c r="K31" s="23">
        <f t="shared" si="4"/>
        <v>0</v>
      </c>
      <c r="L31" s="23">
        <f t="shared" si="5"/>
        <v>0</v>
      </c>
      <c r="M31" s="24"/>
      <c r="N31" s="24"/>
      <c r="O31" s="4"/>
      <c r="P31" s="4"/>
      <c r="Q31" s="4"/>
      <c r="R31" s="4"/>
      <c r="S31" s="4"/>
    </row>
    <row r="32" ht="15.75" customHeight="1">
      <c r="A32" s="26" t="s">
        <v>37</v>
      </c>
      <c r="B32" s="22"/>
      <c r="C32" s="22"/>
      <c r="D32" s="22"/>
      <c r="E32" s="23">
        <f t="shared" si="2"/>
        <v>0</v>
      </c>
      <c r="F32" s="22">
        <f t="shared" ref="F32:G32" si="29">M32+(M32*$F$3)</f>
        <v>0</v>
      </c>
      <c r="G32" s="22">
        <f t="shared" si="29"/>
        <v>0</v>
      </c>
      <c r="H32" s="22"/>
      <c r="I32" s="22"/>
      <c r="J32" s="22"/>
      <c r="K32" s="23">
        <f t="shared" si="4"/>
        <v>0</v>
      </c>
      <c r="L32" s="23">
        <f t="shared" si="5"/>
        <v>0</v>
      </c>
      <c r="M32" s="24"/>
      <c r="N32" s="24"/>
      <c r="O32" s="4"/>
      <c r="P32" s="4"/>
      <c r="Q32" s="4"/>
      <c r="R32" s="4"/>
      <c r="S32" s="4"/>
      <c r="T32" s="6"/>
      <c r="U32" s="6"/>
      <c r="V32" s="6"/>
      <c r="W32" s="6"/>
      <c r="X32" s="6"/>
      <c r="Y32" s="6"/>
      <c r="Z32" s="6"/>
      <c r="AA32" s="6"/>
      <c r="AB32" s="6"/>
    </row>
    <row r="33" ht="15.75" customHeight="1">
      <c r="A33" s="26" t="s">
        <v>38</v>
      </c>
      <c r="B33" s="22">
        <f>1</f>
        <v>1</v>
      </c>
      <c r="C33" s="22"/>
      <c r="D33" s="22"/>
      <c r="E33" s="23">
        <f t="shared" si="2"/>
        <v>1</v>
      </c>
      <c r="F33" s="22">
        <f t="shared" ref="F33:G33" si="30">M33+(M33*$F$3)</f>
        <v>4514720.7</v>
      </c>
      <c r="G33" s="22">
        <f t="shared" si="30"/>
        <v>0</v>
      </c>
      <c r="H33" s="22">
        <f>1</f>
        <v>1</v>
      </c>
      <c r="I33" s="22"/>
      <c r="J33" s="22"/>
      <c r="K33" s="23">
        <f t="shared" si="4"/>
        <v>1</v>
      </c>
      <c r="L33" s="23">
        <f t="shared" si="5"/>
        <v>0</v>
      </c>
      <c r="M33" s="24">
        <v>4299734.0</v>
      </c>
      <c r="N33" s="24"/>
      <c r="O33" s="4"/>
      <c r="P33" s="4"/>
      <c r="Q33" s="4"/>
      <c r="R33" s="4"/>
      <c r="S33" s="4"/>
      <c r="T33" s="6"/>
      <c r="U33" s="6"/>
      <c r="V33" s="6"/>
      <c r="W33" s="6"/>
      <c r="X33" s="6"/>
      <c r="Y33" s="6"/>
      <c r="Z33" s="6"/>
      <c r="AA33" s="6"/>
      <c r="AB33" s="6"/>
    </row>
    <row r="34" ht="15.75" customHeight="1">
      <c r="A34" s="25" t="s">
        <v>39</v>
      </c>
      <c r="B34" s="22"/>
      <c r="C34" s="22"/>
      <c r="D34" s="22"/>
      <c r="E34" s="23">
        <f t="shared" si="2"/>
        <v>0</v>
      </c>
      <c r="F34" s="22">
        <f t="shared" ref="F34:G34" si="31">M34+(M34*$F$3)</f>
        <v>0</v>
      </c>
      <c r="G34" s="22">
        <f t="shared" si="31"/>
        <v>0</v>
      </c>
      <c r="H34" s="22"/>
      <c r="I34" s="22"/>
      <c r="J34" s="22"/>
      <c r="K34" s="23">
        <f t="shared" si="4"/>
        <v>0</v>
      </c>
      <c r="L34" s="23">
        <f t="shared" si="5"/>
        <v>0</v>
      </c>
      <c r="M34" s="24"/>
      <c r="N34" s="24"/>
      <c r="O34" s="4"/>
      <c r="P34" s="4"/>
      <c r="Q34" s="4"/>
      <c r="R34" s="4"/>
      <c r="S34" s="4"/>
      <c r="T34" s="6"/>
      <c r="U34" s="6"/>
      <c r="V34" s="6"/>
      <c r="W34" s="6"/>
      <c r="X34" s="6"/>
      <c r="Y34" s="6"/>
      <c r="Z34" s="6"/>
      <c r="AA34" s="6"/>
      <c r="AB34" s="6"/>
    </row>
    <row r="35" ht="15.75" customHeight="1">
      <c r="A35" s="26" t="s">
        <v>40</v>
      </c>
      <c r="B35" s="22">
        <f>1</f>
        <v>1</v>
      </c>
      <c r="C35" s="22"/>
      <c r="D35" s="22">
        <v>11.0</v>
      </c>
      <c r="E35" s="23">
        <f t="shared" si="2"/>
        <v>12</v>
      </c>
      <c r="F35" s="22">
        <f t="shared" ref="F35:G35" si="32">M35+(M35*$F$3)</f>
        <v>4450586.7</v>
      </c>
      <c r="G35" s="22">
        <f t="shared" si="32"/>
        <v>15277876.95</v>
      </c>
      <c r="H35" s="22">
        <f>1</f>
        <v>1</v>
      </c>
      <c r="I35" s="22"/>
      <c r="J35" s="22">
        <v>11.0</v>
      </c>
      <c r="K35" s="23">
        <f t="shared" si="4"/>
        <v>12</v>
      </c>
      <c r="L35" s="23">
        <f t="shared" si="5"/>
        <v>0</v>
      </c>
      <c r="M35" s="24">
        <f>4238654</f>
        <v>4238654</v>
      </c>
      <c r="N35" s="24">
        <f>14550359</f>
        <v>14550359</v>
      </c>
      <c r="O35" s="4"/>
      <c r="P35" s="4"/>
      <c r="Q35" s="4"/>
      <c r="R35" s="4"/>
      <c r="S35" s="4"/>
      <c r="T35" s="6"/>
      <c r="U35" s="6"/>
      <c r="V35" s="6"/>
      <c r="W35" s="6"/>
      <c r="X35" s="6"/>
      <c r="Y35" s="6"/>
      <c r="Z35" s="6"/>
      <c r="AA35" s="6"/>
      <c r="AB35" s="6"/>
    </row>
    <row r="36" ht="15.75" customHeight="1">
      <c r="A36" s="26" t="s">
        <v>41</v>
      </c>
      <c r="B36" s="22"/>
      <c r="C36" s="22"/>
      <c r="D36" s="22">
        <f>13</f>
        <v>13</v>
      </c>
      <c r="E36" s="23">
        <f t="shared" si="2"/>
        <v>13</v>
      </c>
      <c r="F36" s="22">
        <f t="shared" ref="F36:G36" si="33">M36+(M36*$F$3)</f>
        <v>0</v>
      </c>
      <c r="G36" s="22">
        <f t="shared" si="33"/>
        <v>35857500</v>
      </c>
      <c r="H36" s="22"/>
      <c r="I36" s="22"/>
      <c r="J36" s="22">
        <f>13</f>
        <v>13</v>
      </c>
      <c r="K36" s="23">
        <f t="shared" si="4"/>
        <v>13</v>
      </c>
      <c r="L36" s="23">
        <f t="shared" si="5"/>
        <v>0</v>
      </c>
      <c r="M36" s="24"/>
      <c r="N36" s="24">
        <f>34150000</f>
        <v>34150000</v>
      </c>
      <c r="O36" s="4"/>
      <c r="P36" s="4"/>
      <c r="Q36" s="4"/>
      <c r="R36" s="4"/>
      <c r="S36" s="4"/>
      <c r="T36" s="6"/>
      <c r="U36" s="6"/>
      <c r="V36" s="6"/>
      <c r="W36" s="6"/>
      <c r="X36" s="6"/>
      <c r="Y36" s="6"/>
      <c r="Z36" s="6"/>
      <c r="AA36" s="6"/>
      <c r="AB36" s="6"/>
    </row>
    <row r="37" ht="15.75" customHeight="1">
      <c r="A37" s="26" t="s">
        <v>42</v>
      </c>
      <c r="B37" s="22"/>
      <c r="C37" s="22"/>
      <c r="D37" s="22">
        <v>22.0</v>
      </c>
      <c r="E37" s="23">
        <f t="shared" si="2"/>
        <v>22</v>
      </c>
      <c r="F37" s="22">
        <f t="shared" ref="F37:G37" si="34">M37+(M37*$F$3)</f>
        <v>0</v>
      </c>
      <c r="G37" s="22">
        <f t="shared" si="34"/>
        <v>65940000</v>
      </c>
      <c r="H37" s="22"/>
      <c r="I37" s="22"/>
      <c r="J37" s="22">
        <v>22.0</v>
      </c>
      <c r="K37" s="23">
        <f t="shared" si="4"/>
        <v>22</v>
      </c>
      <c r="L37" s="23">
        <f t="shared" si="5"/>
        <v>0</v>
      </c>
      <c r="M37" s="24"/>
      <c r="N37" s="24">
        <f>62800000</f>
        <v>62800000</v>
      </c>
      <c r="O37" s="4"/>
      <c r="P37" s="4"/>
      <c r="Q37" s="4"/>
      <c r="R37" s="4"/>
      <c r="S37" s="4"/>
      <c r="T37" s="6"/>
      <c r="U37" s="6"/>
      <c r="V37" s="6"/>
      <c r="W37" s="6"/>
      <c r="X37" s="6"/>
      <c r="Y37" s="6"/>
      <c r="Z37" s="6"/>
      <c r="AA37" s="6"/>
      <c r="AB37" s="6"/>
    </row>
    <row r="38" ht="15.75" customHeight="1">
      <c r="A38" s="25" t="s">
        <v>43</v>
      </c>
      <c r="B38" s="22">
        <f>1</f>
        <v>1</v>
      </c>
      <c r="C38" s="22"/>
      <c r="D38" s="22">
        <v>1.0</v>
      </c>
      <c r="E38" s="23">
        <f t="shared" si="2"/>
        <v>2</v>
      </c>
      <c r="F38" s="22">
        <f t="shared" ref="F38:G38" si="35">M38+(M38*$F$3)</f>
        <v>4704525</v>
      </c>
      <c r="G38" s="22">
        <f t="shared" si="35"/>
        <v>3307876.95</v>
      </c>
      <c r="H38" s="22">
        <f>1</f>
        <v>1</v>
      </c>
      <c r="I38" s="22"/>
      <c r="J38" s="22">
        <v>1.0</v>
      </c>
      <c r="K38" s="23">
        <f t="shared" si="4"/>
        <v>2</v>
      </c>
      <c r="L38" s="23">
        <f t="shared" si="5"/>
        <v>0</v>
      </c>
      <c r="M38" s="24">
        <f>4480500</f>
        <v>4480500</v>
      </c>
      <c r="N38" s="24">
        <v>3150359.0</v>
      </c>
      <c r="O38" s="4"/>
      <c r="P38" s="4"/>
      <c r="Q38" s="4"/>
      <c r="R38" s="4"/>
      <c r="S38" s="4"/>
      <c r="T38" s="6"/>
      <c r="U38" s="6"/>
      <c r="V38" s="6"/>
      <c r="W38" s="6"/>
      <c r="X38" s="6"/>
      <c r="Y38" s="6"/>
      <c r="Z38" s="6"/>
      <c r="AA38" s="6"/>
      <c r="AB38" s="6"/>
    </row>
    <row r="39" ht="15.75" customHeight="1">
      <c r="A39" s="25"/>
      <c r="B39" s="22"/>
      <c r="C39" s="22"/>
      <c r="D39" s="22"/>
      <c r="E39" s="23">
        <f t="shared" si="2"/>
        <v>0</v>
      </c>
      <c r="F39" s="22">
        <f t="shared" ref="F39:G39" si="36">M39+(M39*$F$3)</f>
        <v>0</v>
      </c>
      <c r="G39" s="22">
        <f t="shared" si="36"/>
        <v>0</v>
      </c>
      <c r="H39" s="22"/>
      <c r="I39" s="22"/>
      <c r="J39" s="22"/>
      <c r="K39" s="23">
        <f t="shared" si="4"/>
        <v>0</v>
      </c>
      <c r="L39" s="23">
        <f t="shared" si="5"/>
        <v>0</v>
      </c>
      <c r="M39" s="24"/>
      <c r="N39" s="24"/>
      <c r="O39" s="4"/>
      <c r="P39" s="4"/>
      <c r="Q39" s="4"/>
      <c r="R39" s="4"/>
      <c r="S39" s="4"/>
      <c r="T39" s="6"/>
      <c r="U39" s="6"/>
      <c r="V39" s="6"/>
      <c r="W39" s="6"/>
      <c r="X39" s="6"/>
      <c r="Y39" s="6"/>
      <c r="Z39" s="6"/>
      <c r="AA39" s="6"/>
      <c r="AB39" s="6"/>
    </row>
    <row r="40" ht="15.75" customHeight="1">
      <c r="A40" s="21" t="s">
        <v>44</v>
      </c>
      <c r="B40" s="22"/>
      <c r="C40" s="22"/>
      <c r="D40" s="22"/>
      <c r="E40" s="23">
        <f t="shared" si="2"/>
        <v>0</v>
      </c>
      <c r="F40" s="22">
        <f t="shared" ref="F40:G40" si="37">M40+(M40*$F$3)</f>
        <v>0</v>
      </c>
      <c r="G40" s="22">
        <f t="shared" si="37"/>
        <v>0</v>
      </c>
      <c r="H40" s="22"/>
      <c r="I40" s="22"/>
      <c r="J40" s="22"/>
      <c r="K40" s="23">
        <f t="shared" si="4"/>
        <v>0</v>
      </c>
      <c r="L40" s="23">
        <f t="shared" si="5"/>
        <v>0</v>
      </c>
      <c r="M40" s="24"/>
      <c r="N40" s="24"/>
      <c r="O40" s="4"/>
      <c r="P40" s="4"/>
      <c r="Q40" s="4"/>
      <c r="R40" s="4"/>
      <c r="S40" s="4"/>
      <c r="T40" s="6"/>
      <c r="U40" s="6"/>
      <c r="V40" s="6"/>
      <c r="W40" s="6"/>
      <c r="X40" s="6"/>
      <c r="Y40" s="6"/>
      <c r="Z40" s="6"/>
      <c r="AA40" s="6"/>
      <c r="AB40" s="6"/>
    </row>
    <row r="41" ht="15.75" customHeight="1">
      <c r="A41" s="29" t="s">
        <v>45</v>
      </c>
      <c r="B41" s="22"/>
      <c r="C41" s="22"/>
      <c r="D41" s="22">
        <v>1.0</v>
      </c>
      <c r="E41" s="23">
        <f t="shared" si="2"/>
        <v>1</v>
      </c>
      <c r="F41" s="22">
        <f t="shared" ref="F41:G41" si="38">M41+(M41*$F$3)</f>
        <v>0</v>
      </c>
      <c r="G41" s="22">
        <f t="shared" si="38"/>
        <v>3307459.05</v>
      </c>
      <c r="H41" s="22"/>
      <c r="I41" s="22"/>
      <c r="J41" s="22">
        <v>1.0</v>
      </c>
      <c r="K41" s="23">
        <f t="shared" si="4"/>
        <v>1</v>
      </c>
      <c r="L41" s="23">
        <f t="shared" si="5"/>
        <v>0</v>
      </c>
      <c r="M41" s="24"/>
      <c r="N41" s="24">
        <v>3149961.0</v>
      </c>
      <c r="O41" s="4"/>
      <c r="P41" s="4"/>
      <c r="Q41" s="4"/>
      <c r="R41" s="4"/>
      <c r="S41" s="4"/>
      <c r="T41" s="6"/>
      <c r="U41" s="6"/>
      <c r="V41" s="6"/>
      <c r="W41" s="6"/>
      <c r="X41" s="6"/>
      <c r="Y41" s="6"/>
      <c r="Z41" s="6"/>
      <c r="AA41" s="6"/>
      <c r="AB41" s="6"/>
    </row>
    <row r="42" ht="15.75" customHeight="1">
      <c r="A42" s="29" t="s">
        <v>34</v>
      </c>
      <c r="B42" s="22"/>
      <c r="C42" s="22"/>
      <c r="D42" s="22">
        <v>1.0</v>
      </c>
      <c r="E42" s="23">
        <f t="shared" si="2"/>
        <v>1</v>
      </c>
      <c r="F42" s="22">
        <f t="shared" ref="F42:G42" si="39">M42+(M42*$F$3)</f>
        <v>0</v>
      </c>
      <c r="G42" s="22">
        <f t="shared" si="39"/>
        <v>3779127.45</v>
      </c>
      <c r="H42" s="22"/>
      <c r="I42" s="22"/>
      <c r="J42" s="22">
        <v>1.0</v>
      </c>
      <c r="K42" s="23">
        <f t="shared" si="4"/>
        <v>1</v>
      </c>
      <c r="L42" s="23">
        <f t="shared" si="5"/>
        <v>0</v>
      </c>
      <c r="M42" s="24"/>
      <c r="N42" s="24">
        <v>3599169.0</v>
      </c>
      <c r="O42" s="4"/>
      <c r="P42" s="4"/>
      <c r="Q42" s="4"/>
      <c r="R42" s="4"/>
      <c r="S42" s="4"/>
      <c r="T42" s="6"/>
      <c r="U42" s="6"/>
      <c r="V42" s="6"/>
      <c r="W42" s="6"/>
      <c r="X42" s="6"/>
      <c r="Y42" s="6"/>
      <c r="Z42" s="6"/>
      <c r="AA42" s="6"/>
      <c r="AB42" s="6"/>
    </row>
    <row r="43" ht="15.75" customHeight="1">
      <c r="A43" s="26" t="s">
        <v>46</v>
      </c>
      <c r="B43" s="22"/>
      <c r="C43" s="22"/>
      <c r="D43" s="22">
        <f>1+1</f>
        <v>2</v>
      </c>
      <c r="E43" s="23">
        <f t="shared" si="2"/>
        <v>2</v>
      </c>
      <c r="F43" s="22">
        <f t="shared" ref="F43:G43" si="40">M43+(M43*$F$3)</f>
        <v>0</v>
      </c>
      <c r="G43" s="22">
        <f t="shared" si="40"/>
        <v>4357459.05</v>
      </c>
      <c r="H43" s="22"/>
      <c r="I43" s="22"/>
      <c r="J43" s="22">
        <f>1+1</f>
        <v>2</v>
      </c>
      <c r="K43" s="23">
        <f t="shared" si="4"/>
        <v>2</v>
      </c>
      <c r="L43" s="23">
        <f t="shared" si="5"/>
        <v>0</v>
      </c>
      <c r="M43" s="24"/>
      <c r="N43" s="24">
        <f>1000000+3149961</f>
        <v>4149961</v>
      </c>
      <c r="O43" s="4"/>
      <c r="P43" s="4"/>
      <c r="Q43" s="4"/>
      <c r="R43" s="4"/>
      <c r="S43" s="4"/>
      <c r="T43" s="6"/>
      <c r="U43" s="6"/>
      <c r="V43" s="6"/>
      <c r="W43" s="6"/>
      <c r="X43" s="6"/>
      <c r="Y43" s="6"/>
      <c r="Z43" s="6"/>
      <c r="AA43" s="6"/>
      <c r="AB43" s="6"/>
    </row>
    <row r="44" ht="15.75" customHeight="1">
      <c r="A44" s="29" t="s">
        <v>47</v>
      </c>
      <c r="B44" s="22"/>
      <c r="C44" s="22"/>
      <c r="D44" s="22">
        <v>1.0</v>
      </c>
      <c r="E44" s="23">
        <f t="shared" si="2"/>
        <v>1</v>
      </c>
      <c r="F44" s="22">
        <f t="shared" ref="F44:G44" si="41">M44+(M44*$F$3)</f>
        <v>0</v>
      </c>
      <c r="G44" s="22">
        <f t="shared" si="41"/>
        <v>4200000</v>
      </c>
      <c r="H44" s="22"/>
      <c r="I44" s="22"/>
      <c r="J44" s="22">
        <v>1.0</v>
      </c>
      <c r="K44" s="23">
        <f t="shared" si="4"/>
        <v>1</v>
      </c>
      <c r="L44" s="23">
        <f t="shared" si="5"/>
        <v>0</v>
      </c>
      <c r="M44" s="24"/>
      <c r="N44" s="24">
        <v>4000000.0</v>
      </c>
      <c r="O44" s="4"/>
      <c r="P44" s="4"/>
      <c r="Q44" s="4"/>
      <c r="R44" s="4"/>
      <c r="S44" s="4"/>
      <c r="T44" s="6"/>
      <c r="U44" s="6"/>
      <c r="V44" s="6"/>
      <c r="W44" s="6"/>
      <c r="X44" s="6"/>
      <c r="Y44" s="6"/>
      <c r="Z44" s="6"/>
      <c r="AA44" s="6"/>
      <c r="AB44" s="6"/>
    </row>
    <row r="45" ht="15.75" customHeight="1">
      <c r="A45" s="29" t="s">
        <v>48</v>
      </c>
      <c r="B45" s="22"/>
      <c r="C45" s="22"/>
      <c r="D45" s="22">
        <f>12+1</f>
        <v>13</v>
      </c>
      <c r="E45" s="23">
        <f t="shared" si="2"/>
        <v>13</v>
      </c>
      <c r="F45" s="22">
        <f t="shared" ref="F45:G45" si="42">M45+(M45*$F$3)</f>
        <v>0</v>
      </c>
      <c r="G45" s="22">
        <f t="shared" si="42"/>
        <v>19950000</v>
      </c>
      <c r="H45" s="22"/>
      <c r="I45" s="22"/>
      <c r="J45" s="22">
        <f>12+1</f>
        <v>13</v>
      </c>
      <c r="K45" s="23">
        <f t="shared" si="4"/>
        <v>13</v>
      </c>
      <c r="L45" s="23">
        <f t="shared" si="5"/>
        <v>0</v>
      </c>
      <c r="M45" s="24"/>
      <c r="N45" s="24">
        <f>17000000+2000000</f>
        <v>19000000</v>
      </c>
      <c r="O45" s="4"/>
      <c r="P45" s="4"/>
      <c r="Q45" s="4"/>
      <c r="R45" s="4"/>
      <c r="S45" s="4"/>
      <c r="T45" s="6"/>
      <c r="U45" s="6"/>
      <c r="V45" s="6"/>
      <c r="W45" s="6"/>
      <c r="X45" s="6"/>
      <c r="Y45" s="6"/>
      <c r="Z45" s="6"/>
      <c r="AA45" s="6"/>
      <c r="AB45" s="6"/>
    </row>
    <row r="46" ht="15.75" customHeight="1">
      <c r="A46" s="25"/>
      <c r="B46" s="22"/>
      <c r="C46" s="22"/>
      <c r="D46" s="22"/>
      <c r="E46" s="23">
        <f t="shared" si="2"/>
        <v>0</v>
      </c>
      <c r="F46" s="22">
        <f t="shared" ref="F46:G46" si="43">M46+(M46*$F$3)</f>
        <v>0</v>
      </c>
      <c r="G46" s="22">
        <f t="shared" si="43"/>
        <v>0</v>
      </c>
      <c r="H46" s="22"/>
      <c r="I46" s="22"/>
      <c r="J46" s="22"/>
      <c r="K46" s="23">
        <f t="shared" si="4"/>
        <v>0</v>
      </c>
      <c r="L46" s="23">
        <f t="shared" si="5"/>
        <v>0</v>
      </c>
      <c r="M46" s="24"/>
      <c r="N46" s="24"/>
      <c r="O46" s="4"/>
      <c r="P46" s="4"/>
      <c r="Q46" s="4"/>
      <c r="R46" s="4"/>
      <c r="S46" s="4"/>
      <c r="T46" s="6"/>
      <c r="U46" s="6"/>
      <c r="V46" s="6"/>
      <c r="W46" s="6"/>
      <c r="X46" s="6"/>
      <c r="Y46" s="6"/>
      <c r="Z46" s="6"/>
      <c r="AA46" s="6"/>
      <c r="AB46" s="6"/>
    </row>
    <row r="47" ht="15.75" customHeight="1">
      <c r="A47" s="21" t="s">
        <v>49</v>
      </c>
      <c r="B47" s="22"/>
      <c r="C47" s="22"/>
      <c r="D47" s="22"/>
      <c r="E47" s="23">
        <f t="shared" si="2"/>
        <v>0</v>
      </c>
      <c r="F47" s="22">
        <f t="shared" ref="F47:G47" si="44">M47+(M47*$F$3)</f>
        <v>0</v>
      </c>
      <c r="G47" s="22">
        <f t="shared" si="44"/>
        <v>0</v>
      </c>
      <c r="H47" s="22"/>
      <c r="I47" s="22"/>
      <c r="J47" s="22"/>
      <c r="K47" s="23">
        <f t="shared" si="4"/>
        <v>0</v>
      </c>
      <c r="L47" s="23">
        <f t="shared" si="5"/>
        <v>0</v>
      </c>
      <c r="M47" s="24"/>
      <c r="N47" s="24"/>
      <c r="O47" s="4"/>
      <c r="P47" s="4"/>
      <c r="Q47" s="4"/>
      <c r="R47" s="4"/>
      <c r="S47" s="4"/>
      <c r="T47" s="6"/>
      <c r="U47" s="6"/>
      <c r="V47" s="6"/>
      <c r="W47" s="6"/>
      <c r="X47" s="6"/>
      <c r="Y47" s="6"/>
      <c r="Z47" s="6"/>
      <c r="AA47" s="6"/>
      <c r="AB47" s="6"/>
    </row>
    <row r="48" ht="15.75" customHeight="1">
      <c r="A48" s="26" t="s">
        <v>50</v>
      </c>
      <c r="B48" s="22">
        <f>1</f>
        <v>1</v>
      </c>
      <c r="C48" s="22"/>
      <c r="D48" s="22"/>
      <c r="E48" s="23">
        <f t="shared" si="2"/>
        <v>1</v>
      </c>
      <c r="F48" s="22">
        <f t="shared" ref="F48:G48" si="45">M48+(M48*$F$3)</f>
        <v>5287681.35</v>
      </c>
      <c r="G48" s="22">
        <f t="shared" si="45"/>
        <v>0</v>
      </c>
      <c r="H48" s="22">
        <f>1</f>
        <v>1</v>
      </c>
      <c r="I48" s="22"/>
      <c r="J48" s="22"/>
      <c r="K48" s="23">
        <f t="shared" si="4"/>
        <v>1</v>
      </c>
      <c r="L48" s="23">
        <f t="shared" si="5"/>
        <v>0</v>
      </c>
      <c r="M48" s="24">
        <f>5035887</f>
        <v>5035887</v>
      </c>
      <c r="N48" s="24"/>
      <c r="O48" s="4"/>
      <c r="P48" s="4"/>
      <c r="Q48" s="4"/>
      <c r="R48" s="4"/>
      <c r="S48" s="4"/>
      <c r="T48" s="6"/>
      <c r="U48" s="6"/>
      <c r="V48" s="6"/>
      <c r="W48" s="6"/>
      <c r="X48" s="6"/>
      <c r="Y48" s="6"/>
      <c r="Z48" s="6"/>
      <c r="AA48" s="6"/>
      <c r="AB48" s="6"/>
    </row>
    <row r="49" ht="15.75" customHeight="1">
      <c r="A49" s="29" t="s">
        <v>51</v>
      </c>
      <c r="B49" s="22"/>
      <c r="C49" s="22"/>
      <c r="D49" s="22">
        <f>8</f>
        <v>8</v>
      </c>
      <c r="E49" s="23">
        <f t="shared" si="2"/>
        <v>8</v>
      </c>
      <c r="F49" s="22">
        <f t="shared" ref="F49:G49" si="46">M49+(M49*$F$3)</f>
        <v>0</v>
      </c>
      <c r="G49" s="22">
        <f t="shared" si="46"/>
        <v>34180138.65</v>
      </c>
      <c r="H49" s="22"/>
      <c r="I49" s="22"/>
      <c r="J49" s="22">
        <f>8</f>
        <v>8</v>
      </c>
      <c r="K49" s="23">
        <f t="shared" si="4"/>
        <v>8</v>
      </c>
      <c r="L49" s="23">
        <f t="shared" si="5"/>
        <v>0</v>
      </c>
      <c r="M49" s="24"/>
      <c r="N49" s="24">
        <v>3.2552513E7</v>
      </c>
      <c r="O49" s="4"/>
      <c r="P49" s="4"/>
      <c r="Q49" s="4"/>
      <c r="R49" s="4"/>
      <c r="S49" s="4"/>
      <c r="T49" s="6"/>
      <c r="U49" s="6"/>
      <c r="V49" s="6"/>
      <c r="W49" s="6"/>
      <c r="X49" s="6"/>
      <c r="Y49" s="6"/>
      <c r="Z49" s="6"/>
      <c r="AA49" s="6"/>
      <c r="AB49" s="6"/>
    </row>
    <row r="50" ht="15.75" customHeight="1">
      <c r="A50" s="29" t="s">
        <v>52</v>
      </c>
      <c r="B50" s="22"/>
      <c r="C50" s="22"/>
      <c r="D50" s="22"/>
      <c r="E50" s="23">
        <f t="shared" si="2"/>
        <v>0</v>
      </c>
      <c r="F50" s="22">
        <f t="shared" ref="F50:G50" si="47">M50+(M50*$F$3)</f>
        <v>0</v>
      </c>
      <c r="G50" s="22">
        <f t="shared" si="47"/>
        <v>0</v>
      </c>
      <c r="H50" s="22"/>
      <c r="I50" s="22"/>
      <c r="J50" s="22"/>
      <c r="K50" s="23">
        <f t="shared" si="4"/>
        <v>0</v>
      </c>
      <c r="L50" s="23">
        <f t="shared" si="5"/>
        <v>0</v>
      </c>
      <c r="M50" s="24"/>
      <c r="N50" s="24"/>
      <c r="O50" s="4"/>
      <c r="P50" s="4"/>
      <c r="Q50" s="4"/>
      <c r="R50" s="4"/>
      <c r="S50" s="4"/>
      <c r="T50" s="6"/>
      <c r="U50" s="6"/>
      <c r="V50" s="6"/>
      <c r="W50" s="6"/>
      <c r="X50" s="6"/>
      <c r="Y50" s="6"/>
      <c r="Z50" s="6"/>
      <c r="AA50" s="6"/>
      <c r="AB50" s="6"/>
    </row>
    <row r="51" ht="15.75" customHeight="1">
      <c r="A51" s="25"/>
      <c r="B51" s="22"/>
      <c r="C51" s="22"/>
      <c r="D51" s="22"/>
      <c r="E51" s="23">
        <f t="shared" si="2"/>
        <v>0</v>
      </c>
      <c r="F51" s="22">
        <f t="shared" ref="F51:G51" si="48">M51+(M51*$F$3)</f>
        <v>0</v>
      </c>
      <c r="G51" s="22">
        <f t="shared" si="48"/>
        <v>0</v>
      </c>
      <c r="H51" s="22"/>
      <c r="I51" s="22"/>
      <c r="J51" s="22"/>
      <c r="K51" s="23">
        <f t="shared" si="4"/>
        <v>0</v>
      </c>
      <c r="L51" s="23">
        <f t="shared" si="5"/>
        <v>0</v>
      </c>
      <c r="M51" s="24"/>
      <c r="N51" s="24"/>
      <c r="O51" s="4"/>
      <c r="P51" s="4"/>
      <c r="Q51" s="4"/>
      <c r="R51" s="4"/>
      <c r="S51" s="4"/>
      <c r="T51" s="6"/>
      <c r="U51" s="6"/>
      <c r="V51" s="6"/>
      <c r="W51" s="6"/>
      <c r="X51" s="6"/>
      <c r="Y51" s="6"/>
      <c r="Z51" s="6"/>
      <c r="AA51" s="6"/>
      <c r="AB51" s="6"/>
    </row>
    <row r="52" ht="15.75" customHeight="1">
      <c r="A52" s="21" t="s">
        <v>53</v>
      </c>
      <c r="B52" s="22"/>
      <c r="C52" s="22"/>
      <c r="D52" s="22"/>
      <c r="E52" s="23">
        <f t="shared" si="2"/>
        <v>0</v>
      </c>
      <c r="F52" s="22">
        <f t="shared" ref="F52:G52" si="49">M52+(M52*$F$3)</f>
        <v>0</v>
      </c>
      <c r="G52" s="22">
        <f t="shared" si="49"/>
        <v>0</v>
      </c>
      <c r="H52" s="22"/>
      <c r="I52" s="22"/>
      <c r="J52" s="22"/>
      <c r="K52" s="23">
        <f t="shared" si="4"/>
        <v>0</v>
      </c>
      <c r="L52" s="23">
        <f t="shared" si="5"/>
        <v>0</v>
      </c>
      <c r="M52" s="24"/>
      <c r="N52" s="24"/>
      <c r="O52" s="4"/>
      <c r="P52" s="4"/>
      <c r="Q52" s="4"/>
      <c r="R52" s="4"/>
      <c r="S52" s="4"/>
      <c r="T52" s="6"/>
      <c r="U52" s="6"/>
      <c r="V52" s="6"/>
      <c r="W52" s="6"/>
      <c r="X52" s="6"/>
      <c r="Y52" s="6"/>
      <c r="Z52" s="6"/>
      <c r="AA52" s="6"/>
      <c r="AB52" s="6"/>
    </row>
    <row r="53" ht="15.75" customHeight="1">
      <c r="A53" s="29" t="s">
        <v>54</v>
      </c>
      <c r="B53" s="22">
        <f t="shared" ref="B53:B54" si="51">1</f>
        <v>1</v>
      </c>
      <c r="C53" s="22"/>
      <c r="D53" s="22"/>
      <c r="E53" s="23">
        <f t="shared" si="2"/>
        <v>1</v>
      </c>
      <c r="F53" s="22">
        <f t="shared" ref="F53:G53" si="50">M53+(M53*$F$3)</f>
        <v>4161734.85</v>
      </c>
      <c r="G53" s="22">
        <f t="shared" si="50"/>
        <v>0</v>
      </c>
      <c r="H53" s="22">
        <f t="shared" ref="H53:H54" si="53">1</f>
        <v>1</v>
      </c>
      <c r="I53" s="22"/>
      <c r="J53" s="22"/>
      <c r="K53" s="23">
        <f t="shared" si="4"/>
        <v>1</v>
      </c>
      <c r="L53" s="23">
        <f t="shared" si="5"/>
        <v>0</v>
      </c>
      <c r="M53" s="24">
        <f>3963557</f>
        <v>3963557</v>
      </c>
      <c r="N53" s="24"/>
      <c r="O53" s="4"/>
      <c r="P53" s="4"/>
      <c r="Q53" s="4"/>
      <c r="R53" s="4"/>
      <c r="S53" s="4"/>
      <c r="T53" s="6"/>
      <c r="U53" s="6"/>
      <c r="V53" s="6"/>
      <c r="W53" s="6"/>
      <c r="X53" s="6"/>
      <c r="Y53" s="6"/>
      <c r="Z53" s="6"/>
      <c r="AA53" s="6"/>
      <c r="AB53" s="6"/>
    </row>
    <row r="54" ht="15.75" customHeight="1">
      <c r="A54" s="29" t="s">
        <v>55</v>
      </c>
      <c r="B54" s="22">
        <f t="shared" si="51"/>
        <v>1</v>
      </c>
      <c r="C54" s="22"/>
      <c r="D54" s="22">
        <v>1.0</v>
      </c>
      <c r="E54" s="23">
        <f t="shared" si="2"/>
        <v>2</v>
      </c>
      <c r="F54" s="22">
        <f t="shared" ref="F54:G54" si="52">M54+(M54*$F$3)</f>
        <v>2274665.4</v>
      </c>
      <c r="G54" s="22">
        <f t="shared" si="52"/>
        <v>262500</v>
      </c>
      <c r="H54" s="22">
        <f t="shared" si="53"/>
        <v>1</v>
      </c>
      <c r="I54" s="22"/>
      <c r="J54" s="22">
        <v>1.0</v>
      </c>
      <c r="K54" s="23">
        <f t="shared" si="4"/>
        <v>2</v>
      </c>
      <c r="L54" s="23">
        <f t="shared" si="5"/>
        <v>0</v>
      </c>
      <c r="M54" s="24">
        <f>2166348</f>
        <v>2166348</v>
      </c>
      <c r="N54" s="24">
        <v>250000.0</v>
      </c>
      <c r="O54" s="4"/>
      <c r="P54" s="4"/>
      <c r="Q54" s="4"/>
      <c r="R54" s="4"/>
      <c r="S54" s="4"/>
      <c r="T54" s="6"/>
      <c r="U54" s="6"/>
      <c r="V54" s="6"/>
      <c r="W54" s="6"/>
      <c r="X54" s="6"/>
      <c r="Y54" s="6"/>
      <c r="Z54" s="6"/>
      <c r="AA54" s="6"/>
      <c r="AB54" s="6"/>
    </row>
    <row r="55" ht="15.75" customHeight="1">
      <c r="A55" s="26" t="s">
        <v>41</v>
      </c>
      <c r="B55" s="22"/>
      <c r="C55" s="22"/>
      <c r="D55" s="22">
        <v>8.0</v>
      </c>
      <c r="E55" s="23">
        <f t="shared" si="2"/>
        <v>8</v>
      </c>
      <c r="F55" s="22">
        <f t="shared" ref="F55:G55" si="54">M55+(M55*$F$3)</f>
        <v>0</v>
      </c>
      <c r="G55" s="22">
        <f t="shared" si="54"/>
        <v>13053600</v>
      </c>
      <c r="H55" s="22"/>
      <c r="I55" s="22"/>
      <c r="J55" s="22">
        <v>8.0</v>
      </c>
      <c r="K55" s="23">
        <f t="shared" si="4"/>
        <v>8</v>
      </c>
      <c r="L55" s="23">
        <f t="shared" si="5"/>
        <v>0</v>
      </c>
      <c r="M55" s="24"/>
      <c r="N55" s="24">
        <v>1.2432E7</v>
      </c>
      <c r="O55" s="4"/>
      <c r="P55" s="4"/>
      <c r="Q55" s="4"/>
      <c r="R55" s="4"/>
      <c r="S55" s="4"/>
      <c r="T55" s="6"/>
      <c r="U55" s="6"/>
      <c r="V55" s="6"/>
      <c r="W55" s="6"/>
      <c r="X55" s="6"/>
      <c r="Y55" s="6"/>
      <c r="Z55" s="6"/>
      <c r="AA55" s="6"/>
      <c r="AB55" s="6"/>
    </row>
    <row r="56" ht="15.75" customHeight="1">
      <c r="A56" s="29"/>
      <c r="B56" s="22"/>
      <c r="C56" s="22"/>
      <c r="D56" s="22"/>
      <c r="E56" s="23">
        <f t="shared" si="2"/>
        <v>0</v>
      </c>
      <c r="F56" s="22">
        <f t="shared" ref="F56:G56" si="55">M56+(M56*$F$3)</f>
        <v>0</v>
      </c>
      <c r="G56" s="22">
        <f t="shared" si="55"/>
        <v>0</v>
      </c>
      <c r="H56" s="22"/>
      <c r="I56" s="22"/>
      <c r="J56" s="22"/>
      <c r="K56" s="23">
        <f t="shared" si="4"/>
        <v>0</v>
      </c>
      <c r="L56" s="23">
        <f t="shared" si="5"/>
        <v>0</v>
      </c>
      <c r="M56" s="24"/>
      <c r="N56" s="24"/>
      <c r="O56" s="4"/>
      <c r="P56" s="4"/>
      <c r="Q56" s="4"/>
      <c r="R56" s="4"/>
      <c r="S56" s="4"/>
      <c r="T56" s="6"/>
      <c r="U56" s="6"/>
      <c r="V56" s="6"/>
      <c r="W56" s="6"/>
      <c r="X56" s="6"/>
      <c r="Y56" s="6"/>
      <c r="Z56" s="6"/>
      <c r="AA56" s="6"/>
      <c r="AB56" s="6"/>
    </row>
    <row r="57" ht="15.75" customHeight="1">
      <c r="A57" s="21" t="s">
        <v>56</v>
      </c>
      <c r="B57" s="22"/>
      <c r="C57" s="22"/>
      <c r="D57" s="22"/>
      <c r="E57" s="23">
        <f t="shared" si="2"/>
        <v>0</v>
      </c>
      <c r="F57" s="22">
        <f t="shared" ref="F57:G57" si="56">M57+(M57*$F$3)</f>
        <v>0</v>
      </c>
      <c r="G57" s="22">
        <f t="shared" si="56"/>
        <v>0</v>
      </c>
      <c r="H57" s="22"/>
      <c r="I57" s="22"/>
      <c r="J57" s="22"/>
      <c r="K57" s="23">
        <f t="shared" si="4"/>
        <v>0</v>
      </c>
      <c r="L57" s="23">
        <f t="shared" si="5"/>
        <v>0</v>
      </c>
      <c r="M57" s="24"/>
      <c r="N57" s="24"/>
      <c r="O57" s="4"/>
      <c r="P57" s="4"/>
      <c r="Q57" s="4"/>
      <c r="R57" s="4"/>
      <c r="S57" s="4"/>
      <c r="T57" s="6"/>
      <c r="U57" s="6"/>
      <c r="V57" s="6"/>
      <c r="W57" s="6"/>
      <c r="X57" s="6"/>
      <c r="Y57" s="6"/>
      <c r="Z57" s="6"/>
      <c r="AA57" s="6"/>
      <c r="AB57" s="6"/>
    </row>
    <row r="58" ht="15.0" customHeight="1">
      <c r="A58" s="26" t="s">
        <v>41</v>
      </c>
      <c r="B58" s="28"/>
      <c r="C58" s="28"/>
      <c r="D58" s="28">
        <v>16.0</v>
      </c>
      <c r="E58" s="23">
        <f t="shared" si="2"/>
        <v>16</v>
      </c>
      <c r="F58" s="22">
        <f t="shared" ref="F58:G58" si="57">M58+(M58*$F$3)</f>
        <v>0</v>
      </c>
      <c r="G58" s="22">
        <f t="shared" si="57"/>
        <v>45090150</v>
      </c>
      <c r="H58" s="28"/>
      <c r="I58" s="28"/>
      <c r="J58" s="28">
        <v>16.0</v>
      </c>
      <c r="K58" s="23">
        <f t="shared" si="4"/>
        <v>16</v>
      </c>
      <c r="L58" s="23">
        <f t="shared" si="5"/>
        <v>0</v>
      </c>
      <c r="M58" s="24"/>
      <c r="N58" s="24">
        <f>42943000</f>
        <v>42943000</v>
      </c>
      <c r="O58" s="4"/>
      <c r="P58" s="4"/>
      <c r="Q58" s="4"/>
      <c r="R58" s="4"/>
      <c r="S58" s="4"/>
    </row>
    <row r="59" ht="15.75" customHeight="1">
      <c r="A59" s="30" t="s">
        <v>57</v>
      </c>
      <c r="B59" s="31">
        <f t="shared" ref="B59:E59" si="58">SUM(B7:B56)</f>
        <v>16</v>
      </c>
      <c r="C59" s="31">
        <f t="shared" si="58"/>
        <v>9</v>
      </c>
      <c r="D59" s="31">
        <f t="shared" si="58"/>
        <v>84</v>
      </c>
      <c r="E59" s="31">
        <f t="shared" si="58"/>
        <v>109</v>
      </c>
      <c r="F59" s="31">
        <f t="shared" ref="F59:G59" si="59">SUM(F7:F58)</f>
        <v>143870499.9</v>
      </c>
      <c r="G59" s="31">
        <f t="shared" si="59"/>
        <v>255231188.1</v>
      </c>
      <c r="H59" s="31">
        <f t="shared" ref="H59:J59" si="60">SUM(H7:H56)</f>
        <v>15</v>
      </c>
      <c r="I59" s="31">
        <f t="shared" si="60"/>
        <v>5</v>
      </c>
      <c r="J59" s="31">
        <f t="shared" si="60"/>
        <v>84</v>
      </c>
      <c r="K59" s="31">
        <f>SUM(K7:K58)</f>
        <v>120</v>
      </c>
      <c r="L59" s="31">
        <f>SUM(L7:L56)</f>
        <v>-5</v>
      </c>
      <c r="M59" s="32">
        <f t="shared" ref="M59:N59" si="61">SUM(M7:M58)</f>
        <v>95502857</v>
      </c>
      <c r="N59" s="32">
        <f t="shared" si="61"/>
        <v>243077322</v>
      </c>
      <c r="O59" s="4"/>
      <c r="P59" s="4"/>
      <c r="Q59" s="4"/>
      <c r="R59" s="4"/>
      <c r="S59" s="4"/>
      <c r="T59" s="6"/>
      <c r="U59" s="6"/>
      <c r="V59" s="6"/>
      <c r="W59" s="6"/>
      <c r="X59" s="6"/>
      <c r="Y59" s="6"/>
      <c r="Z59" s="6"/>
      <c r="AA59" s="6"/>
      <c r="AB59" s="6"/>
    </row>
    <row r="60" ht="15.75" customHeight="1">
      <c r="A60" s="1" t="s">
        <v>58</v>
      </c>
      <c r="B60" s="33"/>
      <c r="C60" s="33"/>
      <c r="D60" s="33"/>
      <c r="E60" s="34"/>
      <c r="F60" s="35"/>
      <c r="G60" s="35"/>
      <c r="H60" s="33"/>
      <c r="I60" s="33"/>
      <c r="J60" s="33"/>
      <c r="K60" s="34"/>
      <c r="L60" s="3"/>
      <c r="M60" s="4"/>
      <c r="N60" s="5"/>
      <c r="O60" s="4"/>
      <c r="P60" s="4"/>
      <c r="Q60" s="4"/>
      <c r="R60" s="4"/>
      <c r="S60" s="4"/>
      <c r="T60" s="6"/>
      <c r="U60" s="6"/>
      <c r="V60" s="6"/>
      <c r="W60" s="6"/>
      <c r="X60" s="6"/>
      <c r="Y60" s="6"/>
      <c r="Z60" s="6"/>
      <c r="AA60" s="6"/>
      <c r="AB60" s="6"/>
    </row>
    <row r="61" ht="15.75" customHeight="1">
      <c r="A61" s="1"/>
      <c r="B61" s="33"/>
      <c r="C61" s="33"/>
      <c r="D61" s="33"/>
      <c r="E61" s="35"/>
      <c r="F61" s="35"/>
      <c r="G61" s="35"/>
      <c r="H61" s="33"/>
      <c r="I61" s="33"/>
      <c r="J61" s="33"/>
      <c r="K61" s="35"/>
      <c r="L61" s="3"/>
      <c r="M61" s="4"/>
      <c r="N61" s="5"/>
      <c r="O61" s="4"/>
      <c r="P61" s="4"/>
      <c r="Q61" s="4"/>
      <c r="R61" s="4"/>
      <c r="S61" s="4"/>
      <c r="T61" s="6"/>
      <c r="U61" s="6"/>
      <c r="V61" s="6"/>
      <c r="W61" s="6"/>
      <c r="X61" s="6"/>
      <c r="Y61" s="6"/>
      <c r="Z61" s="6"/>
      <c r="AA61" s="6"/>
      <c r="AB61" s="6"/>
    </row>
    <row r="62" ht="15.75" customHeight="1">
      <c r="A62" s="36" t="s">
        <v>59</v>
      </c>
      <c r="B62" s="37"/>
      <c r="C62" s="37"/>
      <c r="D62" s="38"/>
      <c r="E62" s="38"/>
      <c r="F62" s="35"/>
      <c r="G62" s="35"/>
      <c r="H62" s="33"/>
      <c r="I62" s="33"/>
      <c r="J62" s="33"/>
      <c r="K62" s="35"/>
      <c r="L62" s="3"/>
      <c r="M62" s="4"/>
      <c r="N62" s="5"/>
      <c r="O62" s="4"/>
      <c r="P62" s="4"/>
      <c r="Q62" s="4"/>
      <c r="R62" s="4"/>
      <c r="S62" s="4"/>
      <c r="T62" s="6"/>
      <c r="U62" s="6"/>
      <c r="V62" s="6"/>
      <c r="W62" s="6"/>
      <c r="X62" s="6"/>
      <c r="Y62" s="6"/>
      <c r="Z62" s="6"/>
      <c r="AA62" s="6"/>
      <c r="AB62" s="6"/>
    </row>
    <row r="63" ht="15.75" customHeight="1">
      <c r="A63" s="39" t="s">
        <v>60</v>
      </c>
      <c r="B63" s="40" t="s">
        <v>61</v>
      </c>
      <c r="C63" s="13"/>
      <c r="D63" s="40" t="s">
        <v>62</v>
      </c>
      <c r="E63" s="13"/>
      <c r="F63" s="35"/>
      <c r="G63" s="35"/>
      <c r="H63" s="33"/>
      <c r="I63" s="33"/>
      <c r="J63" s="33"/>
      <c r="K63" s="35"/>
      <c r="L63" s="3"/>
      <c r="M63" s="4"/>
      <c r="N63" s="5"/>
      <c r="O63" s="4"/>
      <c r="P63" s="4"/>
      <c r="Q63" s="4"/>
      <c r="R63" s="4"/>
      <c r="S63" s="4"/>
      <c r="T63" s="6"/>
      <c r="U63" s="6"/>
      <c r="V63" s="6"/>
      <c r="W63" s="6"/>
      <c r="X63" s="6"/>
      <c r="Y63" s="6"/>
      <c r="Z63" s="6"/>
      <c r="AA63" s="6"/>
      <c r="AB63" s="6"/>
    </row>
    <row r="64" ht="15.75" customHeight="1">
      <c r="A64" s="41"/>
      <c r="B64" s="42" t="s">
        <v>63</v>
      </c>
      <c r="C64" s="42" t="s">
        <v>64</v>
      </c>
      <c r="D64" s="42" t="s">
        <v>63</v>
      </c>
      <c r="E64" s="42" t="s">
        <v>64</v>
      </c>
      <c r="F64" s="35"/>
      <c r="G64" s="35"/>
      <c r="H64" s="33"/>
      <c r="I64" s="33"/>
      <c r="J64" s="33"/>
      <c r="K64" s="35"/>
      <c r="L64" s="3"/>
      <c r="M64" s="4"/>
      <c r="N64" s="5"/>
      <c r="O64" s="4"/>
      <c r="P64" s="4"/>
      <c r="Q64" s="4"/>
      <c r="R64" s="4"/>
      <c r="S64" s="4"/>
      <c r="T64" s="6"/>
      <c r="U64" s="6"/>
      <c r="V64" s="6"/>
      <c r="W64" s="6"/>
      <c r="X64" s="6"/>
      <c r="Y64" s="6"/>
      <c r="Z64" s="6"/>
      <c r="AA64" s="6"/>
      <c r="AB64" s="6"/>
    </row>
    <row r="65" ht="15.75" customHeight="1">
      <c r="A65" s="43" t="s">
        <v>8</v>
      </c>
      <c r="B65" s="44">
        <f>B59</f>
        <v>16</v>
      </c>
      <c r="C65" s="45">
        <f>E65+(5%*E65)+17000000</f>
        <v>92159918.75</v>
      </c>
      <c r="D65" s="44">
        <f>H59</f>
        <v>15</v>
      </c>
      <c r="E65" s="45">
        <f>65630875+3450000+2500000</f>
        <v>71580875</v>
      </c>
      <c r="F65" s="35"/>
      <c r="G65" s="35"/>
      <c r="H65" s="33"/>
      <c r="I65" s="33"/>
      <c r="J65" s="33"/>
      <c r="K65" s="35"/>
      <c r="L65" s="3"/>
      <c r="M65" s="4"/>
      <c r="N65" s="5"/>
      <c r="O65" s="4"/>
      <c r="P65" s="4"/>
      <c r="Q65" s="4"/>
      <c r="R65" s="4"/>
      <c r="S65" s="4"/>
      <c r="T65" s="6"/>
      <c r="U65" s="6"/>
      <c r="V65" s="6"/>
      <c r="W65" s="6"/>
      <c r="X65" s="6"/>
      <c r="Y65" s="6"/>
      <c r="Z65" s="6"/>
      <c r="AA65" s="6"/>
      <c r="AB65" s="6"/>
    </row>
    <row r="66" ht="15.75" customHeight="1">
      <c r="A66" s="43" t="s">
        <v>9</v>
      </c>
      <c r="B66" s="44">
        <f>C59</f>
        <v>9</v>
      </c>
      <c r="C66" s="45">
        <f>E66+(5%*E66)+5000000+5092500+9000000+7500000</f>
        <v>60005581.1</v>
      </c>
      <c r="D66" s="44">
        <f>I59</f>
        <v>5</v>
      </c>
      <c r="E66" s="45">
        <f>29871982+1700000+250000</f>
        <v>31821982</v>
      </c>
      <c r="F66" s="35"/>
      <c r="G66" s="35"/>
      <c r="H66" s="33"/>
      <c r="I66" s="33"/>
      <c r="J66" s="33"/>
      <c r="K66" s="35"/>
      <c r="L66" s="3"/>
      <c r="M66" s="4"/>
      <c r="N66" s="5"/>
      <c r="O66" s="4"/>
      <c r="P66" s="4"/>
      <c r="Q66" s="4"/>
      <c r="R66" s="4"/>
      <c r="S66" s="4"/>
      <c r="T66" s="6"/>
      <c r="U66" s="6"/>
      <c r="V66" s="6"/>
      <c r="W66" s="6"/>
      <c r="X66" s="6"/>
      <c r="Y66" s="6"/>
      <c r="Z66" s="6"/>
      <c r="AA66" s="6"/>
      <c r="AB66" s="6"/>
    </row>
    <row r="67" ht="15.75" customHeight="1">
      <c r="A67" s="43" t="s">
        <v>10</v>
      </c>
      <c r="B67" s="44">
        <f>D59</f>
        <v>84</v>
      </c>
      <c r="C67" s="45">
        <f>E67+(5%*E67)</f>
        <v>255231188.1</v>
      </c>
      <c r="D67" s="44">
        <f>J59</f>
        <v>84</v>
      </c>
      <c r="E67" s="45">
        <f>N59</f>
        <v>243077322</v>
      </c>
      <c r="F67" s="35"/>
      <c r="G67" s="35"/>
      <c r="H67" s="33"/>
      <c r="I67" s="33"/>
      <c r="J67" s="33"/>
      <c r="K67" s="35"/>
      <c r="L67" s="3"/>
      <c r="M67" s="4"/>
      <c r="N67" s="5"/>
      <c r="O67" s="4"/>
      <c r="P67" s="4"/>
      <c r="Q67" s="4"/>
      <c r="R67" s="4"/>
      <c r="S67" s="4"/>
      <c r="T67" s="6"/>
      <c r="U67" s="6"/>
      <c r="V67" s="6"/>
      <c r="W67" s="6"/>
      <c r="X67" s="6"/>
      <c r="Y67" s="6"/>
      <c r="Z67" s="6"/>
      <c r="AA67" s="6"/>
      <c r="AB67" s="6"/>
    </row>
    <row r="68" ht="15.75" customHeight="1">
      <c r="A68" s="37"/>
      <c r="B68" s="46">
        <f t="shared" ref="B68:E68" si="62">SUM(B65:B67)</f>
        <v>109</v>
      </c>
      <c r="C68" s="47">
        <f t="shared" si="62"/>
        <v>407396688</v>
      </c>
      <c r="D68" s="48">
        <f t="shared" si="62"/>
        <v>104</v>
      </c>
      <c r="E68" s="49">
        <f t="shared" si="62"/>
        <v>346480179</v>
      </c>
      <c r="F68" s="35"/>
      <c r="G68" s="35"/>
      <c r="H68" s="33"/>
      <c r="I68" s="33"/>
      <c r="J68" s="33"/>
      <c r="K68" s="35"/>
      <c r="L68" s="3"/>
      <c r="M68" s="4"/>
      <c r="N68" s="5"/>
      <c r="O68" s="4"/>
      <c r="P68" s="4"/>
      <c r="Q68" s="4"/>
      <c r="R68" s="4"/>
      <c r="S68" s="4"/>
      <c r="T68" s="6"/>
      <c r="U68" s="6"/>
      <c r="V68" s="6"/>
      <c r="W68" s="6"/>
      <c r="X68" s="6"/>
      <c r="Y68" s="6"/>
      <c r="Z68" s="6"/>
      <c r="AA68" s="6"/>
      <c r="AB68" s="6"/>
    </row>
    <row r="69" ht="15.75" customHeight="1">
      <c r="A69" s="43" t="s">
        <v>65</v>
      </c>
      <c r="B69" s="50" t="s">
        <v>66</v>
      </c>
      <c r="C69" s="49">
        <f>68912418.75+31365581.1</f>
        <v>100277999.9</v>
      </c>
      <c r="D69" s="37"/>
      <c r="E69" s="51"/>
      <c r="F69" s="35"/>
      <c r="G69" s="35"/>
      <c r="H69" s="33"/>
      <c r="I69" s="33"/>
      <c r="J69" s="33"/>
      <c r="K69" s="35"/>
      <c r="L69" s="3"/>
      <c r="M69" s="4"/>
      <c r="N69" s="5"/>
      <c r="O69" s="4"/>
      <c r="P69" s="4"/>
      <c r="Q69" s="4"/>
      <c r="R69" s="4"/>
      <c r="S69" s="4"/>
      <c r="T69" s="6"/>
      <c r="U69" s="6"/>
      <c r="V69" s="6"/>
      <c r="W69" s="6"/>
      <c r="X69" s="6"/>
      <c r="Y69" s="6"/>
      <c r="Z69" s="6"/>
      <c r="AA69" s="6"/>
      <c r="AB69" s="6"/>
    </row>
    <row r="70" ht="15.75" customHeight="1">
      <c r="A70" s="52" t="s">
        <v>67</v>
      </c>
      <c r="B70" s="50" t="s">
        <v>66</v>
      </c>
      <c r="C70" s="53">
        <f>C68/12</f>
        <v>33949724</v>
      </c>
      <c r="D70" s="54"/>
      <c r="E70" s="6"/>
      <c r="F70" s="7"/>
      <c r="G70" s="35"/>
      <c r="H70" s="33"/>
      <c r="I70" s="33"/>
      <c r="J70" s="33"/>
      <c r="K70" s="35"/>
      <c r="L70" s="3"/>
      <c r="M70" s="4"/>
      <c r="N70" s="5"/>
      <c r="O70" s="4"/>
      <c r="P70" s="4"/>
      <c r="Q70" s="4"/>
      <c r="R70" s="4"/>
      <c r="S70" s="4"/>
      <c r="T70" s="6"/>
      <c r="U70" s="6"/>
      <c r="V70" s="6"/>
      <c r="W70" s="6"/>
      <c r="X70" s="6"/>
      <c r="Y70" s="6"/>
      <c r="Z70" s="6"/>
      <c r="AA70" s="6"/>
      <c r="AB70" s="6"/>
    </row>
    <row r="71" ht="15.75" customHeight="1">
      <c r="A71" s="52" t="s">
        <v>68</v>
      </c>
      <c r="B71" s="50" t="s">
        <v>66</v>
      </c>
      <c r="C71" s="53">
        <f>(10.89%*SUM(C65:C66))+(2%*C67)</f>
        <v>21675446.7</v>
      </c>
      <c r="D71" s="54"/>
      <c r="E71" s="6"/>
      <c r="F71" s="35"/>
      <c r="G71" s="35"/>
      <c r="H71" s="33"/>
      <c r="I71" s="33"/>
      <c r="J71" s="33"/>
      <c r="K71" s="35"/>
      <c r="L71" s="3"/>
      <c r="M71" s="4"/>
      <c r="N71" s="5"/>
      <c r="O71" s="4"/>
      <c r="P71" s="4"/>
      <c r="Q71" s="4"/>
      <c r="R71" s="4"/>
      <c r="S71" s="4"/>
      <c r="T71" s="6"/>
      <c r="U71" s="6"/>
      <c r="V71" s="6"/>
      <c r="W71" s="6"/>
      <c r="X71" s="6"/>
      <c r="Y71" s="6"/>
      <c r="Z71" s="6"/>
      <c r="AA71" s="6"/>
      <c r="AB71" s="6"/>
    </row>
    <row r="72" ht="15.75" customHeight="1">
      <c r="A72" s="52" t="s">
        <v>69</v>
      </c>
      <c r="B72" s="50" t="s">
        <v>66</v>
      </c>
      <c r="C72" s="53">
        <f>1%*SUM(C65:C66)</f>
        <v>1521654.999</v>
      </c>
      <c r="D72" s="54"/>
      <c r="E72" s="6"/>
      <c r="F72" s="4"/>
      <c r="G72" s="4"/>
      <c r="H72" s="4"/>
      <c r="I72" s="4"/>
      <c r="J72" s="4"/>
      <c r="K72" s="4"/>
      <c r="L72" s="4"/>
      <c r="M72" s="4"/>
      <c r="N72" s="5"/>
      <c r="O72" s="4"/>
      <c r="P72" s="4"/>
      <c r="Q72" s="4"/>
      <c r="R72" s="4"/>
      <c r="S72" s="4"/>
      <c r="T72" s="6"/>
      <c r="U72" s="6"/>
      <c r="V72" s="6"/>
      <c r="W72" s="6"/>
      <c r="X72" s="6"/>
      <c r="Y72" s="6"/>
      <c r="Z72" s="6"/>
      <c r="AA72" s="6"/>
      <c r="AB72" s="6"/>
    </row>
    <row r="73" ht="15.75" customHeight="1">
      <c r="A73" s="52" t="s">
        <v>70</v>
      </c>
      <c r="B73" s="50" t="s">
        <v>66</v>
      </c>
      <c r="C73" s="53">
        <f>1.5%*SUM(C65:C66)</f>
        <v>2282482.498</v>
      </c>
      <c r="D73" s="54"/>
      <c r="E73" s="6"/>
      <c r="F73" s="4"/>
      <c r="G73" s="4"/>
      <c r="H73" s="4"/>
      <c r="I73" s="4"/>
      <c r="J73" s="4"/>
      <c r="K73" s="4"/>
      <c r="L73" s="4"/>
      <c r="M73" s="4"/>
      <c r="N73" s="5"/>
      <c r="O73" s="4"/>
      <c r="P73" s="4"/>
      <c r="Q73" s="4"/>
      <c r="R73" s="4"/>
      <c r="S73" s="4"/>
      <c r="T73" s="6"/>
      <c r="U73" s="6"/>
      <c r="V73" s="6"/>
      <c r="W73" s="6"/>
      <c r="X73" s="6"/>
      <c r="Y73" s="6"/>
      <c r="Z73" s="6"/>
      <c r="AA73" s="6"/>
      <c r="AB73" s="6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5"/>
      <c r="O74" s="4"/>
      <c r="P74" s="4"/>
      <c r="Q74" s="4"/>
      <c r="R74" s="4"/>
      <c r="S74" s="4"/>
      <c r="T74" s="6"/>
      <c r="U74" s="6"/>
      <c r="V74" s="6"/>
      <c r="W74" s="6"/>
      <c r="X74" s="6"/>
      <c r="Y74" s="6"/>
      <c r="Z74" s="6"/>
      <c r="AA74" s="6"/>
      <c r="AB74" s="6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5"/>
      <c r="O75" s="4"/>
      <c r="P75" s="4"/>
      <c r="Q75" s="4"/>
      <c r="R75" s="4"/>
      <c r="S75" s="4"/>
      <c r="T75" s="6"/>
      <c r="U75" s="6"/>
      <c r="V75" s="6"/>
      <c r="W75" s="6"/>
      <c r="X75" s="6"/>
      <c r="Y75" s="6"/>
      <c r="Z75" s="6"/>
      <c r="AA75" s="6"/>
      <c r="AB75" s="6"/>
    </row>
    <row r="76" ht="15.75" customHeight="1">
      <c r="A76" s="55" t="s">
        <v>71</v>
      </c>
      <c r="B76" s="56" t="s">
        <v>72</v>
      </c>
      <c r="C76" s="56" t="s">
        <v>73</v>
      </c>
      <c r="D76" s="56" t="s">
        <v>74</v>
      </c>
      <c r="E76" s="56" t="s">
        <v>75</v>
      </c>
      <c r="F76" s="56"/>
      <c r="G76" s="56"/>
      <c r="H76" s="56" t="s">
        <v>76</v>
      </c>
      <c r="I76" s="56" t="s">
        <v>77</v>
      </c>
      <c r="J76" s="55" t="s">
        <v>78</v>
      </c>
      <c r="K76" s="55" t="s">
        <v>79</v>
      </c>
      <c r="L76" s="55" t="s">
        <v>80</v>
      </c>
      <c r="M76" s="56" t="s">
        <v>81</v>
      </c>
      <c r="N76" s="57" t="s">
        <v>82</v>
      </c>
      <c r="O76" s="56" t="s">
        <v>83</v>
      </c>
      <c r="P76" s="56" t="s">
        <v>84</v>
      </c>
      <c r="Q76" s="56" t="s">
        <v>85</v>
      </c>
      <c r="R76" s="56" t="s">
        <v>86</v>
      </c>
      <c r="S76" s="56" t="s">
        <v>87</v>
      </c>
      <c r="T76" s="58" t="s">
        <v>88</v>
      </c>
      <c r="U76" s="59">
        <v>45657.0</v>
      </c>
      <c r="V76" s="6"/>
      <c r="W76" s="6"/>
      <c r="X76" s="6"/>
    </row>
    <row r="77" ht="19.5" customHeight="1">
      <c r="A77" s="27" t="s">
        <v>89</v>
      </c>
      <c r="B77" s="60">
        <v>1.0</v>
      </c>
      <c r="C77" s="60">
        <v>2214827.0</v>
      </c>
      <c r="D77" s="61" t="s">
        <v>90</v>
      </c>
      <c r="E77" s="28" t="s">
        <v>91</v>
      </c>
      <c r="F77" s="28"/>
      <c r="G77" s="28"/>
      <c r="H77" s="28" t="s">
        <v>92</v>
      </c>
      <c r="I77" s="28" t="s">
        <v>93</v>
      </c>
      <c r="J77" s="28" t="s">
        <v>8</v>
      </c>
      <c r="K77" s="62">
        <v>44866.0</v>
      </c>
      <c r="L77" s="62">
        <v>45231.0</v>
      </c>
      <c r="M77" s="60">
        <v>2023.0</v>
      </c>
      <c r="N77" s="24" t="s">
        <v>94</v>
      </c>
      <c r="O77" s="28" t="s">
        <v>95</v>
      </c>
      <c r="P77" s="28" t="s">
        <v>96</v>
      </c>
      <c r="Q77" s="62">
        <v>34492.0</v>
      </c>
      <c r="R77" s="63">
        <f t="shared" ref="R77:R96" si="63">YEARFRAC(L77,$U$76,3)</f>
        <v>1.167123288</v>
      </c>
      <c r="S77" s="63">
        <f t="shared" ref="S77:S96" si="64">YEARFRAC(Q77,$U$76,3)</f>
        <v>30.5890411</v>
      </c>
      <c r="T77" s="64"/>
      <c r="U77" s="65"/>
      <c r="V77" s="65"/>
      <c r="W77" s="65"/>
      <c r="X77" s="65"/>
      <c r="Y77" s="66"/>
      <c r="Z77" s="66"/>
      <c r="AA77" s="66"/>
      <c r="AB77" s="66"/>
    </row>
    <row r="78" ht="19.5" customHeight="1">
      <c r="A78" s="27" t="s">
        <v>89</v>
      </c>
      <c r="B78" s="60">
        <v>2.0</v>
      </c>
      <c r="C78" s="60">
        <v>1914842.0</v>
      </c>
      <c r="D78" s="61" t="s">
        <v>97</v>
      </c>
      <c r="E78" s="28" t="s">
        <v>98</v>
      </c>
      <c r="F78" s="28"/>
      <c r="G78" s="28"/>
      <c r="H78" s="28" t="s">
        <v>92</v>
      </c>
      <c r="I78" s="28" t="s">
        <v>99</v>
      </c>
      <c r="J78" s="28" t="s">
        <v>8</v>
      </c>
      <c r="K78" s="62">
        <v>43558.0</v>
      </c>
      <c r="L78" s="62">
        <v>43558.0</v>
      </c>
      <c r="M78" s="60">
        <v>2019.0</v>
      </c>
      <c r="N78" s="24" t="s">
        <v>94</v>
      </c>
      <c r="O78" s="28" t="s">
        <v>100</v>
      </c>
      <c r="P78" s="28" t="s">
        <v>96</v>
      </c>
      <c r="Q78" s="62">
        <v>35882.0</v>
      </c>
      <c r="R78" s="63">
        <f t="shared" si="63"/>
        <v>5.750684932</v>
      </c>
      <c r="S78" s="63">
        <f t="shared" si="64"/>
        <v>26.78082192</v>
      </c>
      <c r="T78" s="64"/>
      <c r="U78" s="65"/>
      <c r="V78" s="65"/>
      <c r="W78" s="65"/>
      <c r="X78" s="65"/>
      <c r="Y78" s="66"/>
      <c r="Z78" s="66"/>
      <c r="AA78" s="66"/>
      <c r="AB78" s="66"/>
    </row>
    <row r="79" ht="19.5" customHeight="1">
      <c r="A79" s="27" t="s">
        <v>89</v>
      </c>
      <c r="B79" s="60">
        <v>3.0</v>
      </c>
      <c r="C79" s="60">
        <v>1914839.0</v>
      </c>
      <c r="D79" s="61" t="s">
        <v>101</v>
      </c>
      <c r="E79" s="28" t="s">
        <v>102</v>
      </c>
      <c r="F79" s="28"/>
      <c r="G79" s="28"/>
      <c r="H79" s="28" t="s">
        <v>92</v>
      </c>
      <c r="I79" s="28" t="s">
        <v>103</v>
      </c>
      <c r="J79" s="28" t="s">
        <v>8</v>
      </c>
      <c r="K79" s="62">
        <v>43525.0</v>
      </c>
      <c r="L79" s="62">
        <v>43525.0</v>
      </c>
      <c r="M79" s="60">
        <v>2019.0</v>
      </c>
      <c r="N79" s="24" t="s">
        <v>94</v>
      </c>
      <c r="O79" s="28" t="s">
        <v>95</v>
      </c>
      <c r="P79" s="28" t="s">
        <v>96</v>
      </c>
      <c r="Q79" s="62">
        <v>33646.0</v>
      </c>
      <c r="R79" s="63">
        <f t="shared" si="63"/>
        <v>5.84109589</v>
      </c>
      <c r="S79" s="63">
        <f t="shared" si="64"/>
        <v>32.90684932</v>
      </c>
      <c r="T79" s="64"/>
      <c r="U79" s="65"/>
      <c r="V79" s="65"/>
      <c r="W79" s="65"/>
      <c r="X79" s="65"/>
      <c r="Y79" s="66"/>
      <c r="Z79" s="66"/>
      <c r="AA79" s="66"/>
      <c r="AB79" s="66"/>
    </row>
    <row r="80" ht="19.5" customHeight="1">
      <c r="A80" s="27" t="s">
        <v>89</v>
      </c>
      <c r="B80" s="60">
        <v>4.0</v>
      </c>
      <c r="C80" s="60">
        <v>1814844.0</v>
      </c>
      <c r="D80" s="61" t="s">
        <v>104</v>
      </c>
      <c r="E80" s="28" t="s">
        <v>102</v>
      </c>
      <c r="F80" s="28"/>
      <c r="G80" s="28"/>
      <c r="H80" s="28" t="s">
        <v>92</v>
      </c>
      <c r="I80" s="28" t="s">
        <v>103</v>
      </c>
      <c r="J80" s="28" t="s">
        <v>8</v>
      </c>
      <c r="K80" s="62">
        <v>43101.0</v>
      </c>
      <c r="L80" s="62">
        <v>43101.0</v>
      </c>
      <c r="M80" s="60">
        <v>2018.0</v>
      </c>
      <c r="N80" s="24" t="s">
        <v>94</v>
      </c>
      <c r="O80" s="28" t="s">
        <v>105</v>
      </c>
      <c r="P80" s="28" t="s">
        <v>96</v>
      </c>
      <c r="Q80" s="62">
        <v>34385.0</v>
      </c>
      <c r="R80" s="63">
        <f t="shared" si="63"/>
        <v>7.002739726</v>
      </c>
      <c r="S80" s="63">
        <f t="shared" si="64"/>
        <v>30.88219178</v>
      </c>
      <c r="T80" s="64"/>
      <c r="U80" s="65"/>
      <c r="V80" s="65"/>
      <c r="W80" s="65"/>
      <c r="X80" s="65"/>
      <c r="Y80" s="66"/>
      <c r="Z80" s="66"/>
      <c r="AA80" s="66"/>
      <c r="AB80" s="66"/>
    </row>
    <row r="81" ht="19.5" customHeight="1">
      <c r="A81" s="27" t="s">
        <v>89</v>
      </c>
      <c r="B81" s="60">
        <v>5.0</v>
      </c>
      <c r="C81" s="60">
        <v>1114828.0</v>
      </c>
      <c r="D81" s="61" t="s">
        <v>106</v>
      </c>
      <c r="E81" s="28" t="s">
        <v>107</v>
      </c>
      <c r="F81" s="28"/>
      <c r="G81" s="28"/>
      <c r="H81" s="28" t="s">
        <v>21</v>
      </c>
      <c r="I81" s="28" t="s">
        <v>107</v>
      </c>
      <c r="J81" s="28" t="s">
        <v>8</v>
      </c>
      <c r="K81" s="62">
        <v>40551.0</v>
      </c>
      <c r="L81" s="62">
        <v>42736.0</v>
      </c>
      <c r="M81" s="60">
        <v>2017.0</v>
      </c>
      <c r="N81" s="24" t="s">
        <v>108</v>
      </c>
      <c r="O81" s="28" t="s">
        <v>100</v>
      </c>
      <c r="P81" s="28" t="s">
        <v>109</v>
      </c>
      <c r="Q81" s="62">
        <v>29277.0</v>
      </c>
      <c r="R81" s="63">
        <f t="shared" si="63"/>
        <v>8.002739726</v>
      </c>
      <c r="S81" s="63">
        <f t="shared" si="64"/>
        <v>44.87671233</v>
      </c>
      <c r="T81" s="64"/>
      <c r="U81" s="65"/>
      <c r="V81" s="65"/>
      <c r="W81" s="65"/>
      <c r="X81" s="65"/>
      <c r="Y81" s="66"/>
      <c r="Z81" s="66"/>
      <c r="AA81" s="66"/>
      <c r="AB81" s="66"/>
    </row>
    <row r="82" ht="19.5" customHeight="1">
      <c r="A82" s="27" t="s">
        <v>89</v>
      </c>
      <c r="B82" s="60">
        <v>6.0</v>
      </c>
      <c r="C82" s="60">
        <v>1714829.0</v>
      </c>
      <c r="D82" s="61" t="s">
        <v>110</v>
      </c>
      <c r="E82" s="28" t="s">
        <v>111</v>
      </c>
      <c r="F82" s="28"/>
      <c r="G82" s="28"/>
      <c r="H82" s="28" t="s">
        <v>24</v>
      </c>
      <c r="I82" s="28" t="s">
        <v>112</v>
      </c>
      <c r="J82" s="28" t="s">
        <v>8</v>
      </c>
      <c r="K82" s="62">
        <v>43908.0</v>
      </c>
      <c r="L82" s="62">
        <v>43908.0</v>
      </c>
      <c r="M82" s="60">
        <v>2020.0</v>
      </c>
      <c r="N82" s="24" t="s">
        <v>94</v>
      </c>
      <c r="O82" s="28" t="s">
        <v>95</v>
      </c>
      <c r="P82" s="28" t="s">
        <v>109</v>
      </c>
      <c r="Q82" s="62">
        <v>34298.0</v>
      </c>
      <c r="R82" s="63">
        <f t="shared" si="63"/>
        <v>4.791780822</v>
      </c>
      <c r="S82" s="63">
        <f t="shared" si="64"/>
        <v>31.12054795</v>
      </c>
      <c r="T82" s="64"/>
      <c r="U82" s="65"/>
      <c r="V82" s="65"/>
      <c r="W82" s="65"/>
      <c r="X82" s="65"/>
      <c r="Y82" s="66"/>
      <c r="Z82" s="66"/>
      <c r="AA82" s="66"/>
      <c r="AB82" s="66"/>
    </row>
    <row r="83" ht="19.5" customHeight="1">
      <c r="A83" s="27" t="s">
        <v>89</v>
      </c>
      <c r="B83" s="60">
        <v>7.0</v>
      </c>
      <c r="C83" s="60">
        <v>2214845.0</v>
      </c>
      <c r="D83" s="61" t="s">
        <v>113</v>
      </c>
      <c r="E83" s="28" t="s">
        <v>114</v>
      </c>
      <c r="F83" s="28"/>
      <c r="G83" s="28"/>
      <c r="H83" s="28" t="s">
        <v>25</v>
      </c>
      <c r="I83" s="28" t="s">
        <v>25</v>
      </c>
      <c r="J83" s="28" t="s">
        <v>8</v>
      </c>
      <c r="K83" s="62">
        <v>44774.0</v>
      </c>
      <c r="L83" s="62">
        <v>44774.0</v>
      </c>
      <c r="M83" s="60">
        <v>2022.0</v>
      </c>
      <c r="N83" s="24" t="s">
        <v>94</v>
      </c>
      <c r="O83" s="28" t="s">
        <v>95</v>
      </c>
      <c r="P83" s="28" t="s">
        <v>109</v>
      </c>
      <c r="Q83" s="62">
        <v>31535.0</v>
      </c>
      <c r="R83" s="63">
        <f t="shared" si="63"/>
        <v>2.419178082</v>
      </c>
      <c r="S83" s="63">
        <f t="shared" si="64"/>
        <v>38.69041096</v>
      </c>
      <c r="T83" s="64"/>
      <c r="U83" s="65"/>
      <c r="V83" s="65"/>
      <c r="W83" s="65"/>
      <c r="X83" s="65"/>
      <c r="Y83" s="66"/>
      <c r="Z83" s="66"/>
      <c r="AA83" s="66"/>
      <c r="AB83" s="66"/>
    </row>
    <row r="84" ht="19.5" customHeight="1">
      <c r="A84" s="27" t="s">
        <v>89</v>
      </c>
      <c r="B84" s="60">
        <v>8.0</v>
      </c>
      <c r="C84" s="60">
        <v>1414838.0</v>
      </c>
      <c r="D84" s="61" t="s">
        <v>115</v>
      </c>
      <c r="E84" s="28" t="s">
        <v>116</v>
      </c>
      <c r="F84" s="28"/>
      <c r="G84" s="28"/>
      <c r="H84" s="28" t="s">
        <v>25</v>
      </c>
      <c r="I84" s="28" t="s">
        <v>25</v>
      </c>
      <c r="J84" s="28" t="s">
        <v>8</v>
      </c>
      <c r="K84" s="62">
        <v>41765.0</v>
      </c>
      <c r="L84" s="62">
        <v>42736.0</v>
      </c>
      <c r="M84" s="60">
        <v>2017.0</v>
      </c>
      <c r="N84" s="24" t="s">
        <v>117</v>
      </c>
      <c r="O84" s="28" t="s">
        <v>95</v>
      </c>
      <c r="P84" s="28" t="s">
        <v>109</v>
      </c>
      <c r="Q84" s="62">
        <v>29681.0</v>
      </c>
      <c r="R84" s="63">
        <f t="shared" si="63"/>
        <v>8.002739726</v>
      </c>
      <c r="S84" s="63">
        <f t="shared" si="64"/>
        <v>43.76986301</v>
      </c>
      <c r="T84" s="64"/>
      <c r="U84" s="65"/>
      <c r="V84" s="65"/>
      <c r="W84" s="65"/>
      <c r="X84" s="65"/>
      <c r="Y84" s="66"/>
      <c r="Z84" s="66"/>
      <c r="AA84" s="66"/>
      <c r="AB84" s="66"/>
    </row>
    <row r="85" ht="19.5" customHeight="1">
      <c r="A85" s="27" t="s">
        <v>89</v>
      </c>
      <c r="B85" s="60">
        <v>9.0</v>
      </c>
      <c r="C85" s="60">
        <v>1414848.0</v>
      </c>
      <c r="D85" s="61" t="s">
        <v>118</v>
      </c>
      <c r="E85" s="28" t="s">
        <v>119</v>
      </c>
      <c r="F85" s="28"/>
      <c r="G85" s="28"/>
      <c r="H85" s="28" t="s">
        <v>29</v>
      </c>
      <c r="I85" s="28" t="s">
        <v>29</v>
      </c>
      <c r="J85" s="28" t="s">
        <v>8</v>
      </c>
      <c r="K85" s="62">
        <v>41774.0</v>
      </c>
      <c r="L85" s="62">
        <v>42736.0</v>
      </c>
      <c r="M85" s="60">
        <v>2017.0</v>
      </c>
      <c r="N85" s="24" t="s">
        <v>94</v>
      </c>
      <c r="O85" s="28" t="s">
        <v>95</v>
      </c>
      <c r="P85" s="28" t="s">
        <v>109</v>
      </c>
      <c r="Q85" s="62">
        <v>29369.0</v>
      </c>
      <c r="R85" s="63">
        <f t="shared" si="63"/>
        <v>8.002739726</v>
      </c>
      <c r="S85" s="63">
        <f t="shared" si="64"/>
        <v>44.62465753</v>
      </c>
      <c r="T85" s="64"/>
      <c r="U85" s="65"/>
      <c r="V85" s="65"/>
      <c r="W85" s="65"/>
      <c r="X85" s="65"/>
      <c r="Y85" s="66"/>
      <c r="Z85" s="66"/>
      <c r="AA85" s="66"/>
      <c r="AB85" s="66"/>
    </row>
    <row r="86" ht="19.5" customHeight="1">
      <c r="A86" s="27" t="s">
        <v>89</v>
      </c>
      <c r="B86" s="60">
        <v>11.0</v>
      </c>
      <c r="C86" s="60">
        <v>1714833.0</v>
      </c>
      <c r="D86" s="61" t="s">
        <v>120</v>
      </c>
      <c r="E86" s="28" t="s">
        <v>121</v>
      </c>
      <c r="F86" s="28"/>
      <c r="G86" s="28"/>
      <c r="H86" s="28" t="s">
        <v>122</v>
      </c>
      <c r="I86" s="28" t="s">
        <v>123</v>
      </c>
      <c r="J86" s="28" t="s">
        <v>8</v>
      </c>
      <c r="K86" s="62" t="s">
        <v>124</v>
      </c>
      <c r="L86" s="62">
        <v>42736.0</v>
      </c>
      <c r="M86" s="60">
        <v>2017.0</v>
      </c>
      <c r="N86" s="24" t="s">
        <v>117</v>
      </c>
      <c r="O86" s="28" t="s">
        <v>95</v>
      </c>
      <c r="P86" s="28" t="s">
        <v>96</v>
      </c>
      <c r="Q86" s="62">
        <v>31883.0</v>
      </c>
      <c r="R86" s="63">
        <f t="shared" si="63"/>
        <v>8.002739726</v>
      </c>
      <c r="S86" s="63">
        <f t="shared" si="64"/>
        <v>37.7369863</v>
      </c>
      <c r="T86" s="64"/>
      <c r="U86" s="65"/>
      <c r="V86" s="65"/>
      <c r="W86" s="65"/>
      <c r="X86" s="65"/>
      <c r="Y86" s="66"/>
      <c r="Z86" s="66"/>
      <c r="AA86" s="66"/>
      <c r="AB86" s="66"/>
    </row>
    <row r="87" ht="19.5" customHeight="1">
      <c r="A87" s="27" t="s">
        <v>89</v>
      </c>
      <c r="B87" s="60">
        <v>12.0</v>
      </c>
      <c r="C87" s="60">
        <v>1714837.0</v>
      </c>
      <c r="D87" s="61" t="s">
        <v>125</v>
      </c>
      <c r="E87" s="28" t="s">
        <v>121</v>
      </c>
      <c r="F87" s="28"/>
      <c r="G87" s="28"/>
      <c r="H87" s="28" t="s">
        <v>122</v>
      </c>
      <c r="I87" s="28" t="s">
        <v>123</v>
      </c>
      <c r="J87" s="28" t="s">
        <v>8</v>
      </c>
      <c r="K87" s="62">
        <v>42736.0</v>
      </c>
      <c r="L87" s="62">
        <v>42736.0</v>
      </c>
      <c r="M87" s="60">
        <v>2017.0</v>
      </c>
      <c r="N87" s="24" t="s">
        <v>108</v>
      </c>
      <c r="O87" s="28" t="s">
        <v>126</v>
      </c>
      <c r="P87" s="28" t="s">
        <v>109</v>
      </c>
      <c r="Q87" s="62">
        <v>34260.0</v>
      </c>
      <c r="R87" s="63">
        <f t="shared" si="63"/>
        <v>8.002739726</v>
      </c>
      <c r="S87" s="63">
        <f t="shared" si="64"/>
        <v>31.22465753</v>
      </c>
      <c r="T87" s="64"/>
      <c r="U87" s="65"/>
      <c r="V87" s="65"/>
      <c r="W87" s="65"/>
      <c r="X87" s="65"/>
      <c r="Y87" s="66"/>
      <c r="Z87" s="66"/>
      <c r="AA87" s="66"/>
      <c r="AB87" s="66"/>
    </row>
    <row r="88" ht="19.5" customHeight="1">
      <c r="A88" s="27" t="s">
        <v>89</v>
      </c>
      <c r="B88" s="60">
        <v>13.0</v>
      </c>
      <c r="C88" s="28" t="s">
        <v>127</v>
      </c>
      <c r="D88" s="61" t="s">
        <v>128</v>
      </c>
      <c r="E88" s="28" t="s">
        <v>129</v>
      </c>
      <c r="F88" s="28"/>
      <c r="G88" s="28"/>
      <c r="H88" s="28" t="s">
        <v>130</v>
      </c>
      <c r="I88" s="28" t="s">
        <v>131</v>
      </c>
      <c r="J88" s="28" t="s">
        <v>8</v>
      </c>
      <c r="K88" s="62">
        <v>39539.0</v>
      </c>
      <c r="L88" s="62">
        <v>39539.0</v>
      </c>
      <c r="M88" s="60">
        <v>2008.0</v>
      </c>
      <c r="N88" s="24" t="s">
        <v>132</v>
      </c>
      <c r="O88" s="28" t="s">
        <v>105</v>
      </c>
      <c r="P88" s="28" t="s">
        <v>109</v>
      </c>
      <c r="Q88" s="62">
        <v>28125.0</v>
      </c>
      <c r="R88" s="63">
        <f t="shared" si="63"/>
        <v>16.76164384</v>
      </c>
      <c r="S88" s="63">
        <f t="shared" si="64"/>
        <v>48.03287671</v>
      </c>
      <c r="T88" s="64"/>
      <c r="U88" s="65"/>
      <c r="V88" s="65"/>
      <c r="W88" s="65"/>
      <c r="X88" s="65"/>
      <c r="Y88" s="66"/>
      <c r="Z88" s="66"/>
      <c r="AA88" s="66"/>
      <c r="AB88" s="66"/>
    </row>
    <row r="89" ht="19.5" customHeight="1">
      <c r="A89" s="27" t="s">
        <v>89</v>
      </c>
      <c r="B89" s="60">
        <v>14.0</v>
      </c>
      <c r="C89" s="28" t="s">
        <v>133</v>
      </c>
      <c r="D89" s="61" t="s">
        <v>134</v>
      </c>
      <c r="E89" s="28" t="s">
        <v>135</v>
      </c>
      <c r="F89" s="28"/>
      <c r="G89" s="28"/>
      <c r="H89" s="28" t="s">
        <v>130</v>
      </c>
      <c r="I89" s="28" t="s">
        <v>131</v>
      </c>
      <c r="J89" s="28" t="s">
        <v>8</v>
      </c>
      <c r="K89" s="62">
        <v>38808.0</v>
      </c>
      <c r="L89" s="62">
        <v>38808.0</v>
      </c>
      <c r="M89" s="60">
        <v>2006.0</v>
      </c>
      <c r="N89" s="24" t="s">
        <v>94</v>
      </c>
      <c r="O89" s="28" t="s">
        <v>100</v>
      </c>
      <c r="P89" s="28" t="s">
        <v>109</v>
      </c>
      <c r="Q89" s="62">
        <v>28583.0</v>
      </c>
      <c r="R89" s="63">
        <f t="shared" si="63"/>
        <v>18.76438356</v>
      </c>
      <c r="S89" s="63">
        <f t="shared" si="64"/>
        <v>46.77808219</v>
      </c>
      <c r="T89" s="64"/>
      <c r="U89" s="65"/>
      <c r="V89" s="65"/>
      <c r="W89" s="65"/>
      <c r="X89" s="65"/>
      <c r="Y89" s="66"/>
      <c r="Z89" s="66"/>
      <c r="AA89" s="66"/>
      <c r="AB89" s="66"/>
    </row>
    <row r="90" ht="19.5" customHeight="1">
      <c r="A90" s="27" t="s">
        <v>89</v>
      </c>
      <c r="B90" s="60">
        <v>15.0</v>
      </c>
      <c r="C90" s="60">
        <v>1914840.0</v>
      </c>
      <c r="D90" s="61" t="s">
        <v>136</v>
      </c>
      <c r="E90" s="28" t="s">
        <v>137</v>
      </c>
      <c r="F90" s="28"/>
      <c r="G90" s="28"/>
      <c r="H90" s="28" t="s">
        <v>130</v>
      </c>
      <c r="I90" s="28" t="s">
        <v>131</v>
      </c>
      <c r="J90" s="28" t="s">
        <v>8</v>
      </c>
      <c r="K90" s="62">
        <v>43525.0</v>
      </c>
      <c r="L90" s="62">
        <v>43525.0</v>
      </c>
      <c r="M90" s="60">
        <v>2019.0</v>
      </c>
      <c r="N90" s="24" t="s">
        <v>94</v>
      </c>
      <c r="O90" s="28" t="s">
        <v>100</v>
      </c>
      <c r="P90" s="28" t="s">
        <v>109</v>
      </c>
      <c r="Q90" s="62">
        <v>34169.0</v>
      </c>
      <c r="R90" s="63">
        <f t="shared" si="63"/>
        <v>5.84109589</v>
      </c>
      <c r="S90" s="63">
        <f t="shared" si="64"/>
        <v>31.4739726</v>
      </c>
      <c r="T90" s="64"/>
      <c r="U90" s="65"/>
      <c r="V90" s="65"/>
      <c r="W90" s="65"/>
      <c r="X90" s="65"/>
      <c r="Y90" s="66"/>
      <c r="Z90" s="66"/>
      <c r="AA90" s="66"/>
      <c r="AB90" s="66"/>
    </row>
    <row r="91" ht="19.5" customHeight="1">
      <c r="A91" s="27" t="s">
        <v>89</v>
      </c>
      <c r="B91" s="60">
        <v>16.0</v>
      </c>
      <c r="C91" s="60">
        <v>1814831.0</v>
      </c>
      <c r="D91" s="61" t="s">
        <v>138</v>
      </c>
      <c r="E91" s="28" t="s">
        <v>139</v>
      </c>
      <c r="F91" s="28"/>
      <c r="G91" s="28"/>
      <c r="H91" s="28" t="s">
        <v>43</v>
      </c>
      <c r="I91" s="28" t="s">
        <v>140</v>
      </c>
      <c r="J91" s="28" t="s">
        <v>8</v>
      </c>
      <c r="K91" s="62">
        <v>43132.0</v>
      </c>
      <c r="L91" s="62">
        <v>43132.0</v>
      </c>
      <c r="M91" s="60">
        <v>2018.0</v>
      </c>
      <c r="N91" s="24" t="s">
        <v>94</v>
      </c>
      <c r="O91" s="28" t="s">
        <v>100</v>
      </c>
      <c r="P91" s="28" t="s">
        <v>109</v>
      </c>
      <c r="Q91" s="62">
        <v>32053.0</v>
      </c>
      <c r="R91" s="63">
        <f t="shared" si="63"/>
        <v>6.917808219</v>
      </c>
      <c r="S91" s="63">
        <f t="shared" si="64"/>
        <v>37.27123288</v>
      </c>
      <c r="T91" s="64"/>
      <c r="U91" s="65"/>
      <c r="V91" s="65"/>
      <c r="W91" s="65"/>
      <c r="X91" s="65"/>
      <c r="Y91" s="66"/>
      <c r="Z91" s="66"/>
      <c r="AA91" s="66"/>
      <c r="AB91" s="66"/>
    </row>
    <row r="92" ht="19.5" customHeight="1">
      <c r="A92" s="27" t="s">
        <v>89</v>
      </c>
      <c r="B92" s="60">
        <v>1.0</v>
      </c>
      <c r="C92" s="60">
        <v>2314824.0</v>
      </c>
      <c r="D92" s="61" t="s">
        <v>141</v>
      </c>
      <c r="E92" s="28" t="s">
        <v>142</v>
      </c>
      <c r="F92" s="28"/>
      <c r="G92" s="28"/>
      <c r="H92" s="28" t="s">
        <v>92</v>
      </c>
      <c r="I92" s="28" t="s">
        <v>99</v>
      </c>
      <c r="J92" s="27" t="s">
        <v>9</v>
      </c>
      <c r="K92" s="62">
        <v>45444.0</v>
      </c>
      <c r="L92" s="62">
        <v>45444.0</v>
      </c>
      <c r="M92" s="27"/>
      <c r="N92" s="24" t="s">
        <v>94</v>
      </c>
      <c r="O92" s="28" t="s">
        <v>95</v>
      </c>
      <c r="P92" s="28" t="s">
        <v>109</v>
      </c>
      <c r="Q92" s="62">
        <v>36395.0</v>
      </c>
      <c r="R92" s="63">
        <f t="shared" si="63"/>
        <v>0.5835616438</v>
      </c>
      <c r="S92" s="63">
        <f t="shared" si="64"/>
        <v>25.37534247</v>
      </c>
      <c r="T92" s="64"/>
      <c r="U92" s="65"/>
      <c r="V92" s="65"/>
      <c r="W92" s="65"/>
      <c r="X92" s="65"/>
      <c r="Y92" s="66"/>
      <c r="Z92" s="66"/>
      <c r="AA92" s="66"/>
      <c r="AB92" s="66"/>
    </row>
    <row r="93" ht="19.5" customHeight="1">
      <c r="A93" s="27" t="s">
        <v>89</v>
      </c>
      <c r="B93" s="60">
        <v>2.0</v>
      </c>
      <c r="C93" s="60">
        <v>2314851.0</v>
      </c>
      <c r="D93" s="61" t="s">
        <v>143</v>
      </c>
      <c r="E93" s="28" t="s">
        <v>144</v>
      </c>
      <c r="F93" s="28"/>
      <c r="G93" s="28"/>
      <c r="H93" s="28" t="s">
        <v>92</v>
      </c>
      <c r="I93" s="28" t="s">
        <v>93</v>
      </c>
      <c r="J93" s="28" t="s">
        <v>145</v>
      </c>
      <c r="K93" s="62">
        <v>45216.0</v>
      </c>
      <c r="L93" s="62">
        <v>45292.0</v>
      </c>
      <c r="M93" s="27"/>
      <c r="N93" s="24" t="s">
        <v>146</v>
      </c>
      <c r="O93" s="28" t="s">
        <v>95</v>
      </c>
      <c r="P93" s="28" t="s">
        <v>109</v>
      </c>
      <c r="Q93" s="62">
        <v>33350.0</v>
      </c>
      <c r="R93" s="63">
        <f t="shared" si="63"/>
        <v>1</v>
      </c>
      <c r="S93" s="63">
        <f t="shared" si="64"/>
        <v>33.71780822</v>
      </c>
      <c r="T93" s="64"/>
      <c r="U93" s="65"/>
      <c r="V93" s="65"/>
      <c r="W93" s="65"/>
      <c r="X93" s="65"/>
      <c r="Y93" s="66"/>
      <c r="Z93" s="66"/>
      <c r="AA93" s="66"/>
      <c r="AB93" s="66"/>
    </row>
    <row r="94" ht="19.5" customHeight="1">
      <c r="A94" s="27" t="s">
        <v>89</v>
      </c>
      <c r="B94" s="60">
        <v>3.0</v>
      </c>
      <c r="C94" s="60">
        <v>2214823.0</v>
      </c>
      <c r="D94" s="61" t="s">
        <v>147</v>
      </c>
      <c r="E94" s="28" t="s">
        <v>148</v>
      </c>
      <c r="F94" s="28"/>
      <c r="G94" s="28"/>
      <c r="H94" s="28" t="s">
        <v>122</v>
      </c>
      <c r="I94" s="28" t="s">
        <v>123</v>
      </c>
      <c r="J94" s="28" t="s">
        <v>145</v>
      </c>
      <c r="K94" s="62">
        <v>44837.0</v>
      </c>
      <c r="L94" s="62">
        <v>45566.0</v>
      </c>
      <c r="M94" s="27"/>
      <c r="N94" s="24" t="s">
        <v>94</v>
      </c>
      <c r="O94" s="28" t="s">
        <v>95</v>
      </c>
      <c r="P94" s="28" t="s">
        <v>109</v>
      </c>
      <c r="Q94" s="62">
        <v>32645.0</v>
      </c>
      <c r="R94" s="63">
        <f t="shared" si="63"/>
        <v>0.2493150685</v>
      </c>
      <c r="S94" s="63">
        <f t="shared" si="64"/>
        <v>35.64931507</v>
      </c>
      <c r="T94" s="64"/>
      <c r="U94" s="65"/>
      <c r="V94" s="65"/>
      <c r="W94" s="65"/>
      <c r="X94" s="65"/>
      <c r="Y94" s="66"/>
      <c r="Z94" s="66"/>
      <c r="AA94" s="66"/>
      <c r="AB94" s="66"/>
    </row>
    <row r="95" ht="19.5" customHeight="1">
      <c r="A95" s="27" t="s">
        <v>89</v>
      </c>
      <c r="B95" s="60">
        <v>4.0</v>
      </c>
      <c r="C95" s="60">
        <v>2414874.0</v>
      </c>
      <c r="D95" s="61" t="s">
        <v>149</v>
      </c>
      <c r="E95" s="28" t="s">
        <v>150</v>
      </c>
      <c r="F95" s="28"/>
      <c r="G95" s="28"/>
      <c r="H95" s="28" t="s">
        <v>122</v>
      </c>
      <c r="I95" s="28" t="s">
        <v>123</v>
      </c>
      <c r="J95" s="28" t="s">
        <v>151</v>
      </c>
      <c r="K95" s="62">
        <v>45323.0</v>
      </c>
      <c r="L95" s="62">
        <v>45323.0</v>
      </c>
      <c r="M95" s="27"/>
      <c r="N95" s="24" t="s">
        <v>94</v>
      </c>
      <c r="O95" s="28" t="s">
        <v>95</v>
      </c>
      <c r="P95" s="28" t="s">
        <v>109</v>
      </c>
      <c r="Q95" s="62">
        <v>35736.0</v>
      </c>
      <c r="R95" s="63">
        <f t="shared" si="63"/>
        <v>0.9150684932</v>
      </c>
      <c r="S95" s="63">
        <f t="shared" si="64"/>
        <v>27.18082192</v>
      </c>
      <c r="T95" s="64"/>
      <c r="U95" s="65"/>
      <c r="V95" s="65"/>
      <c r="W95" s="65"/>
      <c r="X95" s="65"/>
      <c r="Y95" s="66"/>
      <c r="Z95" s="66"/>
      <c r="AA95" s="66"/>
      <c r="AB95" s="66"/>
    </row>
    <row r="96" ht="19.5" customHeight="1">
      <c r="A96" s="27" t="s">
        <v>89</v>
      </c>
      <c r="B96" s="60">
        <v>10.0</v>
      </c>
      <c r="C96" s="28" t="s">
        <v>152</v>
      </c>
      <c r="D96" s="61" t="s">
        <v>153</v>
      </c>
      <c r="E96" s="28" t="s">
        <v>154</v>
      </c>
      <c r="F96" s="28"/>
      <c r="G96" s="28"/>
      <c r="H96" s="28" t="s">
        <v>122</v>
      </c>
      <c r="I96" s="28" t="s">
        <v>123</v>
      </c>
      <c r="J96" s="28" t="s">
        <v>8</v>
      </c>
      <c r="K96" s="62">
        <v>39948.0</v>
      </c>
      <c r="L96" s="62">
        <v>42736.0</v>
      </c>
      <c r="M96" s="60">
        <v>2017.0</v>
      </c>
      <c r="N96" s="24" t="s">
        <v>132</v>
      </c>
      <c r="O96" s="28" t="s">
        <v>95</v>
      </c>
      <c r="P96" s="28" t="s">
        <v>109</v>
      </c>
      <c r="Q96" s="62">
        <v>29523.0</v>
      </c>
      <c r="R96" s="63">
        <f t="shared" si="63"/>
        <v>8.002739726</v>
      </c>
      <c r="S96" s="63">
        <f t="shared" si="64"/>
        <v>44.20273973</v>
      </c>
      <c r="T96" s="64"/>
      <c r="U96" s="65"/>
      <c r="V96" s="65"/>
      <c r="W96" s="65"/>
      <c r="X96" s="65"/>
      <c r="Y96" s="66"/>
      <c r="Z96" s="66"/>
      <c r="AA96" s="66"/>
      <c r="AB96" s="66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5"/>
      <c r="O97" s="4"/>
      <c r="P97" s="4"/>
      <c r="Q97" s="4"/>
      <c r="R97" s="4"/>
      <c r="S97" s="4"/>
      <c r="T97" s="6"/>
      <c r="U97" s="6"/>
      <c r="V97" s="6"/>
      <c r="W97" s="6"/>
      <c r="X97" s="6"/>
      <c r="Y97" s="6"/>
      <c r="Z97" s="6"/>
      <c r="AA97" s="6"/>
      <c r="AB97" s="6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5"/>
      <c r="O98" s="4"/>
      <c r="P98" s="4"/>
      <c r="Q98" s="4"/>
      <c r="R98" s="4"/>
      <c r="S98" s="4"/>
      <c r="T98" s="6"/>
      <c r="U98" s="6"/>
      <c r="V98" s="6"/>
      <c r="W98" s="6"/>
      <c r="X98" s="6"/>
      <c r="Y98" s="6"/>
      <c r="Z98" s="6"/>
      <c r="AA98" s="6"/>
      <c r="AB98" s="6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5"/>
      <c r="O99" s="4"/>
      <c r="P99" s="4"/>
      <c r="Q99" s="4"/>
      <c r="R99" s="4"/>
      <c r="S99" s="4"/>
      <c r="T99" s="6"/>
      <c r="U99" s="6"/>
      <c r="V99" s="6"/>
      <c r="W99" s="6"/>
      <c r="X99" s="6"/>
      <c r="Y99" s="6"/>
      <c r="Z99" s="6"/>
      <c r="AA99" s="6"/>
      <c r="AB99" s="6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5"/>
      <c r="O100" s="4"/>
      <c r="P100" s="4"/>
      <c r="Q100" s="4"/>
      <c r="R100" s="4"/>
      <c r="S100" s="4"/>
      <c r="T100" s="6"/>
      <c r="U100" s="6"/>
      <c r="V100" s="6"/>
      <c r="W100" s="6"/>
      <c r="X100" s="6"/>
      <c r="Y100" s="6"/>
      <c r="Z100" s="6"/>
      <c r="AA100" s="6"/>
      <c r="AB100" s="6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5"/>
      <c r="O101" s="4"/>
      <c r="P101" s="4"/>
      <c r="Q101" s="4"/>
      <c r="R101" s="4"/>
      <c r="S101" s="4"/>
      <c r="T101" s="6"/>
      <c r="U101" s="6"/>
      <c r="V101" s="6"/>
      <c r="W101" s="6"/>
      <c r="X101" s="6"/>
      <c r="Y101" s="6"/>
      <c r="Z101" s="6"/>
      <c r="AA101" s="6"/>
      <c r="AB101" s="6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5"/>
      <c r="O102" s="4"/>
      <c r="P102" s="4"/>
      <c r="Q102" s="4"/>
      <c r="R102" s="4"/>
      <c r="S102" s="4"/>
      <c r="T102" s="6"/>
      <c r="U102" s="6"/>
      <c r="V102" s="6"/>
      <c r="W102" s="6"/>
      <c r="X102" s="6"/>
      <c r="Y102" s="6"/>
      <c r="Z102" s="6"/>
      <c r="AA102" s="6"/>
      <c r="AB102" s="6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5"/>
      <c r="O103" s="4"/>
      <c r="P103" s="4"/>
      <c r="Q103" s="4"/>
      <c r="R103" s="4"/>
      <c r="S103" s="4"/>
      <c r="T103" s="6"/>
      <c r="U103" s="6"/>
      <c r="V103" s="6"/>
      <c r="W103" s="6"/>
      <c r="X103" s="6"/>
      <c r="Y103" s="6"/>
      <c r="Z103" s="6"/>
      <c r="AA103" s="6"/>
      <c r="AB103" s="6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5"/>
      <c r="O104" s="4"/>
      <c r="P104" s="4"/>
      <c r="Q104" s="4"/>
      <c r="R104" s="4"/>
      <c r="S104" s="4"/>
      <c r="T104" s="6"/>
      <c r="U104" s="6"/>
      <c r="V104" s="6"/>
      <c r="W104" s="6"/>
      <c r="X104" s="6"/>
      <c r="Y104" s="6"/>
      <c r="Z104" s="6"/>
      <c r="AA104" s="6"/>
      <c r="AB104" s="6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5"/>
      <c r="O105" s="4"/>
      <c r="P105" s="4"/>
      <c r="Q105" s="4"/>
      <c r="R105" s="4"/>
      <c r="S105" s="4"/>
      <c r="T105" s="6"/>
      <c r="U105" s="6"/>
      <c r="V105" s="6"/>
      <c r="W105" s="6"/>
      <c r="X105" s="6"/>
      <c r="Y105" s="6"/>
      <c r="Z105" s="6"/>
      <c r="AA105" s="6"/>
      <c r="AB105" s="6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5"/>
      <c r="O106" s="4"/>
      <c r="P106" s="4"/>
      <c r="Q106" s="4"/>
      <c r="R106" s="4"/>
      <c r="S106" s="4"/>
      <c r="T106" s="6"/>
      <c r="U106" s="6"/>
      <c r="V106" s="6"/>
      <c r="W106" s="6"/>
      <c r="X106" s="6"/>
      <c r="Y106" s="6"/>
      <c r="Z106" s="6"/>
      <c r="AA106" s="6"/>
      <c r="AB106" s="6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5"/>
      <c r="O107" s="4"/>
      <c r="P107" s="4"/>
      <c r="Q107" s="4"/>
      <c r="R107" s="4"/>
      <c r="S107" s="4"/>
      <c r="T107" s="6"/>
      <c r="U107" s="6"/>
      <c r="V107" s="6"/>
      <c r="W107" s="6"/>
      <c r="X107" s="6"/>
      <c r="Y107" s="6"/>
      <c r="Z107" s="6"/>
      <c r="AA107" s="6"/>
      <c r="AB107" s="6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5"/>
      <c r="O108" s="4"/>
      <c r="P108" s="4"/>
      <c r="Q108" s="4"/>
      <c r="R108" s="4"/>
      <c r="S108" s="4"/>
      <c r="T108" s="6"/>
      <c r="U108" s="6"/>
      <c r="V108" s="6"/>
      <c r="W108" s="6"/>
      <c r="X108" s="6"/>
      <c r="Y108" s="6"/>
      <c r="Z108" s="6"/>
      <c r="AA108" s="6"/>
      <c r="AB108" s="6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5"/>
      <c r="O109" s="4"/>
      <c r="P109" s="4"/>
      <c r="Q109" s="4"/>
      <c r="R109" s="4"/>
      <c r="S109" s="4"/>
      <c r="T109" s="6"/>
      <c r="U109" s="6"/>
      <c r="V109" s="6"/>
      <c r="W109" s="6"/>
      <c r="X109" s="6"/>
      <c r="Y109" s="6"/>
      <c r="Z109" s="6"/>
      <c r="AA109" s="6"/>
      <c r="AB109" s="6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5"/>
      <c r="O110" s="4"/>
      <c r="P110" s="4"/>
      <c r="Q110" s="4"/>
      <c r="R110" s="4"/>
      <c r="S110" s="4"/>
      <c r="T110" s="6"/>
      <c r="U110" s="6"/>
      <c r="V110" s="6"/>
      <c r="W110" s="6"/>
      <c r="X110" s="6"/>
      <c r="Y110" s="6"/>
      <c r="Z110" s="6"/>
      <c r="AA110" s="6"/>
      <c r="AB110" s="6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5"/>
      <c r="O111" s="4"/>
      <c r="P111" s="4"/>
      <c r="Q111" s="4"/>
      <c r="R111" s="4"/>
      <c r="S111" s="4"/>
      <c r="T111" s="6"/>
      <c r="U111" s="6"/>
      <c r="V111" s="6"/>
      <c r="W111" s="6"/>
      <c r="X111" s="6"/>
      <c r="Y111" s="6"/>
      <c r="Z111" s="6"/>
      <c r="AA111" s="6"/>
      <c r="AB111" s="6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5"/>
      <c r="O112" s="4"/>
      <c r="P112" s="4"/>
      <c r="Q112" s="4"/>
      <c r="R112" s="4"/>
      <c r="S112" s="4"/>
      <c r="T112" s="6"/>
      <c r="U112" s="6"/>
      <c r="V112" s="6"/>
      <c r="W112" s="6"/>
      <c r="X112" s="6"/>
      <c r="Y112" s="6"/>
      <c r="Z112" s="6"/>
      <c r="AA112" s="6"/>
      <c r="AB112" s="6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5"/>
      <c r="O113" s="4"/>
      <c r="P113" s="4"/>
      <c r="Q113" s="4"/>
      <c r="R113" s="4"/>
      <c r="S113" s="4"/>
      <c r="T113" s="6"/>
      <c r="U113" s="6"/>
      <c r="V113" s="6"/>
      <c r="W113" s="6"/>
      <c r="X113" s="6"/>
      <c r="Y113" s="6"/>
      <c r="Z113" s="6"/>
      <c r="AA113" s="6"/>
      <c r="AB113" s="6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5"/>
      <c r="O114" s="4"/>
      <c r="P114" s="4"/>
      <c r="Q114" s="4"/>
      <c r="R114" s="4"/>
      <c r="S114" s="4"/>
      <c r="T114" s="6"/>
      <c r="U114" s="6"/>
      <c r="V114" s="6"/>
      <c r="W114" s="6"/>
      <c r="X114" s="6"/>
      <c r="Y114" s="6"/>
      <c r="Z114" s="6"/>
      <c r="AA114" s="6"/>
      <c r="AB114" s="6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5"/>
      <c r="O115" s="4"/>
      <c r="P115" s="4"/>
      <c r="Q115" s="4"/>
      <c r="R115" s="4"/>
      <c r="S115" s="4"/>
      <c r="T115" s="6"/>
      <c r="U115" s="6"/>
      <c r="V115" s="6"/>
      <c r="W115" s="6"/>
      <c r="X115" s="6"/>
      <c r="Y115" s="6"/>
      <c r="Z115" s="6"/>
      <c r="AA115" s="6"/>
      <c r="AB115" s="6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5"/>
      <c r="O116" s="4"/>
      <c r="P116" s="4"/>
      <c r="Q116" s="4"/>
      <c r="R116" s="4"/>
      <c r="S116" s="4"/>
      <c r="T116" s="6"/>
      <c r="U116" s="6"/>
      <c r="V116" s="6"/>
      <c r="W116" s="6"/>
      <c r="X116" s="6"/>
      <c r="Y116" s="6"/>
      <c r="Z116" s="6"/>
      <c r="AA116" s="6"/>
      <c r="AB116" s="6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5"/>
      <c r="O117" s="4"/>
      <c r="P117" s="4"/>
      <c r="Q117" s="4"/>
      <c r="R117" s="4"/>
      <c r="S117" s="4"/>
      <c r="T117" s="6"/>
      <c r="U117" s="6"/>
      <c r="V117" s="6"/>
      <c r="W117" s="6"/>
      <c r="X117" s="6"/>
      <c r="Y117" s="6"/>
      <c r="Z117" s="6"/>
      <c r="AA117" s="6"/>
      <c r="AB117" s="6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5"/>
      <c r="O118" s="4"/>
      <c r="P118" s="4"/>
      <c r="Q118" s="4"/>
      <c r="R118" s="4"/>
      <c r="S118" s="4"/>
      <c r="T118" s="6"/>
      <c r="U118" s="6"/>
      <c r="V118" s="6"/>
      <c r="W118" s="6"/>
      <c r="X118" s="6"/>
      <c r="Y118" s="6"/>
      <c r="Z118" s="6"/>
      <c r="AA118" s="6"/>
      <c r="AB118" s="6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5"/>
      <c r="O119" s="4"/>
      <c r="P119" s="4"/>
      <c r="Q119" s="4"/>
      <c r="R119" s="4"/>
      <c r="S119" s="4"/>
      <c r="T119" s="6"/>
      <c r="U119" s="6"/>
      <c r="V119" s="6"/>
      <c r="W119" s="6"/>
      <c r="X119" s="6"/>
      <c r="Y119" s="6"/>
      <c r="Z119" s="6"/>
      <c r="AA119" s="6"/>
      <c r="AB119" s="6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5"/>
      <c r="O120" s="4"/>
      <c r="P120" s="4"/>
      <c r="Q120" s="4"/>
      <c r="R120" s="4"/>
      <c r="S120" s="4"/>
      <c r="T120" s="6"/>
      <c r="U120" s="6"/>
      <c r="V120" s="6"/>
      <c r="W120" s="6"/>
      <c r="X120" s="6"/>
      <c r="Y120" s="6"/>
      <c r="Z120" s="6"/>
      <c r="AA120" s="6"/>
      <c r="AB120" s="6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5"/>
      <c r="O121" s="4"/>
      <c r="P121" s="4"/>
      <c r="Q121" s="4"/>
      <c r="R121" s="4"/>
      <c r="S121" s="4"/>
      <c r="T121" s="6"/>
      <c r="U121" s="6"/>
      <c r="V121" s="6"/>
      <c r="W121" s="6"/>
      <c r="X121" s="6"/>
      <c r="Y121" s="6"/>
      <c r="Z121" s="6"/>
      <c r="AA121" s="6"/>
      <c r="AB121" s="6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5"/>
      <c r="O122" s="4"/>
      <c r="P122" s="4"/>
      <c r="Q122" s="4"/>
      <c r="R122" s="4"/>
      <c r="S122" s="4"/>
      <c r="T122" s="6"/>
      <c r="U122" s="6"/>
      <c r="V122" s="6"/>
      <c r="W122" s="6"/>
      <c r="X122" s="6"/>
      <c r="Y122" s="6"/>
      <c r="Z122" s="6"/>
      <c r="AA122" s="6"/>
      <c r="AB122" s="6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5"/>
      <c r="O123" s="4"/>
      <c r="P123" s="4"/>
      <c r="Q123" s="4"/>
      <c r="R123" s="4"/>
      <c r="S123" s="4"/>
      <c r="T123" s="6"/>
      <c r="U123" s="6"/>
      <c r="V123" s="6"/>
      <c r="W123" s="6"/>
      <c r="X123" s="6"/>
      <c r="Y123" s="6"/>
      <c r="Z123" s="6"/>
      <c r="AA123" s="6"/>
      <c r="AB123" s="6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5"/>
      <c r="O124" s="4"/>
      <c r="P124" s="4"/>
      <c r="Q124" s="4"/>
      <c r="R124" s="4"/>
      <c r="S124" s="4"/>
      <c r="T124" s="6"/>
      <c r="U124" s="6"/>
      <c r="V124" s="6"/>
      <c r="W124" s="6"/>
      <c r="X124" s="6"/>
      <c r="Y124" s="6"/>
      <c r="Z124" s="6"/>
      <c r="AA124" s="6"/>
      <c r="AB124" s="6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5"/>
      <c r="O125" s="4"/>
      <c r="P125" s="4"/>
      <c r="Q125" s="4"/>
      <c r="R125" s="4"/>
      <c r="S125" s="4"/>
      <c r="T125" s="6"/>
      <c r="U125" s="6"/>
      <c r="V125" s="6"/>
      <c r="W125" s="6"/>
      <c r="X125" s="6"/>
      <c r="Y125" s="6"/>
      <c r="Z125" s="6"/>
      <c r="AA125" s="6"/>
      <c r="AB125" s="6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5"/>
      <c r="O126" s="4"/>
      <c r="P126" s="4"/>
      <c r="Q126" s="4"/>
      <c r="R126" s="4"/>
      <c r="S126" s="4"/>
      <c r="T126" s="6"/>
      <c r="U126" s="6"/>
      <c r="V126" s="6"/>
      <c r="W126" s="6"/>
      <c r="X126" s="6"/>
      <c r="Y126" s="6"/>
      <c r="Z126" s="6"/>
      <c r="AA126" s="6"/>
      <c r="AB126" s="6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5"/>
      <c r="O127" s="4"/>
      <c r="P127" s="4"/>
      <c r="Q127" s="4"/>
      <c r="R127" s="4"/>
      <c r="S127" s="4"/>
      <c r="T127" s="6"/>
      <c r="U127" s="6"/>
      <c r="V127" s="6"/>
      <c r="W127" s="6"/>
      <c r="X127" s="6"/>
      <c r="Y127" s="6"/>
      <c r="Z127" s="6"/>
      <c r="AA127" s="6"/>
      <c r="AB127" s="6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5"/>
      <c r="O128" s="4"/>
      <c r="P128" s="4"/>
      <c r="Q128" s="4"/>
      <c r="R128" s="4"/>
      <c r="S128" s="4"/>
      <c r="T128" s="6"/>
      <c r="U128" s="6"/>
      <c r="V128" s="6"/>
      <c r="W128" s="6"/>
      <c r="X128" s="6"/>
      <c r="Y128" s="6"/>
      <c r="Z128" s="6"/>
      <c r="AA128" s="6"/>
      <c r="AB128" s="6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5"/>
      <c r="O129" s="4"/>
      <c r="P129" s="4"/>
      <c r="Q129" s="4"/>
      <c r="R129" s="4"/>
      <c r="S129" s="4"/>
      <c r="T129" s="6"/>
      <c r="U129" s="6"/>
      <c r="V129" s="6"/>
      <c r="W129" s="6"/>
      <c r="X129" s="6"/>
      <c r="Y129" s="6"/>
      <c r="Z129" s="6"/>
      <c r="AA129" s="6"/>
      <c r="AB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7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7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7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7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7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7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7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7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7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7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7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7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7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7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7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7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7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7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7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7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7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7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7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7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7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7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7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7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7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7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7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7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7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7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7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7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7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7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7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7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7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7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7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7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7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7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7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7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7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7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7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7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7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7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7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7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7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7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7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7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7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7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7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7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7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7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7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7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7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7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7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7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7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7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7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7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7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7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7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7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7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7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7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7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7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7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7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7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7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7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7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7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7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7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7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7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7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7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7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7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7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7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7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7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7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7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7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7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7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7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7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7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7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7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7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7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7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7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7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7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7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7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7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7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7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7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7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7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7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7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7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7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7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7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7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7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7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7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7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7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7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7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7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7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7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7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7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7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7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7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7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7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7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7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7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7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7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7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7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7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7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7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7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7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7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7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7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 ht="15.75" customHeight="1">
      <c r="N297" s="68"/>
    </row>
    <row r="298" ht="15.75" customHeight="1">
      <c r="N298" s="68"/>
    </row>
    <row r="299" ht="15.75" customHeight="1">
      <c r="N299" s="68"/>
    </row>
    <row r="300" ht="15.75" customHeight="1">
      <c r="N300" s="68"/>
    </row>
    <row r="301" ht="15.75" customHeight="1">
      <c r="N301" s="68"/>
    </row>
    <row r="302" ht="15.75" customHeight="1">
      <c r="N302" s="68"/>
    </row>
    <row r="303" ht="15.75" customHeight="1">
      <c r="N303" s="68"/>
    </row>
    <row r="304" ht="15.75" customHeight="1">
      <c r="N304" s="68"/>
    </row>
    <row r="305" ht="15.75" customHeight="1">
      <c r="N305" s="68"/>
    </row>
    <row r="306" ht="15.75" customHeight="1">
      <c r="N306" s="68"/>
    </row>
    <row r="307" ht="15.75" customHeight="1">
      <c r="N307" s="68"/>
    </row>
    <row r="308" ht="15.75" customHeight="1">
      <c r="N308" s="68"/>
    </row>
    <row r="309" ht="15.75" customHeight="1">
      <c r="N309" s="68"/>
    </row>
    <row r="310" ht="15.75" customHeight="1">
      <c r="N310" s="68"/>
    </row>
    <row r="311" ht="15.75" customHeight="1">
      <c r="N311" s="68"/>
    </row>
    <row r="312" ht="15.75" customHeight="1">
      <c r="N312" s="68"/>
    </row>
    <row r="313" ht="15.75" customHeight="1">
      <c r="N313" s="68"/>
    </row>
    <row r="314" ht="15.75" customHeight="1">
      <c r="N314" s="68"/>
    </row>
    <row r="315" ht="15.75" customHeight="1">
      <c r="N315" s="68"/>
    </row>
    <row r="316" ht="15.75" customHeight="1">
      <c r="N316" s="68"/>
    </row>
    <row r="317" ht="15.75" customHeight="1">
      <c r="N317" s="68"/>
    </row>
    <row r="318" ht="15.75" customHeight="1">
      <c r="N318" s="68"/>
    </row>
    <row r="319" ht="15.75" customHeight="1">
      <c r="N319" s="68"/>
    </row>
    <row r="320" ht="15.75" customHeight="1">
      <c r="N320" s="68"/>
    </row>
    <row r="321" ht="15.75" customHeight="1">
      <c r="N321" s="68"/>
    </row>
    <row r="322" ht="15.75" customHeight="1">
      <c r="N322" s="68"/>
    </row>
    <row r="323" ht="15.75" customHeight="1">
      <c r="N323" s="68"/>
    </row>
    <row r="324" ht="15.75" customHeight="1">
      <c r="N324" s="68"/>
    </row>
    <row r="325" ht="15.75" customHeight="1">
      <c r="N325" s="68"/>
    </row>
    <row r="326" ht="15.75" customHeight="1">
      <c r="N326" s="68"/>
    </row>
    <row r="327" ht="15.75" customHeight="1">
      <c r="N327" s="68"/>
    </row>
    <row r="328" ht="15.75" customHeight="1">
      <c r="N328" s="68"/>
    </row>
    <row r="329" ht="15.75" customHeight="1">
      <c r="N329" s="68"/>
    </row>
    <row r="330" ht="15.75" customHeight="1">
      <c r="N330" s="68"/>
    </row>
    <row r="331" ht="15.75" customHeight="1">
      <c r="N331" s="68"/>
    </row>
    <row r="332" ht="15.75" customHeight="1">
      <c r="N332" s="68"/>
    </row>
    <row r="333" ht="15.75" customHeight="1">
      <c r="N333" s="68"/>
    </row>
    <row r="334" ht="15.75" customHeight="1">
      <c r="N334" s="68"/>
    </row>
    <row r="335" ht="15.75" customHeight="1">
      <c r="N335" s="68"/>
    </row>
    <row r="336" ht="15.75" customHeight="1">
      <c r="N336" s="68"/>
    </row>
    <row r="337" ht="15.75" customHeight="1">
      <c r="N337" s="68"/>
    </row>
    <row r="338" ht="15.75" customHeight="1">
      <c r="N338" s="68"/>
    </row>
    <row r="339" ht="15.75" customHeight="1">
      <c r="N339" s="68"/>
    </row>
    <row r="340" ht="15.75" customHeight="1">
      <c r="N340" s="68"/>
    </row>
    <row r="341" ht="15.75" customHeight="1">
      <c r="N341" s="68"/>
    </row>
    <row r="342" ht="15.75" customHeight="1">
      <c r="N342" s="68"/>
    </row>
    <row r="343" ht="15.75" customHeight="1">
      <c r="N343" s="68"/>
    </row>
    <row r="344" ht="15.75" customHeight="1">
      <c r="N344" s="68"/>
    </row>
    <row r="345" ht="15.75" customHeight="1">
      <c r="N345" s="68"/>
    </row>
    <row r="346" ht="15.75" customHeight="1">
      <c r="N346" s="68"/>
    </row>
    <row r="347" ht="15.75" customHeight="1">
      <c r="N347" s="68"/>
    </row>
    <row r="348" ht="15.75" customHeight="1">
      <c r="N348" s="68"/>
    </row>
    <row r="349" ht="15.75" customHeight="1">
      <c r="N349" s="68"/>
    </row>
    <row r="350" ht="15.75" customHeight="1">
      <c r="N350" s="68"/>
    </row>
    <row r="351" ht="15.75" customHeight="1">
      <c r="N351" s="68"/>
    </row>
    <row r="352" ht="15.75" customHeight="1">
      <c r="N352" s="68"/>
    </row>
    <row r="353" ht="15.75" customHeight="1">
      <c r="N353" s="68"/>
    </row>
    <row r="354" ht="15.75" customHeight="1">
      <c r="N354" s="68"/>
    </row>
    <row r="355" ht="15.75" customHeight="1">
      <c r="N355" s="68"/>
    </row>
    <row r="356" ht="15.75" customHeight="1">
      <c r="N356" s="68"/>
    </row>
    <row r="357" ht="15.75" customHeight="1">
      <c r="N357" s="68"/>
    </row>
    <row r="358" ht="15.75" customHeight="1">
      <c r="N358" s="68"/>
    </row>
    <row r="359" ht="15.75" customHeight="1">
      <c r="N359" s="68"/>
    </row>
    <row r="360" ht="15.75" customHeight="1">
      <c r="N360" s="68"/>
    </row>
    <row r="361" ht="15.75" customHeight="1">
      <c r="N361" s="68"/>
    </row>
    <row r="362" ht="15.75" customHeight="1">
      <c r="N362" s="68"/>
    </row>
    <row r="363" ht="15.75" customHeight="1">
      <c r="N363" s="68"/>
    </row>
    <row r="364" ht="15.75" customHeight="1">
      <c r="N364" s="68"/>
    </row>
    <row r="365" ht="15.75" customHeight="1">
      <c r="N365" s="68"/>
    </row>
    <row r="366" ht="15.75" customHeight="1">
      <c r="N366" s="68"/>
    </row>
    <row r="367" ht="15.75" customHeight="1">
      <c r="N367" s="68"/>
    </row>
    <row r="368" ht="15.75" customHeight="1">
      <c r="N368" s="68"/>
    </row>
    <row r="369" ht="15.75" customHeight="1">
      <c r="N369" s="68"/>
    </row>
    <row r="370" ht="15.75" customHeight="1">
      <c r="N370" s="68"/>
    </row>
    <row r="371" ht="15.75" customHeight="1">
      <c r="N371" s="68"/>
    </row>
    <row r="372" ht="15.75" customHeight="1">
      <c r="N372" s="68"/>
    </row>
    <row r="373" ht="15.75" customHeight="1">
      <c r="N373" s="68"/>
    </row>
    <row r="374" ht="15.75" customHeight="1">
      <c r="N374" s="68"/>
    </row>
    <row r="375" ht="15.75" customHeight="1">
      <c r="N375" s="68"/>
    </row>
    <row r="376" ht="15.75" customHeight="1">
      <c r="N376" s="68"/>
    </row>
    <row r="377" ht="15.75" customHeight="1">
      <c r="N377" s="68"/>
    </row>
    <row r="378" ht="15.75" customHeight="1">
      <c r="N378" s="68"/>
    </row>
    <row r="379" ht="15.75" customHeight="1">
      <c r="N379" s="68"/>
    </row>
    <row r="380" ht="15.75" customHeight="1">
      <c r="N380" s="68"/>
    </row>
    <row r="381" ht="15.75" customHeight="1">
      <c r="N381" s="68"/>
    </row>
    <row r="382" ht="15.75" customHeight="1">
      <c r="N382" s="68"/>
    </row>
    <row r="383" ht="15.75" customHeight="1">
      <c r="N383" s="68"/>
    </row>
    <row r="384" ht="15.75" customHeight="1">
      <c r="N384" s="68"/>
    </row>
    <row r="385" ht="15.75" customHeight="1">
      <c r="N385" s="68"/>
    </row>
    <row r="386" ht="15.75" customHeight="1">
      <c r="N386" s="68"/>
    </row>
    <row r="387" ht="15.75" customHeight="1">
      <c r="N387" s="68"/>
    </row>
    <row r="388" ht="15.75" customHeight="1">
      <c r="N388" s="68"/>
    </row>
    <row r="389" ht="15.75" customHeight="1">
      <c r="N389" s="68"/>
    </row>
    <row r="390" ht="15.75" customHeight="1">
      <c r="N390" s="68"/>
    </row>
    <row r="391" ht="15.75" customHeight="1">
      <c r="N391" s="68"/>
    </row>
    <row r="392" ht="15.75" customHeight="1">
      <c r="N392" s="68"/>
    </row>
    <row r="393" ht="15.75" customHeight="1">
      <c r="N393" s="68"/>
    </row>
    <row r="394" ht="15.75" customHeight="1">
      <c r="N394" s="68"/>
    </row>
    <row r="395" ht="15.75" customHeight="1">
      <c r="N395" s="68"/>
    </row>
    <row r="396" ht="15.75" customHeight="1">
      <c r="N396" s="68"/>
    </row>
    <row r="397" ht="15.75" customHeight="1">
      <c r="N397" s="68"/>
    </row>
    <row r="398" ht="15.75" customHeight="1">
      <c r="N398" s="68"/>
    </row>
    <row r="399" ht="15.75" customHeight="1">
      <c r="N399" s="68"/>
    </row>
    <row r="400" ht="15.75" customHeight="1">
      <c r="N400" s="68"/>
    </row>
    <row r="401" ht="15.75" customHeight="1">
      <c r="N401" s="68"/>
    </row>
    <row r="402" ht="15.75" customHeight="1">
      <c r="N402" s="68"/>
    </row>
    <row r="403" ht="15.75" customHeight="1">
      <c r="N403" s="68"/>
    </row>
    <row r="404" ht="15.75" customHeight="1">
      <c r="N404" s="68"/>
    </row>
    <row r="405" ht="15.75" customHeight="1">
      <c r="N405" s="68"/>
    </row>
    <row r="406" ht="15.75" customHeight="1">
      <c r="N406" s="68"/>
    </row>
    <row r="407" ht="15.75" customHeight="1">
      <c r="N407" s="68"/>
    </row>
    <row r="408" ht="15.75" customHeight="1">
      <c r="N408" s="68"/>
    </row>
    <row r="409" ht="15.75" customHeight="1">
      <c r="N409" s="68"/>
    </row>
    <row r="410" ht="15.75" customHeight="1">
      <c r="N410" s="68"/>
    </row>
    <row r="411" ht="15.75" customHeight="1">
      <c r="N411" s="68"/>
    </row>
    <row r="412" ht="15.75" customHeight="1">
      <c r="N412" s="68"/>
    </row>
    <row r="413" ht="15.75" customHeight="1">
      <c r="N413" s="68"/>
    </row>
    <row r="414" ht="15.75" customHeight="1">
      <c r="N414" s="68"/>
    </row>
    <row r="415" ht="15.75" customHeight="1">
      <c r="N415" s="68"/>
    </row>
    <row r="416" ht="15.75" customHeight="1">
      <c r="N416" s="68"/>
    </row>
    <row r="417" ht="15.75" customHeight="1">
      <c r="N417" s="68"/>
    </row>
    <row r="418" ht="15.75" customHeight="1">
      <c r="N418" s="68"/>
    </row>
    <row r="419" ht="15.75" customHeight="1">
      <c r="N419" s="68"/>
    </row>
    <row r="420" ht="15.75" customHeight="1">
      <c r="N420" s="68"/>
    </row>
    <row r="421" ht="15.75" customHeight="1">
      <c r="N421" s="68"/>
    </row>
    <row r="422" ht="15.75" customHeight="1">
      <c r="N422" s="68"/>
    </row>
    <row r="423" ht="15.75" customHeight="1">
      <c r="N423" s="68"/>
    </row>
    <row r="424" ht="15.75" customHeight="1">
      <c r="N424" s="68"/>
    </row>
    <row r="425" ht="15.75" customHeight="1">
      <c r="N425" s="68"/>
    </row>
    <row r="426" ht="15.75" customHeight="1">
      <c r="N426" s="68"/>
    </row>
    <row r="427" ht="15.75" customHeight="1">
      <c r="N427" s="68"/>
    </row>
    <row r="428" ht="15.75" customHeight="1">
      <c r="N428" s="68"/>
    </row>
    <row r="429" ht="15.75" customHeight="1">
      <c r="N429" s="68"/>
    </row>
    <row r="430" ht="15.75" customHeight="1">
      <c r="N430" s="68"/>
    </row>
    <row r="431" ht="15.75" customHeight="1">
      <c r="N431" s="68"/>
    </row>
    <row r="432" ht="15.75" customHeight="1">
      <c r="N432" s="68"/>
    </row>
    <row r="433" ht="15.75" customHeight="1">
      <c r="N433" s="68"/>
    </row>
    <row r="434" ht="15.75" customHeight="1">
      <c r="N434" s="68"/>
    </row>
    <row r="435" ht="15.75" customHeight="1">
      <c r="N435" s="68"/>
    </row>
    <row r="436" ht="15.75" customHeight="1">
      <c r="N436" s="68"/>
    </row>
    <row r="437" ht="15.75" customHeight="1">
      <c r="N437" s="68"/>
    </row>
    <row r="438" ht="15.75" customHeight="1">
      <c r="N438" s="68"/>
    </row>
    <row r="439" ht="15.75" customHeight="1">
      <c r="N439" s="68"/>
    </row>
    <row r="440" ht="15.75" customHeight="1">
      <c r="N440" s="68"/>
    </row>
    <row r="441" ht="15.75" customHeight="1">
      <c r="N441" s="68"/>
    </row>
    <row r="442" ht="15.75" customHeight="1">
      <c r="N442" s="68"/>
    </row>
    <row r="443" ht="15.75" customHeight="1">
      <c r="N443" s="68"/>
    </row>
    <row r="444" ht="15.75" customHeight="1">
      <c r="N444" s="68"/>
    </row>
    <row r="445" ht="15.75" customHeight="1">
      <c r="N445" s="68"/>
    </row>
    <row r="446" ht="15.75" customHeight="1">
      <c r="N446" s="68"/>
    </row>
    <row r="447" ht="15.75" customHeight="1">
      <c r="N447" s="68"/>
    </row>
    <row r="448" ht="15.75" customHeight="1">
      <c r="N448" s="68"/>
    </row>
    <row r="449" ht="15.75" customHeight="1">
      <c r="N449" s="68"/>
    </row>
    <row r="450" ht="15.75" customHeight="1">
      <c r="N450" s="68"/>
    </row>
    <row r="451" ht="15.75" customHeight="1">
      <c r="N451" s="68"/>
    </row>
    <row r="452" ht="15.75" customHeight="1">
      <c r="N452" s="68"/>
    </row>
    <row r="453" ht="15.75" customHeight="1">
      <c r="N453" s="68"/>
    </row>
    <row r="454" ht="15.75" customHeight="1">
      <c r="N454" s="68"/>
    </row>
    <row r="455" ht="15.75" customHeight="1">
      <c r="N455" s="68"/>
    </row>
    <row r="456" ht="15.75" customHeight="1">
      <c r="N456" s="68"/>
    </row>
    <row r="457" ht="15.75" customHeight="1">
      <c r="N457" s="68"/>
    </row>
    <row r="458" ht="15.75" customHeight="1">
      <c r="N458" s="68"/>
    </row>
    <row r="459" ht="15.75" customHeight="1">
      <c r="N459" s="68"/>
    </row>
    <row r="460" ht="15.75" customHeight="1">
      <c r="N460" s="68"/>
    </row>
    <row r="461" ht="15.75" customHeight="1">
      <c r="N461" s="68"/>
    </row>
    <row r="462" ht="15.75" customHeight="1">
      <c r="N462" s="68"/>
    </row>
    <row r="463" ht="15.75" customHeight="1">
      <c r="N463" s="68"/>
    </row>
    <row r="464" ht="15.75" customHeight="1">
      <c r="N464" s="68"/>
    </row>
    <row r="465" ht="15.75" customHeight="1">
      <c r="N465" s="68"/>
    </row>
    <row r="466" ht="15.75" customHeight="1">
      <c r="N466" s="68"/>
    </row>
    <row r="467" ht="15.75" customHeight="1">
      <c r="N467" s="68"/>
    </row>
    <row r="468" ht="15.75" customHeight="1">
      <c r="N468" s="68"/>
    </row>
    <row r="469" ht="15.75" customHeight="1">
      <c r="N469" s="68"/>
    </row>
    <row r="470" ht="15.75" customHeight="1">
      <c r="N470" s="68"/>
    </row>
    <row r="471" ht="15.75" customHeight="1">
      <c r="N471" s="68"/>
    </row>
    <row r="472" ht="15.75" customHeight="1">
      <c r="N472" s="68"/>
    </row>
    <row r="473" ht="15.75" customHeight="1">
      <c r="N473" s="68"/>
    </row>
    <row r="474" ht="15.75" customHeight="1">
      <c r="N474" s="68"/>
    </row>
    <row r="475" ht="15.75" customHeight="1">
      <c r="N475" s="68"/>
    </row>
    <row r="476" ht="15.75" customHeight="1">
      <c r="N476" s="68"/>
    </row>
    <row r="477" ht="15.75" customHeight="1">
      <c r="N477" s="68"/>
    </row>
    <row r="478" ht="15.75" customHeight="1">
      <c r="N478" s="68"/>
    </row>
    <row r="479" ht="15.75" customHeight="1">
      <c r="N479" s="68"/>
    </row>
    <row r="480" ht="15.75" customHeight="1">
      <c r="N480" s="68"/>
    </row>
    <row r="481" ht="15.75" customHeight="1">
      <c r="N481" s="68"/>
    </row>
    <row r="482" ht="15.75" customHeight="1">
      <c r="N482" s="68"/>
    </row>
    <row r="483" ht="15.75" customHeight="1">
      <c r="N483" s="68"/>
    </row>
    <row r="484" ht="15.75" customHeight="1">
      <c r="N484" s="68"/>
    </row>
    <row r="485" ht="15.75" customHeight="1">
      <c r="N485" s="68"/>
    </row>
    <row r="486" ht="15.75" customHeight="1">
      <c r="N486" s="68"/>
    </row>
    <row r="487" ht="15.75" customHeight="1">
      <c r="N487" s="68"/>
    </row>
    <row r="488" ht="15.75" customHeight="1">
      <c r="N488" s="68"/>
    </row>
    <row r="489" ht="15.75" customHeight="1">
      <c r="N489" s="68"/>
    </row>
    <row r="490" ht="15.75" customHeight="1">
      <c r="N490" s="68"/>
    </row>
    <row r="491" ht="15.75" customHeight="1">
      <c r="N491" s="68"/>
    </row>
    <row r="492" ht="15.75" customHeight="1">
      <c r="N492" s="68"/>
    </row>
    <row r="493" ht="15.75" customHeight="1">
      <c r="N493" s="68"/>
    </row>
    <row r="494" ht="15.75" customHeight="1">
      <c r="N494" s="68"/>
    </row>
    <row r="495" ht="15.75" customHeight="1">
      <c r="N495" s="68"/>
    </row>
    <row r="496" ht="15.75" customHeight="1">
      <c r="N496" s="68"/>
    </row>
    <row r="497" ht="15.75" customHeight="1">
      <c r="N497" s="68"/>
    </row>
    <row r="498" ht="15.75" customHeight="1">
      <c r="N498" s="68"/>
    </row>
    <row r="499" ht="15.75" customHeight="1">
      <c r="N499" s="68"/>
    </row>
    <row r="500" ht="15.75" customHeight="1">
      <c r="N500" s="68"/>
    </row>
    <row r="501" ht="15.75" customHeight="1">
      <c r="N501" s="68"/>
    </row>
    <row r="502" ht="15.75" customHeight="1">
      <c r="N502" s="68"/>
    </row>
    <row r="503" ht="15.75" customHeight="1">
      <c r="N503" s="68"/>
    </row>
    <row r="504" ht="15.75" customHeight="1">
      <c r="N504" s="68"/>
    </row>
    <row r="505" ht="15.75" customHeight="1">
      <c r="N505" s="68"/>
    </row>
    <row r="506" ht="15.75" customHeight="1">
      <c r="N506" s="68"/>
    </row>
    <row r="507" ht="15.75" customHeight="1">
      <c r="N507" s="68"/>
    </row>
    <row r="508" ht="15.75" customHeight="1">
      <c r="N508" s="68"/>
    </row>
    <row r="509" ht="15.75" customHeight="1">
      <c r="N509" s="68"/>
    </row>
    <row r="510" ht="15.75" customHeight="1">
      <c r="N510" s="68"/>
    </row>
    <row r="511" ht="15.75" customHeight="1">
      <c r="N511" s="68"/>
    </row>
    <row r="512" ht="15.75" customHeight="1">
      <c r="N512" s="68"/>
    </row>
    <row r="513" ht="15.75" customHeight="1">
      <c r="N513" s="68"/>
    </row>
    <row r="514" ht="15.75" customHeight="1">
      <c r="N514" s="68"/>
    </row>
    <row r="515" ht="15.75" customHeight="1">
      <c r="N515" s="68"/>
    </row>
    <row r="516" ht="15.75" customHeight="1">
      <c r="N516" s="68"/>
    </row>
    <row r="517" ht="15.75" customHeight="1">
      <c r="N517" s="68"/>
    </row>
    <row r="518" ht="15.75" customHeight="1">
      <c r="N518" s="68"/>
    </row>
    <row r="519" ht="15.75" customHeight="1">
      <c r="N519" s="68"/>
    </row>
    <row r="520" ht="15.75" customHeight="1">
      <c r="N520" s="68"/>
    </row>
    <row r="521" ht="15.75" customHeight="1">
      <c r="N521" s="68"/>
    </row>
    <row r="522" ht="15.75" customHeight="1">
      <c r="N522" s="68"/>
    </row>
    <row r="523" ht="15.75" customHeight="1">
      <c r="N523" s="68"/>
    </row>
    <row r="524" ht="15.75" customHeight="1">
      <c r="N524" s="68"/>
    </row>
    <row r="525" ht="15.75" customHeight="1">
      <c r="N525" s="68"/>
    </row>
    <row r="526" ht="15.75" customHeight="1">
      <c r="N526" s="68"/>
    </row>
    <row r="527" ht="15.75" customHeight="1">
      <c r="N527" s="68"/>
    </row>
    <row r="528" ht="15.75" customHeight="1">
      <c r="N528" s="68"/>
    </row>
    <row r="529" ht="15.75" customHeight="1">
      <c r="N529" s="68"/>
    </row>
    <row r="530" ht="15.75" customHeight="1">
      <c r="N530" s="68"/>
    </row>
    <row r="531" ht="15.75" customHeight="1">
      <c r="N531" s="68"/>
    </row>
    <row r="532" ht="15.75" customHeight="1">
      <c r="N532" s="68"/>
    </row>
    <row r="533" ht="15.75" customHeight="1">
      <c r="N533" s="68"/>
    </row>
    <row r="534" ht="15.75" customHeight="1">
      <c r="N534" s="68"/>
    </row>
    <row r="535" ht="15.75" customHeight="1">
      <c r="N535" s="68"/>
    </row>
    <row r="536" ht="15.75" customHeight="1">
      <c r="N536" s="68"/>
    </row>
    <row r="537" ht="15.75" customHeight="1">
      <c r="N537" s="68"/>
    </row>
    <row r="538" ht="15.75" customHeight="1">
      <c r="N538" s="68"/>
    </row>
    <row r="539" ht="15.75" customHeight="1">
      <c r="N539" s="68"/>
    </row>
    <row r="540" ht="15.75" customHeight="1">
      <c r="N540" s="68"/>
    </row>
    <row r="541" ht="15.75" customHeight="1">
      <c r="N541" s="68"/>
    </row>
    <row r="542" ht="15.75" customHeight="1">
      <c r="N542" s="68"/>
    </row>
    <row r="543" ht="15.75" customHeight="1">
      <c r="N543" s="68"/>
    </row>
    <row r="544" ht="15.75" customHeight="1">
      <c r="N544" s="68"/>
    </row>
    <row r="545" ht="15.75" customHeight="1">
      <c r="N545" s="68"/>
    </row>
    <row r="546" ht="15.75" customHeight="1">
      <c r="N546" s="68"/>
    </row>
    <row r="547" ht="15.75" customHeight="1">
      <c r="N547" s="68"/>
    </row>
    <row r="548" ht="15.75" customHeight="1">
      <c r="N548" s="68"/>
    </row>
    <row r="549" ht="15.75" customHeight="1">
      <c r="N549" s="68"/>
    </row>
    <row r="550" ht="15.75" customHeight="1">
      <c r="N550" s="68"/>
    </row>
    <row r="551" ht="15.75" customHeight="1">
      <c r="N551" s="68"/>
    </row>
    <row r="552" ht="15.75" customHeight="1">
      <c r="N552" s="68"/>
    </row>
    <row r="553" ht="15.75" customHeight="1">
      <c r="N553" s="68"/>
    </row>
    <row r="554" ht="15.75" customHeight="1">
      <c r="N554" s="68"/>
    </row>
    <row r="555" ht="15.75" customHeight="1">
      <c r="N555" s="68"/>
    </row>
    <row r="556" ht="15.75" customHeight="1">
      <c r="N556" s="68"/>
    </row>
    <row r="557" ht="15.75" customHeight="1">
      <c r="N557" s="68"/>
    </row>
    <row r="558" ht="15.75" customHeight="1">
      <c r="N558" s="68"/>
    </row>
    <row r="559" ht="15.75" customHeight="1">
      <c r="N559" s="68"/>
    </row>
    <row r="560" ht="15.75" customHeight="1">
      <c r="N560" s="68"/>
    </row>
    <row r="561" ht="15.75" customHeight="1">
      <c r="N561" s="68"/>
    </row>
    <row r="562" ht="15.75" customHeight="1">
      <c r="N562" s="68"/>
    </row>
    <row r="563" ht="15.75" customHeight="1">
      <c r="N563" s="68"/>
    </row>
    <row r="564" ht="15.75" customHeight="1">
      <c r="N564" s="68"/>
    </row>
    <row r="565" ht="15.75" customHeight="1">
      <c r="N565" s="68"/>
    </row>
    <row r="566" ht="15.75" customHeight="1">
      <c r="N566" s="68"/>
    </row>
    <row r="567" ht="15.75" customHeight="1">
      <c r="N567" s="68"/>
    </row>
    <row r="568" ht="15.75" customHeight="1">
      <c r="N568" s="68"/>
    </row>
    <row r="569" ht="15.75" customHeight="1">
      <c r="N569" s="68"/>
    </row>
    <row r="570" ht="15.75" customHeight="1">
      <c r="N570" s="68"/>
    </row>
    <row r="571" ht="15.75" customHeight="1">
      <c r="N571" s="68"/>
    </row>
    <row r="572" ht="15.75" customHeight="1">
      <c r="N572" s="68"/>
    </row>
    <row r="573" ht="15.75" customHeight="1">
      <c r="N573" s="68"/>
    </row>
    <row r="574" ht="15.75" customHeight="1">
      <c r="N574" s="68"/>
    </row>
    <row r="575" ht="15.75" customHeight="1">
      <c r="N575" s="68"/>
    </row>
    <row r="576" ht="15.75" customHeight="1">
      <c r="N576" s="68"/>
    </row>
    <row r="577" ht="15.75" customHeight="1">
      <c r="N577" s="68"/>
    </row>
    <row r="578" ht="15.75" customHeight="1">
      <c r="N578" s="68"/>
    </row>
    <row r="579" ht="15.75" customHeight="1">
      <c r="N579" s="68"/>
    </row>
    <row r="580" ht="15.75" customHeight="1">
      <c r="N580" s="68"/>
    </row>
    <row r="581" ht="15.75" customHeight="1">
      <c r="N581" s="68"/>
    </row>
    <row r="582" ht="15.75" customHeight="1">
      <c r="N582" s="68"/>
    </row>
    <row r="583" ht="15.75" customHeight="1">
      <c r="N583" s="68"/>
    </row>
    <row r="584" ht="15.75" customHeight="1">
      <c r="N584" s="68"/>
    </row>
    <row r="585" ht="15.75" customHeight="1">
      <c r="N585" s="68"/>
    </row>
    <row r="586" ht="15.75" customHeight="1">
      <c r="N586" s="68"/>
    </row>
    <row r="587" ht="15.75" customHeight="1">
      <c r="N587" s="68"/>
    </row>
    <row r="588" ht="15.75" customHeight="1">
      <c r="N588" s="68"/>
    </row>
    <row r="589" ht="15.75" customHeight="1">
      <c r="N589" s="68"/>
    </row>
    <row r="590" ht="15.75" customHeight="1">
      <c r="N590" s="68"/>
    </row>
    <row r="591" ht="15.75" customHeight="1">
      <c r="N591" s="68"/>
    </row>
    <row r="592" ht="15.75" customHeight="1">
      <c r="N592" s="68"/>
    </row>
    <row r="593" ht="15.75" customHeight="1">
      <c r="N593" s="68"/>
    </row>
    <row r="594" ht="15.75" customHeight="1">
      <c r="N594" s="68"/>
    </row>
    <row r="595" ht="15.75" customHeight="1">
      <c r="N595" s="68"/>
    </row>
    <row r="596" ht="15.75" customHeight="1">
      <c r="N596" s="68"/>
    </row>
    <row r="597" ht="15.75" customHeight="1">
      <c r="N597" s="68"/>
    </row>
    <row r="598" ht="15.75" customHeight="1">
      <c r="N598" s="68"/>
    </row>
    <row r="599" ht="15.75" customHeight="1">
      <c r="N599" s="68"/>
    </row>
    <row r="600" ht="15.75" customHeight="1">
      <c r="N600" s="68"/>
    </row>
    <row r="601" ht="15.75" customHeight="1">
      <c r="N601" s="68"/>
    </row>
    <row r="602" ht="15.75" customHeight="1">
      <c r="N602" s="68"/>
    </row>
    <row r="603" ht="15.75" customHeight="1">
      <c r="N603" s="68"/>
    </row>
    <row r="604" ht="15.75" customHeight="1">
      <c r="N604" s="68"/>
    </row>
    <row r="605" ht="15.75" customHeight="1">
      <c r="N605" s="68"/>
    </row>
    <row r="606" ht="15.75" customHeight="1">
      <c r="N606" s="68"/>
    </row>
    <row r="607" ht="15.75" customHeight="1">
      <c r="N607" s="68"/>
    </row>
    <row r="608" ht="15.75" customHeight="1">
      <c r="N608" s="68"/>
    </row>
    <row r="609" ht="15.75" customHeight="1">
      <c r="N609" s="68"/>
    </row>
    <row r="610" ht="15.75" customHeight="1">
      <c r="N610" s="68"/>
    </row>
    <row r="611" ht="15.75" customHeight="1">
      <c r="N611" s="68"/>
    </row>
    <row r="612" ht="15.75" customHeight="1">
      <c r="N612" s="68"/>
    </row>
    <row r="613" ht="15.75" customHeight="1">
      <c r="N613" s="68"/>
    </row>
    <row r="614" ht="15.75" customHeight="1">
      <c r="N614" s="68"/>
    </row>
    <row r="615" ht="15.75" customHeight="1">
      <c r="N615" s="68"/>
    </row>
    <row r="616" ht="15.75" customHeight="1">
      <c r="N616" s="68"/>
    </row>
    <row r="617" ht="15.75" customHeight="1">
      <c r="N617" s="68"/>
    </row>
    <row r="618" ht="15.75" customHeight="1">
      <c r="N618" s="68"/>
    </row>
    <row r="619" ht="15.75" customHeight="1">
      <c r="N619" s="68"/>
    </row>
    <row r="620" ht="15.75" customHeight="1">
      <c r="N620" s="68"/>
    </row>
    <row r="621" ht="15.75" customHeight="1">
      <c r="N621" s="68"/>
    </row>
    <row r="622" ht="15.75" customHeight="1">
      <c r="N622" s="68"/>
    </row>
    <row r="623" ht="15.75" customHeight="1">
      <c r="N623" s="68"/>
    </row>
    <row r="624" ht="15.75" customHeight="1">
      <c r="N624" s="68"/>
    </row>
    <row r="625" ht="15.75" customHeight="1">
      <c r="N625" s="68"/>
    </row>
    <row r="626" ht="15.75" customHeight="1">
      <c r="N626" s="68"/>
    </row>
    <row r="627" ht="15.75" customHeight="1">
      <c r="N627" s="68"/>
    </row>
    <row r="628" ht="15.75" customHeight="1">
      <c r="N628" s="68"/>
    </row>
    <row r="629" ht="15.75" customHeight="1">
      <c r="N629" s="68"/>
    </row>
    <row r="630" ht="15.75" customHeight="1">
      <c r="N630" s="68"/>
    </row>
    <row r="631" ht="15.75" customHeight="1">
      <c r="N631" s="68"/>
    </row>
    <row r="632" ht="15.75" customHeight="1">
      <c r="N632" s="68"/>
    </row>
    <row r="633" ht="15.75" customHeight="1">
      <c r="N633" s="68"/>
    </row>
    <row r="634" ht="15.75" customHeight="1">
      <c r="N634" s="68"/>
    </row>
    <row r="635" ht="15.75" customHeight="1">
      <c r="N635" s="68"/>
    </row>
    <row r="636" ht="15.75" customHeight="1">
      <c r="N636" s="68"/>
    </row>
    <row r="637" ht="15.75" customHeight="1">
      <c r="N637" s="68"/>
    </row>
    <row r="638" ht="15.75" customHeight="1">
      <c r="N638" s="68"/>
    </row>
    <row r="639" ht="15.75" customHeight="1">
      <c r="N639" s="68"/>
    </row>
    <row r="640" ht="15.75" customHeight="1">
      <c r="N640" s="68"/>
    </row>
    <row r="641" ht="15.75" customHeight="1">
      <c r="N641" s="68"/>
    </row>
    <row r="642" ht="15.75" customHeight="1">
      <c r="N642" s="68"/>
    </row>
    <row r="643" ht="15.75" customHeight="1">
      <c r="N643" s="68"/>
    </row>
    <row r="644" ht="15.75" customHeight="1">
      <c r="N644" s="68"/>
    </row>
    <row r="645" ht="15.75" customHeight="1">
      <c r="N645" s="68"/>
    </row>
    <row r="646" ht="15.75" customHeight="1">
      <c r="N646" s="68"/>
    </row>
    <row r="647" ht="15.75" customHeight="1">
      <c r="N647" s="68"/>
    </row>
    <row r="648" ht="15.75" customHeight="1">
      <c r="N648" s="68"/>
    </row>
    <row r="649" ht="15.75" customHeight="1">
      <c r="N649" s="68"/>
    </row>
    <row r="650" ht="15.75" customHeight="1">
      <c r="N650" s="68"/>
    </row>
    <row r="651" ht="15.75" customHeight="1">
      <c r="N651" s="68"/>
    </row>
    <row r="652" ht="15.75" customHeight="1">
      <c r="N652" s="68"/>
    </row>
    <row r="653" ht="15.75" customHeight="1">
      <c r="N653" s="68"/>
    </row>
    <row r="654" ht="15.75" customHeight="1">
      <c r="N654" s="68"/>
    </row>
    <row r="655" ht="15.75" customHeight="1">
      <c r="N655" s="68"/>
    </row>
    <row r="656" ht="15.75" customHeight="1">
      <c r="N656" s="68"/>
    </row>
    <row r="657" ht="15.75" customHeight="1">
      <c r="N657" s="68"/>
    </row>
    <row r="658" ht="15.75" customHeight="1">
      <c r="N658" s="68"/>
    </row>
    <row r="659" ht="15.75" customHeight="1">
      <c r="N659" s="68"/>
    </row>
    <row r="660" ht="15.75" customHeight="1">
      <c r="N660" s="68"/>
    </row>
    <row r="661" ht="15.75" customHeight="1">
      <c r="N661" s="68"/>
    </row>
    <row r="662" ht="15.75" customHeight="1">
      <c r="N662" s="68"/>
    </row>
    <row r="663" ht="15.75" customHeight="1">
      <c r="N663" s="68"/>
    </row>
    <row r="664" ht="15.75" customHeight="1">
      <c r="N664" s="68"/>
    </row>
    <row r="665" ht="15.75" customHeight="1">
      <c r="N665" s="68"/>
    </row>
    <row r="666" ht="15.75" customHeight="1">
      <c r="N666" s="68"/>
    </row>
    <row r="667" ht="15.75" customHeight="1">
      <c r="N667" s="68"/>
    </row>
    <row r="668" ht="15.75" customHeight="1">
      <c r="N668" s="68"/>
    </row>
    <row r="669" ht="15.75" customHeight="1">
      <c r="N669" s="68"/>
    </row>
    <row r="670" ht="15.75" customHeight="1">
      <c r="N670" s="68"/>
    </row>
    <row r="671" ht="15.75" customHeight="1">
      <c r="N671" s="68"/>
    </row>
    <row r="672" ht="15.75" customHeight="1">
      <c r="N672" s="68"/>
    </row>
    <row r="673" ht="15.75" customHeight="1">
      <c r="N673" s="68"/>
    </row>
    <row r="674" ht="15.75" customHeight="1">
      <c r="N674" s="68"/>
    </row>
    <row r="675" ht="15.75" customHeight="1">
      <c r="N675" s="68"/>
    </row>
    <row r="676" ht="15.75" customHeight="1">
      <c r="N676" s="68"/>
    </row>
    <row r="677" ht="15.75" customHeight="1">
      <c r="N677" s="68"/>
    </row>
    <row r="678" ht="15.75" customHeight="1">
      <c r="N678" s="68"/>
    </row>
    <row r="679" ht="15.75" customHeight="1">
      <c r="N679" s="68"/>
    </row>
    <row r="680" ht="15.75" customHeight="1">
      <c r="N680" s="68"/>
    </row>
    <row r="681" ht="15.75" customHeight="1">
      <c r="N681" s="68"/>
    </row>
    <row r="682" ht="15.75" customHeight="1">
      <c r="N682" s="68"/>
    </row>
    <row r="683" ht="15.75" customHeight="1">
      <c r="N683" s="68"/>
    </row>
    <row r="684" ht="15.75" customHeight="1">
      <c r="N684" s="68"/>
    </row>
    <row r="685" ht="15.75" customHeight="1">
      <c r="N685" s="68"/>
    </row>
    <row r="686" ht="15.75" customHeight="1">
      <c r="N686" s="68"/>
    </row>
    <row r="687" ht="15.75" customHeight="1">
      <c r="N687" s="68"/>
    </row>
    <row r="688" ht="15.75" customHeight="1">
      <c r="N688" s="68"/>
    </row>
    <row r="689" ht="15.75" customHeight="1">
      <c r="N689" s="68"/>
    </row>
    <row r="690" ht="15.75" customHeight="1">
      <c r="N690" s="68"/>
    </row>
    <row r="691" ht="15.75" customHeight="1">
      <c r="N691" s="68"/>
    </row>
    <row r="692" ht="15.75" customHeight="1">
      <c r="N692" s="68"/>
    </row>
    <row r="693" ht="15.75" customHeight="1">
      <c r="N693" s="68"/>
    </row>
    <row r="694" ht="15.75" customHeight="1">
      <c r="N694" s="68"/>
    </row>
    <row r="695" ht="15.75" customHeight="1">
      <c r="N695" s="68"/>
    </row>
    <row r="696" ht="15.75" customHeight="1">
      <c r="N696" s="68"/>
    </row>
    <row r="697" ht="15.75" customHeight="1">
      <c r="N697" s="68"/>
    </row>
    <row r="698" ht="15.75" customHeight="1">
      <c r="N698" s="68"/>
    </row>
    <row r="699" ht="15.75" customHeight="1">
      <c r="N699" s="68"/>
    </row>
    <row r="700" ht="15.75" customHeight="1">
      <c r="N700" s="68"/>
    </row>
    <row r="701" ht="15.75" customHeight="1">
      <c r="N701" s="68"/>
    </row>
    <row r="702" ht="15.75" customHeight="1">
      <c r="N702" s="68"/>
    </row>
    <row r="703" ht="15.75" customHeight="1">
      <c r="N703" s="68"/>
    </row>
    <row r="704" ht="15.75" customHeight="1">
      <c r="N704" s="68"/>
    </row>
    <row r="705" ht="15.75" customHeight="1">
      <c r="N705" s="68"/>
    </row>
    <row r="706" ht="15.75" customHeight="1">
      <c r="N706" s="68"/>
    </row>
    <row r="707" ht="15.75" customHeight="1">
      <c r="N707" s="68"/>
    </row>
    <row r="708" ht="15.75" customHeight="1">
      <c r="N708" s="68"/>
    </row>
    <row r="709" ht="15.75" customHeight="1">
      <c r="N709" s="68"/>
    </row>
    <row r="710" ht="15.75" customHeight="1">
      <c r="N710" s="68"/>
    </row>
    <row r="711" ht="15.75" customHeight="1">
      <c r="N711" s="68"/>
    </row>
    <row r="712" ht="15.75" customHeight="1">
      <c r="N712" s="68"/>
    </row>
    <row r="713" ht="15.75" customHeight="1">
      <c r="N713" s="68"/>
    </row>
    <row r="714" ht="15.75" customHeight="1">
      <c r="N714" s="68"/>
    </row>
    <row r="715" ht="15.75" customHeight="1">
      <c r="N715" s="68"/>
    </row>
    <row r="716" ht="15.75" customHeight="1">
      <c r="N716" s="68"/>
    </row>
    <row r="717" ht="15.75" customHeight="1">
      <c r="N717" s="68"/>
    </row>
    <row r="718" ht="15.75" customHeight="1">
      <c r="N718" s="68"/>
    </row>
    <row r="719" ht="15.75" customHeight="1">
      <c r="N719" s="68"/>
    </row>
    <row r="720" ht="15.75" customHeight="1">
      <c r="N720" s="68"/>
    </row>
    <row r="721" ht="15.75" customHeight="1">
      <c r="N721" s="68"/>
    </row>
    <row r="722" ht="15.75" customHeight="1">
      <c r="N722" s="68"/>
    </row>
    <row r="723" ht="15.75" customHeight="1">
      <c r="N723" s="68"/>
    </row>
    <row r="724" ht="15.75" customHeight="1">
      <c r="N724" s="68"/>
    </row>
    <row r="725" ht="15.75" customHeight="1">
      <c r="N725" s="68"/>
    </row>
    <row r="726" ht="15.75" customHeight="1">
      <c r="N726" s="68"/>
    </row>
    <row r="727" ht="15.75" customHeight="1">
      <c r="N727" s="68"/>
    </row>
    <row r="728" ht="15.75" customHeight="1">
      <c r="N728" s="68"/>
    </row>
    <row r="729" ht="15.75" customHeight="1">
      <c r="N729" s="68"/>
    </row>
    <row r="730" ht="15.75" customHeight="1">
      <c r="N730" s="68"/>
    </row>
    <row r="731" ht="15.75" customHeight="1">
      <c r="N731" s="68"/>
    </row>
    <row r="732" ht="15.75" customHeight="1">
      <c r="N732" s="68"/>
    </row>
    <row r="733" ht="15.75" customHeight="1">
      <c r="N733" s="68"/>
    </row>
    <row r="734" ht="15.75" customHeight="1">
      <c r="N734" s="68"/>
    </row>
    <row r="735" ht="15.75" customHeight="1">
      <c r="N735" s="68"/>
    </row>
    <row r="736" ht="15.75" customHeight="1">
      <c r="N736" s="68"/>
    </row>
    <row r="737" ht="15.75" customHeight="1">
      <c r="N737" s="68"/>
    </row>
    <row r="738" ht="15.75" customHeight="1">
      <c r="N738" s="68"/>
    </row>
    <row r="739" ht="15.75" customHeight="1">
      <c r="N739" s="68"/>
    </row>
    <row r="740" ht="15.75" customHeight="1">
      <c r="N740" s="68"/>
    </row>
    <row r="741" ht="15.75" customHeight="1">
      <c r="N741" s="68"/>
    </row>
    <row r="742" ht="15.75" customHeight="1">
      <c r="N742" s="68"/>
    </row>
    <row r="743" ht="15.75" customHeight="1">
      <c r="N743" s="68"/>
    </row>
    <row r="744" ht="15.75" customHeight="1">
      <c r="N744" s="68"/>
    </row>
    <row r="745" ht="15.75" customHeight="1">
      <c r="N745" s="68"/>
    </row>
    <row r="746" ht="15.75" customHeight="1">
      <c r="N746" s="68"/>
    </row>
    <row r="747" ht="15.75" customHeight="1">
      <c r="N747" s="68"/>
    </row>
    <row r="748" ht="15.75" customHeight="1">
      <c r="N748" s="68"/>
    </row>
    <row r="749" ht="15.75" customHeight="1">
      <c r="N749" s="68"/>
    </row>
    <row r="750" ht="15.75" customHeight="1">
      <c r="N750" s="68"/>
    </row>
    <row r="751" ht="15.75" customHeight="1">
      <c r="N751" s="68"/>
    </row>
    <row r="752" ht="15.75" customHeight="1">
      <c r="N752" s="68"/>
    </row>
    <row r="753" ht="15.75" customHeight="1">
      <c r="N753" s="68"/>
    </row>
    <row r="754" ht="15.75" customHeight="1">
      <c r="N754" s="68"/>
    </row>
    <row r="755" ht="15.75" customHeight="1">
      <c r="N755" s="68"/>
    </row>
    <row r="756" ht="15.75" customHeight="1">
      <c r="N756" s="68"/>
    </row>
    <row r="757" ht="15.75" customHeight="1">
      <c r="N757" s="68"/>
    </row>
    <row r="758" ht="15.75" customHeight="1">
      <c r="N758" s="68"/>
    </row>
    <row r="759" ht="15.75" customHeight="1">
      <c r="N759" s="68"/>
    </row>
    <row r="760" ht="15.75" customHeight="1">
      <c r="N760" s="68"/>
    </row>
    <row r="761" ht="15.75" customHeight="1">
      <c r="N761" s="68"/>
    </row>
    <row r="762" ht="15.75" customHeight="1">
      <c r="N762" s="68"/>
    </row>
    <row r="763" ht="15.75" customHeight="1">
      <c r="N763" s="68"/>
    </row>
    <row r="764" ht="15.75" customHeight="1">
      <c r="N764" s="68"/>
    </row>
    <row r="765" ht="15.75" customHeight="1">
      <c r="N765" s="68"/>
    </row>
    <row r="766" ht="15.75" customHeight="1">
      <c r="N766" s="68"/>
    </row>
    <row r="767" ht="15.75" customHeight="1">
      <c r="N767" s="68"/>
    </row>
    <row r="768" ht="15.75" customHeight="1">
      <c r="N768" s="68"/>
    </row>
    <row r="769" ht="15.75" customHeight="1">
      <c r="N769" s="68"/>
    </row>
    <row r="770" ht="15.75" customHeight="1">
      <c r="N770" s="68"/>
    </row>
    <row r="771" ht="15.75" customHeight="1">
      <c r="N771" s="68"/>
    </row>
    <row r="772" ht="15.75" customHeight="1">
      <c r="N772" s="68"/>
    </row>
    <row r="773" ht="15.75" customHeight="1">
      <c r="N773" s="68"/>
    </row>
    <row r="774" ht="15.75" customHeight="1">
      <c r="N774" s="68"/>
    </row>
    <row r="775" ht="15.75" customHeight="1">
      <c r="N775" s="68"/>
    </row>
    <row r="776" ht="15.75" customHeight="1">
      <c r="N776" s="68"/>
    </row>
    <row r="777" ht="15.75" customHeight="1">
      <c r="N777" s="68"/>
    </row>
    <row r="778" ht="15.75" customHeight="1">
      <c r="N778" s="68"/>
    </row>
    <row r="779" ht="15.75" customHeight="1">
      <c r="N779" s="68"/>
    </row>
    <row r="780" ht="15.75" customHeight="1">
      <c r="N780" s="68"/>
    </row>
    <row r="781" ht="15.75" customHeight="1">
      <c r="N781" s="68"/>
    </row>
    <row r="782" ht="15.75" customHeight="1">
      <c r="N782" s="68"/>
    </row>
    <row r="783" ht="15.75" customHeight="1">
      <c r="N783" s="68"/>
    </row>
    <row r="784" ht="15.75" customHeight="1">
      <c r="N784" s="68"/>
    </row>
    <row r="785" ht="15.75" customHeight="1">
      <c r="N785" s="68"/>
    </row>
    <row r="786" ht="15.75" customHeight="1">
      <c r="N786" s="68"/>
    </row>
    <row r="787" ht="15.75" customHeight="1">
      <c r="N787" s="68"/>
    </row>
    <row r="788" ht="15.75" customHeight="1">
      <c r="N788" s="68"/>
    </row>
    <row r="789" ht="15.75" customHeight="1">
      <c r="N789" s="68"/>
    </row>
    <row r="790" ht="15.75" customHeight="1">
      <c r="N790" s="68"/>
    </row>
    <row r="791" ht="15.75" customHeight="1">
      <c r="N791" s="68"/>
    </row>
    <row r="792" ht="15.75" customHeight="1">
      <c r="N792" s="68"/>
    </row>
    <row r="793" ht="15.75" customHeight="1">
      <c r="N793" s="68"/>
    </row>
    <row r="794" ht="15.75" customHeight="1">
      <c r="N794" s="68"/>
    </row>
    <row r="795" ht="15.75" customHeight="1">
      <c r="N795" s="68"/>
    </row>
    <row r="796" ht="15.75" customHeight="1">
      <c r="N796" s="68"/>
    </row>
    <row r="797" ht="15.75" customHeight="1">
      <c r="N797" s="68"/>
    </row>
    <row r="798" ht="15.75" customHeight="1">
      <c r="N798" s="68"/>
    </row>
    <row r="799" ht="15.75" customHeight="1">
      <c r="N799" s="68"/>
    </row>
    <row r="800" ht="15.75" customHeight="1">
      <c r="N800" s="68"/>
    </row>
    <row r="801" ht="15.75" customHeight="1">
      <c r="N801" s="68"/>
    </row>
    <row r="802" ht="15.75" customHeight="1">
      <c r="N802" s="68"/>
    </row>
    <row r="803" ht="15.75" customHeight="1">
      <c r="N803" s="68"/>
    </row>
    <row r="804" ht="15.75" customHeight="1">
      <c r="N804" s="68"/>
    </row>
    <row r="805" ht="15.75" customHeight="1">
      <c r="N805" s="68"/>
    </row>
    <row r="806" ht="15.75" customHeight="1">
      <c r="N806" s="68"/>
    </row>
    <row r="807" ht="15.75" customHeight="1">
      <c r="N807" s="68"/>
    </row>
    <row r="808" ht="15.75" customHeight="1">
      <c r="N808" s="68"/>
    </row>
    <row r="809" ht="15.75" customHeight="1">
      <c r="N809" s="68"/>
    </row>
    <row r="810" ht="15.75" customHeight="1">
      <c r="N810" s="68"/>
    </row>
    <row r="811" ht="15.75" customHeight="1">
      <c r="N811" s="68"/>
    </row>
    <row r="812" ht="15.75" customHeight="1">
      <c r="N812" s="68"/>
    </row>
    <row r="813" ht="15.75" customHeight="1">
      <c r="N813" s="68"/>
    </row>
    <row r="814" ht="15.75" customHeight="1">
      <c r="N814" s="68"/>
    </row>
    <row r="815" ht="15.75" customHeight="1">
      <c r="N815" s="68"/>
    </row>
    <row r="816" ht="15.75" customHeight="1">
      <c r="N816" s="68"/>
    </row>
    <row r="817" ht="15.75" customHeight="1">
      <c r="N817" s="68"/>
    </row>
    <row r="818" ht="15.75" customHeight="1">
      <c r="N818" s="68"/>
    </row>
    <row r="819" ht="15.75" customHeight="1">
      <c r="N819" s="68"/>
    </row>
    <row r="820" ht="15.75" customHeight="1">
      <c r="N820" s="68"/>
    </row>
    <row r="821" ht="15.75" customHeight="1">
      <c r="N821" s="68"/>
    </row>
    <row r="822" ht="15.75" customHeight="1">
      <c r="N822" s="68"/>
    </row>
    <row r="823" ht="15.75" customHeight="1">
      <c r="N823" s="68"/>
    </row>
    <row r="824" ht="15.75" customHeight="1">
      <c r="N824" s="68"/>
    </row>
    <row r="825" ht="15.75" customHeight="1">
      <c r="N825" s="68"/>
    </row>
    <row r="826" ht="15.75" customHeight="1">
      <c r="N826" s="68"/>
    </row>
    <row r="827" ht="15.75" customHeight="1">
      <c r="N827" s="68"/>
    </row>
    <row r="828" ht="15.75" customHeight="1">
      <c r="N828" s="68"/>
    </row>
    <row r="829" ht="15.75" customHeight="1">
      <c r="N829" s="68"/>
    </row>
    <row r="830" ht="15.75" customHeight="1">
      <c r="N830" s="68"/>
    </row>
    <row r="831" ht="15.75" customHeight="1">
      <c r="N831" s="68"/>
    </row>
    <row r="832" ht="15.75" customHeight="1">
      <c r="N832" s="68"/>
    </row>
    <row r="833" ht="15.75" customHeight="1">
      <c r="N833" s="68"/>
    </row>
    <row r="834" ht="15.75" customHeight="1">
      <c r="N834" s="68"/>
    </row>
    <row r="835" ht="15.75" customHeight="1">
      <c r="N835" s="68"/>
    </row>
    <row r="836" ht="15.75" customHeight="1">
      <c r="N836" s="68"/>
    </row>
    <row r="837" ht="15.75" customHeight="1">
      <c r="N837" s="68"/>
    </row>
    <row r="838" ht="15.75" customHeight="1">
      <c r="N838" s="68"/>
    </row>
    <row r="839" ht="15.75" customHeight="1">
      <c r="N839" s="68"/>
    </row>
    <row r="840" ht="15.75" customHeight="1">
      <c r="N840" s="68"/>
    </row>
    <row r="841" ht="15.75" customHeight="1">
      <c r="N841" s="68"/>
    </row>
    <row r="842" ht="15.75" customHeight="1">
      <c r="N842" s="68"/>
    </row>
    <row r="843" ht="15.75" customHeight="1">
      <c r="N843" s="68"/>
    </row>
    <row r="844" ht="15.75" customHeight="1">
      <c r="N844" s="68"/>
    </row>
    <row r="845" ht="15.75" customHeight="1">
      <c r="N845" s="68"/>
    </row>
    <row r="846" ht="15.75" customHeight="1">
      <c r="N846" s="68"/>
    </row>
    <row r="847" ht="15.75" customHeight="1">
      <c r="N847" s="68"/>
    </row>
    <row r="848" ht="15.75" customHeight="1">
      <c r="N848" s="68"/>
    </row>
    <row r="849" ht="15.75" customHeight="1">
      <c r="N849" s="68"/>
    </row>
    <row r="850" ht="15.75" customHeight="1">
      <c r="N850" s="68"/>
    </row>
    <row r="851" ht="15.75" customHeight="1">
      <c r="N851" s="68"/>
    </row>
    <row r="852" ht="15.75" customHeight="1">
      <c r="N852" s="68"/>
    </row>
    <row r="853" ht="15.75" customHeight="1">
      <c r="N853" s="68"/>
    </row>
    <row r="854" ht="15.75" customHeight="1">
      <c r="N854" s="68"/>
    </row>
    <row r="855" ht="15.75" customHeight="1">
      <c r="N855" s="68"/>
    </row>
    <row r="856" ht="15.75" customHeight="1">
      <c r="N856" s="68"/>
    </row>
    <row r="857" ht="15.75" customHeight="1">
      <c r="N857" s="68"/>
    </row>
    <row r="858" ht="15.75" customHeight="1">
      <c r="N858" s="68"/>
    </row>
    <row r="859" ht="15.75" customHeight="1">
      <c r="N859" s="68"/>
    </row>
    <row r="860" ht="15.75" customHeight="1">
      <c r="N860" s="68"/>
    </row>
    <row r="861" ht="15.75" customHeight="1">
      <c r="N861" s="68"/>
    </row>
    <row r="862" ht="15.75" customHeight="1">
      <c r="N862" s="68"/>
    </row>
    <row r="863" ht="15.75" customHeight="1">
      <c r="N863" s="68"/>
    </row>
    <row r="864" ht="15.75" customHeight="1">
      <c r="N864" s="68"/>
    </row>
    <row r="865" ht="15.75" customHeight="1">
      <c r="N865" s="68"/>
    </row>
    <row r="866" ht="15.75" customHeight="1">
      <c r="N866" s="68"/>
    </row>
    <row r="867" ht="15.75" customHeight="1">
      <c r="N867" s="68"/>
    </row>
    <row r="868" ht="15.75" customHeight="1">
      <c r="N868" s="68"/>
    </row>
    <row r="869" ht="15.75" customHeight="1">
      <c r="N869" s="68"/>
    </row>
    <row r="870" ht="15.75" customHeight="1">
      <c r="N870" s="68"/>
    </row>
    <row r="871" ht="15.75" customHeight="1">
      <c r="N871" s="68"/>
    </row>
    <row r="872" ht="15.75" customHeight="1">
      <c r="N872" s="68"/>
    </row>
    <row r="873" ht="15.75" customHeight="1">
      <c r="N873" s="68"/>
    </row>
    <row r="874" ht="15.75" customHeight="1">
      <c r="N874" s="68"/>
    </row>
    <row r="875" ht="15.75" customHeight="1">
      <c r="N875" s="68"/>
    </row>
    <row r="876" ht="15.75" customHeight="1">
      <c r="N876" s="68"/>
    </row>
    <row r="877" ht="15.75" customHeight="1">
      <c r="N877" s="68"/>
    </row>
    <row r="878" ht="15.75" customHeight="1">
      <c r="N878" s="68"/>
    </row>
    <row r="879" ht="15.75" customHeight="1">
      <c r="N879" s="68"/>
    </row>
    <row r="880" ht="15.75" customHeight="1">
      <c r="N880" s="68"/>
    </row>
    <row r="881" ht="15.75" customHeight="1">
      <c r="N881" s="68"/>
    </row>
    <row r="882" ht="15.75" customHeight="1">
      <c r="N882" s="68"/>
    </row>
    <row r="883" ht="15.75" customHeight="1">
      <c r="N883" s="68"/>
    </row>
    <row r="884" ht="15.75" customHeight="1">
      <c r="N884" s="68"/>
    </row>
    <row r="885" ht="15.75" customHeight="1">
      <c r="N885" s="68"/>
    </row>
    <row r="886" ht="15.75" customHeight="1">
      <c r="N886" s="68"/>
    </row>
    <row r="887" ht="15.75" customHeight="1">
      <c r="N887" s="68"/>
    </row>
    <row r="888" ht="15.75" customHeight="1">
      <c r="N888" s="68"/>
    </row>
    <row r="889" ht="15.75" customHeight="1">
      <c r="N889" s="68"/>
    </row>
    <row r="890" ht="15.75" customHeight="1">
      <c r="N890" s="68"/>
    </row>
    <row r="891" ht="15.75" customHeight="1">
      <c r="N891" s="68"/>
    </row>
    <row r="892" ht="15.75" customHeight="1">
      <c r="N892" s="68"/>
    </row>
    <row r="893" ht="15.75" customHeight="1">
      <c r="N893" s="68"/>
    </row>
    <row r="894" ht="15.75" customHeight="1">
      <c r="N894" s="68"/>
    </row>
    <row r="895" ht="15.75" customHeight="1">
      <c r="N895" s="68"/>
    </row>
    <row r="896" ht="15.75" customHeight="1">
      <c r="N896" s="68"/>
    </row>
    <row r="897" ht="15.75" customHeight="1">
      <c r="N897" s="68"/>
    </row>
    <row r="898" ht="15.75" customHeight="1">
      <c r="N898" s="68"/>
    </row>
    <row r="899" ht="15.75" customHeight="1">
      <c r="N899" s="68"/>
    </row>
    <row r="900" ht="15.75" customHeight="1">
      <c r="N900" s="68"/>
    </row>
    <row r="901" ht="15.75" customHeight="1">
      <c r="N901" s="68"/>
    </row>
    <row r="902" ht="15.75" customHeight="1">
      <c r="N902" s="68"/>
    </row>
    <row r="903" ht="15.75" customHeight="1">
      <c r="N903" s="68"/>
    </row>
    <row r="904" ht="15.75" customHeight="1">
      <c r="N904" s="68"/>
    </row>
    <row r="905" ht="15.75" customHeight="1">
      <c r="N905" s="68"/>
    </row>
    <row r="906" ht="15.75" customHeight="1">
      <c r="N906" s="68"/>
    </row>
    <row r="907" ht="15.75" customHeight="1">
      <c r="N907" s="68"/>
    </row>
    <row r="908" ht="15.75" customHeight="1">
      <c r="N908" s="68"/>
    </row>
    <row r="909" ht="15.75" customHeight="1">
      <c r="N909" s="68"/>
    </row>
    <row r="910" ht="15.75" customHeight="1">
      <c r="N910" s="68"/>
    </row>
    <row r="911" ht="15.75" customHeight="1">
      <c r="N911" s="68"/>
    </row>
    <row r="912" ht="15.75" customHeight="1">
      <c r="N912" s="68"/>
    </row>
    <row r="913" ht="15.75" customHeight="1">
      <c r="N913" s="68"/>
    </row>
    <row r="914" ht="15.75" customHeight="1">
      <c r="N914" s="68"/>
    </row>
    <row r="915" ht="15.75" customHeight="1">
      <c r="N915" s="68"/>
    </row>
    <row r="916" ht="15.75" customHeight="1">
      <c r="N916" s="68"/>
    </row>
    <row r="917" ht="15.75" customHeight="1">
      <c r="N917" s="68"/>
    </row>
    <row r="918" ht="15.75" customHeight="1">
      <c r="N918" s="68"/>
    </row>
    <row r="919" ht="15.75" customHeight="1">
      <c r="N919" s="68"/>
    </row>
    <row r="920" ht="15.75" customHeight="1">
      <c r="N920" s="68"/>
    </row>
    <row r="921" ht="15.75" customHeight="1">
      <c r="N921" s="68"/>
    </row>
    <row r="922" ht="15.75" customHeight="1">
      <c r="N922" s="68"/>
    </row>
    <row r="923" ht="15.75" customHeight="1">
      <c r="N923" s="68"/>
    </row>
    <row r="924" ht="15.75" customHeight="1">
      <c r="N924" s="68"/>
    </row>
    <row r="925" ht="15.75" customHeight="1">
      <c r="N925" s="68"/>
    </row>
    <row r="926" ht="15.75" customHeight="1">
      <c r="N926" s="68"/>
    </row>
    <row r="927" ht="15.75" customHeight="1">
      <c r="N927" s="68"/>
    </row>
    <row r="928" ht="15.75" customHeight="1">
      <c r="N928" s="68"/>
    </row>
    <row r="929" ht="15.75" customHeight="1">
      <c r="N929" s="68"/>
    </row>
    <row r="930" ht="15.75" customHeight="1">
      <c r="N930" s="68"/>
    </row>
    <row r="931" ht="15.75" customHeight="1">
      <c r="N931" s="68"/>
    </row>
    <row r="932" ht="15.75" customHeight="1">
      <c r="N932" s="68"/>
    </row>
    <row r="933" ht="15.75" customHeight="1">
      <c r="N933" s="68"/>
    </row>
    <row r="934" ht="15.75" customHeight="1">
      <c r="N934" s="68"/>
    </row>
    <row r="935" ht="15.75" customHeight="1">
      <c r="N935" s="68"/>
    </row>
    <row r="936" ht="15.75" customHeight="1">
      <c r="N936" s="68"/>
    </row>
    <row r="937" ht="15.75" customHeight="1">
      <c r="N937" s="68"/>
    </row>
    <row r="938" ht="15.75" customHeight="1">
      <c r="N938" s="68"/>
    </row>
    <row r="939" ht="15.75" customHeight="1">
      <c r="N939" s="68"/>
    </row>
    <row r="940" ht="15.75" customHeight="1">
      <c r="N940" s="68"/>
    </row>
    <row r="941" ht="15.75" customHeight="1">
      <c r="N941" s="68"/>
    </row>
    <row r="942" ht="15.75" customHeight="1">
      <c r="N942" s="68"/>
    </row>
    <row r="943" ht="15.75" customHeight="1">
      <c r="N943" s="68"/>
    </row>
    <row r="944" ht="15.75" customHeight="1">
      <c r="N944" s="68"/>
    </row>
    <row r="945" ht="15.75" customHeight="1">
      <c r="N945" s="68"/>
    </row>
    <row r="946" ht="15.75" customHeight="1">
      <c r="N946" s="68"/>
    </row>
    <row r="947" ht="15.75" customHeight="1">
      <c r="N947" s="68"/>
    </row>
    <row r="948" ht="15.75" customHeight="1">
      <c r="N948" s="68"/>
    </row>
    <row r="949" ht="15.75" customHeight="1">
      <c r="N949" s="68"/>
    </row>
    <row r="950" ht="15.75" customHeight="1">
      <c r="N950" s="68"/>
    </row>
    <row r="951" ht="15.75" customHeight="1">
      <c r="N951" s="68"/>
    </row>
    <row r="952" ht="15.75" customHeight="1">
      <c r="N952" s="68"/>
    </row>
    <row r="953" ht="15.75" customHeight="1">
      <c r="N953" s="68"/>
    </row>
    <row r="954" ht="15.75" customHeight="1">
      <c r="N954" s="68"/>
    </row>
    <row r="955" ht="15.75" customHeight="1">
      <c r="N955" s="68"/>
    </row>
    <row r="956" ht="15.75" customHeight="1">
      <c r="N956" s="68"/>
    </row>
    <row r="957" ht="15.75" customHeight="1">
      <c r="N957" s="68"/>
    </row>
    <row r="958" ht="15.75" customHeight="1">
      <c r="N958" s="68"/>
    </row>
    <row r="959" ht="15.75" customHeight="1">
      <c r="N959" s="68"/>
    </row>
    <row r="960" ht="15.75" customHeight="1">
      <c r="N960" s="68"/>
    </row>
    <row r="961" ht="15.75" customHeight="1">
      <c r="N961" s="68"/>
    </row>
    <row r="962" ht="15.75" customHeight="1">
      <c r="N962" s="68"/>
    </row>
    <row r="963" ht="15.75" customHeight="1">
      <c r="N963" s="68"/>
    </row>
    <row r="964" ht="15.75" customHeight="1">
      <c r="N964" s="68"/>
    </row>
    <row r="965" ht="15.75" customHeight="1">
      <c r="N965" s="68"/>
    </row>
    <row r="966" ht="15.75" customHeight="1">
      <c r="N966" s="68"/>
    </row>
    <row r="967" ht="15.75" customHeight="1">
      <c r="N967" s="68"/>
    </row>
    <row r="968" ht="15.75" customHeight="1">
      <c r="N968" s="68"/>
    </row>
    <row r="969" ht="15.75" customHeight="1">
      <c r="N969" s="68"/>
    </row>
    <row r="970" ht="15.75" customHeight="1">
      <c r="N970" s="68"/>
    </row>
    <row r="971" ht="15.75" customHeight="1">
      <c r="N971" s="68"/>
    </row>
    <row r="972" ht="15.75" customHeight="1">
      <c r="N972" s="68"/>
    </row>
    <row r="973" ht="15.75" customHeight="1">
      <c r="N973" s="68"/>
    </row>
    <row r="974" ht="15.75" customHeight="1">
      <c r="N974" s="68"/>
    </row>
    <row r="975" ht="15.75" customHeight="1">
      <c r="N975" s="68"/>
    </row>
    <row r="976" ht="15.75" customHeight="1">
      <c r="N976" s="68"/>
    </row>
    <row r="977" ht="15.75" customHeight="1">
      <c r="N977" s="68"/>
    </row>
    <row r="978" ht="15.75" customHeight="1">
      <c r="N978" s="68"/>
    </row>
    <row r="979" ht="15.75" customHeight="1">
      <c r="N979" s="68"/>
    </row>
    <row r="980" ht="15.75" customHeight="1">
      <c r="N980" s="68"/>
    </row>
    <row r="981" ht="15.75" customHeight="1">
      <c r="N981" s="68"/>
    </row>
    <row r="982" ht="15.75" customHeight="1">
      <c r="N982" s="68"/>
    </row>
    <row r="983" ht="15.75" customHeight="1">
      <c r="N983" s="68"/>
    </row>
    <row r="984" ht="15.75" customHeight="1">
      <c r="N984" s="68"/>
    </row>
    <row r="985" ht="15.75" customHeight="1">
      <c r="N985" s="68"/>
    </row>
    <row r="986" ht="15.75" customHeight="1">
      <c r="N986" s="68"/>
    </row>
    <row r="987" ht="15.75" customHeight="1">
      <c r="N987" s="68"/>
    </row>
    <row r="988" ht="15.75" customHeight="1">
      <c r="N988" s="68"/>
    </row>
    <row r="989" ht="15.75" customHeight="1">
      <c r="N989" s="68"/>
    </row>
    <row r="990" ht="15.75" customHeight="1">
      <c r="N990" s="68"/>
    </row>
    <row r="991" ht="15.75" customHeight="1">
      <c r="N991" s="68"/>
    </row>
    <row r="992" ht="15.75" customHeight="1">
      <c r="N992" s="68"/>
    </row>
    <row r="993" ht="15.75" customHeight="1">
      <c r="N993" s="68"/>
    </row>
    <row r="994" ht="15.75" customHeight="1">
      <c r="N994" s="68"/>
    </row>
    <row r="995" ht="15.75" customHeight="1">
      <c r="N995" s="68"/>
    </row>
    <row r="996" ht="15.75" customHeight="1">
      <c r="N996" s="68"/>
    </row>
    <row r="997" ht="15.75" customHeight="1">
      <c r="N997" s="68"/>
    </row>
    <row r="998" ht="15.75" customHeight="1">
      <c r="N998" s="68"/>
    </row>
    <row r="999" ht="15.75" customHeight="1">
      <c r="N999" s="68"/>
    </row>
    <row r="1000" ht="15.75" customHeight="1">
      <c r="N1000" s="68"/>
    </row>
  </sheetData>
  <autoFilter ref="$A$76:$T$96"/>
  <mergeCells count="10">
    <mergeCell ref="A4:A5"/>
    <mergeCell ref="B63:C63"/>
    <mergeCell ref="D63:E63"/>
    <mergeCell ref="B4:E4"/>
    <mergeCell ref="F4:F5"/>
    <mergeCell ref="G4:G5"/>
    <mergeCell ref="H4:K4"/>
    <mergeCell ref="L4:L5"/>
    <mergeCell ref="M4:M5"/>
    <mergeCell ref="N4:N5"/>
  </mergeCells>
  <printOptions/>
  <pageMargins bottom="0.75" footer="0.0" header="0.0" left="0.7" right="0.7" top="0.75"/>
  <pageSetup paperSize="9" orientation="portrait"/>
  <drawing r:id="rId1"/>
</worksheet>
</file>