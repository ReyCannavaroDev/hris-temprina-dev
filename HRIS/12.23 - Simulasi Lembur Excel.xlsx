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mbur" sheetId="1" r:id="rId5"/>
  </sheets>
  <definedNames>
    <definedName name="cetakwarna">#REF!</definedName>
    <definedName name="kgqty">#REF!</definedName>
    <definedName name="pond">#REF!</definedName>
    <definedName name="concenatezona">#REF!</definedName>
    <definedName name="rakit">#REF!</definedName>
    <definedName name="cetakbw">#REF!</definedName>
    <definedName name="cabut">#REF!</definedName>
    <definedName name="lipat">#REF!</definedName>
    <definedName name="plastikbesar">#REF!</definedName>
    <definedName name="profitzona">#REF!</definedName>
    <definedName name="plastik">#REF!</definedName>
    <definedName name="rtsheet">#REF!</definedName>
  </definedNames>
  <calcPr/>
</workbook>
</file>

<file path=xl/sharedStrings.xml><?xml version="1.0" encoding="utf-8"?>
<sst xmlns="http://schemas.openxmlformats.org/spreadsheetml/2006/main" count="141" uniqueCount="22">
  <si>
    <t>MASHUDI</t>
  </si>
  <si>
    <t>Gaji</t>
  </si>
  <si>
    <t>1 jam pertama</t>
  </si>
  <si>
    <t>Jam berikutnya</t>
  </si>
  <si>
    <t>Jam ke-8 (Minggu)</t>
  </si>
  <si>
    <t>Jam ke-9-10 (Minggu)</t>
  </si>
  <si>
    <t>Tgl Lembur</t>
  </si>
  <si>
    <t>Jam Lembur Real</t>
  </si>
  <si>
    <t>Jam Lembur - 1 Jam Pertama</t>
  </si>
  <si>
    <t>Sisa Jam Di Atas 10 Jam</t>
  </si>
  <si>
    <t>Total Lembur</t>
  </si>
  <si>
    <t>Per Jam</t>
  </si>
  <si>
    <t>Libur</t>
  </si>
  <si>
    <t>TOTAL</t>
  </si>
  <si>
    <t>IPUNG WIBOWO</t>
  </si>
  <si>
    <t>I MADE BERLIANTO</t>
  </si>
  <si>
    <t>MUH ZAKARIA AMAL</t>
  </si>
  <si>
    <t>PEMBI DWI LUTHFITANING</t>
  </si>
  <si>
    <t>ARI PRASETYO</t>
  </si>
  <si>
    <t>HERMAN SETIAWAN (KURANG LEMBUR SETTING LIBUR)</t>
  </si>
  <si>
    <t>HIDAYAT SOLIHIN</t>
  </si>
  <si>
    <t>SAMSUL ARIFIN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</si>
</sst>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m-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2" fillId="0" fontId="1" numFmtId="16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3" fillId="0" fontId="2" numFmtId="164" xfId="0" applyAlignment="1" applyBorder="1" applyFont="1" applyNumberFormat="1">
      <alignment horizontal="center" vertical="top"/>
    </xf>
    <xf borderId="2" fillId="0" fontId="2" numFmtId="15" xfId="0" applyBorder="1" applyFont="1" applyNumberFormat="1"/>
    <xf borderId="2" fillId="0" fontId="2" numFmtId="164" xfId="0" applyBorder="1" applyFont="1" applyNumberFormat="1"/>
    <xf borderId="0" fillId="0" fontId="3" numFmtId="0" xfId="0" applyFont="1"/>
    <xf borderId="4" fillId="0" fontId="4" numFmtId="0" xfId="0" applyBorder="1" applyFont="1"/>
    <xf borderId="5" fillId="0" fontId="4" numFmtId="0" xfId="0" applyBorder="1" applyFont="1"/>
    <xf borderId="6" fillId="0" fontId="1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2" fillId="0" fontId="1" numFmtId="0" xfId="0" applyAlignment="1" applyBorder="1" applyFont="1">
      <alignment horizontal="center"/>
    </xf>
    <xf borderId="2" fillId="0" fontId="1" numFmtId="164" xfId="0" applyBorder="1" applyFont="1" applyNumberFormat="1"/>
    <xf borderId="3" fillId="0" fontId="2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12.71"/>
    <col customWidth="1" min="4" max="6" width="8.71"/>
    <col customWidth="1" min="7" max="8" width="9.71"/>
    <col customWidth="1" min="9" max="10" width="8.71"/>
    <col customWidth="1" min="11" max="11" width="11.43"/>
    <col customWidth="1" min="12" max="28" width="8.71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ht="14.25" customHeight="1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M3" s="5" t="s">
        <v>11</v>
      </c>
      <c r="N3" s="5">
        <v>1.0</v>
      </c>
      <c r="O3" s="6">
        <v>45329.0</v>
      </c>
      <c r="P3" s="5">
        <v>8.0</v>
      </c>
      <c r="Q3" s="6">
        <v>45545.0</v>
      </c>
      <c r="R3" s="5">
        <v>1.0</v>
      </c>
      <c r="S3" s="6">
        <v>45329.0</v>
      </c>
      <c r="T3" s="5">
        <v>8.0</v>
      </c>
      <c r="U3" s="6">
        <v>45545.0</v>
      </c>
    </row>
    <row r="4" ht="14.25" customHeight="1">
      <c r="B4" s="7">
        <v>3550009.0</v>
      </c>
      <c r="C4" s="7">
        <f>B4/173*1.5</f>
        <v>30780.42486</v>
      </c>
      <c r="D4" s="7">
        <f>B4/173*2</f>
        <v>41040.56647</v>
      </c>
      <c r="E4" s="7">
        <f>B4/173*3</f>
        <v>61560.84971</v>
      </c>
      <c r="F4" s="7">
        <f>B4/173*4</f>
        <v>82081.13295</v>
      </c>
      <c r="G4" s="8"/>
      <c r="H4" s="9">
        <v>4.0</v>
      </c>
      <c r="I4" s="9">
        <f t="shared" ref="I4:I9" si="1">H4-1</f>
        <v>3</v>
      </c>
      <c r="J4" s="9">
        <f t="shared" ref="J4:J33" si="2">IF(I4&gt;8,I4-8,0)</f>
        <v>0</v>
      </c>
      <c r="K4" s="9">
        <f t="shared" ref="K4:K9" si="3">$D$4*$I4+$C$4</f>
        <v>153902.1243</v>
      </c>
      <c r="M4" s="10">
        <f>B4/173</f>
        <v>20520.28324</v>
      </c>
      <c r="N4" s="5">
        <v>1.0</v>
      </c>
      <c r="O4" s="5">
        <v>3.0</v>
      </c>
      <c r="R4" s="10">
        <f>M4*N4*1.5</f>
        <v>30780.42486</v>
      </c>
      <c r="S4" s="10">
        <f>M4*O4*2</f>
        <v>123121.6994</v>
      </c>
      <c r="T4" s="10">
        <f>M4*P4*3</f>
        <v>0</v>
      </c>
      <c r="U4" s="10">
        <f>M4*Q4*4</f>
        <v>0</v>
      </c>
      <c r="V4" s="10">
        <f>R4+S4+T4+U4</f>
        <v>153902.1243</v>
      </c>
    </row>
    <row r="5" ht="14.25" customHeight="1">
      <c r="B5" s="11"/>
      <c r="C5" s="11"/>
      <c r="D5" s="11"/>
      <c r="E5" s="11"/>
      <c r="F5" s="11"/>
      <c r="G5" s="8"/>
      <c r="H5" s="9">
        <v>3.0</v>
      </c>
      <c r="I5" s="9">
        <f t="shared" si="1"/>
        <v>2</v>
      </c>
      <c r="J5" s="9">
        <f t="shared" si="2"/>
        <v>0</v>
      </c>
      <c r="K5" s="9">
        <f t="shared" si="3"/>
        <v>112861.5578</v>
      </c>
    </row>
    <row r="6" ht="14.25" customHeight="1">
      <c r="B6" s="11"/>
      <c r="C6" s="11"/>
      <c r="D6" s="11"/>
      <c r="E6" s="11"/>
      <c r="F6" s="11"/>
      <c r="G6" s="8"/>
      <c r="H6" s="9">
        <v>4.0</v>
      </c>
      <c r="I6" s="9">
        <f t="shared" si="1"/>
        <v>3</v>
      </c>
      <c r="J6" s="9">
        <f t="shared" si="2"/>
        <v>0</v>
      </c>
      <c r="K6" s="9">
        <f t="shared" si="3"/>
        <v>153902.1243</v>
      </c>
    </row>
    <row r="7" ht="14.25" customHeight="1">
      <c r="B7" s="11"/>
      <c r="C7" s="11"/>
      <c r="D7" s="11"/>
      <c r="E7" s="11"/>
      <c r="F7" s="11"/>
      <c r="G7" s="8"/>
      <c r="H7" s="9">
        <v>3.0</v>
      </c>
      <c r="I7" s="9">
        <f t="shared" si="1"/>
        <v>2</v>
      </c>
      <c r="J7" s="9">
        <f t="shared" si="2"/>
        <v>0</v>
      </c>
      <c r="K7" s="9">
        <f t="shared" si="3"/>
        <v>112861.5578</v>
      </c>
    </row>
    <row r="8" ht="14.25" customHeight="1">
      <c r="B8" s="11"/>
      <c r="C8" s="11"/>
      <c r="D8" s="11"/>
      <c r="E8" s="11"/>
      <c r="F8" s="11"/>
      <c r="G8" s="8"/>
      <c r="H8" s="9">
        <v>4.0</v>
      </c>
      <c r="I8" s="9">
        <f t="shared" si="1"/>
        <v>3</v>
      </c>
      <c r="J8" s="9">
        <f t="shared" si="2"/>
        <v>0</v>
      </c>
      <c r="K8" s="9">
        <f t="shared" si="3"/>
        <v>153902.1243</v>
      </c>
    </row>
    <row r="9" ht="14.25" customHeight="1">
      <c r="B9" s="11"/>
      <c r="C9" s="11"/>
      <c r="D9" s="11"/>
      <c r="E9" s="11"/>
      <c r="F9" s="11"/>
      <c r="G9" s="8"/>
      <c r="H9" s="9">
        <v>5.0</v>
      </c>
      <c r="I9" s="9">
        <f t="shared" si="1"/>
        <v>4</v>
      </c>
      <c r="J9" s="9">
        <f t="shared" si="2"/>
        <v>0</v>
      </c>
      <c r="K9" s="9">
        <f t="shared" si="3"/>
        <v>194942.6908</v>
      </c>
    </row>
    <row r="10" ht="14.25" customHeight="1">
      <c r="B10" s="11"/>
      <c r="C10" s="11"/>
      <c r="D10" s="11"/>
      <c r="E10" s="11"/>
      <c r="F10" s="11"/>
      <c r="G10" s="8"/>
      <c r="H10" s="9"/>
      <c r="I10" s="9">
        <v>10.0</v>
      </c>
      <c r="J10" s="9">
        <f t="shared" si="2"/>
        <v>2</v>
      </c>
      <c r="K10" s="9">
        <f>$D$4*7+$E$4+$F$4*J10</f>
        <v>513007.0809</v>
      </c>
      <c r="L10" s="10" t="s">
        <v>12</v>
      </c>
      <c r="M10" s="10">
        <v>20520.28323699422</v>
      </c>
      <c r="N10" s="5">
        <v>1.0</v>
      </c>
      <c r="O10" s="5">
        <v>6.0</v>
      </c>
      <c r="P10" s="5">
        <v>1.0</v>
      </c>
      <c r="Q10" s="5">
        <v>2.0</v>
      </c>
      <c r="R10" s="10">
        <f>M10*N10*2</f>
        <v>41040.56647</v>
      </c>
      <c r="S10" s="10">
        <f>M10*O10*2</f>
        <v>246243.3988</v>
      </c>
      <c r="T10" s="10">
        <f>M10*P10*3</f>
        <v>61560.84971</v>
      </c>
      <c r="U10" s="10">
        <f>M10*Q10*4</f>
        <v>164162.2659</v>
      </c>
      <c r="V10" s="10">
        <f>R10+S10+T10+U10</f>
        <v>513007.0809</v>
      </c>
    </row>
    <row r="11" ht="14.25" customHeight="1">
      <c r="B11" s="11"/>
      <c r="C11" s="11"/>
      <c r="D11" s="11"/>
      <c r="E11" s="11"/>
      <c r="F11" s="11"/>
      <c r="G11" s="8"/>
      <c r="H11" s="9">
        <v>4.0</v>
      </c>
      <c r="I11" s="9">
        <f t="shared" ref="I11:I16" si="4">H11-1</f>
        <v>3</v>
      </c>
      <c r="J11" s="9">
        <f t="shared" si="2"/>
        <v>0</v>
      </c>
      <c r="K11" s="9">
        <f t="shared" ref="K11:K16" si="5">$D$4*$I11+$C$4</f>
        <v>153902.1243</v>
      </c>
    </row>
    <row r="12" ht="14.25" customHeight="1">
      <c r="B12" s="11"/>
      <c r="C12" s="11"/>
      <c r="D12" s="11"/>
      <c r="E12" s="11"/>
      <c r="F12" s="11"/>
      <c r="G12" s="8"/>
      <c r="H12" s="9">
        <v>3.0</v>
      </c>
      <c r="I12" s="9">
        <f t="shared" si="4"/>
        <v>2</v>
      </c>
      <c r="J12" s="9">
        <f t="shared" si="2"/>
        <v>0</v>
      </c>
      <c r="K12" s="9">
        <f t="shared" si="5"/>
        <v>112861.5578</v>
      </c>
    </row>
    <row r="13" ht="14.25" customHeight="1">
      <c r="B13" s="11"/>
      <c r="C13" s="11"/>
      <c r="D13" s="11"/>
      <c r="E13" s="11"/>
      <c r="F13" s="11"/>
      <c r="G13" s="8"/>
      <c r="H13" s="9">
        <v>4.0</v>
      </c>
      <c r="I13" s="9">
        <f t="shared" si="4"/>
        <v>3</v>
      </c>
      <c r="J13" s="9">
        <f t="shared" si="2"/>
        <v>0</v>
      </c>
      <c r="K13" s="9">
        <f t="shared" si="5"/>
        <v>153902.1243</v>
      </c>
    </row>
    <row r="14" ht="14.25" customHeight="1">
      <c r="B14" s="11"/>
      <c r="C14" s="11"/>
      <c r="D14" s="11"/>
      <c r="E14" s="11"/>
      <c r="F14" s="11"/>
      <c r="G14" s="8"/>
      <c r="H14" s="9">
        <v>3.0</v>
      </c>
      <c r="I14" s="9">
        <f t="shared" si="4"/>
        <v>2</v>
      </c>
      <c r="J14" s="9">
        <f t="shared" si="2"/>
        <v>0</v>
      </c>
      <c r="K14" s="9">
        <f t="shared" si="5"/>
        <v>112861.5578</v>
      </c>
    </row>
    <row r="15" ht="14.25" customHeight="1">
      <c r="B15" s="11"/>
      <c r="C15" s="11"/>
      <c r="D15" s="11"/>
      <c r="E15" s="11"/>
      <c r="F15" s="11"/>
      <c r="G15" s="8"/>
      <c r="H15" s="9">
        <v>3.0</v>
      </c>
      <c r="I15" s="9">
        <f t="shared" si="4"/>
        <v>2</v>
      </c>
      <c r="J15" s="9">
        <f t="shared" si="2"/>
        <v>0</v>
      </c>
      <c r="K15" s="9">
        <f t="shared" si="5"/>
        <v>112861.5578</v>
      </c>
    </row>
    <row r="16" ht="14.25" customHeight="1">
      <c r="B16" s="11"/>
      <c r="C16" s="11"/>
      <c r="D16" s="11"/>
      <c r="E16" s="11"/>
      <c r="F16" s="11"/>
      <c r="G16" s="8"/>
      <c r="H16" s="9">
        <v>6.0</v>
      </c>
      <c r="I16" s="9">
        <f t="shared" si="4"/>
        <v>5</v>
      </c>
      <c r="J16" s="9">
        <f t="shared" si="2"/>
        <v>0</v>
      </c>
      <c r="K16" s="9">
        <f t="shared" si="5"/>
        <v>235983.2572</v>
      </c>
    </row>
    <row r="17" ht="14.25" customHeight="1">
      <c r="B17" s="11"/>
      <c r="C17" s="11"/>
      <c r="D17" s="11"/>
      <c r="E17" s="11"/>
      <c r="F17" s="11"/>
      <c r="G17" s="8"/>
      <c r="H17" s="9"/>
      <c r="I17" s="9">
        <v>10.0</v>
      </c>
      <c r="J17" s="9">
        <f t="shared" si="2"/>
        <v>2</v>
      </c>
      <c r="K17" s="9">
        <f>$D$4*7+$E$4+$F$4*J17</f>
        <v>513007.0809</v>
      </c>
      <c r="L17" s="10" t="s">
        <v>12</v>
      </c>
    </row>
    <row r="18" ht="14.25" customHeight="1">
      <c r="B18" s="11"/>
      <c r="C18" s="11"/>
      <c r="D18" s="11"/>
      <c r="E18" s="11"/>
      <c r="F18" s="11"/>
      <c r="G18" s="8"/>
      <c r="H18" s="9">
        <v>4.0</v>
      </c>
      <c r="I18" s="9">
        <f t="shared" ref="I18:I23" si="6">H18-1</f>
        <v>3</v>
      </c>
      <c r="J18" s="9">
        <f t="shared" si="2"/>
        <v>0</v>
      </c>
      <c r="K18" s="9">
        <f t="shared" ref="K18:K23" si="7">$D$4*$I18+$C$4</f>
        <v>153902.1243</v>
      </c>
    </row>
    <row r="19" ht="14.25" customHeight="1">
      <c r="B19" s="11"/>
      <c r="C19" s="11"/>
      <c r="D19" s="11"/>
      <c r="E19" s="11"/>
      <c r="F19" s="11"/>
      <c r="G19" s="8"/>
      <c r="H19" s="9">
        <v>3.0</v>
      </c>
      <c r="I19" s="9">
        <f t="shared" si="6"/>
        <v>2</v>
      </c>
      <c r="J19" s="9">
        <f t="shared" si="2"/>
        <v>0</v>
      </c>
      <c r="K19" s="9">
        <f t="shared" si="7"/>
        <v>112861.5578</v>
      </c>
    </row>
    <row r="20" ht="14.25" customHeight="1">
      <c r="B20" s="11"/>
      <c r="C20" s="11"/>
      <c r="D20" s="11"/>
      <c r="E20" s="11"/>
      <c r="F20" s="11"/>
      <c r="G20" s="8"/>
      <c r="H20" s="9">
        <v>4.0</v>
      </c>
      <c r="I20" s="9">
        <f t="shared" si="6"/>
        <v>3</v>
      </c>
      <c r="J20" s="9">
        <f t="shared" si="2"/>
        <v>0</v>
      </c>
      <c r="K20" s="9">
        <f t="shared" si="7"/>
        <v>153902.1243</v>
      </c>
    </row>
    <row r="21" ht="14.25" customHeight="1">
      <c r="B21" s="11"/>
      <c r="C21" s="11"/>
      <c r="D21" s="11"/>
      <c r="E21" s="11"/>
      <c r="F21" s="11"/>
      <c r="G21" s="8"/>
      <c r="H21" s="9">
        <v>3.0</v>
      </c>
      <c r="I21" s="9">
        <f t="shared" si="6"/>
        <v>2</v>
      </c>
      <c r="J21" s="9">
        <f t="shared" si="2"/>
        <v>0</v>
      </c>
      <c r="K21" s="9">
        <f t="shared" si="7"/>
        <v>112861.5578</v>
      </c>
    </row>
    <row r="22" ht="14.25" customHeight="1">
      <c r="B22" s="11"/>
      <c r="C22" s="11"/>
      <c r="D22" s="11"/>
      <c r="E22" s="11"/>
      <c r="F22" s="11"/>
      <c r="G22" s="8"/>
      <c r="H22" s="9">
        <v>4.0</v>
      </c>
      <c r="I22" s="9">
        <f t="shared" si="6"/>
        <v>3</v>
      </c>
      <c r="J22" s="9">
        <f t="shared" si="2"/>
        <v>0</v>
      </c>
      <c r="K22" s="9">
        <f t="shared" si="7"/>
        <v>153902.1243</v>
      </c>
    </row>
    <row r="23" ht="14.25" customHeight="1">
      <c r="B23" s="11"/>
      <c r="C23" s="11"/>
      <c r="D23" s="11"/>
      <c r="E23" s="11"/>
      <c r="F23" s="11"/>
      <c r="G23" s="8"/>
      <c r="H23" s="9">
        <v>6.0</v>
      </c>
      <c r="I23" s="9">
        <f t="shared" si="6"/>
        <v>5</v>
      </c>
      <c r="J23" s="9">
        <f t="shared" si="2"/>
        <v>0</v>
      </c>
      <c r="K23" s="9">
        <f t="shared" si="7"/>
        <v>235983.2572</v>
      </c>
    </row>
    <row r="24" ht="14.25" customHeight="1">
      <c r="B24" s="11"/>
      <c r="C24" s="11"/>
      <c r="D24" s="11"/>
      <c r="E24" s="11"/>
      <c r="F24" s="11"/>
      <c r="G24" s="8"/>
      <c r="H24" s="9"/>
      <c r="I24" s="9">
        <v>10.0</v>
      </c>
      <c r="J24" s="9">
        <f t="shared" si="2"/>
        <v>2</v>
      </c>
      <c r="K24" s="9">
        <f>$D$4*7+$E$4+$F$4*J24</f>
        <v>513007.0809</v>
      </c>
      <c r="L24" s="10" t="s">
        <v>12</v>
      </c>
    </row>
    <row r="25" ht="14.25" customHeight="1">
      <c r="B25" s="11"/>
      <c r="C25" s="11"/>
      <c r="D25" s="11"/>
      <c r="E25" s="11"/>
      <c r="F25" s="11"/>
      <c r="G25" s="8"/>
      <c r="H25" s="9">
        <v>4.0</v>
      </c>
      <c r="I25" s="9">
        <f t="shared" ref="I25:I30" si="8">H25-1</f>
        <v>3</v>
      </c>
      <c r="J25" s="9">
        <f t="shared" si="2"/>
        <v>0</v>
      </c>
      <c r="K25" s="9">
        <f t="shared" ref="K25:K30" si="9">$D$4*$I25+$C$4</f>
        <v>153902.1243</v>
      </c>
    </row>
    <row r="26" ht="14.25" customHeight="1">
      <c r="B26" s="11"/>
      <c r="C26" s="11"/>
      <c r="D26" s="11"/>
      <c r="E26" s="11"/>
      <c r="F26" s="11"/>
      <c r="G26" s="8"/>
      <c r="H26" s="9">
        <v>3.0</v>
      </c>
      <c r="I26" s="9">
        <f t="shared" si="8"/>
        <v>2</v>
      </c>
      <c r="J26" s="9">
        <f t="shared" si="2"/>
        <v>0</v>
      </c>
      <c r="K26" s="9">
        <f t="shared" si="9"/>
        <v>112861.5578</v>
      </c>
    </row>
    <row r="27" ht="14.25" customHeight="1">
      <c r="B27" s="11"/>
      <c r="C27" s="11"/>
      <c r="D27" s="11"/>
      <c r="E27" s="11"/>
      <c r="F27" s="11"/>
      <c r="G27" s="8"/>
      <c r="H27" s="9">
        <v>4.0</v>
      </c>
      <c r="I27" s="9">
        <f t="shared" si="8"/>
        <v>3</v>
      </c>
      <c r="J27" s="9">
        <f t="shared" si="2"/>
        <v>0</v>
      </c>
      <c r="K27" s="9">
        <f t="shared" si="9"/>
        <v>153902.1243</v>
      </c>
    </row>
    <row r="28" ht="14.25" customHeight="1">
      <c r="B28" s="11"/>
      <c r="C28" s="11"/>
      <c r="D28" s="11"/>
      <c r="E28" s="11"/>
      <c r="F28" s="11"/>
      <c r="G28" s="8"/>
      <c r="H28" s="9">
        <v>3.0</v>
      </c>
      <c r="I28" s="9">
        <f t="shared" si="8"/>
        <v>2</v>
      </c>
      <c r="J28" s="9">
        <f t="shared" si="2"/>
        <v>0</v>
      </c>
      <c r="K28" s="9">
        <f t="shared" si="9"/>
        <v>112861.5578</v>
      </c>
    </row>
    <row r="29" ht="14.25" customHeight="1">
      <c r="B29" s="11"/>
      <c r="C29" s="11"/>
      <c r="D29" s="11"/>
      <c r="E29" s="11"/>
      <c r="F29" s="11"/>
      <c r="G29" s="8"/>
      <c r="H29" s="9">
        <v>4.0</v>
      </c>
      <c r="I29" s="9">
        <f t="shared" si="8"/>
        <v>3</v>
      </c>
      <c r="J29" s="9">
        <f t="shared" si="2"/>
        <v>0</v>
      </c>
      <c r="K29" s="9">
        <f t="shared" si="9"/>
        <v>153902.1243</v>
      </c>
    </row>
    <row r="30" ht="14.25" customHeight="1">
      <c r="B30" s="11"/>
      <c r="C30" s="11"/>
      <c r="D30" s="11"/>
      <c r="E30" s="11"/>
      <c r="F30" s="11"/>
      <c r="G30" s="8"/>
      <c r="H30" s="9">
        <v>5.0</v>
      </c>
      <c r="I30" s="9">
        <f t="shared" si="8"/>
        <v>4</v>
      </c>
      <c r="J30" s="9">
        <f t="shared" si="2"/>
        <v>0</v>
      </c>
      <c r="K30" s="9">
        <f t="shared" si="9"/>
        <v>194942.6908</v>
      </c>
    </row>
    <row r="31" ht="14.25" customHeight="1">
      <c r="B31" s="11"/>
      <c r="C31" s="11"/>
      <c r="D31" s="11"/>
      <c r="E31" s="11"/>
      <c r="F31" s="11"/>
      <c r="G31" s="8"/>
      <c r="H31" s="9"/>
      <c r="I31" s="9">
        <v>10.0</v>
      </c>
      <c r="J31" s="9">
        <f t="shared" si="2"/>
        <v>2</v>
      </c>
      <c r="K31" s="9">
        <f>$D$4*7+$E$4+$F$4*J31</f>
        <v>513007.0809</v>
      </c>
      <c r="L31" s="10" t="s">
        <v>12</v>
      </c>
    </row>
    <row r="32" ht="14.25" customHeight="1">
      <c r="B32" s="11"/>
      <c r="C32" s="11"/>
      <c r="D32" s="11"/>
      <c r="E32" s="11"/>
      <c r="F32" s="11"/>
      <c r="G32" s="8"/>
      <c r="H32" s="9">
        <v>4.0</v>
      </c>
      <c r="I32" s="9">
        <f t="shared" ref="I32:I33" si="10">H32-1</f>
        <v>3</v>
      </c>
      <c r="J32" s="9">
        <f t="shared" si="2"/>
        <v>0</v>
      </c>
      <c r="K32" s="9">
        <f t="shared" ref="K32:K33" si="11">$D$4*$I32+$C$4</f>
        <v>153902.1243</v>
      </c>
    </row>
    <row r="33" ht="14.25" customHeight="1">
      <c r="B33" s="11"/>
      <c r="C33" s="11"/>
      <c r="D33" s="11"/>
      <c r="E33" s="11"/>
      <c r="F33" s="11"/>
      <c r="G33" s="8"/>
      <c r="H33" s="9">
        <v>3.0</v>
      </c>
      <c r="I33" s="9">
        <f t="shared" si="10"/>
        <v>2</v>
      </c>
      <c r="J33" s="9">
        <f t="shared" si="2"/>
        <v>0</v>
      </c>
      <c r="K33" s="9">
        <f t="shared" si="11"/>
        <v>112861.5578</v>
      </c>
    </row>
    <row r="34" ht="14.25" customHeight="1">
      <c r="B34" s="11"/>
      <c r="C34" s="11"/>
      <c r="D34" s="11"/>
      <c r="E34" s="11"/>
      <c r="F34" s="11"/>
      <c r="G34" s="8"/>
      <c r="H34" s="9"/>
      <c r="I34" s="9"/>
      <c r="J34" s="9"/>
      <c r="K34" s="9"/>
    </row>
    <row r="35" ht="14.25" customHeight="1">
      <c r="B35" s="11"/>
      <c r="C35" s="11"/>
      <c r="D35" s="11"/>
      <c r="E35" s="11"/>
      <c r="F35" s="11"/>
      <c r="G35" s="8"/>
      <c r="H35" s="9"/>
      <c r="I35" s="9"/>
      <c r="J35" s="9"/>
      <c r="K35" s="9"/>
    </row>
    <row r="36" ht="14.25" customHeight="1">
      <c r="B36" s="12"/>
      <c r="C36" s="12"/>
      <c r="D36" s="12"/>
      <c r="E36" s="12"/>
      <c r="F36" s="12"/>
      <c r="G36" s="8"/>
      <c r="H36" s="9"/>
      <c r="I36" s="9"/>
      <c r="J36" s="9"/>
      <c r="K36" s="9"/>
    </row>
    <row r="37" ht="14.25" customHeight="1">
      <c r="B37" s="13" t="s">
        <v>13</v>
      </c>
      <c r="C37" s="14"/>
      <c r="D37" s="14"/>
      <c r="E37" s="14"/>
      <c r="F37" s="14"/>
      <c r="G37" s="14"/>
      <c r="H37" s="15"/>
      <c r="I37" s="16"/>
      <c r="J37" s="16"/>
      <c r="K37" s="17">
        <f>SUM(K4:K36)</f>
        <v>5889321.289</v>
      </c>
    </row>
    <row r="38" ht="14.25" customHeight="1"/>
    <row r="39" ht="14.25" customHeight="1"/>
    <row r="40" ht="14.25" customHeight="1">
      <c r="B40" s="1" t="s">
        <v>14</v>
      </c>
      <c r="C40" s="2"/>
      <c r="D40" s="2"/>
      <c r="E40" s="2"/>
      <c r="F40" s="2"/>
      <c r="G40" s="2"/>
      <c r="H40" s="2"/>
      <c r="I40" s="2"/>
      <c r="J40" s="2"/>
      <c r="K40" s="2"/>
    </row>
    <row r="41" ht="14.25" customHeight="1">
      <c r="B41" s="3" t="s">
        <v>1</v>
      </c>
      <c r="C41" s="4" t="s">
        <v>2</v>
      </c>
      <c r="D41" s="4" t="s">
        <v>3</v>
      </c>
      <c r="E41" s="4" t="s">
        <v>4</v>
      </c>
      <c r="F41" s="4" t="s">
        <v>5</v>
      </c>
      <c r="G41" s="4" t="s">
        <v>6</v>
      </c>
      <c r="H41" s="4" t="s">
        <v>7</v>
      </c>
      <c r="I41" s="4" t="s">
        <v>8</v>
      </c>
      <c r="J41" s="4" t="s">
        <v>9</v>
      </c>
      <c r="K41" s="4" t="s">
        <v>10</v>
      </c>
    </row>
    <row r="42" ht="14.25" customHeight="1">
      <c r="B42" s="18">
        <v>5308423.0</v>
      </c>
      <c r="C42" s="18">
        <f>B42/173*1.5</f>
        <v>46026.78902</v>
      </c>
      <c r="D42" s="18">
        <f>B42/173*2</f>
        <v>61369.05202</v>
      </c>
      <c r="E42" s="18">
        <f>1*3*1/173*B42</f>
        <v>92053.57803</v>
      </c>
      <c r="F42" s="18">
        <f>1*4*1/173*B42</f>
        <v>122738.104</v>
      </c>
      <c r="G42" s="8"/>
      <c r="H42" s="9">
        <v>4.0</v>
      </c>
      <c r="I42" s="9">
        <f t="shared" ref="I42:I46" si="12">H42-1</f>
        <v>3</v>
      </c>
      <c r="J42" s="9">
        <f t="shared" ref="J42:J67" si="13">IF(I42&gt;8,I42-8,0)</f>
        <v>0</v>
      </c>
      <c r="K42" s="9">
        <f t="shared" ref="K42:K46" si="14">$D$42*$I42+$C$42</f>
        <v>230133.9451</v>
      </c>
    </row>
    <row r="43" ht="14.25" customHeight="1">
      <c r="B43" s="11"/>
      <c r="C43" s="11"/>
      <c r="D43" s="11"/>
      <c r="E43" s="11"/>
      <c r="F43" s="11"/>
      <c r="G43" s="8"/>
      <c r="H43" s="9">
        <v>4.0</v>
      </c>
      <c r="I43" s="9">
        <f t="shared" si="12"/>
        <v>3</v>
      </c>
      <c r="J43" s="9">
        <f t="shared" si="13"/>
        <v>0</v>
      </c>
      <c r="K43" s="9">
        <f t="shared" si="14"/>
        <v>230133.9451</v>
      </c>
    </row>
    <row r="44" ht="14.25" customHeight="1">
      <c r="B44" s="11"/>
      <c r="C44" s="11"/>
      <c r="D44" s="11"/>
      <c r="E44" s="11"/>
      <c r="F44" s="11"/>
      <c r="G44" s="8"/>
      <c r="H44" s="9">
        <v>4.0</v>
      </c>
      <c r="I44" s="9">
        <f t="shared" si="12"/>
        <v>3</v>
      </c>
      <c r="J44" s="9">
        <f t="shared" si="13"/>
        <v>0</v>
      </c>
      <c r="K44" s="9">
        <f t="shared" si="14"/>
        <v>230133.9451</v>
      </c>
    </row>
    <row r="45" ht="14.25" customHeight="1">
      <c r="B45" s="11"/>
      <c r="C45" s="11"/>
      <c r="D45" s="11"/>
      <c r="E45" s="11"/>
      <c r="F45" s="11"/>
      <c r="G45" s="8"/>
      <c r="H45" s="9">
        <v>4.0</v>
      </c>
      <c r="I45" s="9">
        <f t="shared" si="12"/>
        <v>3</v>
      </c>
      <c r="J45" s="9">
        <f t="shared" si="13"/>
        <v>0</v>
      </c>
      <c r="K45" s="9">
        <f t="shared" si="14"/>
        <v>230133.9451</v>
      </c>
    </row>
    <row r="46" ht="14.25" customHeight="1">
      <c r="B46" s="11"/>
      <c r="C46" s="11"/>
      <c r="D46" s="11"/>
      <c r="E46" s="11"/>
      <c r="F46" s="11"/>
      <c r="G46" s="8"/>
      <c r="H46" s="9">
        <v>6.0</v>
      </c>
      <c r="I46" s="9">
        <f t="shared" si="12"/>
        <v>5</v>
      </c>
      <c r="J46" s="9">
        <f t="shared" si="13"/>
        <v>0</v>
      </c>
      <c r="K46" s="9">
        <f t="shared" si="14"/>
        <v>352872.0491</v>
      </c>
    </row>
    <row r="47" ht="14.25" customHeight="1">
      <c r="B47" s="11"/>
      <c r="C47" s="11"/>
      <c r="D47" s="11"/>
      <c r="E47" s="11"/>
      <c r="F47" s="11"/>
      <c r="G47" s="8"/>
      <c r="H47" s="9"/>
      <c r="I47" s="9">
        <v>11.0</v>
      </c>
      <c r="J47" s="9">
        <f t="shared" si="13"/>
        <v>3</v>
      </c>
      <c r="K47" s="9">
        <f>$D$42*7+$E$42+$F$42*J47</f>
        <v>889851.2543</v>
      </c>
      <c r="L47" s="10" t="s">
        <v>12</v>
      </c>
    </row>
    <row r="48" ht="14.25" customHeight="1">
      <c r="B48" s="11"/>
      <c r="C48" s="11"/>
      <c r="D48" s="11"/>
      <c r="E48" s="11"/>
      <c r="F48" s="11"/>
      <c r="G48" s="8"/>
      <c r="H48" s="9">
        <v>4.0</v>
      </c>
      <c r="I48" s="9">
        <f t="shared" ref="I48:I53" si="15">H48-1</f>
        <v>3</v>
      </c>
      <c r="J48" s="9">
        <f t="shared" si="13"/>
        <v>0</v>
      </c>
      <c r="K48" s="9">
        <f t="shared" ref="K48:K53" si="16">$D$42*$I48+$C$42</f>
        <v>230133.9451</v>
      </c>
    </row>
    <row r="49" ht="14.25" customHeight="1">
      <c r="B49" s="11"/>
      <c r="C49" s="11"/>
      <c r="D49" s="11"/>
      <c r="E49" s="11"/>
      <c r="F49" s="11"/>
      <c r="G49" s="8"/>
      <c r="H49" s="9">
        <v>3.0</v>
      </c>
      <c r="I49" s="9">
        <f t="shared" si="15"/>
        <v>2</v>
      </c>
      <c r="J49" s="9">
        <f t="shared" si="13"/>
        <v>0</v>
      </c>
      <c r="K49" s="9">
        <f t="shared" si="16"/>
        <v>168764.8931</v>
      </c>
    </row>
    <row r="50" ht="14.25" customHeight="1">
      <c r="B50" s="11"/>
      <c r="C50" s="11"/>
      <c r="D50" s="11"/>
      <c r="E50" s="11"/>
      <c r="F50" s="11"/>
      <c r="G50" s="8"/>
      <c r="H50" s="9">
        <v>4.0</v>
      </c>
      <c r="I50" s="9">
        <f t="shared" si="15"/>
        <v>3</v>
      </c>
      <c r="J50" s="9">
        <f t="shared" si="13"/>
        <v>0</v>
      </c>
      <c r="K50" s="9">
        <f t="shared" si="16"/>
        <v>230133.9451</v>
      </c>
    </row>
    <row r="51" ht="14.25" customHeight="1">
      <c r="B51" s="11"/>
      <c r="C51" s="11"/>
      <c r="D51" s="11"/>
      <c r="E51" s="11"/>
      <c r="F51" s="11"/>
      <c r="G51" s="8"/>
      <c r="H51" s="9">
        <v>4.0</v>
      </c>
      <c r="I51" s="9">
        <f t="shared" si="15"/>
        <v>3</v>
      </c>
      <c r="J51" s="9">
        <f t="shared" si="13"/>
        <v>0</v>
      </c>
      <c r="K51" s="9">
        <f t="shared" si="16"/>
        <v>230133.9451</v>
      </c>
    </row>
    <row r="52" ht="14.25" customHeight="1">
      <c r="B52" s="11"/>
      <c r="C52" s="11"/>
      <c r="D52" s="11"/>
      <c r="E52" s="11"/>
      <c r="F52" s="11"/>
      <c r="G52" s="8"/>
      <c r="H52" s="9">
        <v>3.0</v>
      </c>
      <c r="I52" s="9">
        <f t="shared" si="15"/>
        <v>2</v>
      </c>
      <c r="J52" s="9">
        <f t="shared" si="13"/>
        <v>0</v>
      </c>
      <c r="K52" s="9">
        <f t="shared" si="16"/>
        <v>168764.8931</v>
      </c>
    </row>
    <row r="53" ht="14.25" customHeight="1">
      <c r="B53" s="11"/>
      <c r="C53" s="11"/>
      <c r="D53" s="11"/>
      <c r="E53" s="11"/>
      <c r="F53" s="11"/>
      <c r="G53" s="8"/>
      <c r="H53" s="9">
        <v>5.0</v>
      </c>
      <c r="I53" s="9">
        <f t="shared" si="15"/>
        <v>4</v>
      </c>
      <c r="J53" s="9">
        <f t="shared" si="13"/>
        <v>0</v>
      </c>
      <c r="K53" s="9">
        <f t="shared" si="16"/>
        <v>291502.9971</v>
      </c>
    </row>
    <row r="54" ht="14.25" customHeight="1">
      <c r="B54" s="11"/>
      <c r="C54" s="11"/>
      <c r="D54" s="11"/>
      <c r="E54" s="11"/>
      <c r="F54" s="11"/>
      <c r="G54" s="8"/>
      <c r="H54" s="9"/>
      <c r="I54" s="9">
        <v>11.0</v>
      </c>
      <c r="J54" s="9">
        <f t="shared" si="13"/>
        <v>3</v>
      </c>
      <c r="K54" s="9">
        <f>$D$42*7+$E$42+$F$42*J54</f>
        <v>889851.2543</v>
      </c>
      <c r="L54" s="10" t="s">
        <v>12</v>
      </c>
    </row>
    <row r="55" ht="14.25" customHeight="1">
      <c r="B55" s="11"/>
      <c r="C55" s="11"/>
      <c r="D55" s="11"/>
      <c r="E55" s="11"/>
      <c r="F55" s="11"/>
      <c r="G55" s="8"/>
      <c r="H55" s="9">
        <v>4.0</v>
      </c>
      <c r="I55" s="9">
        <f t="shared" ref="I55:I59" si="17">H55-1</f>
        <v>3</v>
      </c>
      <c r="J55" s="9">
        <f t="shared" si="13"/>
        <v>0</v>
      </c>
      <c r="K55" s="9">
        <f t="shared" ref="K55:K59" si="18">$D$42*$I55+$C$42</f>
        <v>230133.9451</v>
      </c>
    </row>
    <row r="56" ht="14.25" customHeight="1">
      <c r="B56" s="11"/>
      <c r="C56" s="11"/>
      <c r="D56" s="11"/>
      <c r="E56" s="11"/>
      <c r="F56" s="11"/>
      <c r="G56" s="8"/>
      <c r="H56" s="9">
        <v>4.0</v>
      </c>
      <c r="I56" s="9">
        <f t="shared" si="17"/>
        <v>3</v>
      </c>
      <c r="J56" s="9">
        <f t="shared" si="13"/>
        <v>0</v>
      </c>
      <c r="K56" s="9">
        <f t="shared" si="18"/>
        <v>230133.9451</v>
      </c>
    </row>
    <row r="57" ht="14.25" customHeight="1">
      <c r="B57" s="11"/>
      <c r="C57" s="11"/>
      <c r="D57" s="11"/>
      <c r="E57" s="11"/>
      <c r="F57" s="11"/>
      <c r="G57" s="8"/>
      <c r="H57" s="9">
        <v>4.0</v>
      </c>
      <c r="I57" s="9">
        <f t="shared" si="17"/>
        <v>3</v>
      </c>
      <c r="J57" s="9">
        <f t="shared" si="13"/>
        <v>0</v>
      </c>
      <c r="K57" s="9">
        <f t="shared" si="18"/>
        <v>230133.9451</v>
      </c>
    </row>
    <row r="58" ht="14.25" customHeight="1">
      <c r="B58" s="11"/>
      <c r="C58" s="11"/>
      <c r="D58" s="11"/>
      <c r="E58" s="11"/>
      <c r="F58" s="11"/>
      <c r="G58" s="8"/>
      <c r="H58" s="9">
        <v>4.0</v>
      </c>
      <c r="I58" s="9">
        <f t="shared" si="17"/>
        <v>3</v>
      </c>
      <c r="J58" s="9">
        <f t="shared" si="13"/>
        <v>0</v>
      </c>
      <c r="K58" s="9">
        <f t="shared" si="18"/>
        <v>230133.9451</v>
      </c>
    </row>
    <row r="59" ht="14.25" customHeight="1">
      <c r="B59" s="11"/>
      <c r="C59" s="11"/>
      <c r="D59" s="11"/>
      <c r="E59" s="11"/>
      <c r="F59" s="11"/>
      <c r="G59" s="8"/>
      <c r="H59" s="9">
        <v>4.0</v>
      </c>
      <c r="I59" s="9">
        <f t="shared" si="17"/>
        <v>3</v>
      </c>
      <c r="J59" s="9">
        <f t="shared" si="13"/>
        <v>0</v>
      </c>
      <c r="K59" s="9">
        <f t="shared" si="18"/>
        <v>230133.9451</v>
      </c>
    </row>
    <row r="60" ht="14.25" customHeight="1">
      <c r="B60" s="11"/>
      <c r="C60" s="11"/>
      <c r="D60" s="11"/>
      <c r="E60" s="11"/>
      <c r="F60" s="11"/>
      <c r="G60" s="8"/>
      <c r="H60" s="9"/>
      <c r="I60" s="9">
        <v>7.0</v>
      </c>
      <c r="J60" s="9">
        <f t="shared" si="13"/>
        <v>0</v>
      </c>
      <c r="K60" s="9">
        <f>$D$42*7+$E$42+$F$42</f>
        <v>644375.0462</v>
      </c>
      <c r="L60" s="10" t="s">
        <v>12</v>
      </c>
    </row>
    <row r="61" ht="14.25" customHeight="1">
      <c r="B61" s="11"/>
      <c r="C61" s="11"/>
      <c r="D61" s="11"/>
      <c r="E61" s="11"/>
      <c r="F61" s="11"/>
      <c r="G61" s="8"/>
      <c r="H61" s="9">
        <v>4.0</v>
      </c>
      <c r="I61" s="9">
        <f t="shared" ref="I61:I64" si="19">H61-1</f>
        <v>3</v>
      </c>
      <c r="J61" s="9">
        <f t="shared" si="13"/>
        <v>0</v>
      </c>
      <c r="K61" s="9">
        <f t="shared" ref="K61:K64" si="20">$D$42*$I61+$C$42</f>
        <v>230133.9451</v>
      </c>
    </row>
    <row r="62" ht="14.25" customHeight="1">
      <c r="B62" s="11"/>
      <c r="C62" s="11"/>
      <c r="D62" s="11"/>
      <c r="E62" s="11"/>
      <c r="F62" s="11"/>
      <c r="G62" s="8"/>
      <c r="H62" s="9">
        <v>4.0</v>
      </c>
      <c r="I62" s="9">
        <f t="shared" si="19"/>
        <v>3</v>
      </c>
      <c r="J62" s="9">
        <f t="shared" si="13"/>
        <v>0</v>
      </c>
      <c r="K62" s="9">
        <f t="shared" si="20"/>
        <v>230133.9451</v>
      </c>
    </row>
    <row r="63" ht="14.25" customHeight="1">
      <c r="B63" s="11"/>
      <c r="C63" s="11"/>
      <c r="D63" s="11"/>
      <c r="E63" s="11"/>
      <c r="F63" s="11"/>
      <c r="G63" s="8"/>
      <c r="H63" s="9">
        <v>4.0</v>
      </c>
      <c r="I63" s="9">
        <f t="shared" si="19"/>
        <v>3</v>
      </c>
      <c r="J63" s="9">
        <f t="shared" si="13"/>
        <v>0</v>
      </c>
      <c r="K63" s="9">
        <f t="shared" si="20"/>
        <v>230133.9451</v>
      </c>
    </row>
    <row r="64" ht="14.25" customHeight="1">
      <c r="B64" s="11"/>
      <c r="C64" s="11"/>
      <c r="D64" s="11"/>
      <c r="E64" s="11"/>
      <c r="F64" s="11"/>
      <c r="G64" s="8"/>
      <c r="H64" s="9">
        <v>4.0</v>
      </c>
      <c r="I64" s="9">
        <f t="shared" si="19"/>
        <v>3</v>
      </c>
      <c r="J64" s="9">
        <f t="shared" si="13"/>
        <v>0</v>
      </c>
      <c r="K64" s="9">
        <f t="shared" si="20"/>
        <v>230133.9451</v>
      </c>
    </row>
    <row r="65" ht="14.25" customHeight="1">
      <c r="B65" s="11"/>
      <c r="C65" s="11"/>
      <c r="D65" s="11"/>
      <c r="E65" s="11"/>
      <c r="F65" s="11"/>
      <c r="G65" s="8"/>
      <c r="H65" s="9">
        <v>7.0</v>
      </c>
      <c r="I65" s="9">
        <v>7.0</v>
      </c>
      <c r="J65" s="9">
        <f t="shared" si="13"/>
        <v>0</v>
      </c>
      <c r="K65" s="9">
        <f>$D$42*7+$E$42+$F$42*2</f>
        <v>767113.1503</v>
      </c>
    </row>
    <row r="66" ht="14.25" customHeight="1">
      <c r="B66" s="11"/>
      <c r="C66" s="11"/>
      <c r="D66" s="11"/>
      <c r="E66" s="11"/>
      <c r="F66" s="11"/>
      <c r="G66" s="8"/>
      <c r="H66" s="9"/>
      <c r="I66" s="9">
        <v>11.0</v>
      </c>
      <c r="J66" s="9">
        <f t="shared" si="13"/>
        <v>3</v>
      </c>
      <c r="K66" s="9">
        <f>$D$42*7+$E$42+$F$42*J66</f>
        <v>889851.2543</v>
      </c>
      <c r="L66" s="10" t="s">
        <v>12</v>
      </c>
    </row>
    <row r="67" ht="14.25" customHeight="1">
      <c r="B67" s="11"/>
      <c r="C67" s="11"/>
      <c r="D67" s="11"/>
      <c r="E67" s="11"/>
      <c r="F67" s="11"/>
      <c r="G67" s="8"/>
      <c r="H67" s="9">
        <v>4.0</v>
      </c>
      <c r="I67" s="9">
        <f>H67-1</f>
        <v>3</v>
      </c>
      <c r="J67" s="9">
        <f t="shared" si="13"/>
        <v>0</v>
      </c>
      <c r="K67" s="9">
        <f>$D$42*$I67+$C$42</f>
        <v>230133.9451</v>
      </c>
    </row>
    <row r="68" ht="14.25" customHeight="1">
      <c r="B68" s="12"/>
      <c r="C68" s="12"/>
      <c r="D68" s="12"/>
      <c r="E68" s="12"/>
      <c r="F68" s="12"/>
      <c r="G68" s="8"/>
      <c r="H68" s="9"/>
      <c r="I68" s="9"/>
      <c r="J68" s="9"/>
      <c r="K68" s="9"/>
    </row>
    <row r="69" ht="14.25" customHeight="1">
      <c r="B69" s="13" t="s">
        <v>13</v>
      </c>
      <c r="C69" s="14"/>
      <c r="D69" s="14"/>
      <c r="E69" s="14"/>
      <c r="F69" s="14"/>
      <c r="G69" s="14"/>
      <c r="H69" s="15"/>
      <c r="I69" s="16"/>
      <c r="J69" s="16"/>
      <c r="K69" s="17">
        <f>SUM(K42:K68)</f>
        <v>8975223.858</v>
      </c>
    </row>
    <row r="70" ht="14.25" customHeight="1"/>
    <row r="71" ht="14.25" customHeight="1"/>
    <row r="72" ht="14.25" customHeight="1"/>
    <row r="73" ht="14.25" customHeight="1">
      <c r="B73" s="1" t="s">
        <v>15</v>
      </c>
      <c r="C73" s="2"/>
      <c r="D73" s="2"/>
      <c r="E73" s="2"/>
      <c r="F73" s="2"/>
      <c r="G73" s="2"/>
      <c r="H73" s="2"/>
      <c r="I73" s="2"/>
      <c r="J73" s="2"/>
      <c r="K73" s="2"/>
    </row>
    <row r="74" ht="14.25" customHeight="1">
      <c r="B74" s="3" t="s">
        <v>1</v>
      </c>
      <c r="C74" s="4" t="s">
        <v>2</v>
      </c>
      <c r="D74" s="4" t="s">
        <v>3</v>
      </c>
      <c r="E74" s="4" t="s">
        <v>4</v>
      </c>
      <c r="F74" s="4" t="s">
        <v>5</v>
      </c>
      <c r="G74" s="4" t="s">
        <v>6</v>
      </c>
      <c r="H74" s="4" t="s">
        <v>7</v>
      </c>
      <c r="I74" s="4" t="s">
        <v>8</v>
      </c>
      <c r="J74" s="4" t="s">
        <v>9</v>
      </c>
      <c r="K74" s="4" t="s">
        <v>10</v>
      </c>
    </row>
    <row r="75" ht="14.25" customHeight="1">
      <c r="B75" s="18">
        <v>4574540.0</v>
      </c>
      <c r="C75" s="18">
        <f>B75/173*1.5</f>
        <v>39663.64162</v>
      </c>
      <c r="D75" s="18">
        <f>B75/173*2</f>
        <v>52884.85549</v>
      </c>
      <c r="E75" s="18">
        <f>1*3*1/173*B75</f>
        <v>79327.28324</v>
      </c>
      <c r="F75" s="18">
        <f>1*4*1/173*B75</f>
        <v>105769.711</v>
      </c>
      <c r="G75" s="8"/>
      <c r="H75" s="9">
        <v>5.0</v>
      </c>
      <c r="I75" s="9">
        <f t="shared" ref="I75:I80" si="21">H75-1</f>
        <v>4</v>
      </c>
      <c r="J75" s="9">
        <f t="shared" ref="J75:J103" si="22">IF(I75&gt;8,I75-8,0)</f>
        <v>0</v>
      </c>
      <c r="K75" s="9">
        <f t="shared" ref="K75:K80" si="23">$D$75*$I75+$C$75</f>
        <v>251203.0636</v>
      </c>
    </row>
    <row r="76" ht="14.25" customHeight="1">
      <c r="B76" s="11"/>
      <c r="C76" s="11"/>
      <c r="D76" s="11"/>
      <c r="E76" s="11"/>
      <c r="F76" s="11"/>
      <c r="G76" s="8"/>
      <c r="H76" s="9">
        <v>5.0</v>
      </c>
      <c r="I76" s="9">
        <f t="shared" si="21"/>
        <v>4</v>
      </c>
      <c r="J76" s="9">
        <f t="shared" si="22"/>
        <v>0</v>
      </c>
      <c r="K76" s="9">
        <f t="shared" si="23"/>
        <v>251203.0636</v>
      </c>
    </row>
    <row r="77" ht="14.25" customHeight="1">
      <c r="B77" s="11"/>
      <c r="C77" s="11"/>
      <c r="D77" s="11"/>
      <c r="E77" s="11"/>
      <c r="F77" s="11"/>
      <c r="G77" s="8"/>
      <c r="H77" s="9">
        <v>4.0</v>
      </c>
      <c r="I77" s="9">
        <f t="shared" si="21"/>
        <v>3</v>
      </c>
      <c r="J77" s="9">
        <f t="shared" si="22"/>
        <v>0</v>
      </c>
      <c r="K77" s="9">
        <f t="shared" si="23"/>
        <v>198318.2081</v>
      </c>
    </row>
    <row r="78" ht="14.25" customHeight="1">
      <c r="B78" s="11"/>
      <c r="C78" s="11"/>
      <c r="D78" s="11"/>
      <c r="E78" s="11"/>
      <c r="F78" s="11"/>
      <c r="G78" s="8"/>
      <c r="H78" s="9">
        <v>4.0</v>
      </c>
      <c r="I78" s="9">
        <f t="shared" si="21"/>
        <v>3</v>
      </c>
      <c r="J78" s="9">
        <f t="shared" si="22"/>
        <v>0</v>
      </c>
      <c r="K78" s="9">
        <f t="shared" si="23"/>
        <v>198318.2081</v>
      </c>
    </row>
    <row r="79" ht="14.25" customHeight="1">
      <c r="B79" s="11"/>
      <c r="C79" s="11"/>
      <c r="D79" s="11"/>
      <c r="E79" s="11"/>
      <c r="F79" s="11"/>
      <c r="G79" s="8"/>
      <c r="H79" s="9">
        <v>3.0</v>
      </c>
      <c r="I79" s="9">
        <f t="shared" si="21"/>
        <v>2</v>
      </c>
      <c r="J79" s="9">
        <f t="shared" si="22"/>
        <v>0</v>
      </c>
      <c r="K79" s="9">
        <f t="shared" si="23"/>
        <v>145433.3526</v>
      </c>
    </row>
    <row r="80" ht="14.25" customHeight="1">
      <c r="B80" s="11"/>
      <c r="C80" s="11"/>
      <c r="D80" s="11"/>
      <c r="E80" s="11"/>
      <c r="F80" s="11"/>
      <c r="G80" s="8"/>
      <c r="H80" s="9">
        <v>6.0</v>
      </c>
      <c r="I80" s="9">
        <f t="shared" si="21"/>
        <v>5</v>
      </c>
      <c r="J80" s="9">
        <f t="shared" si="22"/>
        <v>0</v>
      </c>
      <c r="K80" s="9">
        <f t="shared" si="23"/>
        <v>304087.9191</v>
      </c>
    </row>
    <row r="81" ht="14.25" customHeight="1">
      <c r="B81" s="11"/>
      <c r="C81" s="11"/>
      <c r="D81" s="11"/>
      <c r="E81" s="11"/>
      <c r="F81" s="11"/>
      <c r="G81" s="8"/>
      <c r="H81" s="9"/>
      <c r="I81" s="9">
        <v>11.0</v>
      </c>
      <c r="J81" s="9">
        <f t="shared" si="22"/>
        <v>3</v>
      </c>
      <c r="K81" s="9">
        <f>$D$75*7+$E$75+$F$75*J81</f>
        <v>766830.4046</v>
      </c>
      <c r="L81" s="10" t="s">
        <v>12</v>
      </c>
    </row>
    <row r="82" ht="14.25" customHeight="1">
      <c r="B82" s="11"/>
      <c r="C82" s="11"/>
      <c r="D82" s="11"/>
      <c r="E82" s="11"/>
      <c r="F82" s="11"/>
      <c r="G82" s="8"/>
      <c r="H82" s="9">
        <v>3.0</v>
      </c>
      <c r="I82" s="9">
        <f t="shared" ref="I82:I87" si="24">H82-1</f>
        <v>2</v>
      </c>
      <c r="J82" s="9">
        <f t="shared" si="22"/>
        <v>0</v>
      </c>
      <c r="K82" s="9">
        <f t="shared" ref="K82:K87" si="25">$D$75*$I82+$C$75</f>
        <v>145433.3526</v>
      </c>
    </row>
    <row r="83" ht="14.25" customHeight="1">
      <c r="B83" s="11"/>
      <c r="C83" s="11"/>
      <c r="D83" s="11"/>
      <c r="E83" s="11"/>
      <c r="F83" s="11"/>
      <c r="G83" s="8"/>
      <c r="H83" s="9">
        <v>4.0</v>
      </c>
      <c r="I83" s="9">
        <f t="shared" si="24"/>
        <v>3</v>
      </c>
      <c r="J83" s="9">
        <f t="shared" si="22"/>
        <v>0</v>
      </c>
      <c r="K83" s="9">
        <f t="shared" si="25"/>
        <v>198318.2081</v>
      </c>
    </row>
    <row r="84" ht="14.25" customHeight="1">
      <c r="B84" s="11"/>
      <c r="C84" s="11"/>
      <c r="D84" s="11"/>
      <c r="E84" s="11"/>
      <c r="F84" s="11"/>
      <c r="G84" s="8"/>
      <c r="H84" s="9">
        <v>4.0</v>
      </c>
      <c r="I84" s="9">
        <f t="shared" si="24"/>
        <v>3</v>
      </c>
      <c r="J84" s="9">
        <f t="shared" si="22"/>
        <v>0</v>
      </c>
      <c r="K84" s="9">
        <f t="shared" si="25"/>
        <v>198318.2081</v>
      </c>
    </row>
    <row r="85" ht="14.25" customHeight="1">
      <c r="B85" s="11"/>
      <c r="C85" s="11"/>
      <c r="D85" s="11"/>
      <c r="E85" s="11"/>
      <c r="F85" s="11"/>
      <c r="G85" s="8"/>
      <c r="H85" s="9">
        <v>3.0</v>
      </c>
      <c r="I85" s="9">
        <f t="shared" si="24"/>
        <v>2</v>
      </c>
      <c r="J85" s="9">
        <f t="shared" si="22"/>
        <v>0</v>
      </c>
      <c r="K85" s="9">
        <f t="shared" si="25"/>
        <v>145433.3526</v>
      </c>
    </row>
    <row r="86" ht="14.25" customHeight="1">
      <c r="B86" s="11"/>
      <c r="C86" s="11"/>
      <c r="D86" s="11"/>
      <c r="E86" s="11"/>
      <c r="F86" s="11"/>
      <c r="G86" s="8"/>
      <c r="H86" s="9">
        <v>3.0</v>
      </c>
      <c r="I86" s="9">
        <f t="shared" si="24"/>
        <v>2</v>
      </c>
      <c r="J86" s="9">
        <f t="shared" si="22"/>
        <v>0</v>
      </c>
      <c r="K86" s="9">
        <f t="shared" si="25"/>
        <v>145433.3526</v>
      </c>
    </row>
    <row r="87" ht="14.25" customHeight="1">
      <c r="B87" s="11"/>
      <c r="C87" s="11"/>
      <c r="D87" s="11"/>
      <c r="E87" s="11"/>
      <c r="F87" s="11"/>
      <c r="G87" s="8"/>
      <c r="H87" s="9">
        <v>6.0</v>
      </c>
      <c r="I87" s="9">
        <f t="shared" si="24"/>
        <v>5</v>
      </c>
      <c r="J87" s="9">
        <f t="shared" si="22"/>
        <v>0</v>
      </c>
      <c r="K87" s="9">
        <f t="shared" si="25"/>
        <v>304087.9191</v>
      </c>
    </row>
    <row r="88" ht="14.25" customHeight="1">
      <c r="B88" s="11"/>
      <c r="C88" s="11"/>
      <c r="D88" s="11"/>
      <c r="E88" s="11"/>
      <c r="F88" s="11"/>
      <c r="G88" s="8"/>
      <c r="H88" s="9"/>
      <c r="I88" s="9">
        <v>11.0</v>
      </c>
      <c r="J88" s="9">
        <f t="shared" si="22"/>
        <v>3</v>
      </c>
      <c r="K88" s="9">
        <f>$D$75*7+$E$75+$F$75*J88</f>
        <v>766830.4046</v>
      </c>
      <c r="L88" s="10" t="s">
        <v>12</v>
      </c>
    </row>
    <row r="89" ht="14.25" customHeight="1">
      <c r="B89" s="11"/>
      <c r="C89" s="11"/>
      <c r="D89" s="11"/>
      <c r="E89" s="11"/>
      <c r="F89" s="11"/>
      <c r="G89" s="8"/>
      <c r="H89" s="9">
        <v>3.0</v>
      </c>
      <c r="I89" s="9">
        <f t="shared" ref="I89:I93" si="26">H89-1</f>
        <v>2</v>
      </c>
      <c r="J89" s="9">
        <f t="shared" si="22"/>
        <v>0</v>
      </c>
      <c r="K89" s="9">
        <f t="shared" ref="K89:K93" si="27">$D$75*$I89+$C$75</f>
        <v>145433.3526</v>
      </c>
    </row>
    <row r="90" ht="14.25" customHeight="1">
      <c r="B90" s="11"/>
      <c r="C90" s="11"/>
      <c r="D90" s="11"/>
      <c r="E90" s="11"/>
      <c r="F90" s="11"/>
      <c r="G90" s="8"/>
      <c r="H90" s="9">
        <v>4.0</v>
      </c>
      <c r="I90" s="9">
        <f t="shared" si="26"/>
        <v>3</v>
      </c>
      <c r="J90" s="9">
        <f t="shared" si="22"/>
        <v>0</v>
      </c>
      <c r="K90" s="9">
        <f t="shared" si="27"/>
        <v>198318.2081</v>
      </c>
    </row>
    <row r="91" ht="14.25" customHeight="1">
      <c r="B91" s="11"/>
      <c r="C91" s="11"/>
      <c r="D91" s="11"/>
      <c r="E91" s="11"/>
      <c r="F91" s="11"/>
      <c r="G91" s="8"/>
      <c r="H91" s="9">
        <v>4.0</v>
      </c>
      <c r="I91" s="9">
        <f t="shared" si="26"/>
        <v>3</v>
      </c>
      <c r="J91" s="9">
        <f t="shared" si="22"/>
        <v>0</v>
      </c>
      <c r="K91" s="9">
        <f t="shared" si="27"/>
        <v>198318.2081</v>
      </c>
    </row>
    <row r="92" ht="14.25" customHeight="1">
      <c r="B92" s="11"/>
      <c r="C92" s="11"/>
      <c r="D92" s="11"/>
      <c r="E92" s="11"/>
      <c r="F92" s="11"/>
      <c r="G92" s="8"/>
      <c r="H92" s="9">
        <v>4.0</v>
      </c>
      <c r="I92" s="9">
        <f t="shared" si="26"/>
        <v>3</v>
      </c>
      <c r="J92" s="9">
        <f t="shared" si="22"/>
        <v>0</v>
      </c>
      <c r="K92" s="9">
        <f t="shared" si="27"/>
        <v>198318.2081</v>
      </c>
    </row>
    <row r="93" ht="14.25" customHeight="1">
      <c r="B93" s="11"/>
      <c r="C93" s="11"/>
      <c r="D93" s="11"/>
      <c r="E93" s="11"/>
      <c r="F93" s="11"/>
      <c r="G93" s="8"/>
      <c r="H93" s="9">
        <v>7.0</v>
      </c>
      <c r="I93" s="9">
        <f t="shared" si="26"/>
        <v>6</v>
      </c>
      <c r="J93" s="9">
        <f t="shared" si="22"/>
        <v>0</v>
      </c>
      <c r="K93" s="9">
        <f t="shared" si="27"/>
        <v>356972.7746</v>
      </c>
    </row>
    <row r="94" ht="14.25" customHeight="1">
      <c r="B94" s="11"/>
      <c r="C94" s="11"/>
      <c r="D94" s="11"/>
      <c r="E94" s="11"/>
      <c r="F94" s="11"/>
      <c r="G94" s="8"/>
      <c r="H94" s="9"/>
      <c r="I94" s="9">
        <v>11.0</v>
      </c>
      <c r="J94" s="9">
        <f t="shared" si="22"/>
        <v>3</v>
      </c>
      <c r="K94" s="9">
        <f>$D$75*7+$E$75+$F$75*J94</f>
        <v>766830.4046</v>
      </c>
      <c r="L94" s="10" t="s">
        <v>12</v>
      </c>
    </row>
    <row r="95" ht="14.25" customHeight="1">
      <c r="B95" s="11"/>
      <c r="C95" s="11"/>
      <c r="D95" s="11"/>
      <c r="E95" s="11"/>
      <c r="F95" s="11"/>
      <c r="G95" s="8"/>
      <c r="H95" s="9">
        <v>4.0</v>
      </c>
      <c r="I95" s="9">
        <f t="shared" ref="I95:I100" si="28">H95-1</f>
        <v>3</v>
      </c>
      <c r="J95" s="9">
        <f t="shared" si="22"/>
        <v>0</v>
      </c>
      <c r="K95" s="9">
        <f t="shared" ref="K95:K100" si="29">$D$75*$I95+$C$75</f>
        <v>198318.2081</v>
      </c>
    </row>
    <row r="96" ht="14.25" customHeight="1">
      <c r="B96" s="11"/>
      <c r="C96" s="11"/>
      <c r="D96" s="11"/>
      <c r="E96" s="11"/>
      <c r="F96" s="11"/>
      <c r="G96" s="8"/>
      <c r="H96" s="9">
        <v>4.0</v>
      </c>
      <c r="I96" s="9">
        <f t="shared" si="28"/>
        <v>3</v>
      </c>
      <c r="J96" s="9">
        <f t="shared" si="22"/>
        <v>0</v>
      </c>
      <c r="K96" s="9">
        <f t="shared" si="29"/>
        <v>198318.2081</v>
      </c>
    </row>
    <row r="97" ht="14.25" customHeight="1">
      <c r="B97" s="11"/>
      <c r="C97" s="11"/>
      <c r="D97" s="11"/>
      <c r="E97" s="11"/>
      <c r="F97" s="11"/>
      <c r="G97" s="8"/>
      <c r="H97" s="9">
        <v>4.0</v>
      </c>
      <c r="I97" s="9">
        <f t="shared" si="28"/>
        <v>3</v>
      </c>
      <c r="J97" s="9">
        <f t="shared" si="22"/>
        <v>0</v>
      </c>
      <c r="K97" s="9">
        <f t="shared" si="29"/>
        <v>198318.2081</v>
      </c>
    </row>
    <row r="98" ht="14.25" customHeight="1">
      <c r="B98" s="11"/>
      <c r="C98" s="11"/>
      <c r="D98" s="11"/>
      <c r="E98" s="11"/>
      <c r="F98" s="11"/>
      <c r="G98" s="8"/>
      <c r="H98" s="9">
        <v>4.0</v>
      </c>
      <c r="I98" s="9">
        <f t="shared" si="28"/>
        <v>3</v>
      </c>
      <c r="J98" s="9">
        <f t="shared" si="22"/>
        <v>0</v>
      </c>
      <c r="K98" s="9">
        <f t="shared" si="29"/>
        <v>198318.2081</v>
      </c>
    </row>
    <row r="99" ht="14.25" customHeight="1">
      <c r="B99" s="11"/>
      <c r="C99" s="11"/>
      <c r="D99" s="11"/>
      <c r="E99" s="11"/>
      <c r="F99" s="11"/>
      <c r="G99" s="8"/>
      <c r="H99" s="9">
        <v>3.0</v>
      </c>
      <c r="I99" s="9">
        <f t="shared" si="28"/>
        <v>2</v>
      </c>
      <c r="J99" s="9">
        <f t="shared" si="22"/>
        <v>0</v>
      </c>
      <c r="K99" s="9">
        <f t="shared" si="29"/>
        <v>145433.3526</v>
      </c>
    </row>
    <row r="100" ht="14.25" customHeight="1">
      <c r="B100" s="11"/>
      <c r="C100" s="11"/>
      <c r="D100" s="11"/>
      <c r="E100" s="11"/>
      <c r="F100" s="11"/>
      <c r="G100" s="8"/>
      <c r="H100" s="9">
        <v>6.0</v>
      </c>
      <c r="I100" s="9">
        <f t="shared" si="28"/>
        <v>5</v>
      </c>
      <c r="J100" s="9">
        <f t="shared" si="22"/>
        <v>0</v>
      </c>
      <c r="K100" s="9">
        <f t="shared" si="29"/>
        <v>304087.9191</v>
      </c>
    </row>
    <row r="101" ht="14.25" customHeight="1">
      <c r="B101" s="11"/>
      <c r="C101" s="11"/>
      <c r="D101" s="11"/>
      <c r="E101" s="11"/>
      <c r="F101" s="11"/>
      <c r="G101" s="8"/>
      <c r="H101" s="9"/>
      <c r="I101" s="9">
        <v>10.0</v>
      </c>
      <c r="J101" s="9">
        <f t="shared" si="22"/>
        <v>2</v>
      </c>
      <c r="K101" s="9">
        <f>$D$75*7+$E$75+$F$75*J101</f>
        <v>661060.6936</v>
      </c>
      <c r="L101" s="10" t="s">
        <v>12</v>
      </c>
    </row>
    <row r="102" ht="14.25" customHeight="1">
      <c r="B102" s="11"/>
      <c r="C102" s="11"/>
      <c r="D102" s="11"/>
      <c r="E102" s="11"/>
      <c r="F102" s="11"/>
      <c r="G102" s="8"/>
      <c r="H102" s="9">
        <v>3.0</v>
      </c>
      <c r="I102" s="9">
        <f t="shared" ref="I102:I103" si="30">H102-1</f>
        <v>2</v>
      </c>
      <c r="J102" s="9">
        <f t="shared" si="22"/>
        <v>0</v>
      </c>
      <c r="K102" s="9">
        <f t="shared" ref="K102:K103" si="31">$D$75*$I102+$C$75</f>
        <v>145433.3526</v>
      </c>
    </row>
    <row r="103" ht="14.25" customHeight="1">
      <c r="B103" s="11"/>
      <c r="C103" s="11"/>
      <c r="D103" s="11"/>
      <c r="E103" s="11"/>
      <c r="F103" s="11"/>
      <c r="G103" s="8"/>
      <c r="H103" s="9">
        <v>3.0</v>
      </c>
      <c r="I103" s="9">
        <f t="shared" si="30"/>
        <v>2</v>
      </c>
      <c r="J103" s="9">
        <f t="shared" si="22"/>
        <v>0</v>
      </c>
      <c r="K103" s="9">
        <f t="shared" si="31"/>
        <v>145433.3526</v>
      </c>
    </row>
    <row r="104" ht="14.25" customHeight="1">
      <c r="B104" s="12"/>
      <c r="C104" s="12"/>
      <c r="D104" s="12"/>
      <c r="E104" s="12"/>
      <c r="F104" s="12"/>
      <c r="G104" s="8"/>
      <c r="H104" s="9"/>
      <c r="I104" s="9"/>
      <c r="J104" s="9"/>
      <c r="K104" s="9"/>
    </row>
    <row r="105" ht="14.25" customHeight="1">
      <c r="B105" s="13" t="s">
        <v>13</v>
      </c>
      <c r="C105" s="14"/>
      <c r="D105" s="14"/>
      <c r="E105" s="14"/>
      <c r="F105" s="14"/>
      <c r="G105" s="14"/>
      <c r="H105" s="15"/>
      <c r="I105" s="16"/>
      <c r="J105" s="16"/>
      <c r="K105" s="17">
        <f>SUM(K75:K104)</f>
        <v>8078161.676</v>
      </c>
    </row>
    <row r="106" ht="14.25" customHeight="1"/>
    <row r="107" ht="14.25" customHeight="1"/>
    <row r="108" ht="14.25" customHeight="1"/>
    <row r="109" ht="14.25" customHeight="1">
      <c r="B109" s="1" t="s">
        <v>16</v>
      </c>
      <c r="C109" s="2"/>
      <c r="D109" s="2"/>
      <c r="E109" s="2"/>
      <c r="F109" s="2"/>
      <c r="G109" s="2"/>
      <c r="H109" s="2"/>
      <c r="I109" s="2"/>
      <c r="J109" s="2"/>
      <c r="K109" s="2"/>
    </row>
    <row r="110" ht="14.25" customHeight="1">
      <c r="B110" s="3" t="s">
        <v>1</v>
      </c>
      <c r="C110" s="4" t="s">
        <v>2</v>
      </c>
      <c r="D110" s="4" t="s">
        <v>3</v>
      </c>
      <c r="E110" s="4" t="s">
        <v>4</v>
      </c>
      <c r="F110" s="4" t="s">
        <v>5</v>
      </c>
      <c r="G110" s="4" t="s">
        <v>6</v>
      </c>
      <c r="H110" s="4" t="s">
        <v>7</v>
      </c>
      <c r="I110" s="4" t="s">
        <v>8</v>
      </c>
      <c r="J110" s="4" t="s">
        <v>9</v>
      </c>
      <c r="K110" s="4" t="s">
        <v>10</v>
      </c>
    </row>
    <row r="111" ht="14.25" customHeight="1">
      <c r="B111" s="18">
        <v>4133259.0</v>
      </c>
      <c r="C111" s="18">
        <f>B111/173*1.5</f>
        <v>35837.50578</v>
      </c>
      <c r="D111" s="18">
        <f>B111/173*2</f>
        <v>47783.34104</v>
      </c>
      <c r="E111" s="18">
        <f>1*3*1/173*B111</f>
        <v>71675.01156</v>
      </c>
      <c r="F111" s="18">
        <f>1*4*1/173*B111</f>
        <v>95566.68208</v>
      </c>
      <c r="G111" s="8"/>
      <c r="H111" s="9">
        <v>4.0</v>
      </c>
      <c r="I111" s="9">
        <f t="shared" ref="I111:I113" si="32">H111-1</f>
        <v>3</v>
      </c>
      <c r="J111" s="9">
        <f t="shared" ref="J111:J139" si="33">IF(I111&gt;8,I111-8,0)</f>
        <v>0</v>
      </c>
      <c r="K111" s="9">
        <f t="shared" ref="K111:K113" si="34">$D$111*$I111+$C$111</f>
        <v>179187.5289</v>
      </c>
    </row>
    <row r="112" ht="14.25" customHeight="1">
      <c r="B112" s="11"/>
      <c r="C112" s="11"/>
      <c r="D112" s="11"/>
      <c r="E112" s="11"/>
      <c r="F112" s="11"/>
      <c r="G112" s="8"/>
      <c r="H112" s="9">
        <v>4.0</v>
      </c>
      <c r="I112" s="9">
        <f t="shared" si="32"/>
        <v>3</v>
      </c>
      <c r="J112" s="9">
        <f t="shared" si="33"/>
        <v>0</v>
      </c>
      <c r="K112" s="9">
        <f t="shared" si="34"/>
        <v>179187.5289</v>
      </c>
    </row>
    <row r="113" ht="14.25" customHeight="1">
      <c r="B113" s="11"/>
      <c r="C113" s="11"/>
      <c r="D113" s="11"/>
      <c r="E113" s="11"/>
      <c r="F113" s="11"/>
      <c r="G113" s="8"/>
      <c r="H113" s="9">
        <v>4.0</v>
      </c>
      <c r="I113" s="9">
        <f t="shared" si="32"/>
        <v>3</v>
      </c>
      <c r="J113" s="9">
        <f t="shared" si="33"/>
        <v>0</v>
      </c>
      <c r="K113" s="9">
        <f t="shared" si="34"/>
        <v>179187.5289</v>
      </c>
    </row>
    <row r="114" ht="14.25" customHeight="1">
      <c r="B114" s="11"/>
      <c r="C114" s="11"/>
      <c r="D114" s="11"/>
      <c r="E114" s="11"/>
      <c r="F114" s="11"/>
      <c r="G114" s="8"/>
      <c r="H114" s="9"/>
      <c r="I114" s="9">
        <v>10.0</v>
      </c>
      <c r="J114" s="9">
        <f t="shared" si="33"/>
        <v>2</v>
      </c>
      <c r="K114" s="9">
        <f>$D$111*7+$E$111+$F$111*J114</f>
        <v>597291.763</v>
      </c>
      <c r="L114" s="10" t="s">
        <v>12</v>
      </c>
    </row>
    <row r="115" ht="14.25" customHeight="1">
      <c r="B115" s="11"/>
      <c r="C115" s="11"/>
      <c r="D115" s="11"/>
      <c r="E115" s="11"/>
      <c r="F115" s="11"/>
      <c r="G115" s="8"/>
      <c r="H115" s="9">
        <v>4.0</v>
      </c>
      <c r="I115" s="9">
        <f t="shared" ref="I115:I120" si="35">H115-1</f>
        <v>3</v>
      </c>
      <c r="J115" s="9">
        <f t="shared" si="33"/>
        <v>0</v>
      </c>
      <c r="K115" s="9">
        <f t="shared" ref="K115:K120" si="36">$D$111*$I115+$C$111</f>
        <v>179187.5289</v>
      </c>
    </row>
    <row r="116" ht="14.25" customHeight="1">
      <c r="B116" s="11"/>
      <c r="C116" s="11"/>
      <c r="D116" s="11"/>
      <c r="E116" s="11"/>
      <c r="F116" s="11"/>
      <c r="G116" s="8"/>
      <c r="H116" s="9">
        <v>4.0</v>
      </c>
      <c r="I116" s="9">
        <f t="shared" si="35"/>
        <v>3</v>
      </c>
      <c r="J116" s="9">
        <f t="shared" si="33"/>
        <v>0</v>
      </c>
      <c r="K116" s="9">
        <f t="shared" si="36"/>
        <v>179187.5289</v>
      </c>
    </row>
    <row r="117" ht="14.25" customHeight="1">
      <c r="B117" s="11"/>
      <c r="C117" s="11"/>
      <c r="D117" s="11"/>
      <c r="E117" s="11"/>
      <c r="F117" s="11"/>
      <c r="G117" s="8"/>
      <c r="H117" s="9">
        <v>4.0</v>
      </c>
      <c r="I117" s="9">
        <f t="shared" si="35"/>
        <v>3</v>
      </c>
      <c r="J117" s="9">
        <f t="shared" si="33"/>
        <v>0</v>
      </c>
      <c r="K117" s="9">
        <f t="shared" si="36"/>
        <v>179187.5289</v>
      </c>
    </row>
    <row r="118" ht="14.25" customHeight="1">
      <c r="B118" s="11"/>
      <c r="C118" s="11"/>
      <c r="D118" s="11"/>
      <c r="E118" s="11"/>
      <c r="F118" s="11"/>
      <c r="G118" s="8"/>
      <c r="H118" s="9">
        <v>4.0</v>
      </c>
      <c r="I118" s="9">
        <f t="shared" si="35"/>
        <v>3</v>
      </c>
      <c r="J118" s="9">
        <f t="shared" si="33"/>
        <v>0</v>
      </c>
      <c r="K118" s="9">
        <f t="shared" si="36"/>
        <v>179187.5289</v>
      </c>
    </row>
    <row r="119" ht="14.25" customHeight="1">
      <c r="B119" s="11"/>
      <c r="C119" s="11"/>
      <c r="D119" s="11"/>
      <c r="E119" s="11"/>
      <c r="F119" s="11"/>
      <c r="G119" s="8"/>
      <c r="H119" s="9">
        <v>4.0</v>
      </c>
      <c r="I119" s="9">
        <f t="shared" si="35"/>
        <v>3</v>
      </c>
      <c r="J119" s="9">
        <f t="shared" si="33"/>
        <v>0</v>
      </c>
      <c r="K119" s="9">
        <f t="shared" si="36"/>
        <v>179187.5289</v>
      </c>
    </row>
    <row r="120" ht="14.25" customHeight="1">
      <c r="B120" s="11"/>
      <c r="C120" s="11"/>
      <c r="D120" s="11"/>
      <c r="E120" s="11"/>
      <c r="F120" s="11"/>
      <c r="G120" s="8"/>
      <c r="H120" s="9">
        <v>4.0</v>
      </c>
      <c r="I120" s="9">
        <f t="shared" si="35"/>
        <v>3</v>
      </c>
      <c r="J120" s="9">
        <f t="shared" si="33"/>
        <v>0</v>
      </c>
      <c r="K120" s="9">
        <f t="shared" si="36"/>
        <v>179187.5289</v>
      </c>
    </row>
    <row r="121" ht="14.25" customHeight="1">
      <c r="B121" s="11"/>
      <c r="C121" s="11"/>
      <c r="D121" s="11"/>
      <c r="E121" s="11"/>
      <c r="F121" s="11"/>
      <c r="G121" s="8"/>
      <c r="H121" s="9"/>
      <c r="I121" s="9">
        <v>10.0</v>
      </c>
      <c r="J121" s="9">
        <f t="shared" si="33"/>
        <v>2</v>
      </c>
      <c r="K121" s="9">
        <f>$D$111*7+$E$111+$F$111*J121</f>
        <v>597291.763</v>
      </c>
      <c r="L121" s="10" t="s">
        <v>12</v>
      </c>
    </row>
    <row r="122" ht="14.25" customHeight="1">
      <c r="B122" s="11"/>
      <c r="C122" s="11"/>
      <c r="D122" s="11"/>
      <c r="E122" s="11"/>
      <c r="F122" s="11"/>
      <c r="G122" s="8"/>
      <c r="H122" s="9">
        <v>4.0</v>
      </c>
      <c r="I122" s="9">
        <f t="shared" ref="I122:I127" si="37">H122-1</f>
        <v>3</v>
      </c>
      <c r="J122" s="9">
        <f t="shared" si="33"/>
        <v>0</v>
      </c>
      <c r="K122" s="9">
        <f t="shared" ref="K122:K127" si="38">$D$111*$I122+$C$111</f>
        <v>179187.5289</v>
      </c>
    </row>
    <row r="123" ht="14.25" customHeight="1">
      <c r="B123" s="11"/>
      <c r="C123" s="11"/>
      <c r="D123" s="11"/>
      <c r="E123" s="11"/>
      <c r="F123" s="11"/>
      <c r="G123" s="8"/>
      <c r="H123" s="9">
        <v>4.0</v>
      </c>
      <c r="I123" s="9">
        <f t="shared" si="37"/>
        <v>3</v>
      </c>
      <c r="J123" s="9">
        <f t="shared" si="33"/>
        <v>0</v>
      </c>
      <c r="K123" s="9">
        <f t="shared" si="38"/>
        <v>179187.5289</v>
      </c>
    </row>
    <row r="124" ht="14.25" customHeight="1">
      <c r="B124" s="11"/>
      <c r="C124" s="11"/>
      <c r="D124" s="11"/>
      <c r="E124" s="11"/>
      <c r="F124" s="11"/>
      <c r="G124" s="8"/>
      <c r="H124" s="9">
        <v>4.0</v>
      </c>
      <c r="I124" s="9">
        <f t="shared" si="37"/>
        <v>3</v>
      </c>
      <c r="J124" s="9">
        <f t="shared" si="33"/>
        <v>0</v>
      </c>
      <c r="K124" s="9">
        <f t="shared" si="38"/>
        <v>179187.5289</v>
      </c>
    </row>
    <row r="125" ht="14.25" customHeight="1">
      <c r="B125" s="11"/>
      <c r="C125" s="11"/>
      <c r="D125" s="11"/>
      <c r="E125" s="11"/>
      <c r="F125" s="11"/>
      <c r="G125" s="8"/>
      <c r="H125" s="9">
        <v>4.0</v>
      </c>
      <c r="I125" s="9">
        <f t="shared" si="37"/>
        <v>3</v>
      </c>
      <c r="J125" s="9">
        <f t="shared" si="33"/>
        <v>0</v>
      </c>
      <c r="K125" s="9">
        <f t="shared" si="38"/>
        <v>179187.5289</v>
      </c>
    </row>
    <row r="126" ht="14.25" customHeight="1">
      <c r="B126" s="11"/>
      <c r="C126" s="11"/>
      <c r="D126" s="11"/>
      <c r="E126" s="11"/>
      <c r="F126" s="11"/>
      <c r="G126" s="8"/>
      <c r="H126" s="9">
        <v>4.0</v>
      </c>
      <c r="I126" s="9">
        <f t="shared" si="37"/>
        <v>3</v>
      </c>
      <c r="J126" s="9">
        <f t="shared" si="33"/>
        <v>0</v>
      </c>
      <c r="K126" s="9">
        <f t="shared" si="38"/>
        <v>179187.5289</v>
      </c>
    </row>
    <row r="127" ht="14.25" customHeight="1">
      <c r="B127" s="11"/>
      <c r="C127" s="11"/>
      <c r="D127" s="11"/>
      <c r="E127" s="11"/>
      <c r="F127" s="11"/>
      <c r="G127" s="8"/>
      <c r="H127" s="9">
        <v>4.0</v>
      </c>
      <c r="I127" s="9">
        <f t="shared" si="37"/>
        <v>3</v>
      </c>
      <c r="J127" s="9">
        <f t="shared" si="33"/>
        <v>0</v>
      </c>
      <c r="K127" s="9">
        <f t="shared" si="38"/>
        <v>179187.5289</v>
      </c>
    </row>
    <row r="128" ht="14.25" customHeight="1">
      <c r="B128" s="11"/>
      <c r="C128" s="11"/>
      <c r="D128" s="11"/>
      <c r="E128" s="11"/>
      <c r="F128" s="11"/>
      <c r="G128" s="8"/>
      <c r="H128" s="9"/>
      <c r="I128" s="9">
        <v>10.0</v>
      </c>
      <c r="J128" s="9">
        <f t="shared" si="33"/>
        <v>2</v>
      </c>
      <c r="K128" s="9">
        <f>$D$111*7+$E$111+$F$111*J128</f>
        <v>597291.763</v>
      </c>
      <c r="L128" s="10" t="s">
        <v>12</v>
      </c>
    </row>
    <row r="129" ht="14.25" customHeight="1">
      <c r="B129" s="11"/>
      <c r="C129" s="11"/>
      <c r="D129" s="11"/>
      <c r="E129" s="11"/>
      <c r="F129" s="11"/>
      <c r="G129" s="8"/>
      <c r="H129" s="9">
        <v>5.0</v>
      </c>
      <c r="I129" s="9">
        <f t="shared" ref="I129:I134" si="39">H129-1</f>
        <v>4</v>
      </c>
      <c r="J129" s="9">
        <f t="shared" si="33"/>
        <v>0</v>
      </c>
      <c r="K129" s="9">
        <f t="shared" ref="K129:K134" si="40">$D$111*$I129+$C$111</f>
        <v>226970.8699</v>
      </c>
    </row>
    <row r="130" ht="14.25" customHeight="1">
      <c r="B130" s="11"/>
      <c r="C130" s="11"/>
      <c r="D130" s="11"/>
      <c r="E130" s="11"/>
      <c r="F130" s="11"/>
      <c r="G130" s="8"/>
      <c r="H130" s="9">
        <v>4.0</v>
      </c>
      <c r="I130" s="9">
        <f t="shared" si="39"/>
        <v>3</v>
      </c>
      <c r="J130" s="9">
        <f t="shared" si="33"/>
        <v>0</v>
      </c>
      <c r="K130" s="9">
        <f t="shared" si="40"/>
        <v>179187.5289</v>
      </c>
    </row>
    <row r="131" ht="14.25" customHeight="1">
      <c r="B131" s="11"/>
      <c r="C131" s="11"/>
      <c r="D131" s="11"/>
      <c r="E131" s="11"/>
      <c r="F131" s="11"/>
      <c r="G131" s="8"/>
      <c r="H131" s="9">
        <v>4.0</v>
      </c>
      <c r="I131" s="9">
        <f t="shared" si="39"/>
        <v>3</v>
      </c>
      <c r="J131" s="9">
        <f t="shared" si="33"/>
        <v>0</v>
      </c>
      <c r="K131" s="9">
        <f t="shared" si="40"/>
        <v>179187.5289</v>
      </c>
    </row>
    <row r="132" ht="14.25" customHeight="1">
      <c r="B132" s="11"/>
      <c r="C132" s="11"/>
      <c r="D132" s="11"/>
      <c r="E132" s="11"/>
      <c r="F132" s="11"/>
      <c r="G132" s="8"/>
      <c r="H132" s="9">
        <v>4.0</v>
      </c>
      <c r="I132" s="9">
        <f t="shared" si="39"/>
        <v>3</v>
      </c>
      <c r="J132" s="9">
        <f t="shared" si="33"/>
        <v>0</v>
      </c>
      <c r="K132" s="9">
        <f t="shared" si="40"/>
        <v>179187.5289</v>
      </c>
    </row>
    <row r="133" ht="14.25" customHeight="1">
      <c r="B133" s="11"/>
      <c r="C133" s="11"/>
      <c r="D133" s="11"/>
      <c r="E133" s="11"/>
      <c r="F133" s="11"/>
      <c r="G133" s="8"/>
      <c r="H133" s="9">
        <v>4.0</v>
      </c>
      <c r="I133" s="9">
        <f t="shared" si="39"/>
        <v>3</v>
      </c>
      <c r="J133" s="9">
        <f t="shared" si="33"/>
        <v>0</v>
      </c>
      <c r="K133" s="9">
        <f t="shared" si="40"/>
        <v>179187.5289</v>
      </c>
    </row>
    <row r="134" ht="14.25" customHeight="1">
      <c r="B134" s="11"/>
      <c r="C134" s="11"/>
      <c r="D134" s="11"/>
      <c r="E134" s="11"/>
      <c r="F134" s="11"/>
      <c r="G134" s="8"/>
      <c r="H134" s="9">
        <v>4.0</v>
      </c>
      <c r="I134" s="9">
        <f t="shared" si="39"/>
        <v>3</v>
      </c>
      <c r="J134" s="9">
        <f t="shared" si="33"/>
        <v>0</v>
      </c>
      <c r="K134" s="9">
        <f t="shared" si="40"/>
        <v>179187.5289</v>
      </c>
    </row>
    <row r="135" ht="14.25" customHeight="1">
      <c r="B135" s="11"/>
      <c r="C135" s="11"/>
      <c r="D135" s="11"/>
      <c r="E135" s="11"/>
      <c r="F135" s="11"/>
      <c r="G135" s="8"/>
      <c r="H135" s="9"/>
      <c r="I135" s="9">
        <v>10.0</v>
      </c>
      <c r="J135" s="9">
        <f t="shared" si="33"/>
        <v>2</v>
      </c>
      <c r="K135" s="9">
        <f>$D$111*7+$E$111+$F$111*J135</f>
        <v>597291.763</v>
      </c>
      <c r="L135" s="10" t="s">
        <v>12</v>
      </c>
    </row>
    <row r="136" ht="14.25" customHeight="1">
      <c r="B136" s="11"/>
      <c r="C136" s="11"/>
      <c r="D136" s="11"/>
      <c r="E136" s="11"/>
      <c r="F136" s="11"/>
      <c r="G136" s="8"/>
      <c r="H136" s="9">
        <v>4.0</v>
      </c>
      <c r="I136" s="9">
        <f t="shared" ref="I136:I139" si="41">H136-1</f>
        <v>3</v>
      </c>
      <c r="J136" s="9">
        <f t="shared" si="33"/>
        <v>0</v>
      </c>
      <c r="K136" s="9">
        <f t="shared" ref="K136:K139" si="42">$D$111*$I136+$C$111</f>
        <v>179187.5289</v>
      </c>
    </row>
    <row r="137" ht="14.25" customHeight="1">
      <c r="B137" s="11"/>
      <c r="C137" s="11"/>
      <c r="D137" s="11"/>
      <c r="E137" s="11"/>
      <c r="F137" s="11"/>
      <c r="G137" s="8"/>
      <c r="H137" s="9">
        <v>4.0</v>
      </c>
      <c r="I137" s="9">
        <f t="shared" si="41"/>
        <v>3</v>
      </c>
      <c r="J137" s="9">
        <f t="shared" si="33"/>
        <v>0</v>
      </c>
      <c r="K137" s="9">
        <f t="shared" si="42"/>
        <v>179187.5289</v>
      </c>
    </row>
    <row r="138" ht="14.25" customHeight="1">
      <c r="B138" s="11"/>
      <c r="C138" s="11"/>
      <c r="D138" s="11"/>
      <c r="E138" s="11"/>
      <c r="F138" s="11"/>
      <c r="G138" s="8"/>
      <c r="H138" s="9">
        <v>4.0</v>
      </c>
      <c r="I138" s="9">
        <f t="shared" si="41"/>
        <v>3</v>
      </c>
      <c r="J138" s="9">
        <f t="shared" si="33"/>
        <v>0</v>
      </c>
      <c r="K138" s="9">
        <f t="shared" si="42"/>
        <v>179187.5289</v>
      </c>
    </row>
    <row r="139" ht="14.25" customHeight="1">
      <c r="B139" s="11"/>
      <c r="C139" s="11"/>
      <c r="D139" s="11"/>
      <c r="E139" s="11"/>
      <c r="F139" s="11"/>
      <c r="G139" s="8"/>
      <c r="H139" s="9">
        <v>4.0</v>
      </c>
      <c r="I139" s="9">
        <f t="shared" si="41"/>
        <v>3</v>
      </c>
      <c r="J139" s="9">
        <f t="shared" si="33"/>
        <v>0</v>
      </c>
      <c r="K139" s="9">
        <f t="shared" si="42"/>
        <v>179187.5289</v>
      </c>
    </row>
    <row r="140" ht="14.25" customHeight="1">
      <c r="B140" s="12"/>
      <c r="C140" s="12"/>
      <c r="D140" s="12"/>
      <c r="E140" s="12"/>
      <c r="F140" s="12"/>
      <c r="G140" s="8"/>
      <c r="H140" s="9"/>
      <c r="I140" s="9"/>
      <c r="J140" s="9"/>
      <c r="K140" s="9"/>
    </row>
    <row r="141" ht="14.25" customHeight="1">
      <c r="B141" s="13" t="s">
        <v>13</v>
      </c>
      <c r="C141" s="14"/>
      <c r="D141" s="14"/>
      <c r="E141" s="14"/>
      <c r="F141" s="14"/>
      <c r="G141" s="14"/>
      <c r="H141" s="15"/>
      <c r="I141" s="16"/>
      <c r="J141" s="16"/>
      <c r="K141" s="17">
        <f>SUM(K111:K140)</f>
        <v>6916638.616</v>
      </c>
    </row>
    <row r="142" ht="14.25" customHeight="1"/>
    <row r="143" ht="14.25" customHeight="1"/>
    <row r="144" ht="14.25" customHeight="1"/>
    <row r="145" ht="14.25" customHeight="1">
      <c r="B145" s="1" t="s">
        <v>17</v>
      </c>
      <c r="C145" s="2"/>
      <c r="D145" s="2"/>
      <c r="E145" s="2"/>
      <c r="F145" s="2"/>
      <c r="G145" s="2"/>
      <c r="H145" s="2"/>
      <c r="I145" s="2"/>
      <c r="J145" s="2"/>
      <c r="K145" s="2"/>
    </row>
    <row r="146" ht="14.25" customHeight="1">
      <c r="B146" s="3" t="s">
        <v>1</v>
      </c>
      <c r="C146" s="4" t="s">
        <v>2</v>
      </c>
      <c r="D146" s="4" t="s">
        <v>3</v>
      </c>
      <c r="E146" s="4" t="s">
        <v>4</v>
      </c>
      <c r="F146" s="4" t="s">
        <v>5</v>
      </c>
      <c r="G146" s="4" t="s">
        <v>6</v>
      </c>
      <c r="H146" s="4" t="s">
        <v>7</v>
      </c>
      <c r="I146" s="4" t="s">
        <v>8</v>
      </c>
      <c r="J146" s="4" t="s">
        <v>9</v>
      </c>
      <c r="K146" s="4" t="s">
        <v>10</v>
      </c>
    </row>
    <row r="147" ht="14.25" customHeight="1">
      <c r="B147" s="18">
        <v>3689762.0</v>
      </c>
      <c r="C147" s="18">
        <f>B147/173*1.5</f>
        <v>31992.15607</v>
      </c>
      <c r="D147" s="18">
        <f>B147/173*2</f>
        <v>42656.20809</v>
      </c>
      <c r="E147" s="18">
        <f>1*3*1/173*B147</f>
        <v>63984.31214</v>
      </c>
      <c r="F147" s="18">
        <f>1*4*1/173*B147</f>
        <v>85312.41618</v>
      </c>
      <c r="G147" s="8"/>
      <c r="H147" s="9">
        <v>4.0</v>
      </c>
      <c r="I147" s="9">
        <f t="shared" ref="I147:I152" si="43">H147-1</f>
        <v>3</v>
      </c>
      <c r="J147" s="9">
        <f t="shared" ref="J147:J175" si="44">IF(I147&gt;8,I147-8,0)</f>
        <v>0</v>
      </c>
      <c r="K147" s="9">
        <f t="shared" ref="K147:K152" si="45">$D$147*$I147+$C$147</f>
        <v>159960.7803</v>
      </c>
    </row>
    <row r="148" ht="14.25" customHeight="1">
      <c r="B148" s="11"/>
      <c r="C148" s="11"/>
      <c r="D148" s="11"/>
      <c r="E148" s="11"/>
      <c r="F148" s="11"/>
      <c r="G148" s="8"/>
      <c r="H148" s="9">
        <v>4.0</v>
      </c>
      <c r="I148" s="9">
        <f t="shared" si="43"/>
        <v>3</v>
      </c>
      <c r="J148" s="9">
        <f t="shared" si="44"/>
        <v>0</v>
      </c>
      <c r="K148" s="9">
        <f t="shared" si="45"/>
        <v>159960.7803</v>
      </c>
    </row>
    <row r="149" ht="14.25" customHeight="1">
      <c r="B149" s="11"/>
      <c r="C149" s="11"/>
      <c r="D149" s="11"/>
      <c r="E149" s="11"/>
      <c r="F149" s="11"/>
      <c r="G149" s="8"/>
      <c r="H149" s="9">
        <v>4.0</v>
      </c>
      <c r="I149" s="9">
        <f t="shared" si="43"/>
        <v>3</v>
      </c>
      <c r="J149" s="9">
        <f t="shared" si="44"/>
        <v>0</v>
      </c>
      <c r="K149" s="9">
        <f t="shared" si="45"/>
        <v>159960.7803</v>
      </c>
    </row>
    <row r="150" ht="14.25" customHeight="1">
      <c r="B150" s="11"/>
      <c r="C150" s="11"/>
      <c r="D150" s="11"/>
      <c r="E150" s="11"/>
      <c r="F150" s="11"/>
      <c r="G150" s="8"/>
      <c r="H150" s="9">
        <v>4.0</v>
      </c>
      <c r="I150" s="9">
        <f t="shared" si="43"/>
        <v>3</v>
      </c>
      <c r="J150" s="9">
        <f t="shared" si="44"/>
        <v>0</v>
      </c>
      <c r="K150" s="9">
        <f t="shared" si="45"/>
        <v>159960.7803</v>
      </c>
    </row>
    <row r="151" ht="14.25" customHeight="1">
      <c r="B151" s="11"/>
      <c r="C151" s="11"/>
      <c r="D151" s="11"/>
      <c r="E151" s="11"/>
      <c r="F151" s="11"/>
      <c r="G151" s="8"/>
      <c r="H151" s="9">
        <v>4.0</v>
      </c>
      <c r="I151" s="9">
        <f t="shared" si="43"/>
        <v>3</v>
      </c>
      <c r="J151" s="9">
        <f t="shared" si="44"/>
        <v>0</v>
      </c>
      <c r="K151" s="9">
        <f t="shared" si="45"/>
        <v>159960.7803</v>
      </c>
    </row>
    <row r="152" ht="14.25" customHeight="1">
      <c r="B152" s="11"/>
      <c r="C152" s="11"/>
      <c r="D152" s="11"/>
      <c r="E152" s="11"/>
      <c r="F152" s="11"/>
      <c r="G152" s="8"/>
      <c r="H152" s="9">
        <v>7.0</v>
      </c>
      <c r="I152" s="9">
        <f t="shared" si="43"/>
        <v>6</v>
      </c>
      <c r="J152" s="9">
        <f t="shared" si="44"/>
        <v>0</v>
      </c>
      <c r="K152" s="9">
        <f t="shared" si="45"/>
        <v>287929.4046</v>
      </c>
    </row>
    <row r="153" ht="14.25" customHeight="1">
      <c r="B153" s="11"/>
      <c r="C153" s="11"/>
      <c r="D153" s="11"/>
      <c r="E153" s="11"/>
      <c r="F153" s="11"/>
      <c r="G153" s="8"/>
      <c r="H153" s="9"/>
      <c r="I153" s="9">
        <v>11.0</v>
      </c>
      <c r="J153" s="9">
        <f t="shared" si="44"/>
        <v>3</v>
      </c>
      <c r="K153" s="9">
        <f>$D$147*7+$E$147+$F$147*J153</f>
        <v>618515.0173</v>
      </c>
      <c r="L153" s="10" t="s">
        <v>12</v>
      </c>
    </row>
    <row r="154" ht="14.25" customHeight="1">
      <c r="B154" s="11"/>
      <c r="C154" s="11"/>
      <c r="D154" s="11"/>
      <c r="E154" s="11"/>
      <c r="F154" s="11"/>
      <c r="G154" s="8"/>
      <c r="H154" s="9">
        <v>4.0</v>
      </c>
      <c r="I154" s="9">
        <f t="shared" ref="I154:I158" si="46">H154-1</f>
        <v>3</v>
      </c>
      <c r="J154" s="9">
        <f t="shared" si="44"/>
        <v>0</v>
      </c>
      <c r="K154" s="9">
        <f t="shared" ref="K154:K158" si="47">$D$147*$I154+$C$147</f>
        <v>159960.7803</v>
      </c>
    </row>
    <row r="155" ht="14.25" customHeight="1">
      <c r="B155" s="11"/>
      <c r="C155" s="11"/>
      <c r="D155" s="11"/>
      <c r="E155" s="11"/>
      <c r="F155" s="11"/>
      <c r="G155" s="8"/>
      <c r="H155" s="9">
        <v>4.0</v>
      </c>
      <c r="I155" s="9">
        <f t="shared" si="46"/>
        <v>3</v>
      </c>
      <c r="J155" s="9">
        <f t="shared" si="44"/>
        <v>0</v>
      </c>
      <c r="K155" s="9">
        <f t="shared" si="47"/>
        <v>159960.7803</v>
      </c>
    </row>
    <row r="156" ht="14.25" customHeight="1">
      <c r="B156" s="11"/>
      <c r="C156" s="11"/>
      <c r="D156" s="11"/>
      <c r="E156" s="11"/>
      <c r="F156" s="11"/>
      <c r="G156" s="8"/>
      <c r="H156" s="9">
        <v>4.0</v>
      </c>
      <c r="I156" s="9">
        <f t="shared" si="46"/>
        <v>3</v>
      </c>
      <c r="J156" s="9">
        <f t="shared" si="44"/>
        <v>0</v>
      </c>
      <c r="K156" s="9">
        <f t="shared" si="47"/>
        <v>159960.7803</v>
      </c>
    </row>
    <row r="157" ht="14.25" customHeight="1">
      <c r="B157" s="11"/>
      <c r="C157" s="11"/>
      <c r="D157" s="11"/>
      <c r="E157" s="11"/>
      <c r="F157" s="11"/>
      <c r="G157" s="8"/>
      <c r="H157" s="9">
        <v>4.0</v>
      </c>
      <c r="I157" s="9">
        <f t="shared" si="46"/>
        <v>3</v>
      </c>
      <c r="J157" s="9">
        <f t="shared" si="44"/>
        <v>0</v>
      </c>
      <c r="K157" s="9">
        <f t="shared" si="47"/>
        <v>159960.7803</v>
      </c>
    </row>
    <row r="158" ht="14.25" customHeight="1">
      <c r="B158" s="11"/>
      <c r="C158" s="11"/>
      <c r="D158" s="11"/>
      <c r="E158" s="11"/>
      <c r="F158" s="11"/>
      <c r="G158" s="8"/>
      <c r="H158" s="9">
        <v>6.0</v>
      </c>
      <c r="I158" s="9">
        <f t="shared" si="46"/>
        <v>5</v>
      </c>
      <c r="J158" s="9">
        <f t="shared" si="44"/>
        <v>0</v>
      </c>
      <c r="K158" s="9">
        <f t="shared" si="47"/>
        <v>245273.1965</v>
      </c>
    </row>
    <row r="159" ht="14.25" customHeight="1">
      <c r="B159" s="11"/>
      <c r="C159" s="11"/>
      <c r="D159" s="11"/>
      <c r="E159" s="11"/>
      <c r="F159" s="11"/>
      <c r="G159" s="8"/>
      <c r="H159" s="9"/>
      <c r="I159" s="9">
        <v>10.0</v>
      </c>
      <c r="J159" s="9">
        <f t="shared" si="44"/>
        <v>2</v>
      </c>
      <c r="K159" s="9">
        <f>$D$147*7+$E$147+$F$147*J159</f>
        <v>533202.6012</v>
      </c>
      <c r="L159" s="10" t="s">
        <v>12</v>
      </c>
    </row>
    <row r="160" ht="14.25" customHeight="1">
      <c r="B160" s="11"/>
      <c r="C160" s="11"/>
      <c r="D160" s="11"/>
      <c r="E160" s="11"/>
      <c r="F160" s="11"/>
      <c r="G160" s="8"/>
      <c r="H160" s="9">
        <v>3.0</v>
      </c>
      <c r="I160" s="9">
        <f t="shared" ref="I160:I165" si="48">H160-1</f>
        <v>2</v>
      </c>
      <c r="J160" s="9">
        <f t="shared" si="44"/>
        <v>0</v>
      </c>
      <c r="K160" s="9">
        <f t="shared" ref="K160:K165" si="49">$D$147*$I160+$C$147</f>
        <v>117304.5723</v>
      </c>
    </row>
    <row r="161" ht="14.25" customHeight="1">
      <c r="B161" s="11"/>
      <c r="C161" s="11"/>
      <c r="D161" s="11"/>
      <c r="E161" s="11"/>
      <c r="F161" s="11"/>
      <c r="G161" s="8"/>
      <c r="H161" s="9">
        <v>3.0</v>
      </c>
      <c r="I161" s="9">
        <f t="shared" si="48"/>
        <v>2</v>
      </c>
      <c r="J161" s="9">
        <f t="shared" si="44"/>
        <v>0</v>
      </c>
      <c r="K161" s="9">
        <f t="shared" si="49"/>
        <v>117304.5723</v>
      </c>
    </row>
    <row r="162" ht="14.25" customHeight="1">
      <c r="B162" s="11"/>
      <c r="C162" s="11"/>
      <c r="D162" s="11"/>
      <c r="E162" s="11"/>
      <c r="F162" s="11"/>
      <c r="G162" s="8"/>
      <c r="H162" s="9">
        <v>1.0</v>
      </c>
      <c r="I162" s="9">
        <f t="shared" si="48"/>
        <v>0</v>
      </c>
      <c r="J162" s="9">
        <f t="shared" si="44"/>
        <v>0</v>
      </c>
      <c r="K162" s="9">
        <f t="shared" si="49"/>
        <v>31992.15607</v>
      </c>
    </row>
    <row r="163" ht="14.25" customHeight="1">
      <c r="B163" s="11"/>
      <c r="C163" s="11"/>
      <c r="D163" s="11"/>
      <c r="E163" s="11"/>
      <c r="F163" s="11"/>
      <c r="G163" s="8"/>
      <c r="H163" s="9">
        <v>4.0</v>
      </c>
      <c r="I163" s="9">
        <f t="shared" si="48"/>
        <v>3</v>
      </c>
      <c r="J163" s="9">
        <f t="shared" si="44"/>
        <v>0</v>
      </c>
      <c r="K163" s="9">
        <f t="shared" si="49"/>
        <v>159960.7803</v>
      </c>
    </row>
    <row r="164" ht="14.25" customHeight="1">
      <c r="B164" s="11"/>
      <c r="C164" s="11"/>
      <c r="D164" s="11"/>
      <c r="E164" s="11"/>
      <c r="F164" s="11"/>
      <c r="G164" s="8"/>
      <c r="H164" s="9">
        <v>3.0</v>
      </c>
      <c r="I164" s="9">
        <f t="shared" si="48"/>
        <v>2</v>
      </c>
      <c r="J164" s="9">
        <f t="shared" si="44"/>
        <v>0</v>
      </c>
      <c r="K164" s="9">
        <f t="shared" si="49"/>
        <v>117304.5723</v>
      </c>
    </row>
    <row r="165" ht="14.25" customHeight="1">
      <c r="B165" s="11"/>
      <c r="C165" s="11"/>
      <c r="D165" s="11"/>
      <c r="E165" s="11"/>
      <c r="F165" s="11"/>
      <c r="G165" s="8"/>
      <c r="H165" s="9">
        <v>6.0</v>
      </c>
      <c r="I165" s="9">
        <f t="shared" si="48"/>
        <v>5</v>
      </c>
      <c r="J165" s="9">
        <f t="shared" si="44"/>
        <v>0</v>
      </c>
      <c r="K165" s="9">
        <f t="shared" si="49"/>
        <v>245273.1965</v>
      </c>
    </row>
    <row r="166" ht="14.25" customHeight="1">
      <c r="B166" s="11"/>
      <c r="C166" s="11"/>
      <c r="D166" s="11"/>
      <c r="E166" s="11"/>
      <c r="F166" s="11"/>
      <c r="G166" s="8"/>
      <c r="H166" s="9"/>
      <c r="I166" s="9">
        <v>10.0</v>
      </c>
      <c r="J166" s="9">
        <f t="shared" si="44"/>
        <v>2</v>
      </c>
      <c r="K166" s="9">
        <f>$D$147*7+$E$147+$F$147*J166</f>
        <v>533202.6012</v>
      </c>
      <c r="L166" s="10" t="s">
        <v>12</v>
      </c>
    </row>
    <row r="167" ht="14.25" customHeight="1">
      <c r="B167" s="11"/>
      <c r="C167" s="11"/>
      <c r="D167" s="11"/>
      <c r="E167" s="11"/>
      <c r="F167" s="11"/>
      <c r="G167" s="8"/>
      <c r="H167" s="9">
        <v>3.0</v>
      </c>
      <c r="I167" s="9">
        <f t="shared" ref="I167:I172" si="50">H167-1</f>
        <v>2</v>
      </c>
      <c r="J167" s="9">
        <f t="shared" si="44"/>
        <v>0</v>
      </c>
      <c r="K167" s="9">
        <f t="shared" ref="K167:K172" si="51">$D$147*$I167+$C$147</f>
        <v>117304.5723</v>
      </c>
    </row>
    <row r="168" ht="14.25" customHeight="1">
      <c r="B168" s="11"/>
      <c r="C168" s="11"/>
      <c r="D168" s="11"/>
      <c r="E168" s="11"/>
      <c r="F168" s="11"/>
      <c r="G168" s="8"/>
      <c r="H168" s="9">
        <v>4.0</v>
      </c>
      <c r="I168" s="9">
        <f t="shared" si="50"/>
        <v>3</v>
      </c>
      <c r="J168" s="9">
        <f t="shared" si="44"/>
        <v>0</v>
      </c>
      <c r="K168" s="9">
        <f t="shared" si="51"/>
        <v>159960.7803</v>
      </c>
    </row>
    <row r="169" ht="14.25" customHeight="1">
      <c r="B169" s="11"/>
      <c r="C169" s="11"/>
      <c r="D169" s="11"/>
      <c r="E169" s="11"/>
      <c r="F169" s="11"/>
      <c r="G169" s="8"/>
      <c r="H169" s="9">
        <v>4.0</v>
      </c>
      <c r="I169" s="9">
        <f t="shared" si="50"/>
        <v>3</v>
      </c>
      <c r="J169" s="9">
        <f t="shared" si="44"/>
        <v>0</v>
      </c>
      <c r="K169" s="9">
        <f t="shared" si="51"/>
        <v>159960.7803</v>
      </c>
    </row>
    <row r="170" ht="14.25" customHeight="1">
      <c r="B170" s="11"/>
      <c r="C170" s="11"/>
      <c r="D170" s="11"/>
      <c r="E170" s="11"/>
      <c r="F170" s="11"/>
      <c r="G170" s="8"/>
      <c r="H170" s="9">
        <v>3.0</v>
      </c>
      <c r="I170" s="9">
        <f t="shared" si="50"/>
        <v>2</v>
      </c>
      <c r="J170" s="9">
        <f t="shared" si="44"/>
        <v>0</v>
      </c>
      <c r="K170" s="9">
        <f t="shared" si="51"/>
        <v>117304.5723</v>
      </c>
    </row>
    <row r="171" ht="14.25" customHeight="1">
      <c r="B171" s="11"/>
      <c r="C171" s="11"/>
      <c r="D171" s="11"/>
      <c r="E171" s="11"/>
      <c r="F171" s="11"/>
      <c r="G171" s="8"/>
      <c r="H171" s="9">
        <v>3.0</v>
      </c>
      <c r="I171" s="9">
        <f t="shared" si="50"/>
        <v>2</v>
      </c>
      <c r="J171" s="9">
        <f t="shared" si="44"/>
        <v>0</v>
      </c>
      <c r="K171" s="9">
        <f t="shared" si="51"/>
        <v>117304.5723</v>
      </c>
    </row>
    <row r="172" ht="14.25" customHeight="1">
      <c r="B172" s="11"/>
      <c r="C172" s="11"/>
      <c r="D172" s="11"/>
      <c r="E172" s="11"/>
      <c r="F172" s="11"/>
      <c r="G172" s="8"/>
      <c r="H172" s="9">
        <v>7.0</v>
      </c>
      <c r="I172" s="9">
        <f t="shared" si="50"/>
        <v>6</v>
      </c>
      <c r="J172" s="9">
        <f t="shared" si="44"/>
        <v>0</v>
      </c>
      <c r="K172" s="9">
        <f t="shared" si="51"/>
        <v>287929.4046</v>
      </c>
    </row>
    <row r="173" ht="14.25" customHeight="1">
      <c r="B173" s="11"/>
      <c r="C173" s="11"/>
      <c r="D173" s="11"/>
      <c r="E173" s="11"/>
      <c r="F173" s="11"/>
      <c r="G173" s="8"/>
      <c r="H173" s="9"/>
      <c r="I173" s="9">
        <v>11.0</v>
      </c>
      <c r="J173" s="9">
        <f t="shared" si="44"/>
        <v>3</v>
      </c>
      <c r="K173" s="9">
        <f>$D$147*7+$E$147+$F$147*J173</f>
        <v>618515.0173</v>
      </c>
      <c r="L173" s="10" t="s">
        <v>12</v>
      </c>
    </row>
    <row r="174" ht="14.25" customHeight="1">
      <c r="B174" s="11"/>
      <c r="C174" s="11"/>
      <c r="D174" s="11"/>
      <c r="E174" s="11"/>
      <c r="F174" s="11"/>
      <c r="G174" s="8"/>
      <c r="H174" s="9">
        <v>4.0</v>
      </c>
      <c r="I174" s="9">
        <f t="shared" ref="I174:I175" si="52">H174-1</f>
        <v>3</v>
      </c>
      <c r="J174" s="9">
        <f t="shared" si="44"/>
        <v>0</v>
      </c>
      <c r="K174" s="9">
        <f t="shared" ref="K174:K175" si="53">$D$147*$I174+$C$147</f>
        <v>159960.7803</v>
      </c>
    </row>
    <row r="175" ht="14.25" customHeight="1">
      <c r="B175" s="11"/>
      <c r="C175" s="11"/>
      <c r="D175" s="11"/>
      <c r="E175" s="11"/>
      <c r="F175" s="11"/>
      <c r="G175" s="8"/>
      <c r="H175" s="9">
        <v>4.0</v>
      </c>
      <c r="I175" s="9">
        <f t="shared" si="52"/>
        <v>3</v>
      </c>
      <c r="J175" s="9">
        <f t="shared" si="44"/>
        <v>0</v>
      </c>
      <c r="K175" s="9">
        <f t="shared" si="53"/>
        <v>159960.7803</v>
      </c>
    </row>
    <row r="176" ht="14.25" customHeight="1">
      <c r="B176" s="12"/>
      <c r="C176" s="12"/>
      <c r="D176" s="12"/>
      <c r="E176" s="12"/>
      <c r="F176" s="12"/>
      <c r="G176" s="8"/>
      <c r="H176" s="9"/>
      <c r="I176" s="9"/>
      <c r="J176" s="9"/>
      <c r="K176" s="9"/>
    </row>
    <row r="177" ht="14.25" customHeight="1">
      <c r="B177" s="13" t="s">
        <v>13</v>
      </c>
      <c r="C177" s="14"/>
      <c r="D177" s="14"/>
      <c r="E177" s="14"/>
      <c r="F177" s="14"/>
      <c r="G177" s="14"/>
      <c r="H177" s="15"/>
      <c r="I177" s="16"/>
      <c r="J177" s="16"/>
      <c r="K177" s="17">
        <f>SUM(K147:K176)</f>
        <v>6345110.954</v>
      </c>
    </row>
    <row r="178" ht="14.25" customHeight="1"/>
    <row r="179" ht="14.25" customHeight="1"/>
    <row r="180" ht="14.25" customHeight="1">
      <c r="B180" s="1" t="s">
        <v>18</v>
      </c>
      <c r="C180" s="2"/>
      <c r="D180" s="2"/>
      <c r="E180" s="2"/>
      <c r="F180" s="2"/>
      <c r="G180" s="2"/>
      <c r="H180" s="2"/>
      <c r="I180" s="2"/>
      <c r="J180" s="2"/>
      <c r="K180" s="2"/>
    </row>
    <row r="181" ht="14.25" customHeight="1">
      <c r="B181" s="3" t="s">
        <v>1</v>
      </c>
      <c r="C181" s="4" t="s">
        <v>2</v>
      </c>
      <c r="D181" s="4" t="s">
        <v>3</v>
      </c>
      <c r="E181" s="4" t="s">
        <v>4</v>
      </c>
      <c r="F181" s="4" t="s">
        <v>5</v>
      </c>
      <c r="G181" s="4" t="s">
        <v>6</v>
      </c>
      <c r="H181" s="4" t="s">
        <v>7</v>
      </c>
      <c r="I181" s="4" t="s">
        <v>8</v>
      </c>
      <c r="J181" s="4" t="s">
        <v>9</v>
      </c>
      <c r="K181" s="4" t="s">
        <v>10</v>
      </c>
    </row>
    <row r="182" ht="14.25" customHeight="1">
      <c r="B182" s="18">
        <v>5351237.0</v>
      </c>
      <c r="C182" s="18">
        <f>B182/173*1.5</f>
        <v>46398.00867</v>
      </c>
      <c r="D182" s="18">
        <f>B182/173*2</f>
        <v>61864.01156</v>
      </c>
      <c r="E182" s="18">
        <f>1*3*1/173*B182</f>
        <v>92796.01734</v>
      </c>
      <c r="F182" s="18">
        <f>1*4*1/173*B182</f>
        <v>123728.0231</v>
      </c>
      <c r="G182" s="8"/>
      <c r="H182" s="9">
        <v>4.0</v>
      </c>
      <c r="I182" s="9">
        <f t="shared" ref="I182:I187" si="54">H182-1</f>
        <v>3</v>
      </c>
      <c r="J182" s="9">
        <f t="shared" ref="J182:J211" si="55">IF(I182&gt;8,I182-8,0)</f>
        <v>0</v>
      </c>
      <c r="K182" s="9">
        <f t="shared" ref="K182:K187" si="56">$D$182*$I182+$C$182</f>
        <v>231990.0434</v>
      </c>
    </row>
    <row r="183" ht="14.25" customHeight="1">
      <c r="B183" s="11"/>
      <c r="C183" s="11"/>
      <c r="D183" s="11"/>
      <c r="E183" s="11"/>
      <c r="F183" s="11"/>
      <c r="G183" s="8"/>
      <c r="H183" s="9">
        <v>4.0</v>
      </c>
      <c r="I183" s="9">
        <f t="shared" si="54"/>
        <v>3</v>
      </c>
      <c r="J183" s="9">
        <f t="shared" si="55"/>
        <v>0</v>
      </c>
      <c r="K183" s="9">
        <f t="shared" si="56"/>
        <v>231990.0434</v>
      </c>
    </row>
    <row r="184" ht="14.25" customHeight="1">
      <c r="B184" s="11"/>
      <c r="C184" s="11"/>
      <c r="D184" s="11"/>
      <c r="E184" s="11"/>
      <c r="F184" s="11"/>
      <c r="G184" s="8"/>
      <c r="H184" s="9">
        <v>5.0</v>
      </c>
      <c r="I184" s="9">
        <f t="shared" si="54"/>
        <v>4</v>
      </c>
      <c r="J184" s="9">
        <f t="shared" si="55"/>
        <v>0</v>
      </c>
      <c r="K184" s="9">
        <f t="shared" si="56"/>
        <v>293854.0549</v>
      </c>
    </row>
    <row r="185" ht="14.25" customHeight="1">
      <c r="B185" s="11"/>
      <c r="C185" s="11"/>
      <c r="D185" s="11"/>
      <c r="E185" s="11"/>
      <c r="F185" s="11"/>
      <c r="G185" s="8"/>
      <c r="H185" s="9">
        <v>3.0</v>
      </c>
      <c r="I185" s="9">
        <f t="shared" si="54"/>
        <v>2</v>
      </c>
      <c r="J185" s="9">
        <f t="shared" si="55"/>
        <v>0</v>
      </c>
      <c r="K185" s="9">
        <f t="shared" si="56"/>
        <v>170126.0318</v>
      </c>
    </row>
    <row r="186" ht="14.25" customHeight="1">
      <c r="B186" s="11"/>
      <c r="C186" s="11"/>
      <c r="D186" s="11"/>
      <c r="E186" s="11"/>
      <c r="F186" s="11"/>
      <c r="G186" s="8"/>
      <c r="H186" s="9">
        <v>3.0</v>
      </c>
      <c r="I186" s="9">
        <f t="shared" si="54"/>
        <v>2</v>
      </c>
      <c r="J186" s="9">
        <f t="shared" si="55"/>
        <v>0</v>
      </c>
      <c r="K186" s="9">
        <f t="shared" si="56"/>
        <v>170126.0318</v>
      </c>
    </row>
    <row r="187" ht="14.25" customHeight="1">
      <c r="B187" s="11"/>
      <c r="C187" s="11"/>
      <c r="D187" s="11"/>
      <c r="E187" s="11"/>
      <c r="F187" s="11"/>
      <c r="G187" s="8"/>
      <c r="H187" s="9">
        <v>7.0</v>
      </c>
      <c r="I187" s="9">
        <f t="shared" si="54"/>
        <v>6</v>
      </c>
      <c r="J187" s="9">
        <f t="shared" si="55"/>
        <v>0</v>
      </c>
      <c r="K187" s="9">
        <f t="shared" si="56"/>
        <v>417582.078</v>
      </c>
    </row>
    <row r="188" ht="14.25" customHeight="1">
      <c r="B188" s="11"/>
      <c r="C188" s="11"/>
      <c r="D188" s="11"/>
      <c r="E188" s="11"/>
      <c r="F188" s="11"/>
      <c r="G188" s="8"/>
      <c r="H188" s="9"/>
      <c r="I188" s="9">
        <v>9.0</v>
      </c>
      <c r="J188" s="9">
        <f t="shared" si="55"/>
        <v>1</v>
      </c>
      <c r="K188" s="9">
        <f>$D$182*7+$E$182+$F$182*J188</f>
        <v>649572.1214</v>
      </c>
      <c r="L188" s="10" t="s">
        <v>12</v>
      </c>
    </row>
    <row r="189" ht="14.25" customHeight="1">
      <c r="B189" s="11"/>
      <c r="C189" s="11"/>
      <c r="D189" s="11"/>
      <c r="E189" s="11"/>
      <c r="F189" s="11"/>
      <c r="G189" s="8"/>
      <c r="H189" s="9">
        <v>3.0</v>
      </c>
      <c r="I189" s="9">
        <f t="shared" ref="I189:I194" si="57">H189-1</f>
        <v>2</v>
      </c>
      <c r="J189" s="9">
        <f t="shared" si="55"/>
        <v>0</v>
      </c>
      <c r="K189" s="9">
        <f t="shared" ref="K189:K194" si="58">$D$182*$I189+$C$182</f>
        <v>170126.0318</v>
      </c>
    </row>
    <row r="190" ht="14.25" customHeight="1">
      <c r="B190" s="11"/>
      <c r="C190" s="11"/>
      <c r="D190" s="11"/>
      <c r="E190" s="11"/>
      <c r="F190" s="11"/>
      <c r="G190" s="8"/>
      <c r="H190" s="9">
        <v>4.0</v>
      </c>
      <c r="I190" s="9">
        <f t="shared" si="57"/>
        <v>3</v>
      </c>
      <c r="J190" s="9">
        <f t="shared" si="55"/>
        <v>0</v>
      </c>
      <c r="K190" s="9">
        <f t="shared" si="58"/>
        <v>231990.0434</v>
      </c>
    </row>
    <row r="191" ht="14.25" customHeight="1">
      <c r="B191" s="11"/>
      <c r="C191" s="11"/>
      <c r="D191" s="11"/>
      <c r="E191" s="11"/>
      <c r="F191" s="11"/>
      <c r="G191" s="8"/>
      <c r="H191" s="9">
        <v>4.0</v>
      </c>
      <c r="I191" s="9">
        <f t="shared" si="57"/>
        <v>3</v>
      </c>
      <c r="J191" s="9">
        <f t="shared" si="55"/>
        <v>0</v>
      </c>
      <c r="K191" s="9">
        <f t="shared" si="58"/>
        <v>231990.0434</v>
      </c>
    </row>
    <row r="192" ht="14.25" customHeight="1">
      <c r="B192" s="11"/>
      <c r="C192" s="11"/>
      <c r="D192" s="11"/>
      <c r="E192" s="11"/>
      <c r="F192" s="11"/>
      <c r="G192" s="8"/>
      <c r="H192" s="9">
        <v>4.0</v>
      </c>
      <c r="I192" s="9">
        <f t="shared" si="57"/>
        <v>3</v>
      </c>
      <c r="J192" s="9">
        <f t="shared" si="55"/>
        <v>0</v>
      </c>
      <c r="K192" s="9">
        <f t="shared" si="58"/>
        <v>231990.0434</v>
      </c>
    </row>
    <row r="193" ht="14.25" customHeight="1">
      <c r="B193" s="11"/>
      <c r="C193" s="11"/>
      <c r="D193" s="11"/>
      <c r="E193" s="11"/>
      <c r="F193" s="11"/>
      <c r="G193" s="8"/>
      <c r="H193" s="9">
        <v>4.0</v>
      </c>
      <c r="I193" s="9">
        <f t="shared" si="57"/>
        <v>3</v>
      </c>
      <c r="J193" s="9">
        <f t="shared" si="55"/>
        <v>0</v>
      </c>
      <c r="K193" s="9">
        <f t="shared" si="58"/>
        <v>231990.0434</v>
      </c>
    </row>
    <row r="194" ht="14.25" customHeight="1">
      <c r="B194" s="11"/>
      <c r="C194" s="11"/>
      <c r="D194" s="11"/>
      <c r="E194" s="11"/>
      <c r="F194" s="11"/>
      <c r="G194" s="8"/>
      <c r="H194" s="9">
        <v>7.0</v>
      </c>
      <c r="I194" s="9">
        <f t="shared" si="57"/>
        <v>6</v>
      </c>
      <c r="J194" s="9">
        <f t="shared" si="55"/>
        <v>0</v>
      </c>
      <c r="K194" s="9">
        <f t="shared" si="58"/>
        <v>417582.078</v>
      </c>
    </row>
    <row r="195" ht="14.25" customHeight="1">
      <c r="B195" s="11"/>
      <c r="C195" s="11"/>
      <c r="D195" s="11"/>
      <c r="E195" s="11"/>
      <c r="F195" s="11"/>
      <c r="G195" s="8"/>
      <c r="H195" s="9"/>
      <c r="I195" s="9">
        <v>11.0</v>
      </c>
      <c r="J195" s="9">
        <f t="shared" si="55"/>
        <v>3</v>
      </c>
      <c r="K195" s="9">
        <f>$D$182*7+$E$182+$F$182*J195</f>
        <v>897028.1676</v>
      </c>
      <c r="L195" s="10" t="s">
        <v>12</v>
      </c>
    </row>
    <row r="196" ht="14.25" customHeight="1">
      <c r="B196" s="11"/>
      <c r="C196" s="11"/>
      <c r="D196" s="11"/>
      <c r="E196" s="11"/>
      <c r="F196" s="11"/>
      <c r="G196" s="8"/>
      <c r="H196" s="9">
        <v>4.0</v>
      </c>
      <c r="I196" s="9">
        <f t="shared" ref="I196:I201" si="59">H196-1</f>
        <v>3</v>
      </c>
      <c r="J196" s="9">
        <f t="shared" si="55"/>
        <v>0</v>
      </c>
      <c r="K196" s="9">
        <f t="shared" ref="K196:K201" si="60">$D$182*$I196+$C$182</f>
        <v>231990.0434</v>
      </c>
    </row>
    <row r="197" ht="14.25" customHeight="1">
      <c r="B197" s="11"/>
      <c r="C197" s="11"/>
      <c r="D197" s="11"/>
      <c r="E197" s="11"/>
      <c r="F197" s="11"/>
      <c r="G197" s="8"/>
      <c r="H197" s="9">
        <v>5.0</v>
      </c>
      <c r="I197" s="9">
        <f t="shared" si="59"/>
        <v>4</v>
      </c>
      <c r="J197" s="9">
        <f t="shared" si="55"/>
        <v>0</v>
      </c>
      <c r="K197" s="9">
        <f t="shared" si="60"/>
        <v>293854.0549</v>
      </c>
    </row>
    <row r="198" ht="14.25" customHeight="1">
      <c r="B198" s="11"/>
      <c r="C198" s="11"/>
      <c r="D198" s="11"/>
      <c r="E198" s="11"/>
      <c r="F198" s="11"/>
      <c r="G198" s="8"/>
      <c r="H198" s="9">
        <v>5.0</v>
      </c>
      <c r="I198" s="9">
        <f t="shared" si="59"/>
        <v>4</v>
      </c>
      <c r="J198" s="9">
        <f t="shared" si="55"/>
        <v>0</v>
      </c>
      <c r="K198" s="9">
        <f t="shared" si="60"/>
        <v>293854.0549</v>
      </c>
    </row>
    <row r="199" ht="14.25" customHeight="1">
      <c r="B199" s="11"/>
      <c r="C199" s="11"/>
      <c r="D199" s="11"/>
      <c r="E199" s="11"/>
      <c r="F199" s="11"/>
      <c r="G199" s="8"/>
      <c r="H199" s="9">
        <v>4.0</v>
      </c>
      <c r="I199" s="9">
        <f t="shared" si="59"/>
        <v>3</v>
      </c>
      <c r="J199" s="9">
        <f t="shared" si="55"/>
        <v>0</v>
      </c>
      <c r="K199" s="9">
        <f t="shared" si="60"/>
        <v>231990.0434</v>
      </c>
    </row>
    <row r="200" ht="14.25" customHeight="1">
      <c r="B200" s="11"/>
      <c r="C200" s="11"/>
      <c r="D200" s="11"/>
      <c r="E200" s="11"/>
      <c r="F200" s="11"/>
      <c r="G200" s="8"/>
      <c r="H200" s="9">
        <v>2.0</v>
      </c>
      <c r="I200" s="9">
        <f t="shared" si="59"/>
        <v>1</v>
      </c>
      <c r="J200" s="9">
        <f t="shared" si="55"/>
        <v>0</v>
      </c>
      <c r="K200" s="9">
        <f t="shared" si="60"/>
        <v>108262.0202</v>
      </c>
    </row>
    <row r="201" ht="14.25" customHeight="1">
      <c r="B201" s="11"/>
      <c r="C201" s="11"/>
      <c r="D201" s="11"/>
      <c r="E201" s="11"/>
      <c r="F201" s="11"/>
      <c r="G201" s="8"/>
      <c r="H201" s="9">
        <v>7.0</v>
      </c>
      <c r="I201" s="9">
        <f t="shared" si="59"/>
        <v>6</v>
      </c>
      <c r="J201" s="9">
        <f t="shared" si="55"/>
        <v>0</v>
      </c>
      <c r="K201" s="9">
        <f t="shared" si="60"/>
        <v>417582.078</v>
      </c>
    </row>
    <row r="202" ht="14.25" customHeight="1">
      <c r="B202" s="11"/>
      <c r="C202" s="11"/>
      <c r="D202" s="11"/>
      <c r="E202" s="11"/>
      <c r="F202" s="11"/>
      <c r="G202" s="8"/>
      <c r="H202" s="9"/>
      <c r="I202" s="9">
        <v>11.0</v>
      </c>
      <c r="J202" s="9">
        <f t="shared" si="55"/>
        <v>3</v>
      </c>
      <c r="K202" s="9">
        <f>$D$182*7+$E$182+$F$182*J202</f>
        <v>897028.1676</v>
      </c>
      <c r="L202" s="10" t="s">
        <v>12</v>
      </c>
    </row>
    <row r="203" ht="14.25" customHeight="1">
      <c r="B203" s="11"/>
      <c r="C203" s="11"/>
      <c r="D203" s="11"/>
      <c r="E203" s="11"/>
      <c r="F203" s="11"/>
      <c r="G203" s="8"/>
      <c r="H203" s="9">
        <v>5.0</v>
      </c>
      <c r="I203" s="9">
        <f t="shared" ref="I203:I208" si="61">H203-1</f>
        <v>4</v>
      </c>
      <c r="J203" s="9">
        <f t="shared" si="55"/>
        <v>0</v>
      </c>
      <c r="K203" s="9">
        <f t="shared" ref="K203:K208" si="62">$D$182*$I203+$C$182</f>
        <v>293854.0549</v>
      </c>
    </row>
    <row r="204" ht="14.25" customHeight="1">
      <c r="B204" s="11"/>
      <c r="C204" s="11"/>
      <c r="D204" s="11"/>
      <c r="E204" s="11"/>
      <c r="F204" s="11"/>
      <c r="G204" s="8"/>
      <c r="H204" s="9">
        <v>4.0</v>
      </c>
      <c r="I204" s="9">
        <f t="shared" si="61"/>
        <v>3</v>
      </c>
      <c r="J204" s="9">
        <f t="shared" si="55"/>
        <v>0</v>
      </c>
      <c r="K204" s="9">
        <f t="shared" si="62"/>
        <v>231990.0434</v>
      </c>
    </row>
    <row r="205" ht="14.25" customHeight="1">
      <c r="B205" s="11"/>
      <c r="C205" s="11"/>
      <c r="D205" s="11"/>
      <c r="E205" s="11"/>
      <c r="F205" s="11"/>
      <c r="G205" s="8"/>
      <c r="H205" s="9">
        <v>5.0</v>
      </c>
      <c r="I205" s="9">
        <f t="shared" si="61"/>
        <v>4</v>
      </c>
      <c r="J205" s="9">
        <f t="shared" si="55"/>
        <v>0</v>
      </c>
      <c r="K205" s="9">
        <f t="shared" si="62"/>
        <v>293854.0549</v>
      </c>
    </row>
    <row r="206" ht="14.25" customHeight="1">
      <c r="B206" s="11"/>
      <c r="C206" s="11"/>
      <c r="D206" s="11"/>
      <c r="E206" s="11"/>
      <c r="F206" s="11"/>
      <c r="G206" s="8"/>
      <c r="H206" s="9">
        <v>3.0</v>
      </c>
      <c r="I206" s="9">
        <f t="shared" si="61"/>
        <v>2</v>
      </c>
      <c r="J206" s="9">
        <f t="shared" si="55"/>
        <v>0</v>
      </c>
      <c r="K206" s="9">
        <f t="shared" si="62"/>
        <v>170126.0318</v>
      </c>
    </row>
    <row r="207" ht="14.25" customHeight="1">
      <c r="B207" s="11"/>
      <c r="C207" s="11"/>
      <c r="D207" s="11"/>
      <c r="E207" s="11"/>
      <c r="F207" s="11"/>
      <c r="G207" s="8"/>
      <c r="H207" s="9">
        <v>5.0</v>
      </c>
      <c r="I207" s="9">
        <f t="shared" si="61"/>
        <v>4</v>
      </c>
      <c r="J207" s="9">
        <f t="shared" si="55"/>
        <v>0</v>
      </c>
      <c r="K207" s="9">
        <f t="shared" si="62"/>
        <v>293854.0549</v>
      </c>
    </row>
    <row r="208" ht="14.25" customHeight="1">
      <c r="B208" s="11"/>
      <c r="C208" s="11"/>
      <c r="D208" s="11"/>
      <c r="E208" s="11"/>
      <c r="F208" s="11"/>
      <c r="G208" s="8"/>
      <c r="H208" s="9">
        <v>7.0</v>
      </c>
      <c r="I208" s="9">
        <f t="shared" si="61"/>
        <v>6</v>
      </c>
      <c r="J208" s="9">
        <f t="shared" si="55"/>
        <v>0</v>
      </c>
      <c r="K208" s="9">
        <f t="shared" si="62"/>
        <v>417582.078</v>
      </c>
    </row>
    <row r="209" ht="14.25" customHeight="1">
      <c r="B209" s="11"/>
      <c r="C209" s="11"/>
      <c r="D209" s="11"/>
      <c r="E209" s="11"/>
      <c r="F209" s="11"/>
      <c r="G209" s="8"/>
      <c r="H209" s="9"/>
      <c r="I209" s="9">
        <v>7.0</v>
      </c>
      <c r="J209" s="9">
        <f t="shared" si="55"/>
        <v>0</v>
      </c>
      <c r="K209" s="9">
        <f>$D$182*7</f>
        <v>433048.0809</v>
      </c>
      <c r="L209" s="10" t="s">
        <v>12</v>
      </c>
    </row>
    <row r="210" ht="14.25" customHeight="1">
      <c r="B210" s="11"/>
      <c r="C210" s="11"/>
      <c r="D210" s="11"/>
      <c r="E210" s="11"/>
      <c r="F210" s="11"/>
      <c r="G210" s="8"/>
      <c r="H210" s="9">
        <v>5.0</v>
      </c>
      <c r="I210" s="9">
        <f t="shared" ref="I210:I211" si="63">H210-1</f>
        <v>4</v>
      </c>
      <c r="J210" s="9">
        <f t="shared" si="55"/>
        <v>0</v>
      </c>
      <c r="K210" s="9">
        <f t="shared" ref="K210:K211" si="64">$D$182*$I210+$C$182</f>
        <v>293854.0549</v>
      </c>
    </row>
    <row r="211" ht="14.25" customHeight="1">
      <c r="B211" s="11"/>
      <c r="C211" s="11"/>
      <c r="D211" s="11"/>
      <c r="E211" s="11"/>
      <c r="F211" s="11"/>
      <c r="G211" s="8"/>
      <c r="H211" s="9">
        <v>6.0</v>
      </c>
      <c r="I211" s="9">
        <f t="shared" si="63"/>
        <v>5</v>
      </c>
      <c r="J211" s="9">
        <f t="shared" si="55"/>
        <v>0</v>
      </c>
      <c r="K211" s="9">
        <f t="shared" si="64"/>
        <v>355718.0665</v>
      </c>
    </row>
    <row r="212" ht="14.25" customHeight="1">
      <c r="B212" s="12"/>
      <c r="C212" s="12"/>
      <c r="D212" s="12"/>
      <c r="E212" s="12"/>
      <c r="F212" s="12"/>
      <c r="G212" s="8"/>
      <c r="H212" s="9"/>
      <c r="I212" s="9"/>
      <c r="J212" s="9"/>
      <c r="K212" s="9"/>
    </row>
    <row r="213" ht="14.25" customHeight="1">
      <c r="B213" s="13" t="s">
        <v>13</v>
      </c>
      <c r="C213" s="14"/>
      <c r="D213" s="14"/>
      <c r="E213" s="14"/>
      <c r="F213" s="14"/>
      <c r="G213" s="14"/>
      <c r="H213" s="15"/>
      <c r="I213" s="16"/>
      <c r="J213" s="16"/>
      <c r="K213" s="17">
        <f>SUM(K182:K212)</f>
        <v>9836377.838</v>
      </c>
    </row>
    <row r="214" ht="14.25" customHeight="1"/>
    <row r="215" ht="14.25" customHeight="1"/>
    <row r="216" ht="14.25" customHeight="1">
      <c r="B216" s="1" t="s">
        <v>19</v>
      </c>
      <c r="C216" s="2"/>
      <c r="D216" s="2"/>
      <c r="E216" s="2"/>
      <c r="F216" s="2"/>
      <c r="G216" s="2"/>
      <c r="H216" s="2"/>
      <c r="I216" s="2"/>
      <c r="J216" s="2"/>
      <c r="K216" s="2"/>
    </row>
    <row r="217" ht="14.25" customHeight="1">
      <c r="B217" s="3" t="s">
        <v>1</v>
      </c>
      <c r="C217" s="4" t="s">
        <v>2</v>
      </c>
      <c r="D217" s="4" t="s">
        <v>3</v>
      </c>
      <c r="E217" s="4" t="s">
        <v>4</v>
      </c>
      <c r="F217" s="4" t="s">
        <v>5</v>
      </c>
      <c r="G217" s="4" t="s">
        <v>6</v>
      </c>
      <c r="H217" s="4" t="s">
        <v>7</v>
      </c>
      <c r="I217" s="4" t="s">
        <v>8</v>
      </c>
      <c r="J217" s="4" t="s">
        <v>9</v>
      </c>
      <c r="K217" s="4" t="s">
        <v>10</v>
      </c>
    </row>
    <row r="218" ht="14.25" customHeight="1">
      <c r="B218" s="18">
        <v>5131806.0</v>
      </c>
      <c r="C218" s="18">
        <f>B218/173*1.5</f>
        <v>44495.42775</v>
      </c>
      <c r="D218" s="18">
        <f>B218/173*2</f>
        <v>59327.23699</v>
      </c>
      <c r="E218" s="18">
        <f>1*3*1/173*B218</f>
        <v>88990.85549</v>
      </c>
      <c r="F218" s="18">
        <f>1*4*1/173*B218</f>
        <v>118654.474</v>
      </c>
      <c r="G218" s="8"/>
      <c r="H218" s="9">
        <v>1.0</v>
      </c>
      <c r="I218" s="9">
        <f t="shared" ref="I218:I272" si="65">H218-1</f>
        <v>0</v>
      </c>
      <c r="J218" s="9">
        <f t="shared" ref="J218:J272" si="66">IF(I218&gt;8,I218-8,0)</f>
        <v>0</v>
      </c>
      <c r="K218" s="9">
        <f t="shared" ref="K218:K272" si="67">$D$218*$I218+$C$218</f>
        <v>44495.42775</v>
      </c>
    </row>
    <row r="219" ht="14.25" customHeight="1">
      <c r="B219" s="11"/>
      <c r="C219" s="11"/>
      <c r="D219" s="11"/>
      <c r="E219" s="11"/>
      <c r="F219" s="11"/>
      <c r="G219" s="8"/>
      <c r="H219" s="9">
        <v>4.0</v>
      </c>
      <c r="I219" s="9">
        <f t="shared" si="65"/>
        <v>3</v>
      </c>
      <c r="J219" s="9">
        <f t="shared" si="66"/>
        <v>0</v>
      </c>
      <c r="K219" s="9">
        <f t="shared" si="67"/>
        <v>222477.1387</v>
      </c>
    </row>
    <row r="220" ht="14.25" customHeight="1">
      <c r="B220" s="11"/>
      <c r="C220" s="11"/>
      <c r="D220" s="11"/>
      <c r="E220" s="11"/>
      <c r="F220" s="11"/>
      <c r="G220" s="8"/>
      <c r="H220" s="9">
        <v>7.0</v>
      </c>
      <c r="I220" s="9">
        <f t="shared" si="65"/>
        <v>6</v>
      </c>
      <c r="J220" s="9">
        <f t="shared" si="66"/>
        <v>0</v>
      </c>
      <c r="K220" s="9">
        <f t="shared" si="67"/>
        <v>400458.8497</v>
      </c>
    </row>
    <row r="221" ht="14.25" customHeight="1">
      <c r="B221" s="11"/>
      <c r="C221" s="11"/>
      <c r="D221" s="11"/>
      <c r="E221" s="11"/>
      <c r="F221" s="11"/>
      <c r="G221" s="8"/>
      <c r="H221" s="9">
        <v>1.0</v>
      </c>
      <c r="I221" s="9">
        <f t="shared" si="65"/>
        <v>0</v>
      </c>
      <c r="J221" s="9">
        <f t="shared" si="66"/>
        <v>0</v>
      </c>
      <c r="K221" s="9">
        <f t="shared" si="67"/>
        <v>44495.42775</v>
      </c>
    </row>
    <row r="222" ht="14.25" customHeight="1">
      <c r="B222" s="11"/>
      <c r="C222" s="11"/>
      <c r="D222" s="11"/>
      <c r="E222" s="11"/>
      <c r="F222" s="11"/>
      <c r="G222" s="8"/>
      <c r="H222" s="9">
        <v>4.0</v>
      </c>
      <c r="I222" s="9">
        <f t="shared" si="65"/>
        <v>3</v>
      </c>
      <c r="J222" s="9">
        <f t="shared" si="66"/>
        <v>0</v>
      </c>
      <c r="K222" s="9">
        <f t="shared" si="67"/>
        <v>222477.1387</v>
      </c>
    </row>
    <row r="223" ht="14.25" customHeight="1">
      <c r="B223" s="11"/>
      <c r="C223" s="11"/>
      <c r="D223" s="11"/>
      <c r="E223" s="11"/>
      <c r="F223" s="11"/>
      <c r="G223" s="8"/>
      <c r="H223" s="9">
        <v>1.0</v>
      </c>
      <c r="I223" s="9">
        <f t="shared" si="65"/>
        <v>0</v>
      </c>
      <c r="J223" s="9">
        <f t="shared" si="66"/>
        <v>0</v>
      </c>
      <c r="K223" s="9">
        <f t="shared" si="67"/>
        <v>44495.42775</v>
      </c>
    </row>
    <row r="224" ht="14.25" customHeight="1">
      <c r="B224" s="11"/>
      <c r="C224" s="11"/>
      <c r="D224" s="11"/>
      <c r="E224" s="11"/>
      <c r="F224" s="11"/>
      <c r="G224" s="8"/>
      <c r="H224" s="9">
        <v>4.0</v>
      </c>
      <c r="I224" s="9">
        <f t="shared" si="65"/>
        <v>3</v>
      </c>
      <c r="J224" s="9">
        <f t="shared" si="66"/>
        <v>0</v>
      </c>
      <c r="K224" s="9">
        <f t="shared" si="67"/>
        <v>222477.1387</v>
      </c>
    </row>
    <row r="225" ht="14.25" customHeight="1">
      <c r="B225" s="11"/>
      <c r="C225" s="11"/>
      <c r="D225" s="11"/>
      <c r="E225" s="11"/>
      <c r="F225" s="11"/>
      <c r="G225" s="8"/>
      <c r="H225" s="9">
        <v>1.0</v>
      </c>
      <c r="I225" s="9">
        <f t="shared" si="65"/>
        <v>0</v>
      </c>
      <c r="J225" s="9">
        <f t="shared" si="66"/>
        <v>0</v>
      </c>
      <c r="K225" s="9">
        <f t="shared" si="67"/>
        <v>44495.42775</v>
      </c>
    </row>
    <row r="226" ht="14.25" customHeight="1">
      <c r="B226" s="11"/>
      <c r="C226" s="11"/>
      <c r="D226" s="11"/>
      <c r="E226" s="11"/>
      <c r="F226" s="11"/>
      <c r="G226" s="8"/>
      <c r="H226" s="9">
        <v>4.0</v>
      </c>
      <c r="I226" s="9">
        <f t="shared" si="65"/>
        <v>3</v>
      </c>
      <c r="J226" s="9">
        <f t="shared" si="66"/>
        <v>0</v>
      </c>
      <c r="K226" s="9">
        <f t="shared" si="67"/>
        <v>222477.1387</v>
      </c>
    </row>
    <row r="227" ht="14.25" customHeight="1">
      <c r="B227" s="11"/>
      <c r="C227" s="11"/>
      <c r="D227" s="11"/>
      <c r="E227" s="11"/>
      <c r="F227" s="11"/>
      <c r="G227" s="8"/>
      <c r="H227" s="9">
        <v>1.0</v>
      </c>
      <c r="I227" s="9">
        <f t="shared" si="65"/>
        <v>0</v>
      </c>
      <c r="J227" s="9">
        <f t="shared" si="66"/>
        <v>0</v>
      </c>
      <c r="K227" s="9">
        <f t="shared" si="67"/>
        <v>44495.42775</v>
      </c>
    </row>
    <row r="228" ht="14.25" customHeight="1">
      <c r="B228" s="11"/>
      <c r="C228" s="11"/>
      <c r="D228" s="11"/>
      <c r="E228" s="11"/>
      <c r="F228" s="11"/>
      <c r="G228" s="8"/>
      <c r="H228" s="9">
        <v>4.0</v>
      </c>
      <c r="I228" s="9">
        <f t="shared" si="65"/>
        <v>3</v>
      </c>
      <c r="J228" s="9">
        <f t="shared" si="66"/>
        <v>0</v>
      </c>
      <c r="K228" s="9">
        <f t="shared" si="67"/>
        <v>222477.1387</v>
      </c>
    </row>
    <row r="229" ht="14.25" customHeight="1">
      <c r="B229" s="11"/>
      <c r="C229" s="11"/>
      <c r="D229" s="11"/>
      <c r="E229" s="11"/>
      <c r="F229" s="11"/>
      <c r="G229" s="8"/>
      <c r="H229" s="9">
        <v>1.0</v>
      </c>
      <c r="I229" s="9">
        <f t="shared" si="65"/>
        <v>0</v>
      </c>
      <c r="J229" s="9">
        <f t="shared" si="66"/>
        <v>0</v>
      </c>
      <c r="K229" s="9">
        <f t="shared" si="67"/>
        <v>44495.42775</v>
      </c>
    </row>
    <row r="230" ht="14.25" customHeight="1">
      <c r="B230" s="11"/>
      <c r="C230" s="11"/>
      <c r="D230" s="11"/>
      <c r="E230" s="11"/>
      <c r="F230" s="11"/>
      <c r="G230" s="8"/>
      <c r="H230" s="9">
        <v>4.0</v>
      </c>
      <c r="I230" s="9">
        <f t="shared" si="65"/>
        <v>3</v>
      </c>
      <c r="J230" s="9">
        <f t="shared" si="66"/>
        <v>0</v>
      </c>
      <c r="K230" s="9">
        <f t="shared" si="67"/>
        <v>222477.1387</v>
      </c>
    </row>
    <row r="231" ht="14.25" customHeight="1">
      <c r="B231" s="11"/>
      <c r="C231" s="11"/>
      <c r="D231" s="11"/>
      <c r="E231" s="11"/>
      <c r="F231" s="11"/>
      <c r="G231" s="8"/>
      <c r="H231" s="9">
        <v>1.0</v>
      </c>
      <c r="I231" s="9">
        <f t="shared" si="65"/>
        <v>0</v>
      </c>
      <c r="J231" s="9">
        <f t="shared" si="66"/>
        <v>0</v>
      </c>
      <c r="K231" s="9">
        <f t="shared" si="67"/>
        <v>44495.42775</v>
      </c>
    </row>
    <row r="232" ht="14.25" customHeight="1">
      <c r="B232" s="11"/>
      <c r="C232" s="11"/>
      <c r="D232" s="11"/>
      <c r="E232" s="11"/>
      <c r="F232" s="11"/>
      <c r="G232" s="8"/>
      <c r="H232" s="9">
        <v>4.0</v>
      </c>
      <c r="I232" s="9">
        <f t="shared" si="65"/>
        <v>3</v>
      </c>
      <c r="J232" s="9">
        <f t="shared" si="66"/>
        <v>0</v>
      </c>
      <c r="K232" s="9">
        <f t="shared" si="67"/>
        <v>222477.1387</v>
      </c>
    </row>
    <row r="233" ht="14.25" customHeight="1">
      <c r="B233" s="11"/>
      <c r="C233" s="11"/>
      <c r="D233" s="11"/>
      <c r="E233" s="11"/>
      <c r="F233" s="11"/>
      <c r="G233" s="8"/>
      <c r="H233" s="9">
        <v>1.0</v>
      </c>
      <c r="I233" s="9">
        <f t="shared" si="65"/>
        <v>0</v>
      </c>
      <c r="J233" s="9">
        <f t="shared" si="66"/>
        <v>0</v>
      </c>
      <c r="K233" s="9">
        <f t="shared" si="67"/>
        <v>44495.42775</v>
      </c>
    </row>
    <row r="234" ht="14.25" customHeight="1">
      <c r="B234" s="11"/>
      <c r="C234" s="11"/>
      <c r="D234" s="11"/>
      <c r="E234" s="11"/>
      <c r="F234" s="11"/>
      <c r="G234" s="8"/>
      <c r="H234" s="9">
        <v>4.0</v>
      </c>
      <c r="I234" s="9">
        <f t="shared" si="65"/>
        <v>3</v>
      </c>
      <c r="J234" s="9">
        <f t="shared" si="66"/>
        <v>0</v>
      </c>
      <c r="K234" s="9">
        <f t="shared" si="67"/>
        <v>222477.1387</v>
      </c>
    </row>
    <row r="235" ht="14.25" customHeight="1">
      <c r="B235" s="11"/>
      <c r="C235" s="11"/>
      <c r="D235" s="11"/>
      <c r="E235" s="11"/>
      <c r="F235" s="11"/>
      <c r="G235" s="8"/>
      <c r="H235" s="9">
        <v>1.0</v>
      </c>
      <c r="I235" s="9">
        <f t="shared" si="65"/>
        <v>0</v>
      </c>
      <c r="J235" s="9">
        <f t="shared" si="66"/>
        <v>0</v>
      </c>
      <c r="K235" s="9">
        <f t="shared" si="67"/>
        <v>44495.42775</v>
      </c>
    </row>
    <row r="236" ht="14.25" customHeight="1">
      <c r="B236" s="11"/>
      <c r="C236" s="11"/>
      <c r="D236" s="11"/>
      <c r="E236" s="11"/>
      <c r="F236" s="11"/>
      <c r="G236" s="8"/>
      <c r="H236" s="9">
        <v>4.0</v>
      </c>
      <c r="I236" s="9">
        <f t="shared" si="65"/>
        <v>3</v>
      </c>
      <c r="J236" s="9">
        <f t="shared" si="66"/>
        <v>0</v>
      </c>
      <c r="K236" s="9">
        <f t="shared" si="67"/>
        <v>222477.1387</v>
      </c>
    </row>
    <row r="237" ht="14.25" customHeight="1">
      <c r="B237" s="11"/>
      <c r="C237" s="11"/>
      <c r="D237" s="11"/>
      <c r="E237" s="11"/>
      <c r="F237" s="11"/>
      <c r="G237" s="8"/>
      <c r="H237" s="9">
        <v>1.0</v>
      </c>
      <c r="I237" s="9">
        <f t="shared" si="65"/>
        <v>0</v>
      </c>
      <c r="J237" s="9">
        <f t="shared" si="66"/>
        <v>0</v>
      </c>
      <c r="K237" s="9">
        <f t="shared" si="67"/>
        <v>44495.42775</v>
      </c>
    </row>
    <row r="238" ht="14.25" customHeight="1">
      <c r="B238" s="11"/>
      <c r="C238" s="11"/>
      <c r="D238" s="11"/>
      <c r="E238" s="11"/>
      <c r="F238" s="11"/>
      <c r="G238" s="8"/>
      <c r="H238" s="9">
        <v>4.0</v>
      </c>
      <c r="I238" s="9">
        <f t="shared" si="65"/>
        <v>3</v>
      </c>
      <c r="J238" s="9">
        <f t="shared" si="66"/>
        <v>0</v>
      </c>
      <c r="K238" s="9">
        <f t="shared" si="67"/>
        <v>222477.1387</v>
      </c>
    </row>
    <row r="239" ht="14.25" customHeight="1">
      <c r="B239" s="11"/>
      <c r="C239" s="11"/>
      <c r="D239" s="11"/>
      <c r="E239" s="11"/>
      <c r="F239" s="11"/>
      <c r="G239" s="8"/>
      <c r="H239" s="9">
        <v>1.0</v>
      </c>
      <c r="I239" s="9">
        <f t="shared" si="65"/>
        <v>0</v>
      </c>
      <c r="J239" s="9">
        <f t="shared" si="66"/>
        <v>0</v>
      </c>
      <c r="K239" s="9">
        <f t="shared" si="67"/>
        <v>44495.42775</v>
      </c>
    </row>
    <row r="240" ht="14.25" customHeight="1">
      <c r="B240" s="11"/>
      <c r="C240" s="11"/>
      <c r="D240" s="11"/>
      <c r="E240" s="11"/>
      <c r="F240" s="11"/>
      <c r="G240" s="8"/>
      <c r="H240" s="9">
        <v>4.0</v>
      </c>
      <c r="I240" s="9">
        <f t="shared" si="65"/>
        <v>3</v>
      </c>
      <c r="J240" s="9">
        <f t="shared" si="66"/>
        <v>0</v>
      </c>
      <c r="K240" s="9">
        <f t="shared" si="67"/>
        <v>222477.1387</v>
      </c>
    </row>
    <row r="241" ht="14.25" customHeight="1">
      <c r="B241" s="11"/>
      <c r="C241" s="11"/>
      <c r="D241" s="11"/>
      <c r="E241" s="11"/>
      <c r="F241" s="11"/>
      <c r="G241" s="8"/>
      <c r="H241" s="9">
        <v>1.0</v>
      </c>
      <c r="I241" s="9">
        <f t="shared" si="65"/>
        <v>0</v>
      </c>
      <c r="J241" s="9">
        <f t="shared" si="66"/>
        <v>0</v>
      </c>
      <c r="K241" s="9">
        <f t="shared" si="67"/>
        <v>44495.42775</v>
      </c>
    </row>
    <row r="242" ht="14.25" customHeight="1">
      <c r="B242" s="11"/>
      <c r="C242" s="11"/>
      <c r="D242" s="11"/>
      <c r="E242" s="11"/>
      <c r="F242" s="11"/>
      <c r="G242" s="8"/>
      <c r="H242" s="9">
        <v>4.0</v>
      </c>
      <c r="I242" s="9">
        <f t="shared" si="65"/>
        <v>3</v>
      </c>
      <c r="J242" s="9">
        <f t="shared" si="66"/>
        <v>0</v>
      </c>
      <c r="K242" s="9">
        <f t="shared" si="67"/>
        <v>222477.1387</v>
      </c>
    </row>
    <row r="243" ht="14.25" customHeight="1">
      <c r="B243" s="11"/>
      <c r="C243" s="11"/>
      <c r="D243" s="11"/>
      <c r="E243" s="11"/>
      <c r="F243" s="11"/>
      <c r="G243" s="8"/>
      <c r="H243" s="9">
        <v>7.0</v>
      </c>
      <c r="I243" s="9">
        <f t="shared" si="65"/>
        <v>6</v>
      </c>
      <c r="J243" s="9">
        <f t="shared" si="66"/>
        <v>0</v>
      </c>
      <c r="K243" s="9">
        <f t="shared" si="67"/>
        <v>400458.8497</v>
      </c>
    </row>
    <row r="244" ht="14.25" customHeight="1">
      <c r="B244" s="11"/>
      <c r="C244" s="11"/>
      <c r="D244" s="11"/>
      <c r="E244" s="11"/>
      <c r="F244" s="11"/>
      <c r="G244" s="8"/>
      <c r="H244" s="9">
        <v>4.0</v>
      </c>
      <c r="I244" s="9">
        <f t="shared" si="65"/>
        <v>3</v>
      </c>
      <c r="J244" s="9">
        <f t="shared" si="66"/>
        <v>0</v>
      </c>
      <c r="K244" s="9">
        <f t="shared" si="67"/>
        <v>222477.1387</v>
      </c>
    </row>
    <row r="245" ht="14.25" customHeight="1">
      <c r="B245" s="11"/>
      <c r="C245" s="11"/>
      <c r="D245" s="11"/>
      <c r="E245" s="11"/>
      <c r="F245" s="11"/>
      <c r="G245" s="8"/>
      <c r="H245" s="9">
        <v>1.0</v>
      </c>
      <c r="I245" s="9">
        <f t="shared" si="65"/>
        <v>0</v>
      </c>
      <c r="J245" s="9">
        <f t="shared" si="66"/>
        <v>0</v>
      </c>
      <c r="K245" s="9">
        <f t="shared" si="67"/>
        <v>44495.42775</v>
      </c>
    </row>
    <row r="246" ht="14.25" customHeight="1">
      <c r="B246" s="11"/>
      <c r="C246" s="11"/>
      <c r="D246" s="11"/>
      <c r="E246" s="11"/>
      <c r="F246" s="11"/>
      <c r="G246" s="8"/>
      <c r="H246" s="9">
        <v>4.0</v>
      </c>
      <c r="I246" s="9">
        <f t="shared" si="65"/>
        <v>3</v>
      </c>
      <c r="J246" s="9">
        <f t="shared" si="66"/>
        <v>0</v>
      </c>
      <c r="K246" s="9">
        <f t="shared" si="67"/>
        <v>222477.1387</v>
      </c>
    </row>
    <row r="247" ht="14.25" customHeight="1">
      <c r="B247" s="11"/>
      <c r="C247" s="11"/>
      <c r="D247" s="11"/>
      <c r="E247" s="11"/>
      <c r="F247" s="11"/>
      <c r="G247" s="8"/>
      <c r="H247" s="9">
        <v>1.0</v>
      </c>
      <c r="I247" s="9">
        <f t="shared" si="65"/>
        <v>0</v>
      </c>
      <c r="J247" s="9">
        <f t="shared" si="66"/>
        <v>0</v>
      </c>
      <c r="K247" s="9">
        <f t="shared" si="67"/>
        <v>44495.42775</v>
      </c>
    </row>
    <row r="248" ht="14.25" customHeight="1">
      <c r="B248" s="11"/>
      <c r="C248" s="11"/>
      <c r="D248" s="11"/>
      <c r="E248" s="11"/>
      <c r="F248" s="11"/>
      <c r="G248" s="8"/>
      <c r="H248" s="9">
        <v>4.0</v>
      </c>
      <c r="I248" s="9">
        <f t="shared" si="65"/>
        <v>3</v>
      </c>
      <c r="J248" s="9">
        <f t="shared" si="66"/>
        <v>0</v>
      </c>
      <c r="K248" s="9">
        <f t="shared" si="67"/>
        <v>222477.1387</v>
      </c>
    </row>
    <row r="249" ht="14.25" customHeight="1">
      <c r="B249" s="11"/>
      <c r="C249" s="11"/>
      <c r="D249" s="11"/>
      <c r="E249" s="11"/>
      <c r="F249" s="11"/>
      <c r="G249" s="8"/>
      <c r="H249" s="9">
        <v>1.0</v>
      </c>
      <c r="I249" s="9">
        <f t="shared" si="65"/>
        <v>0</v>
      </c>
      <c r="J249" s="9">
        <f t="shared" si="66"/>
        <v>0</v>
      </c>
      <c r="K249" s="9">
        <f t="shared" si="67"/>
        <v>44495.42775</v>
      </c>
    </row>
    <row r="250" ht="14.25" customHeight="1">
      <c r="B250" s="11"/>
      <c r="C250" s="11"/>
      <c r="D250" s="11"/>
      <c r="E250" s="11"/>
      <c r="F250" s="11"/>
      <c r="G250" s="8"/>
      <c r="H250" s="9">
        <v>4.0</v>
      </c>
      <c r="I250" s="9">
        <f t="shared" si="65"/>
        <v>3</v>
      </c>
      <c r="J250" s="9">
        <f t="shared" si="66"/>
        <v>0</v>
      </c>
      <c r="K250" s="9">
        <f t="shared" si="67"/>
        <v>222477.1387</v>
      </c>
    </row>
    <row r="251" ht="14.25" customHeight="1">
      <c r="B251" s="11"/>
      <c r="C251" s="11"/>
      <c r="D251" s="11"/>
      <c r="E251" s="11"/>
      <c r="F251" s="11"/>
      <c r="G251" s="8"/>
      <c r="H251" s="9">
        <v>1.0</v>
      </c>
      <c r="I251" s="9">
        <f t="shared" si="65"/>
        <v>0</v>
      </c>
      <c r="J251" s="9">
        <f t="shared" si="66"/>
        <v>0</v>
      </c>
      <c r="K251" s="9">
        <f t="shared" si="67"/>
        <v>44495.42775</v>
      </c>
    </row>
    <row r="252" ht="14.25" customHeight="1">
      <c r="B252" s="11"/>
      <c r="C252" s="11"/>
      <c r="D252" s="11"/>
      <c r="E252" s="11"/>
      <c r="F252" s="11"/>
      <c r="G252" s="8"/>
      <c r="H252" s="9">
        <v>4.0</v>
      </c>
      <c r="I252" s="9">
        <f t="shared" si="65"/>
        <v>3</v>
      </c>
      <c r="J252" s="9">
        <f t="shared" si="66"/>
        <v>0</v>
      </c>
      <c r="K252" s="9">
        <f t="shared" si="67"/>
        <v>222477.1387</v>
      </c>
    </row>
    <row r="253" ht="14.25" customHeight="1">
      <c r="B253" s="11"/>
      <c r="C253" s="11"/>
      <c r="D253" s="11"/>
      <c r="E253" s="11"/>
      <c r="F253" s="11"/>
      <c r="G253" s="8"/>
      <c r="H253" s="9">
        <v>5.0</v>
      </c>
      <c r="I253" s="9">
        <f t="shared" si="65"/>
        <v>4</v>
      </c>
      <c r="J253" s="9">
        <f t="shared" si="66"/>
        <v>0</v>
      </c>
      <c r="K253" s="9">
        <f t="shared" si="67"/>
        <v>281804.3757</v>
      </c>
    </row>
    <row r="254" ht="14.25" customHeight="1">
      <c r="B254" s="11"/>
      <c r="C254" s="11"/>
      <c r="D254" s="11"/>
      <c r="E254" s="11"/>
      <c r="F254" s="11"/>
      <c r="G254" s="8"/>
      <c r="H254" s="9">
        <v>5.0</v>
      </c>
      <c r="I254" s="9">
        <f t="shared" si="65"/>
        <v>4</v>
      </c>
      <c r="J254" s="9">
        <f t="shared" si="66"/>
        <v>0</v>
      </c>
      <c r="K254" s="9">
        <f t="shared" si="67"/>
        <v>281804.3757</v>
      </c>
    </row>
    <row r="255" ht="14.25" customHeight="1">
      <c r="B255" s="11"/>
      <c r="C255" s="11"/>
      <c r="D255" s="11"/>
      <c r="E255" s="11"/>
      <c r="F255" s="11"/>
      <c r="G255" s="8"/>
      <c r="H255" s="9">
        <v>4.0</v>
      </c>
      <c r="I255" s="9">
        <f t="shared" si="65"/>
        <v>3</v>
      </c>
      <c r="J255" s="9">
        <f t="shared" si="66"/>
        <v>0</v>
      </c>
      <c r="K255" s="9">
        <f t="shared" si="67"/>
        <v>222477.1387</v>
      </c>
    </row>
    <row r="256" ht="14.25" customHeight="1">
      <c r="B256" s="11"/>
      <c r="C256" s="11"/>
      <c r="D256" s="11"/>
      <c r="E256" s="11"/>
      <c r="F256" s="11"/>
      <c r="G256" s="8"/>
      <c r="H256" s="9">
        <v>7.0</v>
      </c>
      <c r="I256" s="9">
        <f t="shared" si="65"/>
        <v>6</v>
      </c>
      <c r="J256" s="9">
        <f t="shared" si="66"/>
        <v>0</v>
      </c>
      <c r="K256" s="9">
        <f t="shared" si="67"/>
        <v>400458.8497</v>
      </c>
    </row>
    <row r="257" ht="14.25" customHeight="1">
      <c r="B257" s="11"/>
      <c r="C257" s="11"/>
      <c r="D257" s="11"/>
      <c r="E257" s="11"/>
      <c r="F257" s="11"/>
      <c r="G257" s="8"/>
      <c r="H257" s="9">
        <v>1.0</v>
      </c>
      <c r="I257" s="9">
        <f t="shared" si="65"/>
        <v>0</v>
      </c>
      <c r="J257" s="9">
        <f t="shared" si="66"/>
        <v>0</v>
      </c>
      <c r="K257" s="9">
        <f t="shared" si="67"/>
        <v>44495.42775</v>
      </c>
    </row>
    <row r="258" ht="14.25" customHeight="1">
      <c r="B258" s="11"/>
      <c r="C258" s="11"/>
      <c r="D258" s="11"/>
      <c r="E258" s="11"/>
      <c r="F258" s="11"/>
      <c r="G258" s="8"/>
      <c r="H258" s="9">
        <v>4.0</v>
      </c>
      <c r="I258" s="9">
        <f t="shared" si="65"/>
        <v>3</v>
      </c>
      <c r="J258" s="9">
        <f t="shared" si="66"/>
        <v>0</v>
      </c>
      <c r="K258" s="9">
        <f t="shared" si="67"/>
        <v>222477.1387</v>
      </c>
    </row>
    <row r="259" ht="14.25" customHeight="1">
      <c r="B259" s="11"/>
      <c r="C259" s="11"/>
      <c r="D259" s="11"/>
      <c r="E259" s="11"/>
      <c r="F259" s="11"/>
      <c r="G259" s="8"/>
      <c r="H259" s="9">
        <v>1.0</v>
      </c>
      <c r="I259" s="9">
        <f t="shared" si="65"/>
        <v>0</v>
      </c>
      <c r="J259" s="9">
        <f t="shared" si="66"/>
        <v>0</v>
      </c>
      <c r="K259" s="9">
        <f t="shared" si="67"/>
        <v>44495.42775</v>
      </c>
    </row>
    <row r="260" ht="14.25" customHeight="1">
      <c r="B260" s="11"/>
      <c r="C260" s="11"/>
      <c r="D260" s="11"/>
      <c r="E260" s="11"/>
      <c r="F260" s="11"/>
      <c r="G260" s="8"/>
      <c r="H260" s="9">
        <v>4.0</v>
      </c>
      <c r="I260" s="9">
        <f t="shared" si="65"/>
        <v>3</v>
      </c>
      <c r="J260" s="9">
        <f t="shared" si="66"/>
        <v>0</v>
      </c>
      <c r="K260" s="9">
        <f t="shared" si="67"/>
        <v>222477.1387</v>
      </c>
    </row>
    <row r="261" ht="14.25" customHeight="1">
      <c r="B261" s="11"/>
      <c r="C261" s="11"/>
      <c r="D261" s="11"/>
      <c r="E261" s="11"/>
      <c r="F261" s="11"/>
      <c r="G261" s="8"/>
      <c r="H261" s="9">
        <v>1.0</v>
      </c>
      <c r="I261" s="9">
        <f t="shared" si="65"/>
        <v>0</v>
      </c>
      <c r="J261" s="9">
        <f t="shared" si="66"/>
        <v>0</v>
      </c>
      <c r="K261" s="9">
        <f t="shared" si="67"/>
        <v>44495.42775</v>
      </c>
    </row>
    <row r="262" ht="14.25" customHeight="1">
      <c r="B262" s="11"/>
      <c r="C262" s="11"/>
      <c r="D262" s="11"/>
      <c r="E262" s="11"/>
      <c r="F262" s="11"/>
      <c r="G262" s="8"/>
      <c r="H262" s="9">
        <v>4.0</v>
      </c>
      <c r="I262" s="9">
        <f t="shared" si="65"/>
        <v>3</v>
      </c>
      <c r="J262" s="9">
        <f t="shared" si="66"/>
        <v>0</v>
      </c>
      <c r="K262" s="9">
        <f t="shared" si="67"/>
        <v>222477.1387</v>
      </c>
    </row>
    <row r="263" ht="14.25" customHeight="1">
      <c r="B263" s="11"/>
      <c r="C263" s="11"/>
      <c r="D263" s="11"/>
      <c r="E263" s="11"/>
      <c r="F263" s="11"/>
      <c r="G263" s="8"/>
      <c r="H263" s="9">
        <v>1.0</v>
      </c>
      <c r="I263" s="9">
        <f t="shared" si="65"/>
        <v>0</v>
      </c>
      <c r="J263" s="9">
        <f t="shared" si="66"/>
        <v>0</v>
      </c>
      <c r="K263" s="9">
        <f t="shared" si="67"/>
        <v>44495.42775</v>
      </c>
    </row>
    <row r="264" ht="14.25" customHeight="1">
      <c r="B264" s="11"/>
      <c r="C264" s="11"/>
      <c r="D264" s="11"/>
      <c r="E264" s="11"/>
      <c r="F264" s="11"/>
      <c r="G264" s="8"/>
      <c r="H264" s="9">
        <v>4.0</v>
      </c>
      <c r="I264" s="9">
        <f t="shared" si="65"/>
        <v>3</v>
      </c>
      <c r="J264" s="9">
        <f t="shared" si="66"/>
        <v>0</v>
      </c>
      <c r="K264" s="9">
        <f t="shared" si="67"/>
        <v>222477.1387</v>
      </c>
    </row>
    <row r="265" ht="14.25" customHeight="1">
      <c r="B265" s="11"/>
      <c r="C265" s="11"/>
      <c r="D265" s="11"/>
      <c r="E265" s="11"/>
      <c r="F265" s="11"/>
      <c r="G265" s="8"/>
      <c r="H265" s="9">
        <v>1.0</v>
      </c>
      <c r="I265" s="9">
        <f t="shared" si="65"/>
        <v>0</v>
      </c>
      <c r="J265" s="9">
        <f t="shared" si="66"/>
        <v>0</v>
      </c>
      <c r="K265" s="9">
        <f t="shared" si="67"/>
        <v>44495.42775</v>
      </c>
    </row>
    <row r="266" ht="14.25" customHeight="1">
      <c r="B266" s="11"/>
      <c r="C266" s="11"/>
      <c r="D266" s="11"/>
      <c r="E266" s="11"/>
      <c r="F266" s="11"/>
      <c r="G266" s="8"/>
      <c r="H266" s="9">
        <v>4.0</v>
      </c>
      <c r="I266" s="9">
        <f t="shared" si="65"/>
        <v>3</v>
      </c>
      <c r="J266" s="9">
        <f t="shared" si="66"/>
        <v>0</v>
      </c>
      <c r="K266" s="9">
        <f t="shared" si="67"/>
        <v>222477.1387</v>
      </c>
    </row>
    <row r="267" ht="14.25" customHeight="1">
      <c r="B267" s="11"/>
      <c r="C267" s="11"/>
      <c r="D267" s="11"/>
      <c r="E267" s="11"/>
      <c r="F267" s="11"/>
      <c r="G267" s="8"/>
      <c r="H267" s="9">
        <v>1.0</v>
      </c>
      <c r="I267" s="9">
        <f t="shared" si="65"/>
        <v>0</v>
      </c>
      <c r="J267" s="9">
        <f t="shared" si="66"/>
        <v>0</v>
      </c>
      <c r="K267" s="9">
        <f t="shared" si="67"/>
        <v>44495.42775</v>
      </c>
    </row>
    <row r="268" ht="14.25" customHeight="1">
      <c r="B268" s="11"/>
      <c r="C268" s="11"/>
      <c r="D268" s="11"/>
      <c r="E268" s="11"/>
      <c r="F268" s="11"/>
      <c r="G268" s="8"/>
      <c r="H268" s="9">
        <v>5.0</v>
      </c>
      <c r="I268" s="9">
        <f t="shared" si="65"/>
        <v>4</v>
      </c>
      <c r="J268" s="9">
        <f t="shared" si="66"/>
        <v>0</v>
      </c>
      <c r="K268" s="9">
        <f t="shared" si="67"/>
        <v>281804.3757</v>
      </c>
    </row>
    <row r="269" ht="14.25" customHeight="1">
      <c r="B269" s="11"/>
      <c r="C269" s="11"/>
      <c r="D269" s="11"/>
      <c r="E269" s="11"/>
      <c r="F269" s="11"/>
      <c r="G269" s="8"/>
      <c r="H269" s="9">
        <v>7.0</v>
      </c>
      <c r="I269" s="9">
        <f t="shared" si="65"/>
        <v>6</v>
      </c>
      <c r="J269" s="9">
        <f t="shared" si="66"/>
        <v>0</v>
      </c>
      <c r="K269" s="9">
        <f t="shared" si="67"/>
        <v>400458.8497</v>
      </c>
    </row>
    <row r="270" ht="14.25" customHeight="1">
      <c r="B270" s="11"/>
      <c r="C270" s="11"/>
      <c r="D270" s="11"/>
      <c r="E270" s="11"/>
      <c r="F270" s="11"/>
      <c r="G270" s="8"/>
      <c r="H270" s="9">
        <v>4.0</v>
      </c>
      <c r="I270" s="9">
        <f t="shared" si="65"/>
        <v>3</v>
      </c>
      <c r="J270" s="9">
        <f t="shared" si="66"/>
        <v>0</v>
      </c>
      <c r="K270" s="9">
        <f t="shared" si="67"/>
        <v>222477.1387</v>
      </c>
    </row>
    <row r="271" ht="14.25" customHeight="1">
      <c r="B271" s="11"/>
      <c r="C271" s="11"/>
      <c r="D271" s="11"/>
      <c r="E271" s="11"/>
      <c r="F271" s="11"/>
      <c r="G271" s="8"/>
      <c r="H271" s="9">
        <v>1.0</v>
      </c>
      <c r="I271" s="9">
        <f t="shared" si="65"/>
        <v>0</v>
      </c>
      <c r="J271" s="9">
        <f t="shared" si="66"/>
        <v>0</v>
      </c>
      <c r="K271" s="9">
        <f t="shared" si="67"/>
        <v>44495.42775</v>
      </c>
    </row>
    <row r="272" ht="14.25" customHeight="1">
      <c r="B272" s="11"/>
      <c r="C272" s="11"/>
      <c r="D272" s="11"/>
      <c r="E272" s="11"/>
      <c r="F272" s="11"/>
      <c r="G272" s="8"/>
      <c r="H272" s="9">
        <v>4.0</v>
      </c>
      <c r="I272" s="9">
        <f t="shared" si="65"/>
        <v>3</v>
      </c>
      <c r="J272" s="9">
        <f t="shared" si="66"/>
        <v>0</v>
      </c>
      <c r="K272" s="9">
        <f t="shared" si="67"/>
        <v>222477.1387</v>
      </c>
    </row>
    <row r="273" ht="14.25" customHeight="1">
      <c r="B273" s="12"/>
      <c r="C273" s="12"/>
      <c r="D273" s="12"/>
      <c r="E273" s="12"/>
      <c r="F273" s="12"/>
      <c r="G273" s="8"/>
      <c r="H273" s="9"/>
      <c r="I273" s="9"/>
      <c r="J273" s="9"/>
      <c r="K273" s="9"/>
    </row>
    <row r="274" ht="14.25" customHeight="1">
      <c r="B274" s="13" t="s">
        <v>13</v>
      </c>
      <c r="C274" s="14"/>
      <c r="D274" s="14"/>
      <c r="E274" s="14"/>
      <c r="F274" s="14"/>
      <c r="G274" s="14"/>
      <c r="H274" s="15"/>
      <c r="I274" s="16"/>
      <c r="J274" s="16"/>
      <c r="K274" s="17">
        <f>SUM(K218:K273)</f>
        <v>9032571.832</v>
      </c>
    </row>
    <row r="275" ht="14.25" customHeight="1"/>
    <row r="276" ht="14.25" customHeight="1"/>
    <row r="277" ht="14.25" customHeight="1">
      <c r="B277" s="1" t="s">
        <v>20</v>
      </c>
      <c r="C277" s="2"/>
      <c r="D277" s="2"/>
      <c r="E277" s="2"/>
      <c r="F277" s="2"/>
      <c r="G277" s="2"/>
      <c r="H277" s="2"/>
      <c r="I277" s="2"/>
      <c r="J277" s="2"/>
      <c r="K277" s="2"/>
    </row>
    <row r="278" ht="14.25" customHeight="1">
      <c r="B278" s="3" t="s">
        <v>1</v>
      </c>
      <c r="C278" s="4" t="s">
        <v>2</v>
      </c>
      <c r="D278" s="4" t="s">
        <v>3</v>
      </c>
      <c r="E278" s="4" t="s">
        <v>4</v>
      </c>
      <c r="F278" s="4" t="s">
        <v>5</v>
      </c>
      <c r="G278" s="4" t="s">
        <v>6</v>
      </c>
      <c r="H278" s="4" t="s">
        <v>7</v>
      </c>
      <c r="I278" s="4" t="s">
        <v>8</v>
      </c>
      <c r="J278" s="4" t="s">
        <v>9</v>
      </c>
      <c r="K278" s="4" t="s">
        <v>10</v>
      </c>
    </row>
    <row r="279" ht="14.25" customHeight="1">
      <c r="B279" s="18">
        <v>4780086.0</v>
      </c>
      <c r="C279" s="18">
        <f>B279/173*1.5</f>
        <v>41445.83237</v>
      </c>
      <c r="D279" s="18">
        <f>B279/173*2</f>
        <v>55261.10983</v>
      </c>
      <c r="E279" s="18">
        <f>1*3*1/173*B279</f>
        <v>82891.66474</v>
      </c>
      <c r="F279" s="18">
        <f>1*4*1/173*B279</f>
        <v>110522.2197</v>
      </c>
      <c r="G279" s="8"/>
      <c r="H279" s="9">
        <v>5.0</v>
      </c>
      <c r="I279" s="9">
        <f t="shared" ref="I279:I282" si="68">H279-1</f>
        <v>4</v>
      </c>
      <c r="J279" s="9">
        <f t="shared" ref="J279:J308" si="69">IF(I279&gt;8,I279-8,0)</f>
        <v>0</v>
      </c>
      <c r="K279" s="9">
        <f t="shared" ref="K279:K282" si="70">$D$279*$I279+$C$279</f>
        <v>262490.2717</v>
      </c>
    </row>
    <row r="280" ht="14.25" customHeight="1">
      <c r="B280" s="11"/>
      <c r="C280" s="11"/>
      <c r="D280" s="11"/>
      <c r="E280" s="11"/>
      <c r="F280" s="11"/>
      <c r="G280" s="8"/>
      <c r="H280" s="9">
        <v>5.0</v>
      </c>
      <c r="I280" s="9">
        <f t="shared" si="68"/>
        <v>4</v>
      </c>
      <c r="J280" s="9">
        <f t="shared" si="69"/>
        <v>0</v>
      </c>
      <c r="K280" s="9">
        <f t="shared" si="70"/>
        <v>262490.2717</v>
      </c>
    </row>
    <row r="281" ht="14.25" customHeight="1">
      <c r="B281" s="11"/>
      <c r="C281" s="11"/>
      <c r="D281" s="11"/>
      <c r="E281" s="11"/>
      <c r="F281" s="11"/>
      <c r="G281" s="8"/>
      <c r="H281" s="9">
        <v>5.0</v>
      </c>
      <c r="I281" s="9">
        <f t="shared" si="68"/>
        <v>4</v>
      </c>
      <c r="J281" s="9">
        <f t="shared" si="69"/>
        <v>0</v>
      </c>
      <c r="K281" s="9">
        <f t="shared" si="70"/>
        <v>262490.2717</v>
      </c>
    </row>
    <row r="282" ht="14.25" customHeight="1">
      <c r="B282" s="11"/>
      <c r="C282" s="11"/>
      <c r="D282" s="11"/>
      <c r="E282" s="11"/>
      <c r="F282" s="11"/>
      <c r="G282" s="8"/>
      <c r="H282" s="9">
        <v>5.0</v>
      </c>
      <c r="I282" s="9">
        <f t="shared" si="68"/>
        <v>4</v>
      </c>
      <c r="J282" s="9">
        <f t="shared" si="69"/>
        <v>0</v>
      </c>
      <c r="K282" s="9">
        <f t="shared" si="70"/>
        <v>262490.2717</v>
      </c>
    </row>
    <row r="283" ht="14.25" customHeight="1">
      <c r="B283" s="11"/>
      <c r="C283" s="11"/>
      <c r="D283" s="11"/>
      <c r="E283" s="11"/>
      <c r="F283" s="11"/>
      <c r="G283" s="8"/>
      <c r="H283" s="9"/>
      <c r="I283" s="9">
        <v>11.0</v>
      </c>
      <c r="J283" s="9">
        <f t="shared" si="69"/>
        <v>3</v>
      </c>
      <c r="K283" s="9">
        <f>$D$279*7+$E$279+$F$279*J283</f>
        <v>801286.0925</v>
      </c>
      <c r="L283" s="10" t="s">
        <v>12</v>
      </c>
    </row>
    <row r="284" ht="14.25" customHeight="1">
      <c r="B284" s="11"/>
      <c r="C284" s="11"/>
      <c r="D284" s="11"/>
      <c r="E284" s="11"/>
      <c r="F284" s="11"/>
      <c r="G284" s="8"/>
      <c r="H284" s="9">
        <v>6.0</v>
      </c>
      <c r="I284" s="9">
        <f t="shared" ref="I284:I289" si="71">H284-1</f>
        <v>5</v>
      </c>
      <c r="J284" s="9">
        <f t="shared" si="69"/>
        <v>0</v>
      </c>
      <c r="K284" s="9">
        <f t="shared" ref="K284:K289" si="72">$D$279*$I284+$C$279</f>
        <v>317751.3815</v>
      </c>
    </row>
    <row r="285" ht="14.25" customHeight="1">
      <c r="B285" s="11"/>
      <c r="C285" s="11"/>
      <c r="D285" s="11"/>
      <c r="E285" s="11"/>
      <c r="F285" s="11"/>
      <c r="G285" s="8"/>
      <c r="H285" s="9">
        <v>4.0</v>
      </c>
      <c r="I285" s="9">
        <f t="shared" si="71"/>
        <v>3</v>
      </c>
      <c r="J285" s="9">
        <f t="shared" si="69"/>
        <v>0</v>
      </c>
      <c r="K285" s="9">
        <f t="shared" si="72"/>
        <v>207229.1618</v>
      </c>
    </row>
    <row r="286" ht="14.25" customHeight="1">
      <c r="B286" s="11"/>
      <c r="C286" s="11"/>
      <c r="D286" s="11"/>
      <c r="E286" s="11"/>
      <c r="F286" s="11"/>
      <c r="G286" s="8"/>
      <c r="H286" s="9">
        <v>3.0</v>
      </c>
      <c r="I286" s="9">
        <f t="shared" si="71"/>
        <v>2</v>
      </c>
      <c r="J286" s="9">
        <f t="shared" si="69"/>
        <v>0</v>
      </c>
      <c r="K286" s="9">
        <f t="shared" si="72"/>
        <v>151968.052</v>
      </c>
    </row>
    <row r="287" ht="14.25" customHeight="1">
      <c r="B287" s="11"/>
      <c r="C287" s="11"/>
      <c r="D287" s="11"/>
      <c r="E287" s="11"/>
      <c r="F287" s="11"/>
      <c r="G287" s="8"/>
      <c r="H287" s="9">
        <v>5.0</v>
      </c>
      <c r="I287" s="9">
        <f t="shared" si="71"/>
        <v>4</v>
      </c>
      <c r="J287" s="9">
        <f t="shared" si="69"/>
        <v>0</v>
      </c>
      <c r="K287" s="9">
        <f t="shared" si="72"/>
        <v>262490.2717</v>
      </c>
    </row>
    <row r="288" ht="14.25" customHeight="1">
      <c r="B288" s="11"/>
      <c r="C288" s="11"/>
      <c r="D288" s="11"/>
      <c r="E288" s="11"/>
      <c r="F288" s="11"/>
      <c r="G288" s="8"/>
      <c r="H288" s="9">
        <v>5.0</v>
      </c>
      <c r="I288" s="9">
        <f t="shared" si="71"/>
        <v>4</v>
      </c>
      <c r="J288" s="9">
        <f t="shared" si="69"/>
        <v>0</v>
      </c>
      <c r="K288" s="9">
        <f t="shared" si="72"/>
        <v>262490.2717</v>
      </c>
    </row>
    <row r="289" ht="14.25" customHeight="1">
      <c r="B289" s="11"/>
      <c r="C289" s="11"/>
      <c r="D289" s="11"/>
      <c r="E289" s="11"/>
      <c r="F289" s="11"/>
      <c r="G289" s="8"/>
      <c r="H289" s="9">
        <v>7.0</v>
      </c>
      <c r="I289" s="9">
        <f t="shared" si="71"/>
        <v>6</v>
      </c>
      <c r="J289" s="9">
        <f t="shared" si="69"/>
        <v>0</v>
      </c>
      <c r="K289" s="9">
        <f t="shared" si="72"/>
        <v>373012.4913</v>
      </c>
    </row>
    <row r="290" ht="14.25" customHeight="1">
      <c r="B290" s="11"/>
      <c r="C290" s="11"/>
      <c r="D290" s="11"/>
      <c r="E290" s="11"/>
      <c r="F290" s="11"/>
      <c r="G290" s="8"/>
      <c r="H290" s="9"/>
      <c r="I290" s="9">
        <v>13.0</v>
      </c>
      <c r="J290" s="9">
        <f t="shared" si="69"/>
        <v>5</v>
      </c>
      <c r="K290" s="9">
        <f>$D$279*7+$E$279+$F$279*J290</f>
        <v>1022330.532</v>
      </c>
      <c r="L290" s="10" t="s">
        <v>12</v>
      </c>
    </row>
    <row r="291" ht="14.25" customHeight="1">
      <c r="B291" s="11"/>
      <c r="C291" s="11"/>
      <c r="D291" s="11"/>
      <c r="E291" s="11"/>
      <c r="F291" s="11"/>
      <c r="G291" s="8"/>
      <c r="H291" s="9">
        <v>7.0</v>
      </c>
      <c r="I291" s="9">
        <f t="shared" ref="I291:I296" si="73">H291-1</f>
        <v>6</v>
      </c>
      <c r="J291" s="9">
        <f t="shared" si="69"/>
        <v>0</v>
      </c>
      <c r="K291" s="9">
        <f t="shared" ref="K291:K296" si="74">$D$279*$I291+$C$279</f>
        <v>373012.4913</v>
      </c>
    </row>
    <row r="292" ht="14.25" customHeight="1">
      <c r="B292" s="11"/>
      <c r="C292" s="11"/>
      <c r="D292" s="11"/>
      <c r="E292" s="11"/>
      <c r="F292" s="11"/>
      <c r="G292" s="8"/>
      <c r="H292" s="9">
        <v>5.0</v>
      </c>
      <c r="I292" s="9">
        <f t="shared" si="73"/>
        <v>4</v>
      </c>
      <c r="J292" s="9">
        <f t="shared" si="69"/>
        <v>0</v>
      </c>
      <c r="K292" s="9">
        <f t="shared" si="74"/>
        <v>262490.2717</v>
      </c>
    </row>
    <row r="293" ht="14.25" customHeight="1">
      <c r="B293" s="11"/>
      <c r="C293" s="11"/>
      <c r="D293" s="11"/>
      <c r="E293" s="11"/>
      <c r="F293" s="11"/>
      <c r="G293" s="8"/>
      <c r="H293" s="9">
        <v>4.0</v>
      </c>
      <c r="I293" s="9">
        <f t="shared" si="73"/>
        <v>3</v>
      </c>
      <c r="J293" s="9">
        <f t="shared" si="69"/>
        <v>0</v>
      </c>
      <c r="K293" s="9">
        <f t="shared" si="74"/>
        <v>207229.1618</v>
      </c>
    </row>
    <row r="294" ht="14.25" customHeight="1">
      <c r="B294" s="11"/>
      <c r="C294" s="11"/>
      <c r="D294" s="11"/>
      <c r="E294" s="11"/>
      <c r="F294" s="11"/>
      <c r="G294" s="8"/>
      <c r="H294" s="9">
        <v>5.0</v>
      </c>
      <c r="I294" s="9">
        <f t="shared" si="73"/>
        <v>4</v>
      </c>
      <c r="J294" s="9">
        <f t="shared" si="69"/>
        <v>0</v>
      </c>
      <c r="K294" s="9">
        <f t="shared" si="74"/>
        <v>262490.2717</v>
      </c>
    </row>
    <row r="295" ht="14.25" customHeight="1">
      <c r="B295" s="11"/>
      <c r="C295" s="11"/>
      <c r="D295" s="11"/>
      <c r="E295" s="11"/>
      <c r="F295" s="11"/>
      <c r="G295" s="8"/>
      <c r="H295" s="9">
        <v>5.0</v>
      </c>
      <c r="I295" s="9">
        <f t="shared" si="73"/>
        <v>4</v>
      </c>
      <c r="J295" s="9">
        <f t="shared" si="69"/>
        <v>0</v>
      </c>
      <c r="K295" s="9">
        <f t="shared" si="74"/>
        <v>262490.2717</v>
      </c>
    </row>
    <row r="296" ht="14.25" customHeight="1">
      <c r="B296" s="11"/>
      <c r="C296" s="11"/>
      <c r="D296" s="11"/>
      <c r="E296" s="11"/>
      <c r="F296" s="11"/>
      <c r="G296" s="8"/>
      <c r="H296" s="9">
        <v>4.0</v>
      </c>
      <c r="I296" s="9">
        <f t="shared" si="73"/>
        <v>3</v>
      </c>
      <c r="J296" s="9">
        <f t="shared" si="69"/>
        <v>0</v>
      </c>
      <c r="K296" s="9">
        <f t="shared" si="74"/>
        <v>207229.1618</v>
      </c>
    </row>
    <row r="297" ht="14.25" customHeight="1">
      <c r="B297" s="11"/>
      <c r="C297" s="11"/>
      <c r="D297" s="11"/>
      <c r="E297" s="11"/>
      <c r="F297" s="11"/>
      <c r="G297" s="8"/>
      <c r="H297" s="9"/>
      <c r="I297" s="9">
        <v>12.0</v>
      </c>
      <c r="J297" s="9">
        <f t="shared" si="69"/>
        <v>4</v>
      </c>
      <c r="K297" s="9">
        <f>$D$279*7+$E$279+$F$279*J297</f>
        <v>911808.3121</v>
      </c>
      <c r="L297" s="10" t="s">
        <v>12</v>
      </c>
    </row>
    <row r="298" ht="14.25" customHeight="1">
      <c r="B298" s="11"/>
      <c r="C298" s="11"/>
      <c r="D298" s="11"/>
      <c r="E298" s="11"/>
      <c r="F298" s="11"/>
      <c r="G298" s="8"/>
      <c r="H298" s="9">
        <v>7.0</v>
      </c>
      <c r="I298" s="9">
        <f t="shared" ref="I298:I303" si="75">H298-1</f>
        <v>6</v>
      </c>
      <c r="J298" s="9">
        <f t="shared" si="69"/>
        <v>0</v>
      </c>
      <c r="K298" s="9">
        <f t="shared" ref="K298:K303" si="76">$D$279*$I298+$C$279</f>
        <v>373012.4913</v>
      </c>
    </row>
    <row r="299" ht="14.25" customHeight="1">
      <c r="B299" s="11"/>
      <c r="C299" s="11"/>
      <c r="D299" s="11"/>
      <c r="E299" s="11"/>
      <c r="F299" s="11"/>
      <c r="G299" s="8"/>
      <c r="H299" s="9">
        <v>4.0</v>
      </c>
      <c r="I299" s="9">
        <f t="shared" si="75"/>
        <v>3</v>
      </c>
      <c r="J299" s="9">
        <f t="shared" si="69"/>
        <v>0</v>
      </c>
      <c r="K299" s="9">
        <f t="shared" si="76"/>
        <v>207229.1618</v>
      </c>
    </row>
    <row r="300" ht="14.25" customHeight="1">
      <c r="B300" s="11"/>
      <c r="C300" s="11"/>
      <c r="D300" s="11"/>
      <c r="E300" s="11"/>
      <c r="F300" s="11"/>
      <c r="G300" s="8"/>
      <c r="H300" s="9">
        <v>4.0</v>
      </c>
      <c r="I300" s="9">
        <f t="shared" si="75"/>
        <v>3</v>
      </c>
      <c r="J300" s="9">
        <f t="shared" si="69"/>
        <v>0</v>
      </c>
      <c r="K300" s="9">
        <f t="shared" si="76"/>
        <v>207229.1618</v>
      </c>
    </row>
    <row r="301" ht="14.25" customHeight="1">
      <c r="B301" s="11"/>
      <c r="C301" s="11"/>
      <c r="D301" s="11"/>
      <c r="E301" s="11"/>
      <c r="F301" s="11"/>
      <c r="G301" s="8"/>
      <c r="H301" s="9">
        <v>4.0</v>
      </c>
      <c r="I301" s="9">
        <f t="shared" si="75"/>
        <v>3</v>
      </c>
      <c r="J301" s="9">
        <f t="shared" si="69"/>
        <v>0</v>
      </c>
      <c r="K301" s="9">
        <f t="shared" si="76"/>
        <v>207229.1618</v>
      </c>
    </row>
    <row r="302" ht="14.25" customHeight="1">
      <c r="B302" s="11"/>
      <c r="C302" s="11"/>
      <c r="D302" s="11"/>
      <c r="E302" s="11"/>
      <c r="F302" s="11"/>
      <c r="G302" s="8"/>
      <c r="H302" s="9">
        <v>4.0</v>
      </c>
      <c r="I302" s="9">
        <f t="shared" si="75"/>
        <v>3</v>
      </c>
      <c r="J302" s="9">
        <f t="shared" si="69"/>
        <v>0</v>
      </c>
      <c r="K302" s="9">
        <f t="shared" si="76"/>
        <v>207229.1618</v>
      </c>
    </row>
    <row r="303" ht="14.25" customHeight="1">
      <c r="B303" s="11"/>
      <c r="C303" s="11"/>
      <c r="D303" s="11"/>
      <c r="E303" s="11"/>
      <c r="F303" s="11"/>
      <c r="G303" s="8"/>
      <c r="H303" s="9">
        <v>5.0</v>
      </c>
      <c r="I303" s="9">
        <f t="shared" si="75"/>
        <v>4</v>
      </c>
      <c r="J303" s="9">
        <f t="shared" si="69"/>
        <v>0</v>
      </c>
      <c r="K303" s="9">
        <f t="shared" si="76"/>
        <v>262490.2717</v>
      </c>
    </row>
    <row r="304" ht="14.25" customHeight="1">
      <c r="B304" s="11"/>
      <c r="C304" s="11"/>
      <c r="D304" s="11"/>
      <c r="E304" s="11"/>
      <c r="F304" s="11"/>
      <c r="G304" s="8"/>
      <c r="H304" s="9"/>
      <c r="I304" s="9">
        <v>11.0</v>
      </c>
      <c r="J304" s="9">
        <f t="shared" si="69"/>
        <v>3</v>
      </c>
      <c r="K304" s="9">
        <f>$D$279*7+$E$279+$F$279*J304</f>
        <v>801286.0925</v>
      </c>
      <c r="L304" s="10" t="s">
        <v>12</v>
      </c>
    </row>
    <row r="305" ht="14.25" customHeight="1">
      <c r="B305" s="11"/>
      <c r="C305" s="11"/>
      <c r="D305" s="11"/>
      <c r="E305" s="11"/>
      <c r="F305" s="11"/>
      <c r="G305" s="8"/>
      <c r="H305" s="9">
        <v>7.0</v>
      </c>
      <c r="I305" s="9">
        <f t="shared" ref="I305:I308" si="77">H305-1</f>
        <v>6</v>
      </c>
      <c r="J305" s="9">
        <f t="shared" si="69"/>
        <v>0</v>
      </c>
      <c r="K305" s="9">
        <f t="shared" ref="K305:K308" si="78">$D$279*$I305+$C$279</f>
        <v>373012.4913</v>
      </c>
    </row>
    <row r="306" ht="14.25" customHeight="1">
      <c r="B306" s="11"/>
      <c r="C306" s="11"/>
      <c r="D306" s="11"/>
      <c r="E306" s="11"/>
      <c r="F306" s="11"/>
      <c r="G306" s="8"/>
      <c r="H306" s="9">
        <v>5.0</v>
      </c>
      <c r="I306" s="9">
        <f t="shared" si="77"/>
        <v>4</v>
      </c>
      <c r="J306" s="9">
        <f t="shared" si="69"/>
        <v>0</v>
      </c>
      <c r="K306" s="9">
        <f t="shared" si="78"/>
        <v>262490.2717</v>
      </c>
    </row>
    <row r="307" ht="14.25" customHeight="1">
      <c r="B307" s="11"/>
      <c r="C307" s="11"/>
      <c r="D307" s="11"/>
      <c r="E307" s="11"/>
      <c r="F307" s="11"/>
      <c r="G307" s="8"/>
      <c r="H307" s="9">
        <v>4.0</v>
      </c>
      <c r="I307" s="9">
        <f t="shared" si="77"/>
        <v>3</v>
      </c>
      <c r="J307" s="9">
        <f t="shared" si="69"/>
        <v>0</v>
      </c>
      <c r="K307" s="9">
        <f t="shared" si="78"/>
        <v>207229.1618</v>
      </c>
    </row>
    <row r="308" ht="14.25" customHeight="1">
      <c r="B308" s="11"/>
      <c r="C308" s="11"/>
      <c r="D308" s="11"/>
      <c r="E308" s="11"/>
      <c r="F308" s="11"/>
      <c r="G308" s="8"/>
      <c r="H308" s="9">
        <v>4.0</v>
      </c>
      <c r="I308" s="9">
        <f t="shared" si="77"/>
        <v>3</v>
      </c>
      <c r="J308" s="9">
        <f t="shared" si="69"/>
        <v>0</v>
      </c>
      <c r="K308" s="9">
        <f t="shared" si="78"/>
        <v>207229.1618</v>
      </c>
    </row>
    <row r="309" ht="14.25" customHeight="1">
      <c r="B309" s="12"/>
      <c r="C309" s="12"/>
      <c r="D309" s="12"/>
      <c r="E309" s="12"/>
      <c r="F309" s="12"/>
      <c r="G309" s="8"/>
      <c r="H309" s="9"/>
      <c r="I309" s="9"/>
      <c r="J309" s="9"/>
      <c r="K309" s="9"/>
    </row>
    <row r="310" ht="14.25" customHeight="1">
      <c r="B310" s="13" t="s">
        <v>13</v>
      </c>
      <c r="C310" s="14"/>
      <c r="D310" s="14"/>
      <c r="E310" s="14"/>
      <c r="F310" s="14"/>
      <c r="G310" s="14"/>
      <c r="H310" s="15"/>
      <c r="I310" s="16"/>
      <c r="J310" s="16"/>
      <c r="K310" s="17">
        <f>SUM(K279:K309)</f>
        <v>10250935.87</v>
      </c>
    </row>
    <row r="311" ht="14.25" customHeight="1"/>
    <row r="312" ht="14.25" customHeight="1"/>
    <row r="313" ht="14.25" customHeight="1">
      <c r="B313" s="1" t="s">
        <v>21</v>
      </c>
      <c r="C313" s="2"/>
      <c r="D313" s="2"/>
      <c r="E313" s="2"/>
      <c r="F313" s="2"/>
      <c r="G313" s="2"/>
      <c r="H313" s="2"/>
      <c r="I313" s="2"/>
      <c r="J313" s="2"/>
      <c r="K313" s="2"/>
    </row>
    <row r="314" ht="14.25" customHeight="1">
      <c r="B314" s="3" t="s">
        <v>1</v>
      </c>
      <c r="C314" s="4" t="s">
        <v>2</v>
      </c>
      <c r="D314" s="4" t="s">
        <v>3</v>
      </c>
      <c r="E314" s="4" t="s">
        <v>4</v>
      </c>
      <c r="F314" s="4" t="s">
        <v>5</v>
      </c>
      <c r="G314" s="4" t="s">
        <v>6</v>
      </c>
      <c r="H314" s="4" t="s">
        <v>7</v>
      </c>
      <c r="I314" s="4" t="s">
        <v>8</v>
      </c>
      <c r="J314" s="4" t="s">
        <v>9</v>
      </c>
      <c r="K314" s="4" t="s">
        <v>10</v>
      </c>
    </row>
    <row r="315" ht="14.25" customHeight="1">
      <c r="B315" s="18">
        <v>5269483.0</v>
      </c>
      <c r="C315" s="18">
        <f>B315/173*1.5</f>
        <v>45689.15896</v>
      </c>
      <c r="D315" s="18">
        <f>B315/173*2</f>
        <v>60918.87861</v>
      </c>
      <c r="E315" s="18">
        <f>1*3*1/173*B315</f>
        <v>91378.31792</v>
      </c>
      <c r="F315" s="18">
        <f>1*4*1/173*B315</f>
        <v>121837.7572</v>
      </c>
      <c r="G315" s="8"/>
      <c r="H315" s="9">
        <v>4.0</v>
      </c>
      <c r="I315" s="9">
        <f t="shared" ref="I315:I318" si="79">H315-1</f>
        <v>3</v>
      </c>
      <c r="J315" s="9">
        <f t="shared" ref="J315:J340" si="80">IF(I315&gt;8,I315-8,0)</f>
        <v>0</v>
      </c>
      <c r="K315" s="9">
        <f t="shared" ref="K315:K318" si="81">$D$315*$I315+$C$315</f>
        <v>228445.7948</v>
      </c>
    </row>
    <row r="316" ht="14.25" customHeight="1">
      <c r="B316" s="11"/>
      <c r="C316" s="11"/>
      <c r="D316" s="11"/>
      <c r="E316" s="11"/>
      <c r="F316" s="11"/>
      <c r="G316" s="8"/>
      <c r="H316" s="9">
        <v>4.0</v>
      </c>
      <c r="I316" s="9">
        <f t="shared" si="79"/>
        <v>3</v>
      </c>
      <c r="J316" s="9">
        <f t="shared" si="80"/>
        <v>0</v>
      </c>
      <c r="K316" s="9">
        <f t="shared" si="81"/>
        <v>228445.7948</v>
      </c>
    </row>
    <row r="317" ht="14.25" customHeight="1">
      <c r="B317" s="11"/>
      <c r="C317" s="11"/>
      <c r="D317" s="11"/>
      <c r="E317" s="11"/>
      <c r="F317" s="11"/>
      <c r="G317" s="8"/>
      <c r="H317" s="9">
        <v>4.0</v>
      </c>
      <c r="I317" s="9">
        <f t="shared" si="79"/>
        <v>3</v>
      </c>
      <c r="J317" s="9">
        <f t="shared" si="80"/>
        <v>0</v>
      </c>
      <c r="K317" s="9">
        <f t="shared" si="81"/>
        <v>228445.7948</v>
      </c>
    </row>
    <row r="318" ht="14.25" customHeight="1">
      <c r="B318" s="11"/>
      <c r="C318" s="11"/>
      <c r="D318" s="11"/>
      <c r="E318" s="11"/>
      <c r="F318" s="11"/>
      <c r="G318" s="8"/>
      <c r="H318" s="9">
        <v>4.0</v>
      </c>
      <c r="I318" s="9">
        <f t="shared" si="79"/>
        <v>3</v>
      </c>
      <c r="J318" s="9">
        <f t="shared" si="80"/>
        <v>0</v>
      </c>
      <c r="K318" s="9">
        <f t="shared" si="81"/>
        <v>228445.7948</v>
      </c>
    </row>
    <row r="319" ht="14.25" customHeight="1">
      <c r="B319" s="11"/>
      <c r="C319" s="11"/>
      <c r="D319" s="11"/>
      <c r="E319" s="11"/>
      <c r="F319" s="11"/>
      <c r="G319" s="8"/>
      <c r="H319" s="9"/>
      <c r="I319" s="9">
        <v>12.0</v>
      </c>
      <c r="J319" s="9">
        <f t="shared" si="80"/>
        <v>4</v>
      </c>
      <c r="K319" s="9">
        <f>$D$315*7+$E$315+$F$315*J319</f>
        <v>1005161.497</v>
      </c>
      <c r="L319" s="10" t="s">
        <v>12</v>
      </c>
    </row>
    <row r="320" ht="14.25" customHeight="1">
      <c r="B320" s="11"/>
      <c r="C320" s="11"/>
      <c r="D320" s="11"/>
      <c r="E320" s="11"/>
      <c r="F320" s="11"/>
      <c r="G320" s="8"/>
      <c r="H320" s="9">
        <v>4.0</v>
      </c>
      <c r="I320" s="9">
        <f t="shared" ref="I320:I325" si="82">H320-1</f>
        <v>3</v>
      </c>
      <c r="J320" s="9">
        <f t="shared" si="80"/>
        <v>0</v>
      </c>
      <c r="K320" s="9">
        <f t="shared" ref="K320:K325" si="83">$D$315*$I320+$C$315</f>
        <v>228445.7948</v>
      </c>
    </row>
    <row r="321" ht="14.25" customHeight="1">
      <c r="B321" s="11"/>
      <c r="C321" s="11"/>
      <c r="D321" s="11"/>
      <c r="E321" s="11"/>
      <c r="F321" s="11"/>
      <c r="G321" s="8"/>
      <c r="H321" s="9">
        <v>4.0</v>
      </c>
      <c r="I321" s="9">
        <f t="shared" si="82"/>
        <v>3</v>
      </c>
      <c r="J321" s="9">
        <f t="shared" si="80"/>
        <v>0</v>
      </c>
      <c r="K321" s="9">
        <f t="shared" si="83"/>
        <v>228445.7948</v>
      </c>
    </row>
    <row r="322" ht="14.25" customHeight="1">
      <c r="B322" s="11"/>
      <c r="C322" s="11"/>
      <c r="D322" s="11"/>
      <c r="E322" s="11"/>
      <c r="F322" s="11"/>
      <c r="G322" s="8"/>
      <c r="H322" s="9">
        <v>4.0</v>
      </c>
      <c r="I322" s="9">
        <f t="shared" si="82"/>
        <v>3</v>
      </c>
      <c r="J322" s="9">
        <f t="shared" si="80"/>
        <v>0</v>
      </c>
      <c r="K322" s="9">
        <f t="shared" si="83"/>
        <v>228445.7948</v>
      </c>
    </row>
    <row r="323" ht="14.25" customHeight="1">
      <c r="B323" s="11"/>
      <c r="C323" s="11"/>
      <c r="D323" s="11"/>
      <c r="E323" s="11"/>
      <c r="F323" s="11"/>
      <c r="G323" s="8"/>
      <c r="H323" s="9">
        <v>4.0</v>
      </c>
      <c r="I323" s="9">
        <f t="shared" si="82"/>
        <v>3</v>
      </c>
      <c r="J323" s="9">
        <f t="shared" si="80"/>
        <v>0</v>
      </c>
      <c r="K323" s="9">
        <f t="shared" si="83"/>
        <v>228445.7948</v>
      </c>
    </row>
    <row r="324" ht="14.25" customHeight="1">
      <c r="B324" s="11"/>
      <c r="C324" s="11"/>
      <c r="D324" s="11"/>
      <c r="E324" s="11"/>
      <c r="F324" s="11"/>
      <c r="G324" s="8"/>
      <c r="H324" s="9">
        <v>3.0</v>
      </c>
      <c r="I324" s="9">
        <f t="shared" si="82"/>
        <v>2</v>
      </c>
      <c r="J324" s="9">
        <f t="shared" si="80"/>
        <v>0</v>
      </c>
      <c r="K324" s="9">
        <f t="shared" si="83"/>
        <v>167526.9162</v>
      </c>
    </row>
    <row r="325" ht="14.25" customHeight="1">
      <c r="B325" s="11"/>
      <c r="C325" s="11"/>
      <c r="D325" s="11"/>
      <c r="E325" s="11"/>
      <c r="F325" s="11"/>
      <c r="G325" s="8"/>
      <c r="H325" s="9">
        <v>5.0</v>
      </c>
      <c r="I325" s="9">
        <f t="shared" si="82"/>
        <v>4</v>
      </c>
      <c r="J325" s="9">
        <f t="shared" si="80"/>
        <v>0</v>
      </c>
      <c r="K325" s="9">
        <f t="shared" si="83"/>
        <v>289364.6734</v>
      </c>
    </row>
    <row r="326" ht="14.25" customHeight="1">
      <c r="B326" s="11"/>
      <c r="C326" s="11"/>
      <c r="D326" s="11"/>
      <c r="E326" s="11"/>
      <c r="F326" s="11"/>
      <c r="G326" s="8"/>
      <c r="H326" s="9"/>
      <c r="I326" s="9">
        <v>11.0</v>
      </c>
      <c r="J326" s="9">
        <f t="shared" si="80"/>
        <v>3</v>
      </c>
      <c r="K326" s="9">
        <f>$D$315*7+$E$315+$F$315*J326</f>
        <v>883323.7399</v>
      </c>
      <c r="L326" s="10" t="s">
        <v>12</v>
      </c>
    </row>
    <row r="327" ht="14.25" customHeight="1">
      <c r="B327" s="11"/>
      <c r="C327" s="11"/>
      <c r="D327" s="11"/>
      <c r="E327" s="11"/>
      <c r="F327" s="11"/>
      <c r="G327" s="8"/>
      <c r="H327" s="9">
        <v>4.0</v>
      </c>
      <c r="I327" s="9">
        <f t="shared" ref="I327:I332" si="84">H327-1</f>
        <v>3</v>
      </c>
      <c r="J327" s="9">
        <f t="shared" si="80"/>
        <v>0</v>
      </c>
      <c r="K327" s="9">
        <f t="shared" ref="K327:K332" si="85">$D$315*$I327+$C$315</f>
        <v>228445.7948</v>
      </c>
    </row>
    <row r="328" ht="14.25" customHeight="1">
      <c r="B328" s="11"/>
      <c r="C328" s="11"/>
      <c r="D328" s="11"/>
      <c r="E328" s="11"/>
      <c r="F328" s="11"/>
      <c r="G328" s="8"/>
      <c r="H328" s="9">
        <v>4.0</v>
      </c>
      <c r="I328" s="9">
        <f t="shared" si="84"/>
        <v>3</v>
      </c>
      <c r="J328" s="9">
        <f t="shared" si="80"/>
        <v>0</v>
      </c>
      <c r="K328" s="9">
        <f t="shared" si="85"/>
        <v>228445.7948</v>
      </c>
    </row>
    <row r="329" ht="14.25" customHeight="1">
      <c r="B329" s="11"/>
      <c r="C329" s="11"/>
      <c r="D329" s="11"/>
      <c r="E329" s="11"/>
      <c r="F329" s="11"/>
      <c r="G329" s="8"/>
      <c r="H329" s="9">
        <v>4.0</v>
      </c>
      <c r="I329" s="9">
        <f t="shared" si="84"/>
        <v>3</v>
      </c>
      <c r="J329" s="9">
        <f t="shared" si="80"/>
        <v>0</v>
      </c>
      <c r="K329" s="9">
        <f t="shared" si="85"/>
        <v>228445.7948</v>
      </c>
    </row>
    <row r="330" ht="14.25" customHeight="1">
      <c r="B330" s="11"/>
      <c r="C330" s="11"/>
      <c r="D330" s="11"/>
      <c r="E330" s="11"/>
      <c r="F330" s="11"/>
      <c r="G330" s="8"/>
      <c r="H330" s="9">
        <v>4.0</v>
      </c>
      <c r="I330" s="9">
        <f t="shared" si="84"/>
        <v>3</v>
      </c>
      <c r="J330" s="9">
        <f t="shared" si="80"/>
        <v>0</v>
      </c>
      <c r="K330" s="9">
        <f t="shared" si="85"/>
        <v>228445.7948</v>
      </c>
    </row>
    <row r="331" ht="14.25" customHeight="1">
      <c r="B331" s="11"/>
      <c r="C331" s="11"/>
      <c r="D331" s="11"/>
      <c r="E331" s="11"/>
      <c r="F331" s="11"/>
      <c r="G331" s="8"/>
      <c r="H331" s="9">
        <v>4.0</v>
      </c>
      <c r="I331" s="9">
        <f t="shared" si="84"/>
        <v>3</v>
      </c>
      <c r="J331" s="9">
        <f t="shared" si="80"/>
        <v>0</v>
      </c>
      <c r="K331" s="9">
        <f t="shared" si="85"/>
        <v>228445.7948</v>
      </c>
    </row>
    <row r="332" ht="14.25" customHeight="1">
      <c r="B332" s="11"/>
      <c r="C332" s="11"/>
      <c r="D332" s="11"/>
      <c r="E332" s="11"/>
      <c r="F332" s="11"/>
      <c r="G332" s="8"/>
      <c r="H332" s="9">
        <v>7.0</v>
      </c>
      <c r="I332" s="9">
        <f t="shared" si="84"/>
        <v>6</v>
      </c>
      <c r="J332" s="9">
        <f t="shared" si="80"/>
        <v>0</v>
      </c>
      <c r="K332" s="9">
        <f t="shared" si="85"/>
        <v>411202.4306</v>
      </c>
    </row>
    <row r="333" ht="14.25" customHeight="1">
      <c r="B333" s="11"/>
      <c r="C333" s="11"/>
      <c r="D333" s="11"/>
      <c r="E333" s="11"/>
      <c r="F333" s="11"/>
      <c r="G333" s="8"/>
      <c r="H333" s="9"/>
      <c r="I333" s="9">
        <v>12.0</v>
      </c>
      <c r="J333" s="9">
        <f t="shared" si="80"/>
        <v>4</v>
      </c>
      <c r="K333" s="9">
        <f>$D$315*7+$E$315+$F$315*J333</f>
        <v>1005161.497</v>
      </c>
      <c r="L333" s="10" t="s">
        <v>12</v>
      </c>
    </row>
    <row r="334" ht="14.25" customHeight="1">
      <c r="B334" s="11"/>
      <c r="C334" s="11"/>
      <c r="D334" s="11"/>
      <c r="E334" s="11"/>
      <c r="F334" s="11"/>
      <c r="G334" s="8"/>
      <c r="H334" s="9">
        <v>4.0</v>
      </c>
      <c r="I334" s="9">
        <f t="shared" ref="I334:I337" si="86">H334-1</f>
        <v>3</v>
      </c>
      <c r="J334" s="9">
        <f t="shared" si="80"/>
        <v>0</v>
      </c>
      <c r="K334" s="9">
        <f t="shared" ref="K334:K337" si="87">$D$315*$I334+$C$315</f>
        <v>228445.7948</v>
      </c>
    </row>
    <row r="335" ht="14.25" customHeight="1">
      <c r="B335" s="11"/>
      <c r="C335" s="11"/>
      <c r="D335" s="11"/>
      <c r="E335" s="11"/>
      <c r="F335" s="11"/>
      <c r="G335" s="8"/>
      <c r="H335" s="9">
        <v>4.0</v>
      </c>
      <c r="I335" s="9">
        <f t="shared" si="86"/>
        <v>3</v>
      </c>
      <c r="J335" s="9">
        <f t="shared" si="80"/>
        <v>0</v>
      </c>
      <c r="K335" s="9">
        <f t="shared" si="87"/>
        <v>228445.7948</v>
      </c>
    </row>
    <row r="336" ht="14.25" customHeight="1">
      <c r="B336" s="11"/>
      <c r="C336" s="11"/>
      <c r="D336" s="11"/>
      <c r="E336" s="11"/>
      <c r="F336" s="11"/>
      <c r="G336" s="8"/>
      <c r="H336" s="9">
        <v>4.0</v>
      </c>
      <c r="I336" s="9">
        <f t="shared" si="86"/>
        <v>3</v>
      </c>
      <c r="J336" s="9">
        <f t="shared" si="80"/>
        <v>0</v>
      </c>
      <c r="K336" s="9">
        <f t="shared" si="87"/>
        <v>228445.7948</v>
      </c>
    </row>
    <row r="337" ht="14.25" customHeight="1">
      <c r="B337" s="11"/>
      <c r="C337" s="11"/>
      <c r="D337" s="11"/>
      <c r="E337" s="11"/>
      <c r="F337" s="11"/>
      <c r="G337" s="8"/>
      <c r="H337" s="9">
        <v>4.0</v>
      </c>
      <c r="I337" s="9">
        <f t="shared" si="86"/>
        <v>3</v>
      </c>
      <c r="J337" s="9">
        <f t="shared" si="80"/>
        <v>0</v>
      </c>
      <c r="K337" s="9">
        <f t="shared" si="87"/>
        <v>228445.7948</v>
      </c>
    </row>
    <row r="338" ht="14.25" customHeight="1">
      <c r="B338" s="11"/>
      <c r="C338" s="11"/>
      <c r="D338" s="11"/>
      <c r="E338" s="11"/>
      <c r="F338" s="11"/>
      <c r="G338" s="8"/>
      <c r="H338" s="9"/>
      <c r="I338" s="9">
        <v>11.0</v>
      </c>
      <c r="J338" s="9">
        <f t="shared" si="80"/>
        <v>3</v>
      </c>
      <c r="K338" s="9">
        <f>$D$315*7+$E$315+$F$315*J338</f>
        <v>883323.7399</v>
      </c>
      <c r="L338" s="10" t="s">
        <v>12</v>
      </c>
    </row>
    <row r="339" ht="14.25" customHeight="1">
      <c r="B339" s="11"/>
      <c r="C339" s="11"/>
      <c r="D339" s="11"/>
      <c r="E339" s="11"/>
      <c r="F339" s="11"/>
      <c r="G339" s="8"/>
      <c r="H339" s="9">
        <v>4.0</v>
      </c>
      <c r="I339" s="9">
        <f t="shared" ref="I339:I340" si="88">H339-1</f>
        <v>3</v>
      </c>
      <c r="J339" s="9">
        <f t="shared" si="80"/>
        <v>0</v>
      </c>
      <c r="K339" s="9">
        <f t="shared" ref="K339:K340" si="89">$D$315*$I339+$C$315</f>
        <v>228445.7948</v>
      </c>
    </row>
    <row r="340" ht="14.25" customHeight="1">
      <c r="B340" s="11"/>
      <c r="C340" s="11"/>
      <c r="D340" s="11"/>
      <c r="E340" s="11"/>
      <c r="F340" s="11"/>
      <c r="G340" s="8"/>
      <c r="H340" s="9">
        <v>4.0</v>
      </c>
      <c r="I340" s="9">
        <f t="shared" si="88"/>
        <v>3</v>
      </c>
      <c r="J340" s="9">
        <f t="shared" si="80"/>
        <v>0</v>
      </c>
      <c r="K340" s="9">
        <f t="shared" si="89"/>
        <v>228445.7948</v>
      </c>
    </row>
    <row r="341" ht="14.25" customHeight="1">
      <c r="B341" s="12"/>
      <c r="C341" s="12"/>
      <c r="D341" s="12"/>
      <c r="E341" s="12"/>
      <c r="F341" s="12"/>
      <c r="G341" s="8"/>
      <c r="H341" s="9"/>
      <c r="I341" s="9"/>
      <c r="J341" s="9"/>
      <c r="K341" s="9"/>
    </row>
    <row r="342" ht="14.25" customHeight="1">
      <c r="B342" s="13" t="s">
        <v>13</v>
      </c>
      <c r="C342" s="14"/>
      <c r="D342" s="14"/>
      <c r="E342" s="14"/>
      <c r="F342" s="14"/>
      <c r="G342" s="14"/>
      <c r="H342" s="15"/>
      <c r="I342" s="16"/>
      <c r="J342" s="16"/>
      <c r="K342" s="17">
        <f>SUM(K315:K341)</f>
        <v>8985534.595</v>
      </c>
    </row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4">
    <mergeCell ref="C182:C212"/>
    <mergeCell ref="D182:D212"/>
    <mergeCell ref="C218:C273"/>
    <mergeCell ref="D218:D273"/>
    <mergeCell ref="E218:E273"/>
    <mergeCell ref="F218:F273"/>
    <mergeCell ref="B274:H274"/>
    <mergeCell ref="B218:B273"/>
    <mergeCell ref="B279:B309"/>
    <mergeCell ref="C279:C309"/>
    <mergeCell ref="D279:D309"/>
    <mergeCell ref="E279:E309"/>
    <mergeCell ref="F279:F309"/>
    <mergeCell ref="B310:H310"/>
    <mergeCell ref="E42:E68"/>
    <mergeCell ref="F42:F68"/>
    <mergeCell ref="B4:B36"/>
    <mergeCell ref="C4:C36"/>
    <mergeCell ref="D4:D36"/>
    <mergeCell ref="E4:E36"/>
    <mergeCell ref="F4:F36"/>
    <mergeCell ref="B37:H37"/>
    <mergeCell ref="B42:B68"/>
    <mergeCell ref="B69:H69"/>
    <mergeCell ref="C42:C68"/>
    <mergeCell ref="D42:D68"/>
    <mergeCell ref="C75:C104"/>
    <mergeCell ref="D75:D104"/>
    <mergeCell ref="E75:E104"/>
    <mergeCell ref="F75:F104"/>
    <mergeCell ref="B105:H105"/>
    <mergeCell ref="B75:B104"/>
    <mergeCell ref="B111:B140"/>
    <mergeCell ref="C111:C140"/>
    <mergeCell ref="D111:D140"/>
    <mergeCell ref="E111:E140"/>
    <mergeCell ref="F111:F140"/>
    <mergeCell ref="B141:H141"/>
    <mergeCell ref="E182:E212"/>
    <mergeCell ref="F182:F212"/>
    <mergeCell ref="B147:B176"/>
    <mergeCell ref="C147:C176"/>
    <mergeCell ref="D147:D176"/>
    <mergeCell ref="E147:E176"/>
    <mergeCell ref="F147:F176"/>
    <mergeCell ref="B177:H177"/>
    <mergeCell ref="B182:B212"/>
    <mergeCell ref="B213:H213"/>
    <mergeCell ref="B315:B341"/>
    <mergeCell ref="C315:C341"/>
    <mergeCell ref="D315:D341"/>
    <mergeCell ref="E315:E341"/>
    <mergeCell ref="F315:F341"/>
    <mergeCell ref="B342:H342"/>
  </mergeCells>
  <printOptions/>
  <pageMargins bottom="0.75" footer="0.0" header="0.0" left="0.7" right="0.7" top="0.75"/>
  <pageSetup orientation="landscape"/>
  <drawing r:id="rId1"/>
</worksheet>
</file>