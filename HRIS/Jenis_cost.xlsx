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-IT\HRIS\"/>
    </mc:Choice>
  </mc:AlternateContent>
  <xr:revisionPtr revIDLastSave="0" documentId="8_{B4ABB826-B678-4617-828D-3BD86AE88BF1}" xr6:coauthVersionLast="47" xr6:coauthVersionMax="47" xr10:uidLastSave="{00000000-0000-0000-0000-000000000000}"/>
  <bookViews>
    <workbookView xWindow="-108" yWindow="-108" windowWidth="23256" windowHeight="12456" activeTab="1" xr2:uid="{B212FCDF-F1A8-4E94-96E2-7A1F55D2DF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L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<sst xmlns="http://schemas.openxmlformats.org/spreadsheetml/2006/main" count="144" uniqueCount="50">
  <si>
    <t>Pracetak</t>
  </si>
  <si>
    <t>Sheet</t>
  </si>
  <si>
    <t>Finishing</t>
  </si>
  <si>
    <t>Web</t>
  </si>
  <si>
    <t>HRD</t>
  </si>
  <si>
    <t>Umum</t>
  </si>
  <si>
    <t>Mekanik</t>
  </si>
  <si>
    <t>Elektrik</t>
  </si>
  <si>
    <t>Keuangan</t>
  </si>
  <si>
    <t>Piutang</t>
  </si>
  <si>
    <t>Pajak</t>
  </si>
  <si>
    <t>Gudang Bahan Baku</t>
  </si>
  <si>
    <t>Gudang Barang Jadi</t>
  </si>
  <si>
    <t>Ekspedisi</t>
  </si>
  <si>
    <t>Product Planning Inventory Control</t>
  </si>
  <si>
    <t>HRD &amp; Umum</t>
  </si>
  <si>
    <t>Pembelian</t>
  </si>
  <si>
    <t>Accounting/Finance</t>
  </si>
  <si>
    <t>Produksi</t>
  </si>
  <si>
    <t>Teknik</t>
  </si>
  <si>
    <t>Pemasaran</t>
  </si>
  <si>
    <t>Quality Control</t>
  </si>
  <si>
    <t>Information Technology</t>
  </si>
  <si>
    <t>Admin dan Umum</t>
  </si>
  <si>
    <t>Level Staf : Langsung</t>
  </si>
  <si>
    <t>Level di atas staff : Tidak langsung</t>
  </si>
  <si>
    <t>Tidak tetap/Kontrak</t>
  </si>
  <si>
    <t>Tetap</t>
  </si>
  <si>
    <t>IT, HC, Umum, Accounting</t>
  </si>
  <si>
    <t>Staf</t>
  </si>
  <si>
    <t>Pimpinan produksi, qc, ppic, gudang, teknik</t>
  </si>
  <si>
    <t>Jenis Status</t>
  </si>
  <si>
    <t>Jenis Cost</t>
  </si>
  <si>
    <t>Divisi</t>
  </si>
  <si>
    <t>Level</t>
  </si>
  <si>
    <t>Kontrak</t>
  </si>
  <si>
    <t>Langsung</t>
  </si>
  <si>
    <t>Tidak Langsung</t>
  </si>
  <si>
    <t>Karu/wakaru</t>
  </si>
  <si>
    <t>Kadiv/wakadiv</t>
  </si>
  <si>
    <t>Manager</t>
  </si>
  <si>
    <t>Direktur</t>
  </si>
  <si>
    <t>QC</t>
  </si>
  <si>
    <t>PPIC</t>
  </si>
  <si>
    <t>HD</t>
  </si>
  <si>
    <t>IT</t>
  </si>
  <si>
    <t>UMUM</t>
  </si>
  <si>
    <t>ACCOUNTING</t>
  </si>
  <si>
    <t>Purchasing</t>
  </si>
  <si>
    <t>Tenaga kerja Langsung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</si>
</sst>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2A16-CA92-424B-8EBA-F5197646B229}">
  <dimension ref="B1:N31"/>
  <sheetViews>
    <sheetView workbookViewId="0">
      <selection activeCell="N3" sqref="N3"/>
    </sheetView>
  </sheetViews>
  <sheetFormatPr defaultRowHeight="14.4" x14ac:dyDescent="0.3"/>
  <cols>
    <col min="4" max="4" width="3" bestFit="1" customWidth="1"/>
    <col min="5" max="5" width="29.88671875" bestFit="1" customWidth="1"/>
    <col min="10" max="10" width="15.109375" customWidth="1"/>
  </cols>
  <sheetData>
    <row r="1" spans="2:13" x14ac:dyDescent="0.3">
      <c r="H1" s="1" t="s">
        <v>26</v>
      </c>
    </row>
    <row r="2" spans="2:13" x14ac:dyDescent="0.3">
      <c r="B2">
        <v>26</v>
      </c>
      <c r="C2" t="str">
        <f>INDEX($E$2:$E$24,MATCH(B2,$D$2:$D$24,0))</f>
        <v>Produksi</v>
      </c>
      <c r="D2">
        <v>43</v>
      </c>
      <c r="E2" t="s">
        <v>0</v>
      </c>
      <c r="I2" t="s">
        <v>24</v>
      </c>
      <c r="K2">
        <v>26</v>
      </c>
      <c r="L2" t="str">
        <f>INDEX($E$2:$E$24,MATCH(K2,$D$2:$D$24,0))</f>
        <v>Produksi</v>
      </c>
      <c r="M2" t="s">
        <v>29</v>
      </c>
    </row>
    <row r="3" spans="2:13" x14ac:dyDescent="0.3">
      <c r="B3">
        <v>26</v>
      </c>
      <c r="C3" t="str">
        <f t="shared" ref="C3:C24" si="0">INDEX($E$2:$E$24,MATCH(B3,$D$2:$D$24,0))</f>
        <v>Produksi</v>
      </c>
      <c r="D3">
        <v>44</v>
      </c>
      <c r="E3" t="s">
        <v>3</v>
      </c>
      <c r="K3">
        <v>43</v>
      </c>
      <c r="L3" t="s">
        <v>0</v>
      </c>
      <c r="M3" t="s">
        <v>29</v>
      </c>
    </row>
    <row r="4" spans="2:13" x14ac:dyDescent="0.3">
      <c r="B4">
        <v>26</v>
      </c>
      <c r="C4" t="str">
        <f t="shared" si="0"/>
        <v>Produksi</v>
      </c>
      <c r="D4">
        <v>45</v>
      </c>
      <c r="E4" t="s">
        <v>1</v>
      </c>
      <c r="K4">
        <v>44</v>
      </c>
      <c r="L4" t="s">
        <v>3</v>
      </c>
      <c r="M4" t="s">
        <v>29</v>
      </c>
    </row>
    <row r="5" spans="2:13" x14ac:dyDescent="0.3">
      <c r="B5">
        <v>26</v>
      </c>
      <c r="C5" t="str">
        <f t="shared" si="0"/>
        <v>Produksi</v>
      </c>
      <c r="D5">
        <v>46</v>
      </c>
      <c r="E5" t="s">
        <v>2</v>
      </c>
      <c r="J5" t="s">
        <v>18</v>
      </c>
      <c r="K5">
        <v>45</v>
      </c>
      <c r="L5" t="s">
        <v>1</v>
      </c>
      <c r="M5" t="s">
        <v>29</v>
      </c>
    </row>
    <row r="6" spans="2:13" x14ac:dyDescent="0.3">
      <c r="B6">
        <v>28</v>
      </c>
      <c r="C6" t="str">
        <f t="shared" si="0"/>
        <v>HRD &amp; Umum</v>
      </c>
      <c r="D6">
        <v>31</v>
      </c>
      <c r="E6" t="s">
        <v>4</v>
      </c>
      <c r="K6">
        <v>46</v>
      </c>
      <c r="L6" t="s">
        <v>2</v>
      </c>
      <c r="M6" t="s">
        <v>29</v>
      </c>
    </row>
    <row r="7" spans="2:13" x14ac:dyDescent="0.3">
      <c r="B7">
        <v>28</v>
      </c>
      <c r="C7" t="str">
        <f t="shared" si="0"/>
        <v>HRD &amp; Umum</v>
      </c>
      <c r="D7">
        <v>32</v>
      </c>
      <c r="E7" t="s">
        <v>5</v>
      </c>
    </row>
    <row r="8" spans="2:13" x14ac:dyDescent="0.3">
      <c r="B8">
        <v>30</v>
      </c>
      <c r="C8" t="str">
        <f t="shared" si="0"/>
        <v>Teknik</v>
      </c>
      <c r="D8">
        <v>37</v>
      </c>
      <c r="E8" t="s">
        <v>6</v>
      </c>
      <c r="I8" t="s">
        <v>25</v>
      </c>
    </row>
    <row r="9" spans="2:13" x14ac:dyDescent="0.3">
      <c r="B9">
        <v>30</v>
      </c>
      <c r="C9" t="str">
        <f t="shared" si="0"/>
        <v>Teknik</v>
      </c>
      <c r="D9">
        <v>38</v>
      </c>
      <c r="E9" t="s">
        <v>7</v>
      </c>
      <c r="L9" t="s">
        <v>30</v>
      </c>
    </row>
    <row r="10" spans="2:13" x14ac:dyDescent="0.3">
      <c r="B10">
        <v>33</v>
      </c>
      <c r="C10" t="str">
        <f t="shared" si="0"/>
        <v>Accounting/Finance</v>
      </c>
      <c r="D10">
        <v>34</v>
      </c>
      <c r="E10" t="s">
        <v>9</v>
      </c>
    </row>
    <row r="11" spans="2:13" x14ac:dyDescent="0.3">
      <c r="B11">
        <v>33</v>
      </c>
      <c r="C11" t="str">
        <f t="shared" si="0"/>
        <v>Accounting/Finance</v>
      </c>
      <c r="D11">
        <v>35</v>
      </c>
      <c r="E11" t="s">
        <v>8</v>
      </c>
    </row>
    <row r="12" spans="2:13" x14ac:dyDescent="0.3">
      <c r="B12">
        <v>33</v>
      </c>
      <c r="C12" t="str">
        <f t="shared" si="0"/>
        <v>Accounting/Finance</v>
      </c>
      <c r="D12">
        <v>36</v>
      </c>
      <c r="E12" t="s">
        <v>10</v>
      </c>
      <c r="I12" t="s">
        <v>23</v>
      </c>
      <c r="K12" t="s">
        <v>28</v>
      </c>
    </row>
    <row r="13" spans="2:13" x14ac:dyDescent="0.3">
      <c r="B13">
        <v>39</v>
      </c>
      <c r="C13" t="str">
        <f t="shared" si="0"/>
        <v>Product Planning Inventory Control</v>
      </c>
      <c r="D13">
        <v>40</v>
      </c>
      <c r="E13" t="s">
        <v>11</v>
      </c>
    </row>
    <row r="14" spans="2:13" x14ac:dyDescent="0.3">
      <c r="B14">
        <v>39</v>
      </c>
      <c r="C14" t="str">
        <f t="shared" si="0"/>
        <v>Product Planning Inventory Control</v>
      </c>
      <c r="D14">
        <v>41</v>
      </c>
      <c r="E14" t="s">
        <v>12</v>
      </c>
      <c r="I14" t="s">
        <v>20</v>
      </c>
    </row>
    <row r="15" spans="2:13" x14ac:dyDescent="0.3">
      <c r="B15">
        <v>39</v>
      </c>
      <c r="C15" t="str">
        <f t="shared" si="0"/>
        <v>Product Planning Inventory Control</v>
      </c>
      <c r="D15">
        <v>42</v>
      </c>
      <c r="E15" t="s">
        <v>13</v>
      </c>
      <c r="K15">
        <v>27</v>
      </c>
      <c r="L15" t="s">
        <v>20</v>
      </c>
    </row>
    <row r="16" spans="2:13" x14ac:dyDescent="0.3">
      <c r="D16">
        <v>25</v>
      </c>
      <c r="E16" t="s">
        <v>22</v>
      </c>
    </row>
    <row r="17" spans="4:14" x14ac:dyDescent="0.3">
      <c r="D17">
        <v>26</v>
      </c>
      <c r="E17" t="s">
        <v>18</v>
      </c>
    </row>
    <row r="18" spans="4:14" x14ac:dyDescent="0.3">
      <c r="D18">
        <v>27</v>
      </c>
      <c r="E18" t="s">
        <v>20</v>
      </c>
    </row>
    <row r="19" spans="4:14" x14ac:dyDescent="0.3">
      <c r="D19">
        <v>28</v>
      </c>
      <c r="E19" t="s">
        <v>15</v>
      </c>
    </row>
    <row r="20" spans="4:14" x14ac:dyDescent="0.3">
      <c r="D20">
        <v>29</v>
      </c>
      <c r="E20" t="s">
        <v>16</v>
      </c>
      <c r="I20" s="1" t="s">
        <v>27</v>
      </c>
    </row>
    <row r="21" spans="4:14" x14ac:dyDescent="0.3">
      <c r="D21">
        <v>30</v>
      </c>
      <c r="E21" t="s">
        <v>19</v>
      </c>
      <c r="J21" t="s">
        <v>18</v>
      </c>
      <c r="K21">
        <v>26</v>
      </c>
      <c r="L21" t="str">
        <f>INDEX($E$2:$E$24,MATCH(K21,$D$2:$D$24,0))</f>
        <v>Produksi</v>
      </c>
      <c r="N21" t="s">
        <v>24</v>
      </c>
    </row>
    <row r="22" spans="4:14" x14ac:dyDescent="0.3">
      <c r="D22">
        <v>33</v>
      </c>
      <c r="E22" t="s">
        <v>17</v>
      </c>
      <c r="K22">
        <v>43</v>
      </c>
      <c r="L22" t="s">
        <v>0</v>
      </c>
    </row>
    <row r="23" spans="4:14" x14ac:dyDescent="0.3">
      <c r="D23">
        <v>39</v>
      </c>
      <c r="E23" t="s">
        <v>14</v>
      </c>
      <c r="K23">
        <v>44</v>
      </c>
      <c r="L23" t="s">
        <v>3</v>
      </c>
      <c r="N23" t="s">
        <v>25</v>
      </c>
    </row>
    <row r="24" spans="4:14" x14ac:dyDescent="0.3">
      <c r="D24">
        <v>47</v>
      </c>
      <c r="E24" t="s">
        <v>21</v>
      </c>
      <c r="K24">
        <v>45</v>
      </c>
      <c r="L24" t="s">
        <v>1</v>
      </c>
    </row>
    <row r="25" spans="4:14" x14ac:dyDescent="0.3">
      <c r="K25">
        <v>46</v>
      </c>
      <c r="L25" t="s">
        <v>2</v>
      </c>
    </row>
    <row r="27" spans="4:14" x14ac:dyDescent="0.3">
      <c r="J27" t="s">
        <v>23</v>
      </c>
    </row>
    <row r="30" spans="4:14" x14ac:dyDescent="0.3">
      <c r="J30" t="s">
        <v>20</v>
      </c>
    </row>
    <row r="31" spans="4:14" x14ac:dyDescent="0.3">
      <c r="K31">
        <v>27</v>
      </c>
      <c r="L31" t="s">
        <v>20</v>
      </c>
    </row>
  </sheetData>
  <sortState xmlns:xlrd2="http://schemas.microsoft.com/office/spreadsheetml/2017/richdata2" ref="B2:E24">
    <sortCondition ref="B2:B24"/>
    <sortCondition ref="D2:D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F39E-079F-41D7-AEBE-9AC72597439B}">
  <dimension ref="C2:F28"/>
  <sheetViews>
    <sheetView tabSelected="1" workbookViewId="0">
      <selection activeCell="G10" sqref="G10"/>
    </sheetView>
  </sheetViews>
  <sheetFormatPr defaultRowHeight="14.4" x14ac:dyDescent="0.3"/>
  <cols>
    <col min="3" max="3" width="15.5546875" bestFit="1" customWidth="1"/>
    <col min="4" max="4" width="19.44140625" bestFit="1" customWidth="1"/>
    <col min="5" max="5" width="12.44140625" bestFit="1" customWidth="1"/>
    <col min="6" max="6" width="12.77734375" bestFit="1" customWidth="1"/>
  </cols>
  <sheetData>
    <row r="2" spans="3:6" x14ac:dyDescent="0.3">
      <c r="C2" s="1" t="s">
        <v>31</v>
      </c>
      <c r="D2" s="1" t="s">
        <v>32</v>
      </c>
      <c r="E2" s="1" t="s">
        <v>33</v>
      </c>
      <c r="F2" s="1" t="s">
        <v>34</v>
      </c>
    </row>
    <row r="3" spans="3:6" x14ac:dyDescent="0.3">
      <c r="C3" t="s">
        <v>35</v>
      </c>
      <c r="D3" t="s">
        <v>49</v>
      </c>
      <c r="E3" t="s">
        <v>18</v>
      </c>
      <c r="F3" t="s">
        <v>29</v>
      </c>
    </row>
    <row r="4" spans="3:6" x14ac:dyDescent="0.3">
      <c r="C4" t="s">
        <v>35</v>
      </c>
      <c r="D4" t="s">
        <v>37</v>
      </c>
      <c r="E4" t="s">
        <v>18</v>
      </c>
      <c r="F4" t="s">
        <v>38</v>
      </c>
    </row>
    <row r="5" spans="3:6" x14ac:dyDescent="0.3">
      <c r="C5" t="s">
        <v>35</v>
      </c>
      <c r="D5" t="s">
        <v>37</v>
      </c>
      <c r="E5" t="s">
        <v>18</v>
      </c>
      <c r="F5" t="s">
        <v>39</v>
      </c>
    </row>
    <row r="6" spans="3:6" x14ac:dyDescent="0.3">
      <c r="C6" t="s">
        <v>35</v>
      </c>
      <c r="D6" t="s">
        <v>37</v>
      </c>
      <c r="E6" t="s">
        <v>18</v>
      </c>
      <c r="F6" t="s">
        <v>40</v>
      </c>
    </row>
    <row r="7" spans="3:6" x14ac:dyDescent="0.3">
      <c r="C7" t="s">
        <v>35</v>
      </c>
      <c r="D7" t="s">
        <v>37</v>
      </c>
      <c r="E7" t="s">
        <v>18</v>
      </c>
      <c r="F7" t="s">
        <v>41</v>
      </c>
    </row>
    <row r="8" spans="3:6" x14ac:dyDescent="0.3">
      <c r="C8" t="s">
        <v>35</v>
      </c>
      <c r="D8" t="s">
        <v>37</v>
      </c>
      <c r="E8" t="s">
        <v>42</v>
      </c>
    </row>
    <row r="9" spans="3:6" x14ac:dyDescent="0.3">
      <c r="C9" t="s">
        <v>35</v>
      </c>
      <c r="D9" t="s">
        <v>37</v>
      </c>
      <c r="E9" t="s">
        <v>43</v>
      </c>
    </row>
    <row r="10" spans="3:6" x14ac:dyDescent="0.3">
      <c r="C10" t="s">
        <v>35</v>
      </c>
      <c r="D10" t="s">
        <v>37</v>
      </c>
      <c r="E10" t="s">
        <v>19</v>
      </c>
    </row>
    <row r="11" spans="3:6" x14ac:dyDescent="0.3">
      <c r="C11" t="s">
        <v>35</v>
      </c>
      <c r="D11" t="s">
        <v>23</v>
      </c>
      <c r="E11" t="s">
        <v>44</v>
      </c>
    </row>
    <row r="12" spans="3:6" x14ac:dyDescent="0.3">
      <c r="C12" t="s">
        <v>35</v>
      </c>
      <c r="D12" t="s">
        <v>23</v>
      </c>
      <c r="E12" t="s">
        <v>45</v>
      </c>
    </row>
    <row r="13" spans="3:6" x14ac:dyDescent="0.3">
      <c r="C13" t="s">
        <v>35</v>
      </c>
      <c r="D13" t="s">
        <v>23</v>
      </c>
      <c r="E13" t="s">
        <v>46</v>
      </c>
    </row>
    <row r="14" spans="3:6" x14ac:dyDescent="0.3">
      <c r="C14" t="s">
        <v>35</v>
      </c>
      <c r="D14" t="s">
        <v>23</v>
      </c>
      <c r="E14" t="s">
        <v>47</v>
      </c>
    </row>
    <row r="15" spans="3:6" x14ac:dyDescent="0.3">
      <c r="C15" t="s">
        <v>35</v>
      </c>
      <c r="D15" t="s">
        <v>23</v>
      </c>
      <c r="E15" t="s">
        <v>48</v>
      </c>
    </row>
    <row r="16" spans="3:6" x14ac:dyDescent="0.3">
      <c r="C16" t="s">
        <v>27</v>
      </c>
      <c r="D16" t="s">
        <v>36</v>
      </c>
      <c r="E16" t="s">
        <v>18</v>
      </c>
      <c r="F16" t="s">
        <v>29</v>
      </c>
    </row>
    <row r="17" spans="3:6" x14ac:dyDescent="0.3">
      <c r="C17" t="s">
        <v>27</v>
      </c>
      <c r="D17" t="s">
        <v>37</v>
      </c>
      <c r="E17" t="s">
        <v>18</v>
      </c>
      <c r="F17" t="s">
        <v>38</v>
      </c>
    </row>
    <row r="18" spans="3:6" x14ac:dyDescent="0.3">
      <c r="C18" t="s">
        <v>27</v>
      </c>
      <c r="D18" t="s">
        <v>37</v>
      </c>
      <c r="E18" t="s">
        <v>18</v>
      </c>
      <c r="F18" t="s">
        <v>39</v>
      </c>
    </row>
    <row r="19" spans="3:6" x14ac:dyDescent="0.3">
      <c r="C19" t="s">
        <v>27</v>
      </c>
      <c r="D19" t="s">
        <v>37</v>
      </c>
      <c r="E19" t="s">
        <v>18</v>
      </c>
      <c r="F19" t="s">
        <v>40</v>
      </c>
    </row>
    <row r="20" spans="3:6" x14ac:dyDescent="0.3">
      <c r="C20" t="s">
        <v>27</v>
      </c>
      <c r="D20" t="s">
        <v>37</v>
      </c>
      <c r="E20" t="s">
        <v>18</v>
      </c>
      <c r="F20" t="s">
        <v>41</v>
      </c>
    </row>
    <row r="21" spans="3:6" x14ac:dyDescent="0.3">
      <c r="C21" t="s">
        <v>27</v>
      </c>
      <c r="D21" t="s">
        <v>37</v>
      </c>
      <c r="E21" t="s">
        <v>42</v>
      </c>
    </row>
    <row r="22" spans="3:6" x14ac:dyDescent="0.3">
      <c r="C22" t="s">
        <v>27</v>
      </c>
      <c r="D22" t="s">
        <v>37</v>
      </c>
      <c r="E22" t="s">
        <v>43</v>
      </c>
    </row>
    <row r="23" spans="3:6" x14ac:dyDescent="0.3">
      <c r="C23" t="s">
        <v>27</v>
      </c>
      <c r="D23" t="s">
        <v>37</v>
      </c>
      <c r="E23" t="s">
        <v>19</v>
      </c>
    </row>
    <row r="24" spans="3:6" x14ac:dyDescent="0.3">
      <c r="C24" t="s">
        <v>27</v>
      </c>
      <c r="D24" t="s">
        <v>23</v>
      </c>
      <c r="E24" t="s">
        <v>44</v>
      </c>
    </row>
    <row r="25" spans="3:6" x14ac:dyDescent="0.3">
      <c r="C25" t="s">
        <v>27</v>
      </c>
      <c r="D25" t="s">
        <v>23</v>
      </c>
      <c r="E25" t="s">
        <v>45</v>
      </c>
    </row>
    <row r="26" spans="3:6" x14ac:dyDescent="0.3">
      <c r="C26" t="s">
        <v>27</v>
      </c>
      <c r="D26" t="s">
        <v>23</v>
      </c>
      <c r="E26" t="s">
        <v>46</v>
      </c>
    </row>
    <row r="27" spans="3:6" x14ac:dyDescent="0.3">
      <c r="C27" t="s">
        <v>27</v>
      </c>
      <c r="D27" t="s">
        <v>23</v>
      </c>
      <c r="E27" t="s">
        <v>47</v>
      </c>
    </row>
    <row r="28" spans="3:6" x14ac:dyDescent="0.3">
      <c r="C28" t="s">
        <v>27</v>
      </c>
      <c r="D28" t="s">
        <v>23</v>
      </c>
      <c r="E2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TURIKAN IQBAL</dc:creator>
  <cp:lastModifiedBy>TURIKAN IQBAL</cp:lastModifiedBy>
  <dcterms:created xsi:type="dcterms:W3CDTF">2026-02-12T03:31:28Z</dcterms:created>
  <dcterms:modified xsi:type="dcterms:W3CDTF">2026-02-12T05:05:28Z</dcterms:modified>
</cp:coreProperties>
</file>