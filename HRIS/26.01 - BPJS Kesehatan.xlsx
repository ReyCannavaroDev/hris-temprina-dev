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ATA SANNY\TEMPRINA\DATA TEMPRINA\DATA TEMPRINA\HC STAFF\HOLDING\TEMPRINA - QL\"/>
    </mc:Choice>
  </mc:AlternateContent>
  <xr:revisionPtr revIDLastSave="0" documentId="13_ncr:1_{00EA75CF-4959-4B4C-A6D8-E50A10C7A873}" xr6:coauthVersionLast="47" xr6:coauthVersionMax="47" xr10:uidLastSave="{00000000-0000-0000-0000-000000000000}"/>
  <bookViews>
    <workbookView xWindow="-108" yWindow="-108" windowWidth="23256" windowHeight="13176" tabRatio="867" activeTab="14" xr2:uid="{00000000-000D-0000-FFFF-FFFF00000000}"/>
  </bookViews>
  <sheets>
    <sheet name="SMG" sheetId="4" r:id="rId1"/>
    <sheet name="DPS" sheetId="7" r:id="rId2"/>
    <sheet name="ATNG" sheetId="8" r:id="rId3"/>
    <sheet name="DCI NGJK" sheetId="26" r:id="rId4"/>
    <sheet name="DCI SMG" sheetId="33" r:id="rId5"/>
    <sheet name="SBY" sheetId="27" r:id="rId6"/>
    <sheet name="JPM" sheetId="32" r:id="rId7"/>
    <sheet name="HLD MPGS" sheetId="14" r:id="rId8"/>
    <sheet name="PKG KRH" sheetId="11" r:id="rId9"/>
    <sheet name="PKG BKS" sheetId="13" r:id="rId10"/>
    <sheet name="SHPG BKS" sheetId="28" r:id="rId11"/>
    <sheet name="TWL" sheetId="10" r:id="rId12"/>
    <sheet name="JPMU" sheetId="9" r:id="rId13"/>
    <sheet name="DCP" sheetId="12" r:id="rId14"/>
    <sheet name="DIM" sheetId="15" r:id="rId15"/>
  </sheets>
  <definedNames>
    <definedName name="_xlnm.Print_Area" localSheetId="13">DCP!$A$1:$E$33</definedName>
    <definedName name="_xlnm.Print_Area" localSheetId="14">DIM!$A$1:$E$41</definedName>
    <definedName name="_xlnm.Print_Area" localSheetId="1">DPS!$A$1:$E$30</definedName>
    <definedName name="_xlnm.Print_Area" localSheetId="7">'HLD MPGS'!$A$1:$E$42</definedName>
    <definedName name="_xlnm.Print_Area" localSheetId="6">JPM!$A$1:$E$24</definedName>
    <definedName name="_xlnm.Print_Area" localSheetId="9">'PKG BKS'!$A$1:$E$31</definedName>
    <definedName name="_xlnm.Print_Area" localSheetId="8">'PKG KRH'!$A$1:$E$31</definedName>
    <definedName name="_xlnm.Print_Area" localSheetId="5">SBY!$A$1:$E$31</definedName>
    <definedName name="_xlnm.Print_Area" localSheetId="10">'SHPG BKS'!$A$1:$E$32</definedName>
    <definedName name="_xlnm.Print_Area" localSheetId="0">SMG!$A$1:$E$31</definedName>
    <definedName name="_xlnm.Print_Area" localSheetId="11">TWL!$A$1:$E$28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33" l="1"/>
  <c r="A5" i="26"/>
  <c r="B30" i="33"/>
  <c r="C17" i="33"/>
  <c r="B17" i="33"/>
  <c r="A2" i="33"/>
  <c r="A5" i="12"/>
  <c r="C31" i="33" l="1"/>
  <c r="C32" i="33" s="1"/>
  <c r="B31" i="33"/>
  <c r="B32" i="33" s="1"/>
  <c r="A5" i="33" l="1"/>
  <c r="D28" i="33"/>
  <c r="E28" i="33" s="1"/>
  <c r="D27" i="33"/>
  <c r="E27" i="33" s="1"/>
  <c r="D24" i="33"/>
  <c r="E24" i="33" s="1"/>
  <c r="D20" i="33"/>
  <c r="D15" i="33"/>
  <c r="E15" i="33" s="1"/>
  <c r="D14" i="33"/>
  <c r="E14" i="33" s="1"/>
  <c r="D11" i="33"/>
  <c r="E11" i="33" s="1"/>
  <c r="A5" i="10"/>
  <c r="E20" i="33" l="1"/>
  <c r="E30" i="33" s="1"/>
  <c r="D30" i="33"/>
  <c r="E17" i="33"/>
  <c r="D17" i="33"/>
  <c r="D31" i="33" s="1"/>
  <c r="D32" i="33" s="1"/>
  <c r="E31" i="33" l="1"/>
  <c r="E32" i="33" s="1"/>
  <c r="A5" i="8"/>
  <c r="C23" i="32" l="1"/>
  <c r="B23" i="32"/>
  <c r="C14" i="32"/>
  <c r="B14" i="32"/>
  <c r="A2" i="32"/>
  <c r="B24" i="32" l="1"/>
  <c r="C24" i="32"/>
  <c r="A5" i="32" s="1"/>
  <c r="D11" i="32" l="1"/>
  <c r="D20" i="32" l="1"/>
  <c r="E20" i="32" s="1"/>
  <c r="D8" i="32"/>
  <c r="E8" i="32" s="1"/>
  <c r="D12" i="32"/>
  <c r="E12" i="32" s="1"/>
  <c r="D21" i="32"/>
  <c r="E21" i="32" s="1"/>
  <c r="E11" i="32"/>
  <c r="D17" i="32"/>
  <c r="E17" i="32" s="1"/>
  <c r="D38" i="14"/>
  <c r="E38" i="14" s="1"/>
  <c r="A2" i="27"/>
  <c r="A2" i="14"/>
  <c r="A2" i="15"/>
  <c r="A2" i="12"/>
  <c r="A2" i="9"/>
  <c r="A2" i="10"/>
  <c r="A2" i="28"/>
  <c r="A2" i="13"/>
  <c r="A2" i="11"/>
  <c r="A2" i="26"/>
  <c r="A2" i="8"/>
  <c r="A2" i="7"/>
  <c r="B17" i="27"/>
  <c r="E23" i="32" l="1"/>
  <c r="E14" i="32"/>
  <c r="D23" i="32"/>
  <c r="D14" i="32"/>
  <c r="B18" i="28"/>
  <c r="C18" i="28"/>
  <c r="E24" i="32" l="1"/>
  <c r="D24" i="32"/>
  <c r="B25" i="14" l="1"/>
  <c r="B17" i="4" l="1"/>
  <c r="D14" i="4"/>
  <c r="E14" i="4" s="1"/>
  <c r="B16" i="14" l="1"/>
  <c r="B26" i="14" l="1"/>
  <c r="D12" i="28"/>
  <c r="C17" i="27"/>
  <c r="B40" i="14" l="1"/>
  <c r="D22" i="14"/>
  <c r="D31" i="14"/>
  <c r="E31" i="14" s="1"/>
  <c r="C40" i="14"/>
  <c r="C31" i="12" l="1"/>
  <c r="B23" i="8" l="1"/>
  <c r="C17" i="4" l="1"/>
  <c r="D8" i="4"/>
  <c r="E8" i="4" s="1"/>
  <c r="D23" i="27" l="1"/>
  <c r="E23" i="27" s="1"/>
  <c r="C25" i="14"/>
  <c r="D19" i="14"/>
  <c r="E19" i="14" s="1"/>
  <c r="C30" i="28"/>
  <c r="B30" i="28"/>
  <c r="D28" i="28"/>
  <c r="E28" i="28" s="1"/>
  <c r="D27" i="28"/>
  <c r="E27" i="28" s="1"/>
  <c r="D24" i="28"/>
  <c r="E24" i="28" s="1"/>
  <c r="D21" i="28"/>
  <c r="D16" i="28"/>
  <c r="D15" i="28"/>
  <c r="E15" i="28" s="1"/>
  <c r="E12" i="28"/>
  <c r="D9" i="28"/>
  <c r="D9" i="14"/>
  <c r="E9" i="14" s="1"/>
  <c r="D14" i="14"/>
  <c r="E14" i="14" s="1"/>
  <c r="C29" i="27"/>
  <c r="D27" i="27"/>
  <c r="E27" i="27" s="1"/>
  <c r="D26" i="27"/>
  <c r="E26" i="27" s="1"/>
  <c r="D20" i="27"/>
  <c r="D15" i="27"/>
  <c r="E15" i="27" s="1"/>
  <c r="D14" i="27"/>
  <c r="E14" i="27" s="1"/>
  <c r="D11" i="27"/>
  <c r="E11" i="27" s="1"/>
  <c r="D8" i="27"/>
  <c r="D17" i="27" l="1"/>
  <c r="E16" i="28"/>
  <c r="D18" i="28"/>
  <c r="E8" i="27"/>
  <c r="E17" i="27" s="1"/>
  <c r="C30" i="27"/>
  <c r="C31" i="27" s="1"/>
  <c r="C31" i="28"/>
  <c r="C32" i="28" s="1"/>
  <c r="D30" i="28"/>
  <c r="B31" i="28"/>
  <c r="B32" i="28" s="1"/>
  <c r="E9" i="28"/>
  <c r="E21" i="28"/>
  <c r="E30" i="28" s="1"/>
  <c r="D29" i="27"/>
  <c r="E20" i="27"/>
  <c r="E29" i="27" s="1"/>
  <c r="B29" i="27"/>
  <c r="B30" i="27" s="1"/>
  <c r="B31" i="27" s="1"/>
  <c r="B35" i="9"/>
  <c r="B36" i="9" s="1"/>
  <c r="E18" i="28" l="1"/>
  <c r="E31" i="28" s="1"/>
  <c r="E32" i="28" s="1"/>
  <c r="D31" i="28"/>
  <c r="D32" i="28" s="1"/>
  <c r="D30" i="27"/>
  <c r="E30" i="27"/>
  <c r="E31" i="27" s="1"/>
  <c r="D31" i="27" l="1"/>
  <c r="C30" i="15"/>
  <c r="B30" i="15"/>
  <c r="C41" i="14"/>
  <c r="B41" i="14"/>
  <c r="B42" i="14" s="1"/>
  <c r="D34" i="14"/>
  <c r="C16" i="14"/>
  <c r="D11" i="7"/>
  <c r="E11" i="7" s="1"/>
  <c r="C26" i="14" l="1"/>
  <c r="C42" i="14" s="1"/>
  <c r="E34" i="14"/>
  <c r="E40" i="14" s="1"/>
  <c r="D40" i="14"/>
  <c r="D13" i="14" l="1"/>
  <c r="E13" i="14" l="1"/>
  <c r="C30" i="26" l="1"/>
  <c r="B30" i="26"/>
  <c r="C17" i="26"/>
  <c r="B17" i="26"/>
  <c r="B31" i="26" l="1"/>
  <c r="B32" i="26" s="1"/>
  <c r="C31" i="26"/>
  <c r="C32" i="26" s="1"/>
  <c r="D24" i="26" l="1"/>
  <c r="E24" i="26" s="1"/>
  <c r="D14" i="26"/>
  <c r="E14" i="26" s="1"/>
  <c r="D11" i="26"/>
  <c r="E11" i="26" s="1"/>
  <c r="D15" i="26"/>
  <c r="E15" i="26" s="1"/>
  <c r="D28" i="26"/>
  <c r="E28" i="26" s="1"/>
  <c r="D27" i="26"/>
  <c r="E27" i="26" s="1"/>
  <c r="D8" i="26"/>
  <c r="D20" i="26"/>
  <c r="B11" i="15"/>
  <c r="B12" i="15" s="1"/>
  <c r="C11" i="15"/>
  <c r="C12" i="15" s="1"/>
  <c r="D30" i="26" l="1"/>
  <c r="E20" i="26"/>
  <c r="E30" i="26" s="1"/>
  <c r="D17" i="26"/>
  <c r="E8" i="26"/>
  <c r="E17" i="26" s="1"/>
  <c r="E31" i="26" l="1"/>
  <c r="E32" i="26" s="1"/>
  <c r="D31" i="26"/>
  <c r="D32" i="26" s="1"/>
  <c r="D26" i="13" l="1"/>
  <c r="E26" i="13" s="1"/>
  <c r="B17" i="8" l="1"/>
  <c r="D14" i="13" l="1"/>
  <c r="E14" i="13" s="1"/>
  <c r="D23" i="4" l="1"/>
  <c r="D23" i="14" l="1"/>
  <c r="E22" i="14"/>
  <c r="D27" i="13"/>
  <c r="E27" i="13" s="1"/>
  <c r="D23" i="13"/>
  <c r="E23" i="13" s="1"/>
  <c r="D20" i="13"/>
  <c r="E20" i="13" s="1"/>
  <c r="D15" i="13"/>
  <c r="E15" i="13" s="1"/>
  <c r="D8" i="13"/>
  <c r="E8" i="13" s="1"/>
  <c r="D27" i="11"/>
  <c r="E27" i="11" s="1"/>
  <c r="D26" i="11"/>
  <c r="E26" i="11" s="1"/>
  <c r="D23" i="11"/>
  <c r="E23" i="11" s="1"/>
  <c r="D20" i="11"/>
  <c r="E20" i="11" s="1"/>
  <c r="D15" i="11"/>
  <c r="E15" i="11" s="1"/>
  <c r="D14" i="11"/>
  <c r="E14" i="11" s="1"/>
  <c r="D11" i="11"/>
  <c r="E11" i="11" s="1"/>
  <c r="D8" i="11"/>
  <c r="E8" i="11" s="1"/>
  <c r="D26" i="7"/>
  <c r="E26" i="7" s="1"/>
  <c r="D25" i="7"/>
  <c r="E25" i="7" s="1"/>
  <c r="D22" i="7"/>
  <c r="E22" i="7" s="1"/>
  <c r="D19" i="7"/>
  <c r="E19" i="7" s="1"/>
  <c r="D14" i="7"/>
  <c r="E14" i="7" s="1"/>
  <c r="D27" i="4"/>
  <c r="E27" i="4" s="1"/>
  <c r="D26" i="4"/>
  <c r="E26" i="4" s="1"/>
  <c r="E23" i="4"/>
  <c r="D20" i="4"/>
  <c r="E20" i="4" s="1"/>
  <c r="D15" i="4"/>
  <c r="E15" i="4" s="1"/>
  <c r="D11" i="4"/>
  <c r="E11" i="4" l="1"/>
  <c r="E17" i="4" s="1"/>
  <c r="D17" i="4"/>
  <c r="E23" i="14"/>
  <c r="E25" i="14" s="1"/>
  <c r="D25" i="14"/>
  <c r="E41" i="14"/>
  <c r="D41" i="14"/>
  <c r="E16" i="14"/>
  <c r="D16" i="14"/>
  <c r="D11" i="13"/>
  <c r="E11" i="13" s="1"/>
  <c r="E26" i="14" l="1"/>
  <c r="E42" i="14" s="1"/>
  <c r="D26" i="14"/>
  <c r="D42" i="14" s="1"/>
  <c r="D8" i="7"/>
  <c r="E8" i="7" s="1"/>
  <c r="C39" i="15" l="1"/>
  <c r="B39" i="15"/>
  <c r="C19" i="15"/>
  <c r="C20" i="15" s="1"/>
  <c r="B19" i="15"/>
  <c r="B20" i="15" s="1"/>
  <c r="D29" i="13"/>
  <c r="E29" i="13"/>
  <c r="C29" i="13"/>
  <c r="B29" i="13"/>
  <c r="E17" i="13"/>
  <c r="D17" i="13"/>
  <c r="C17" i="13"/>
  <c r="B17" i="13"/>
  <c r="B31" i="12"/>
  <c r="C22" i="12"/>
  <c r="B22" i="12"/>
  <c r="C10" i="12"/>
  <c r="C11" i="12" s="1"/>
  <c r="B10" i="12"/>
  <c r="B11" i="12" s="1"/>
  <c r="E29" i="11"/>
  <c r="D29" i="11"/>
  <c r="C29" i="11"/>
  <c r="B29" i="11"/>
  <c r="E17" i="11"/>
  <c r="D17" i="11"/>
  <c r="C17" i="11"/>
  <c r="B17" i="11"/>
  <c r="C26" i="10"/>
  <c r="B26" i="10"/>
  <c r="C14" i="10"/>
  <c r="B14" i="10"/>
  <c r="C35" i="9"/>
  <c r="C36" i="9" s="1"/>
  <c r="C29" i="9"/>
  <c r="B29" i="9"/>
  <c r="C17" i="9"/>
  <c r="B17" i="9"/>
  <c r="C29" i="8"/>
  <c r="B29" i="8"/>
  <c r="B30" i="8" s="1"/>
  <c r="C17" i="8"/>
  <c r="E28" i="7"/>
  <c r="D28" i="7"/>
  <c r="C28" i="7"/>
  <c r="B28" i="7"/>
  <c r="E16" i="7"/>
  <c r="D16" i="7"/>
  <c r="C16" i="7"/>
  <c r="B16" i="7"/>
  <c r="E29" i="4"/>
  <c r="D29" i="4"/>
  <c r="C29" i="4"/>
  <c r="B29" i="4"/>
  <c r="C27" i="10" l="1"/>
  <c r="C30" i="11"/>
  <c r="D30" i="11"/>
  <c r="B27" i="10"/>
  <c r="B28" i="10" s="1"/>
  <c r="B40" i="15"/>
  <c r="B41" i="15" s="1"/>
  <c r="A5" i="15" s="1"/>
  <c r="C29" i="7"/>
  <c r="C30" i="7" s="1"/>
  <c r="C40" i="15"/>
  <c r="C41" i="15" s="1"/>
  <c r="B30" i="11"/>
  <c r="E30" i="11"/>
  <c r="E31" i="11" s="1"/>
  <c r="B29" i="7"/>
  <c r="B30" i="7" s="1"/>
  <c r="D29" i="7"/>
  <c r="D30" i="7" s="1"/>
  <c r="B32" i="12"/>
  <c r="B33" i="12" s="1"/>
  <c r="B30" i="13"/>
  <c r="B31" i="13" s="1"/>
  <c r="C30" i="4"/>
  <c r="C31" i="4" s="1"/>
  <c r="D30" i="4"/>
  <c r="D31" i="4" s="1"/>
  <c r="D30" i="13"/>
  <c r="D31" i="13" s="1"/>
  <c r="C32" i="12"/>
  <c r="C33" i="12" s="1"/>
  <c r="C30" i="13"/>
  <c r="C31" i="13" s="1"/>
  <c r="C30" i="8"/>
  <c r="E30" i="13"/>
  <c r="E31" i="13" s="1"/>
  <c r="E29" i="7"/>
  <c r="E30" i="7" s="1"/>
  <c r="E30" i="4"/>
  <c r="E31" i="4" s="1"/>
  <c r="B30" i="4"/>
  <c r="B31" i="4" s="1"/>
  <c r="B30" i="9"/>
  <c r="B37" i="9" s="1"/>
  <c r="C30" i="9"/>
  <c r="C37" i="9" s="1"/>
  <c r="A5" i="9" s="1"/>
  <c r="D8" i="8" l="1"/>
  <c r="C31" i="11"/>
  <c r="B31" i="11"/>
  <c r="D31" i="11"/>
  <c r="C28" i="10"/>
  <c r="D16" i="12" l="1"/>
  <c r="D24" i="15"/>
  <c r="E24" i="15" s="1"/>
  <c r="D17" i="15"/>
  <c r="D9" i="15"/>
  <c r="D11" i="15" s="1"/>
  <c r="D37" i="15"/>
  <c r="D36" i="15"/>
  <c r="E36" i="15" s="1"/>
  <c r="D33" i="15"/>
  <c r="D28" i="15"/>
  <c r="D27" i="15"/>
  <c r="D26" i="8"/>
  <c r="E26" i="8" s="1"/>
  <c r="D14" i="8"/>
  <c r="E14" i="8" s="1"/>
  <c r="D27" i="8"/>
  <c r="E27" i="8" s="1"/>
  <c r="D11" i="8"/>
  <c r="E11" i="8" s="1"/>
  <c r="D15" i="8"/>
  <c r="E15" i="8" s="1"/>
  <c r="D20" i="8"/>
  <c r="D23" i="8"/>
  <c r="E23" i="8" s="1"/>
  <c r="E8" i="8"/>
  <c r="E20" i="8" l="1"/>
  <c r="E29" i="8" s="1"/>
  <c r="D29" i="8"/>
  <c r="D11" i="10"/>
  <c r="E11" i="10" s="1"/>
  <c r="D23" i="10"/>
  <c r="E23" i="10" s="1"/>
  <c r="D17" i="10"/>
  <c r="D8" i="10"/>
  <c r="D20" i="10"/>
  <c r="E20" i="10" s="1"/>
  <c r="D12" i="10"/>
  <c r="E12" i="10" s="1"/>
  <c r="D24" i="10"/>
  <c r="E24" i="10" s="1"/>
  <c r="D39" i="15"/>
  <c r="D11" i="9"/>
  <c r="E11" i="9" s="1"/>
  <c r="E9" i="15"/>
  <c r="E11" i="15" s="1"/>
  <c r="E12" i="15" s="1"/>
  <c r="E17" i="15"/>
  <c r="E19" i="15" s="1"/>
  <c r="E20" i="15" s="1"/>
  <c r="E28" i="15"/>
  <c r="E33" i="15"/>
  <c r="E37" i="15"/>
  <c r="D33" i="9"/>
  <c r="E33" i="9" s="1"/>
  <c r="D8" i="9"/>
  <c r="E8" i="9" s="1"/>
  <c r="D14" i="9"/>
  <c r="E14" i="9" s="1"/>
  <c r="D15" i="9"/>
  <c r="E15" i="9" s="1"/>
  <c r="D23" i="9"/>
  <c r="E23" i="9" s="1"/>
  <c r="D26" i="9"/>
  <c r="E26" i="9" s="1"/>
  <c r="D27" i="9"/>
  <c r="E27" i="9" s="1"/>
  <c r="D20" i="9"/>
  <c r="E20" i="9" s="1"/>
  <c r="E27" i="15"/>
  <c r="D12" i="15"/>
  <c r="D29" i="12"/>
  <c r="E29" i="12" s="1"/>
  <c r="D20" i="12"/>
  <c r="E20" i="12" s="1"/>
  <c r="D8" i="12"/>
  <c r="D28" i="12"/>
  <c r="E28" i="12" s="1"/>
  <c r="D25" i="12"/>
  <c r="D19" i="12"/>
  <c r="E19" i="12" s="1"/>
  <c r="E17" i="8"/>
  <c r="D17" i="8"/>
  <c r="E8" i="10" l="1"/>
  <c r="E14" i="10" s="1"/>
  <c r="D14" i="10"/>
  <c r="D26" i="10"/>
  <c r="E17" i="10"/>
  <c r="E26" i="10" s="1"/>
  <c r="D19" i="15"/>
  <c r="D20" i="15" s="1"/>
  <c r="D30" i="15"/>
  <c r="D40" i="15" s="1"/>
  <c r="E39" i="15"/>
  <c r="E30" i="15"/>
  <c r="E17" i="9"/>
  <c r="D17" i="9"/>
  <c r="E35" i="9"/>
  <c r="E36" i="9" s="1"/>
  <c r="D35" i="9"/>
  <c r="D36" i="9" s="1"/>
  <c r="E29" i="9"/>
  <c r="D29" i="9"/>
  <c r="E16" i="12"/>
  <c r="E22" i="12" s="1"/>
  <c r="D22" i="12"/>
  <c r="E8" i="12"/>
  <c r="E10" i="12" s="1"/>
  <c r="E11" i="12" s="1"/>
  <c r="D10" i="12"/>
  <c r="D11" i="12" s="1"/>
  <c r="E25" i="12"/>
  <c r="E31" i="12" s="1"/>
  <c r="D31" i="12"/>
  <c r="D30" i="8"/>
  <c r="E30" i="8"/>
  <c r="D27" i="10" l="1"/>
  <c r="D28" i="10" s="1"/>
  <c r="E27" i="10"/>
  <c r="E28" i="10" s="1"/>
  <c r="D41" i="15"/>
  <c r="E40" i="15"/>
  <c r="E41" i="15" s="1"/>
  <c r="E43" i="15" s="1"/>
  <c r="D30" i="9"/>
  <c r="D37" i="9" s="1"/>
  <c r="E30" i="9"/>
  <c r="E37" i="9" s="1"/>
  <c r="D32" i="12"/>
  <c r="D33" i="12" s="1"/>
  <c r="E32" i="12"/>
  <c r="E33" i="12" s="1"/>
  <c r="E35" i="12" l="1"/>
</calcChain>
</file>

<file path=xl/sharedStrings.xml><?xml version="1.0" encoding="utf-8"?>
<sst xmlns="http://schemas.openxmlformats.org/spreadsheetml/2006/main" count="414" uniqueCount="51">
  <si>
    <t>BPJS Kesehatan</t>
  </si>
  <si>
    <t>Jumlah</t>
  </si>
  <si>
    <t>Karyawan  (1%)</t>
  </si>
  <si>
    <t>Perusahaan  (4%)</t>
  </si>
  <si>
    <t>Iuran</t>
  </si>
  <si>
    <t>Status Karyawan Kontrak</t>
  </si>
  <si>
    <t>Tenaga Kerja   Langsung</t>
  </si>
  <si>
    <t>Cost Center   Produksi</t>
  </si>
  <si>
    <t>Tenaga Kerja   Tidak Langsung</t>
  </si>
  <si>
    <t>Tenaga Kerja</t>
  </si>
  <si>
    <t>Cost Center   Pemasaran</t>
  </si>
  <si>
    <t>Cost Center   Umum</t>
  </si>
  <si>
    <t>Total Status Karyawan Kontrak</t>
  </si>
  <si>
    <t>Status Karyawan Tetap</t>
  </si>
  <si>
    <t>Total Status Karyawan Tetap</t>
  </si>
  <si>
    <t>Total Dept</t>
  </si>
  <si>
    <t>Total</t>
  </si>
  <si>
    <t>Cabang Semarang</t>
  </si>
  <si>
    <t>Cabang Denpasar</t>
  </si>
  <si>
    <t>Cabang Cengkareng</t>
  </si>
  <si>
    <t>PT. JP Book</t>
  </si>
  <si>
    <t>Total Dept Nganjuk</t>
  </si>
  <si>
    <t>Lombok</t>
  </si>
  <si>
    <t>Total Dept Lombok</t>
  </si>
  <si>
    <t>Total Dept JO Malang</t>
  </si>
  <si>
    <t>Cabang Packaging</t>
  </si>
  <si>
    <t>Cabang DCP Surabaya</t>
  </si>
  <si>
    <t>Total Dept Surabaya</t>
  </si>
  <si>
    <t>Bandung</t>
  </si>
  <si>
    <t>Total Dept Bandung</t>
  </si>
  <si>
    <t>Cabang Packaging Bekasi</t>
  </si>
  <si>
    <t>Cabang Shp Bag Bekasi</t>
  </si>
  <si>
    <t>PT. DIM</t>
  </si>
  <si>
    <t>Manado</t>
  </si>
  <si>
    <t>Total Dept Manado</t>
  </si>
  <si>
    <t>Holding &amp; MPGS</t>
  </si>
  <si>
    <t>Holding</t>
  </si>
  <si>
    <t>Total Dept Holding</t>
  </si>
  <si>
    <t>MPGS</t>
  </si>
  <si>
    <t>Total Dept MPGS</t>
  </si>
  <si>
    <t>Cabang Sumengko</t>
  </si>
  <si>
    <t>PT TEMA WADAH LESTARI</t>
  </si>
  <si>
    <t>Tenaga Kerja Tidak Langsung</t>
  </si>
  <si>
    <t>Cabang JPM</t>
  </si>
  <si>
    <t>Tenaga Kerja Langsung</t>
  </si>
  <si>
    <t>s</t>
  </si>
  <si>
    <t>Periode : 02 - 2026</t>
  </si>
  <si>
    <t>PT. DCI SMG</t>
  </si>
  <si>
    <t>PT. DCI NGJK</t>
  </si>
  <si>
    <t>NOTED :</t>
  </si>
  <si>
    <t>BULAN FEBRUARI AKAN ADA PEMISAHAN DCI DENGAN BPJS KESEHATAN KOTA SMG DAN KAB NGANJUK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</si>
</sst>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#,##0_ 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4"/>
      <color theme="1"/>
      <name val="Segoe UI"/>
      <family val="2"/>
    </font>
    <font>
      <sz val="11"/>
      <color theme="0"/>
      <name val="Segoe UI"/>
      <family val="2"/>
    </font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color rgb="FFFF0000"/>
      <name val="Segoe UI"/>
      <family val="2"/>
    </font>
    <font>
      <b/>
      <sz val="11"/>
      <name val="Segoe UI"/>
      <family val="2"/>
    </font>
    <font>
      <b/>
      <sz val="12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166" fontId="2" fillId="0" borderId="1" xfId="1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165" fontId="2" fillId="0" borderId="0" xfId="0" applyNumberFormat="1" applyFont="1"/>
    <xf numFmtId="166" fontId="2" fillId="0" borderId="0" xfId="1" applyNumberFormat="1" applyFont="1"/>
    <xf numFmtId="166" fontId="1" fillId="0" borderId="0" xfId="1" applyNumberFormat="1" applyFont="1" applyAlignment="1">
      <alignment vertical="center"/>
    </xf>
    <xf numFmtId="165" fontId="6" fillId="0" borderId="1" xfId="0" applyNumberFormat="1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41" fontId="1" fillId="0" borderId="1" xfId="2" applyFont="1" applyFill="1" applyBorder="1" applyAlignment="1">
      <alignment vertical="center"/>
    </xf>
    <xf numFmtId="166" fontId="1" fillId="0" borderId="1" xfId="1" applyNumberFormat="1" applyFont="1" applyFill="1" applyBorder="1" applyAlignment="1">
      <alignment vertical="center"/>
    </xf>
    <xf numFmtId="165" fontId="1" fillId="0" borderId="1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/>
    </xf>
    <xf numFmtId="166" fontId="2" fillId="0" borderId="1" xfId="1" applyNumberFormat="1" applyFont="1" applyFill="1" applyBorder="1" applyAlignment="1">
      <alignment vertical="center"/>
    </xf>
    <xf numFmtId="3" fontId="1" fillId="0" borderId="0" xfId="0" applyNumberFormat="1" applyFont="1"/>
    <xf numFmtId="16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0" fontId="2" fillId="0" borderId="0" xfId="0" applyFont="1"/>
    <xf numFmtId="164" fontId="1" fillId="3" borderId="1" xfId="0" applyNumberFormat="1" applyFont="1" applyFill="1" applyBorder="1" applyAlignment="1">
      <alignment vertical="center"/>
    </xf>
    <xf numFmtId="165" fontId="1" fillId="3" borderId="1" xfId="0" applyNumberFormat="1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 wrapText="1"/>
    </xf>
    <xf numFmtId="164" fontId="6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C000"/>
    <pageSetUpPr fitToPage="1"/>
  </sheetPr>
  <dimension ref="A1:I31"/>
  <sheetViews>
    <sheetView zoomScale="70" zoomScaleNormal="70" workbookViewId="0">
      <selection activeCell="G13" sqref="G13"/>
    </sheetView>
  </sheetViews>
  <sheetFormatPr defaultColWidth="9.109375" defaultRowHeight="16.8" x14ac:dyDescent="0.4"/>
  <cols>
    <col min="1" max="1" width="33" style="10" bestFit="1" customWidth="1"/>
    <col min="2" max="2" width="13.6640625" style="10" customWidth="1"/>
    <col min="3" max="3" width="17" style="10" customWidth="1"/>
    <col min="4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">
        <v>46</v>
      </c>
      <c r="F2" s="45"/>
      <c r="G2" s="45"/>
      <c r="H2" s="45"/>
      <c r="I2" s="45"/>
    </row>
    <row r="3" spans="1:9" s="1" customFormat="1" x14ac:dyDescent="0.3">
      <c r="A3" s="2" t="s">
        <v>17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v>254450.41087613293</v>
      </c>
      <c r="B5" s="4" t="s">
        <v>1</v>
      </c>
      <c r="C5" s="4" t="s">
        <v>2</v>
      </c>
      <c r="D5" s="4" t="s">
        <v>3</v>
      </c>
      <c r="E5" s="4" t="s">
        <v>4</v>
      </c>
      <c r="I5" s="22"/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32">
        <v>6</v>
      </c>
      <c r="C8" s="20">
        <v>199625</v>
      </c>
      <c r="D8" s="20">
        <f>B8*$A$5</f>
        <v>1526702.4652567976</v>
      </c>
      <c r="E8" s="20">
        <f>SUM(C8:D8)</f>
        <v>1726327.4652567976</v>
      </c>
    </row>
    <row r="9" spans="1:9" s="1" customFormat="1" x14ac:dyDescent="0.3">
      <c r="A9" s="5"/>
      <c r="B9" s="33"/>
      <c r="C9" s="20"/>
      <c r="D9" s="20"/>
      <c r="E9" s="20"/>
    </row>
    <row r="10" spans="1:9" s="1" customFormat="1" x14ac:dyDescent="0.3">
      <c r="A10" s="5" t="s">
        <v>8</v>
      </c>
      <c r="B10" s="33"/>
      <c r="C10" s="33"/>
      <c r="D10" s="33"/>
      <c r="E10" s="33"/>
    </row>
    <row r="11" spans="1:9" s="1" customFormat="1" x14ac:dyDescent="0.3">
      <c r="A11" s="5" t="s">
        <v>7</v>
      </c>
      <c r="B11" s="32">
        <v>4</v>
      </c>
      <c r="C11" s="20">
        <v>212016</v>
      </c>
      <c r="D11" s="20">
        <f>B11*$A$5</f>
        <v>1017801.6435045317</v>
      </c>
      <c r="E11" s="20">
        <f>SUM(C11:D11)</f>
        <v>1229817.6435045316</v>
      </c>
    </row>
    <row r="12" spans="1:9" s="1" customFormat="1" x14ac:dyDescent="0.3">
      <c r="A12" s="5"/>
      <c r="B12" s="33"/>
      <c r="C12" s="20"/>
      <c r="D12" s="20"/>
      <c r="E12" s="20"/>
    </row>
    <row r="13" spans="1:9" s="1" customFormat="1" x14ac:dyDescent="0.3">
      <c r="A13" s="5" t="s">
        <v>9</v>
      </c>
      <c r="B13" s="33"/>
      <c r="C13" s="33"/>
      <c r="D13" s="33"/>
      <c r="E13" s="33"/>
    </row>
    <row r="14" spans="1:9" s="1" customFormat="1" x14ac:dyDescent="0.3">
      <c r="A14" s="5" t="s">
        <v>10</v>
      </c>
      <c r="B14" s="32">
        <v>1</v>
      </c>
      <c r="C14" s="20">
        <v>118520</v>
      </c>
      <c r="D14" s="20">
        <f>B14*$A$5</f>
        <v>254450.41087613293</v>
      </c>
      <c r="E14" s="20">
        <f>SUM(C14:D14)</f>
        <v>372970.4108761329</v>
      </c>
    </row>
    <row r="15" spans="1:9" s="1" customFormat="1" x14ac:dyDescent="0.3">
      <c r="A15" s="5" t="s">
        <v>11</v>
      </c>
      <c r="B15" s="32">
        <v>1</v>
      </c>
      <c r="C15" s="20">
        <v>76330</v>
      </c>
      <c r="D15" s="20">
        <f>B15*$A$5</f>
        <v>254450.41087613293</v>
      </c>
      <c r="E15" s="20">
        <f>SUM(C15:D15)</f>
        <v>330780.4108761329</v>
      </c>
    </row>
    <row r="16" spans="1:9" s="1" customFormat="1" x14ac:dyDescent="0.3">
      <c r="A16" s="5"/>
      <c r="B16" s="33"/>
      <c r="C16" s="20"/>
      <c r="D16" s="20"/>
      <c r="E16" s="20"/>
    </row>
    <row r="17" spans="1:5" s="1" customFormat="1" x14ac:dyDescent="0.3">
      <c r="A17" s="11" t="s">
        <v>12</v>
      </c>
      <c r="B17" s="34">
        <f>SUM(B8:B16)</f>
        <v>12</v>
      </c>
      <c r="C17" s="35">
        <f t="shared" ref="C17:E17" si="0">SUM(C8:C16)</f>
        <v>606491</v>
      </c>
      <c r="D17" s="35">
        <f t="shared" si="0"/>
        <v>3053404.9305135952</v>
      </c>
      <c r="E17" s="35">
        <f t="shared" si="0"/>
        <v>3659895.9305135952</v>
      </c>
    </row>
    <row r="18" spans="1:5" s="1" customFormat="1" x14ac:dyDescent="0.3">
      <c r="A18" s="5" t="s">
        <v>13</v>
      </c>
      <c r="B18" s="33"/>
      <c r="C18" s="33"/>
      <c r="D18" s="33"/>
      <c r="E18" s="33"/>
    </row>
    <row r="19" spans="1:5" s="1" customFormat="1" x14ac:dyDescent="0.3">
      <c r="A19" s="5" t="s">
        <v>6</v>
      </c>
      <c r="B19" s="33"/>
      <c r="C19" s="33"/>
      <c r="D19" s="33"/>
      <c r="E19" s="33"/>
    </row>
    <row r="20" spans="1:5" s="1" customFormat="1" x14ac:dyDescent="0.3">
      <c r="A20" s="5" t="s">
        <v>7</v>
      </c>
      <c r="B20" s="40">
        <v>12</v>
      </c>
      <c r="C20" s="41">
        <v>554206</v>
      </c>
      <c r="D20" s="20">
        <f>B20*$A$5</f>
        <v>3053404.9305135952</v>
      </c>
      <c r="E20" s="20">
        <f>SUM(C20:D20)</f>
        <v>3607610.9305135952</v>
      </c>
    </row>
    <row r="21" spans="1:5" s="1" customFormat="1" x14ac:dyDescent="0.3">
      <c r="A21" s="5"/>
      <c r="B21" s="33"/>
      <c r="C21" s="20"/>
      <c r="D21" s="20"/>
      <c r="E21" s="20"/>
    </row>
    <row r="22" spans="1:5" s="1" customFormat="1" x14ac:dyDescent="0.3">
      <c r="A22" s="5" t="s">
        <v>8</v>
      </c>
      <c r="B22" s="33"/>
      <c r="C22" s="33"/>
      <c r="D22" s="33"/>
      <c r="E22" s="33"/>
    </row>
    <row r="23" spans="1:5" s="1" customFormat="1" x14ac:dyDescent="0.3">
      <c r="A23" s="5" t="s">
        <v>7</v>
      </c>
      <c r="B23" s="32">
        <v>16</v>
      </c>
      <c r="C23" s="39">
        <v>1017070</v>
      </c>
      <c r="D23" s="20">
        <f>B23*$A$5</f>
        <v>4071206.5740181268</v>
      </c>
      <c r="E23" s="20">
        <f>SUM(C23:D23)</f>
        <v>5088276.5740181264</v>
      </c>
    </row>
    <row r="24" spans="1:5" s="1" customFormat="1" x14ac:dyDescent="0.3">
      <c r="A24" s="5"/>
      <c r="B24" s="33"/>
      <c r="C24" s="20"/>
      <c r="D24" s="20"/>
      <c r="E24" s="20"/>
    </row>
    <row r="25" spans="1:5" s="1" customFormat="1" x14ac:dyDescent="0.3">
      <c r="A25" s="5" t="s">
        <v>9</v>
      </c>
      <c r="B25" s="33"/>
      <c r="C25" s="33"/>
      <c r="D25" s="33"/>
      <c r="E25" s="33"/>
    </row>
    <row r="26" spans="1:5" s="1" customFormat="1" x14ac:dyDescent="0.3">
      <c r="A26" s="5" t="s">
        <v>10</v>
      </c>
      <c r="B26" s="32">
        <v>0</v>
      </c>
      <c r="C26" s="20">
        <v>0</v>
      </c>
      <c r="D26" s="20">
        <f t="shared" ref="D26:D27" si="1">B26*$A$5</f>
        <v>0</v>
      </c>
      <c r="E26" s="20">
        <f t="shared" ref="E26:E27" si="2">SUM(C26:D26)</f>
        <v>0</v>
      </c>
    </row>
    <row r="27" spans="1:5" s="1" customFormat="1" x14ac:dyDescent="0.3">
      <c r="A27" s="5" t="s">
        <v>11</v>
      </c>
      <c r="B27" s="32">
        <v>4</v>
      </c>
      <c r="C27" s="20">
        <v>180809</v>
      </c>
      <c r="D27" s="20">
        <f t="shared" si="1"/>
        <v>1017801.6435045317</v>
      </c>
      <c r="E27" s="20">
        <f t="shared" si="2"/>
        <v>1198610.6435045316</v>
      </c>
    </row>
    <row r="28" spans="1:5" s="1" customFormat="1" x14ac:dyDescent="0.3">
      <c r="A28" s="5"/>
      <c r="B28" s="33"/>
      <c r="C28" s="20"/>
      <c r="D28" s="20"/>
      <c r="E28" s="20"/>
    </row>
    <row r="29" spans="1:5" s="1" customFormat="1" x14ac:dyDescent="0.3">
      <c r="A29" s="11" t="s">
        <v>14</v>
      </c>
      <c r="B29" s="34">
        <f>SUM(B20:B28)</f>
        <v>32</v>
      </c>
      <c r="C29" s="35">
        <f>SUM(C20:C28)</f>
        <v>1752085</v>
      </c>
      <c r="D29" s="35">
        <f t="shared" ref="D29:E29" si="3">SUM(D20:D28)</f>
        <v>8142413.1480362546</v>
      </c>
      <c r="E29" s="35">
        <f t="shared" si="3"/>
        <v>9894498.1480362546</v>
      </c>
    </row>
    <row r="30" spans="1:5" s="1" customFormat="1" x14ac:dyDescent="0.3">
      <c r="A30" s="11" t="s">
        <v>15</v>
      </c>
      <c r="B30" s="34">
        <f>SUM(B17,B29)</f>
        <v>44</v>
      </c>
      <c r="C30" s="35">
        <f>SUM(C17,C29)</f>
        <v>2358576</v>
      </c>
      <c r="D30" s="35">
        <f t="shared" ref="D30:E30" si="4">SUM(D17,D29)</f>
        <v>11195818.078549851</v>
      </c>
      <c r="E30" s="35">
        <f t="shared" si="4"/>
        <v>13554394.078549851</v>
      </c>
    </row>
    <row r="31" spans="1:5" x14ac:dyDescent="0.4">
      <c r="A31" s="11" t="s">
        <v>16</v>
      </c>
      <c r="B31" s="34">
        <f>SUM(B30)</f>
        <v>44</v>
      </c>
      <c r="C31" s="35">
        <f>SUM(C30)</f>
        <v>2358576</v>
      </c>
      <c r="D31" s="35">
        <f t="shared" ref="D31:E31" si="5">SUM(D30)</f>
        <v>11195818.078549851</v>
      </c>
      <c r="E31" s="35">
        <f t="shared" si="5"/>
        <v>13554394.078549851</v>
      </c>
    </row>
  </sheetData>
  <mergeCells count="1">
    <mergeCell ref="F2:I2"/>
  </mergeCells>
  <pageMargins left="0.7" right="0.7" top="0.25" bottom="0.25" header="0.3" footer="0.3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  <pageSetUpPr fitToPage="1"/>
  </sheetPr>
  <dimension ref="A1:I30"/>
  <sheetViews>
    <sheetView zoomScale="70" zoomScaleNormal="70" workbookViewId="0">
      <selection activeCell="A5" sqref="A5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18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v>254450.41087613293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6"/>
      <c r="C8" s="7"/>
      <c r="D8" s="7">
        <f>B8*$A$5</f>
        <v>0</v>
      </c>
      <c r="E8" s="7">
        <f>SUM(C8:D8)</f>
        <v>0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5" t="s">
        <v>8</v>
      </c>
      <c r="B10" s="5"/>
      <c r="C10" s="5"/>
      <c r="D10" s="5"/>
      <c r="E10" s="5"/>
    </row>
    <row r="11" spans="1:9" s="1" customFormat="1" x14ac:dyDescent="0.3">
      <c r="A11" s="5" t="s">
        <v>7</v>
      </c>
      <c r="B11" s="6">
        <v>3</v>
      </c>
      <c r="C11" s="7">
        <v>148854</v>
      </c>
      <c r="D11" s="7">
        <f>B11*$A$5</f>
        <v>763351.23262839881</v>
      </c>
      <c r="E11" s="7">
        <f>SUM(C11:D11)</f>
        <v>912205.23262839881</v>
      </c>
    </row>
    <row r="12" spans="1:9" s="1" customFormat="1" x14ac:dyDescent="0.3">
      <c r="A12" s="5"/>
      <c r="B12" s="5"/>
      <c r="C12" s="7"/>
      <c r="D12" s="7"/>
      <c r="E12" s="7"/>
    </row>
    <row r="13" spans="1:9" s="1" customFormat="1" x14ac:dyDescent="0.3">
      <c r="A13" s="5" t="s">
        <v>9</v>
      </c>
      <c r="B13" s="5"/>
      <c r="C13" s="5"/>
      <c r="D13" s="5"/>
      <c r="E13" s="5"/>
    </row>
    <row r="14" spans="1:9" s="1" customFormat="1" x14ac:dyDescent="0.3">
      <c r="A14" s="5" t="s">
        <v>11</v>
      </c>
      <c r="B14" s="6">
        <v>0</v>
      </c>
      <c r="C14" s="7">
        <v>0</v>
      </c>
      <c r="D14" s="7">
        <f>B14*$A$5</f>
        <v>0</v>
      </c>
      <c r="E14" s="7">
        <f>SUM(C14:D14)</f>
        <v>0</v>
      </c>
    </row>
    <row r="15" spans="1:9" s="1" customFormat="1" x14ac:dyDescent="0.3">
      <c r="A15" s="5"/>
      <c r="B15" s="5"/>
      <c r="C15" s="7"/>
      <c r="D15" s="7"/>
      <c r="E15" s="7"/>
    </row>
    <row r="16" spans="1:9" s="1" customFormat="1" x14ac:dyDescent="0.3">
      <c r="A16" s="11" t="s">
        <v>12</v>
      </c>
      <c r="B16" s="8">
        <f>SUM(B8:B15)</f>
        <v>3</v>
      </c>
      <c r="C16" s="9">
        <f>SUM(C8:C15)</f>
        <v>148854</v>
      </c>
      <c r="D16" s="9">
        <f t="shared" ref="D16:E16" si="0">SUM(D8:D15)</f>
        <v>763351.23262839881</v>
      </c>
      <c r="E16" s="9">
        <f t="shared" si="0"/>
        <v>912205.23262839881</v>
      </c>
    </row>
    <row r="17" spans="1:5" s="1" customFormat="1" x14ac:dyDescent="0.3">
      <c r="A17" s="5" t="s">
        <v>13</v>
      </c>
      <c r="B17" s="5"/>
      <c r="C17" s="5"/>
      <c r="D17" s="5"/>
      <c r="E17" s="5"/>
    </row>
    <row r="18" spans="1:5" s="1" customFormat="1" x14ac:dyDescent="0.3">
      <c r="A18" s="5" t="s">
        <v>6</v>
      </c>
      <c r="B18" s="5"/>
      <c r="C18" s="5"/>
      <c r="D18" s="5"/>
      <c r="E18" s="5"/>
    </row>
    <row r="19" spans="1:5" s="1" customFormat="1" x14ac:dyDescent="0.3">
      <c r="A19" s="5" t="s">
        <v>7</v>
      </c>
      <c r="B19" s="6">
        <v>4</v>
      </c>
      <c r="C19" s="7">
        <v>172587</v>
      </c>
      <c r="D19" s="7">
        <f>B19*$A$5</f>
        <v>1017801.6435045317</v>
      </c>
      <c r="E19" s="7">
        <f>SUM(C19:D19)</f>
        <v>1190388.6435045316</v>
      </c>
    </row>
    <row r="20" spans="1:5" s="1" customFormat="1" x14ac:dyDescent="0.3">
      <c r="A20" s="5"/>
      <c r="B20" s="5"/>
      <c r="C20" s="7"/>
      <c r="D20" s="7"/>
      <c r="E20" s="7"/>
    </row>
    <row r="21" spans="1:5" s="1" customFormat="1" x14ac:dyDescent="0.3">
      <c r="A21" s="5" t="s">
        <v>8</v>
      </c>
      <c r="B21" s="5"/>
      <c r="C21" s="5"/>
      <c r="D21" s="5"/>
      <c r="E21" s="5"/>
    </row>
    <row r="22" spans="1:5" s="1" customFormat="1" x14ac:dyDescent="0.3">
      <c r="A22" s="5" t="s">
        <v>7</v>
      </c>
      <c r="B22" s="21">
        <v>5</v>
      </c>
      <c r="C22" s="23">
        <v>316088</v>
      </c>
      <c r="D22" s="7">
        <f>B22*$A$5</f>
        <v>1272252.0543806646</v>
      </c>
      <c r="E22" s="7">
        <f>SUM(C22:D22)</f>
        <v>1588340.0543806646</v>
      </c>
    </row>
    <row r="23" spans="1:5" s="1" customFormat="1" x14ac:dyDescent="0.3">
      <c r="A23" s="5"/>
      <c r="B23" s="24"/>
      <c r="C23" s="23"/>
      <c r="D23" s="7"/>
      <c r="E23" s="7"/>
    </row>
    <row r="24" spans="1:5" s="1" customFormat="1" x14ac:dyDescent="0.3">
      <c r="A24" s="5" t="s">
        <v>9</v>
      </c>
      <c r="B24" s="5"/>
      <c r="C24" s="5"/>
      <c r="D24" s="5"/>
      <c r="E24" s="5"/>
    </row>
    <row r="25" spans="1:5" s="1" customFormat="1" x14ac:dyDescent="0.3">
      <c r="A25" s="5" t="s">
        <v>10</v>
      </c>
      <c r="B25" s="6">
        <v>0</v>
      </c>
      <c r="C25" s="7">
        <v>0</v>
      </c>
      <c r="D25" s="7">
        <f t="shared" ref="D25:D26" si="1">B25*$A$5</f>
        <v>0</v>
      </c>
      <c r="E25" s="7">
        <f t="shared" ref="E25:E26" si="2">SUM(C25:D25)</f>
        <v>0</v>
      </c>
    </row>
    <row r="26" spans="1:5" s="1" customFormat="1" x14ac:dyDescent="0.3">
      <c r="A26" s="5" t="s">
        <v>11</v>
      </c>
      <c r="B26" s="6">
        <v>2</v>
      </c>
      <c r="C26" s="28">
        <v>124514</v>
      </c>
      <c r="D26" s="7">
        <f t="shared" si="1"/>
        <v>508900.82175226585</v>
      </c>
      <c r="E26" s="7">
        <f t="shared" si="2"/>
        <v>633414.82175226579</v>
      </c>
    </row>
    <row r="27" spans="1:5" s="1" customFormat="1" x14ac:dyDescent="0.3">
      <c r="A27" s="5"/>
      <c r="B27" s="5"/>
      <c r="C27" s="7"/>
      <c r="D27" s="7"/>
      <c r="E27" s="7"/>
    </row>
    <row r="28" spans="1:5" s="1" customFormat="1" x14ac:dyDescent="0.3">
      <c r="A28" s="11" t="s">
        <v>14</v>
      </c>
      <c r="B28" s="8">
        <f>SUM(B19:B27)</f>
        <v>11</v>
      </c>
      <c r="C28" s="9">
        <f>SUM(C19:C27)</f>
        <v>613189</v>
      </c>
      <c r="D28" s="9">
        <f t="shared" ref="D28:E28" si="3">SUM(D19:D27)</f>
        <v>2798954.5196374622</v>
      </c>
      <c r="E28" s="9">
        <f t="shared" si="3"/>
        <v>3412143.5196374618</v>
      </c>
    </row>
    <row r="29" spans="1:5" s="1" customFormat="1" x14ac:dyDescent="0.3">
      <c r="A29" s="11" t="s">
        <v>15</v>
      </c>
      <c r="B29" s="8">
        <f>SUM(B16,B28)</f>
        <v>14</v>
      </c>
      <c r="C29" s="9">
        <f>SUM(C16,C28)</f>
        <v>762043</v>
      </c>
      <c r="D29" s="9">
        <f t="shared" ref="D29:E29" si="4">SUM(D16,D28)</f>
        <v>3562305.7522658613</v>
      </c>
      <c r="E29" s="9">
        <f t="shared" si="4"/>
        <v>4324348.7522658603</v>
      </c>
    </row>
    <row r="30" spans="1:5" x14ac:dyDescent="0.4">
      <c r="A30" s="11" t="s">
        <v>16</v>
      </c>
      <c r="B30" s="8">
        <f>SUM(B29)</f>
        <v>14</v>
      </c>
      <c r="C30" s="9">
        <f>SUM(C29)</f>
        <v>762043</v>
      </c>
      <c r="D30" s="9">
        <f t="shared" ref="D30:E30" si="5">SUM(D29)</f>
        <v>3562305.7522658613</v>
      </c>
      <c r="E30" s="9">
        <f t="shared" si="5"/>
        <v>4324348.7522658603</v>
      </c>
    </row>
  </sheetData>
  <mergeCells count="1">
    <mergeCell ref="F2:I2"/>
  </mergeCells>
  <pageMargins left="0.7" right="0.7" top="0.2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000"/>
  </sheetPr>
  <dimension ref="A1:I30"/>
  <sheetViews>
    <sheetView zoomScale="70" zoomScaleNormal="70" workbookViewId="0">
      <selection activeCell="B30" sqref="B30:E30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19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f>(3363433-C30)/B30</f>
        <v>242525.81818181818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7"/>
      <c r="D7" s="5"/>
      <c r="E7" s="5"/>
    </row>
    <row r="8" spans="1:9" s="1" customFormat="1" x14ac:dyDescent="0.3">
      <c r="A8" s="5" t="s">
        <v>7</v>
      </c>
      <c r="B8" s="5">
        <v>0</v>
      </c>
      <c r="C8" s="7">
        <v>0</v>
      </c>
      <c r="D8" s="7">
        <f>B8*$A$5</f>
        <v>0</v>
      </c>
      <c r="E8" s="7">
        <f>SUM(C8:D8)</f>
        <v>0</v>
      </c>
    </row>
    <row r="9" spans="1:9" s="1" customFormat="1" x14ac:dyDescent="0.3">
      <c r="A9" s="5"/>
      <c r="B9" s="5"/>
      <c r="C9" s="5"/>
      <c r="D9" s="7"/>
      <c r="E9" s="7"/>
    </row>
    <row r="10" spans="1:9" s="1" customFormat="1" x14ac:dyDescent="0.3">
      <c r="A10" s="5" t="s">
        <v>8</v>
      </c>
      <c r="B10" s="5"/>
      <c r="C10" s="5"/>
      <c r="D10" s="5"/>
      <c r="E10" s="5"/>
    </row>
    <row r="11" spans="1:9" s="1" customFormat="1" x14ac:dyDescent="0.3">
      <c r="A11" s="5" t="s">
        <v>7</v>
      </c>
      <c r="B11" s="6">
        <v>2</v>
      </c>
      <c r="C11" s="7">
        <v>108558</v>
      </c>
      <c r="D11" s="7">
        <f>B11*$A$5</f>
        <v>485051.63636363635</v>
      </c>
      <c r="E11" s="7">
        <f>SUM(C11:D11)</f>
        <v>593609.63636363635</v>
      </c>
    </row>
    <row r="12" spans="1:9" s="1" customFormat="1" x14ac:dyDescent="0.3">
      <c r="A12" s="5"/>
      <c r="B12" s="5"/>
      <c r="C12" s="7"/>
      <c r="D12" s="7"/>
      <c r="E12" s="7"/>
    </row>
    <row r="13" spans="1:9" s="1" customFormat="1" x14ac:dyDescent="0.3">
      <c r="A13" s="5" t="s">
        <v>9</v>
      </c>
      <c r="B13" s="5"/>
      <c r="C13" s="5"/>
      <c r="D13" s="5"/>
      <c r="E13" s="5"/>
    </row>
    <row r="14" spans="1:9" s="1" customFormat="1" x14ac:dyDescent="0.3">
      <c r="A14" s="5" t="s">
        <v>10</v>
      </c>
      <c r="B14" s="6">
        <v>0</v>
      </c>
      <c r="C14" s="7">
        <v>0</v>
      </c>
      <c r="D14" s="7">
        <f>B14*$A$5</f>
        <v>0</v>
      </c>
      <c r="E14" s="7">
        <f>SUM(C14:D14)</f>
        <v>0</v>
      </c>
    </row>
    <row r="15" spans="1:9" s="1" customFormat="1" x14ac:dyDescent="0.3">
      <c r="A15" s="5" t="s">
        <v>11</v>
      </c>
      <c r="B15" s="6">
        <v>0</v>
      </c>
      <c r="C15" s="7">
        <v>0</v>
      </c>
      <c r="D15" s="7">
        <f>B15*$A$5</f>
        <v>0</v>
      </c>
      <c r="E15" s="7">
        <f>SUM(C15:D15)</f>
        <v>0</v>
      </c>
    </row>
    <row r="16" spans="1:9" s="1" customFormat="1" x14ac:dyDescent="0.3">
      <c r="A16" s="5"/>
      <c r="B16" s="5"/>
      <c r="C16" s="7"/>
      <c r="D16" s="7"/>
      <c r="E16" s="7"/>
    </row>
    <row r="17" spans="1:5" s="1" customFormat="1" x14ac:dyDescent="0.3">
      <c r="A17" s="11" t="s">
        <v>12</v>
      </c>
      <c r="B17" s="8">
        <f>SUM(B8:B16)</f>
        <v>2</v>
      </c>
      <c r="C17" s="9">
        <f>SUM(C8:C16)</f>
        <v>108558</v>
      </c>
      <c r="D17" s="9">
        <f t="shared" ref="D17:E17" si="0">SUM(D8:D16)</f>
        <v>485051.63636363635</v>
      </c>
      <c r="E17" s="9">
        <f t="shared" si="0"/>
        <v>593609.63636363635</v>
      </c>
    </row>
    <row r="18" spans="1:5" s="1" customFormat="1" x14ac:dyDescent="0.3">
      <c r="A18" s="5" t="s">
        <v>13</v>
      </c>
      <c r="B18" s="5"/>
      <c r="C18" s="5"/>
      <c r="D18" s="5"/>
      <c r="E18" s="5"/>
    </row>
    <row r="19" spans="1:5" s="1" customFormat="1" x14ac:dyDescent="0.3">
      <c r="A19" s="5" t="s">
        <v>6</v>
      </c>
      <c r="B19" s="5"/>
      <c r="C19" s="5"/>
      <c r="D19" s="5"/>
      <c r="E19" s="5"/>
    </row>
    <row r="20" spans="1:5" s="1" customFormat="1" x14ac:dyDescent="0.3">
      <c r="A20" s="5" t="s">
        <v>7</v>
      </c>
      <c r="B20" s="6">
        <v>4</v>
      </c>
      <c r="C20" s="7">
        <v>224535</v>
      </c>
      <c r="D20" s="7">
        <f>B20*$A$5</f>
        <v>970103.27272727271</v>
      </c>
      <c r="E20" s="7">
        <f>SUM(C20:D20)</f>
        <v>1194638.2727272727</v>
      </c>
    </row>
    <row r="21" spans="1:5" s="1" customFormat="1" x14ac:dyDescent="0.3">
      <c r="A21" s="5"/>
      <c r="B21" s="5"/>
      <c r="C21" s="7"/>
      <c r="D21" s="7"/>
      <c r="E21" s="7"/>
    </row>
    <row r="22" spans="1:5" s="1" customFormat="1" x14ac:dyDescent="0.3">
      <c r="A22" s="5" t="s">
        <v>8</v>
      </c>
      <c r="B22" s="5"/>
      <c r="C22" s="5"/>
      <c r="D22" s="5"/>
      <c r="E22" s="5"/>
    </row>
    <row r="23" spans="1:5" s="1" customFormat="1" x14ac:dyDescent="0.3">
      <c r="A23" s="5" t="s">
        <v>7</v>
      </c>
      <c r="B23" s="6">
        <f>5</f>
        <v>5</v>
      </c>
      <c r="C23" s="7">
        <v>362556</v>
      </c>
      <c r="D23" s="7">
        <f>B23*$A$5</f>
        <v>1212629.0909090908</v>
      </c>
      <c r="E23" s="7">
        <f>SUM(C23:D23)</f>
        <v>1575185.0909090908</v>
      </c>
    </row>
    <row r="24" spans="1:5" s="1" customFormat="1" x14ac:dyDescent="0.3">
      <c r="A24" s="5"/>
      <c r="B24" s="5"/>
      <c r="C24" s="7"/>
      <c r="D24" s="7"/>
      <c r="E24" s="7"/>
    </row>
    <row r="25" spans="1:5" s="1" customFormat="1" x14ac:dyDescent="0.3">
      <c r="A25" s="5" t="s">
        <v>9</v>
      </c>
      <c r="B25" s="5"/>
      <c r="C25" s="5"/>
      <c r="D25" s="5"/>
      <c r="E25" s="5"/>
    </row>
    <row r="26" spans="1:5" s="1" customFormat="1" x14ac:dyDescent="0.3">
      <c r="A26" s="5" t="s">
        <v>10</v>
      </c>
      <c r="B26" s="6">
        <v>0</v>
      </c>
      <c r="C26" s="7">
        <v>0</v>
      </c>
      <c r="D26" s="7">
        <f t="shared" ref="D26:D27" si="1">B26*$A$5</f>
        <v>0</v>
      </c>
      <c r="E26" s="7">
        <f t="shared" ref="E26:E27" si="2">SUM(C26:D26)</f>
        <v>0</v>
      </c>
    </row>
    <row r="27" spans="1:5" s="1" customFormat="1" x14ac:dyDescent="0.3">
      <c r="A27" s="5" t="s">
        <v>11</v>
      </c>
      <c r="B27" s="6">
        <v>0</v>
      </c>
      <c r="C27" s="7">
        <v>0</v>
      </c>
      <c r="D27" s="7">
        <f t="shared" si="1"/>
        <v>0</v>
      </c>
      <c r="E27" s="7">
        <f t="shared" si="2"/>
        <v>0</v>
      </c>
    </row>
    <row r="28" spans="1:5" s="1" customFormat="1" x14ac:dyDescent="0.3">
      <c r="A28" s="5"/>
      <c r="B28" s="5"/>
      <c r="C28" s="7"/>
      <c r="D28" s="7"/>
      <c r="E28" s="7"/>
    </row>
    <row r="29" spans="1:5" s="1" customFormat="1" x14ac:dyDescent="0.3">
      <c r="A29" s="11" t="s">
        <v>14</v>
      </c>
      <c r="B29" s="8">
        <f>SUM(B20:B28)</f>
        <v>9</v>
      </c>
      <c r="C29" s="9">
        <f>SUM(C20:C28)</f>
        <v>587091</v>
      </c>
      <c r="D29" s="9">
        <f t="shared" ref="D29:E29" si="3">SUM(D20:D28)</f>
        <v>2182732.3636363633</v>
      </c>
      <c r="E29" s="9">
        <f t="shared" si="3"/>
        <v>2769823.3636363633</v>
      </c>
    </row>
    <row r="30" spans="1:5" s="1" customFormat="1" x14ac:dyDescent="0.3">
      <c r="A30" s="11" t="s">
        <v>15</v>
      </c>
      <c r="B30" s="8">
        <f>SUM(B17,B29)</f>
        <v>11</v>
      </c>
      <c r="C30" s="9">
        <f>SUM(C17,C29)</f>
        <v>695649</v>
      </c>
      <c r="D30" s="9">
        <f t="shared" ref="D30:E30" si="4">SUM(D17,D29)</f>
        <v>2667783.9999999995</v>
      </c>
      <c r="E30" s="9">
        <f t="shared" si="4"/>
        <v>3363432.9999999995</v>
      </c>
    </row>
  </sheetData>
  <mergeCells count="1">
    <mergeCell ref="F2:I2"/>
  </mergeCells>
  <pageMargins left="0.25" right="0.25" top="0.25" bottom="0.25" header="0.25" footer="0.2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FFC000"/>
    <pageSetUpPr fitToPage="1"/>
  </sheetPr>
  <dimension ref="A1:I35"/>
  <sheetViews>
    <sheetView zoomScale="55" zoomScaleNormal="55" zoomScaleSheetLayoutView="70" workbookViewId="0">
      <selection activeCell="A35" sqref="A35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ht="19.2" x14ac:dyDescent="0.3">
      <c r="A3" s="44" t="s">
        <v>48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f>(3274599-C32)/B32</f>
        <v>175025.06666666668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6">
        <v>0</v>
      </c>
      <c r="C8" s="7">
        <v>0</v>
      </c>
      <c r="D8" s="7">
        <f>B8*$A$5</f>
        <v>0</v>
      </c>
      <c r="E8" s="7">
        <f>SUM(C8:D8)</f>
        <v>0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5" t="s">
        <v>8</v>
      </c>
      <c r="B10" s="5"/>
      <c r="C10" s="5"/>
      <c r="D10" s="5"/>
      <c r="E10" s="5"/>
    </row>
    <row r="11" spans="1:9" s="1" customFormat="1" x14ac:dyDescent="0.3">
      <c r="A11" s="5" t="s">
        <v>7</v>
      </c>
      <c r="B11" s="6">
        <v>1</v>
      </c>
      <c r="C11" s="7">
        <v>67876</v>
      </c>
      <c r="D11" s="7">
        <f>B11*$A$5</f>
        <v>175025.06666666668</v>
      </c>
      <c r="E11" s="7">
        <f>SUM(C11:D11)</f>
        <v>242901.06666666668</v>
      </c>
    </row>
    <row r="12" spans="1:9" s="1" customFormat="1" x14ac:dyDescent="0.3">
      <c r="A12" s="5"/>
      <c r="B12" s="5"/>
      <c r="C12" s="7"/>
      <c r="D12" s="7"/>
      <c r="E12" s="7"/>
    </row>
    <row r="13" spans="1:9" s="1" customFormat="1" x14ac:dyDescent="0.3">
      <c r="A13" s="5" t="s">
        <v>9</v>
      </c>
      <c r="B13" s="5"/>
      <c r="C13" s="5"/>
      <c r="D13" s="5"/>
      <c r="E13" s="5"/>
    </row>
    <row r="14" spans="1:9" s="1" customFormat="1" x14ac:dyDescent="0.3">
      <c r="A14" s="5" t="s">
        <v>10</v>
      </c>
      <c r="B14" s="6">
        <v>0</v>
      </c>
      <c r="C14" s="7">
        <v>0</v>
      </c>
      <c r="D14" s="7">
        <f t="shared" ref="D14:D15" si="0">B14*$A$5</f>
        <v>0</v>
      </c>
      <c r="E14" s="7">
        <f t="shared" ref="E14:E15" si="1">SUM(C14:D14)</f>
        <v>0</v>
      </c>
    </row>
    <row r="15" spans="1:9" s="1" customFormat="1" x14ac:dyDescent="0.3">
      <c r="A15" s="5" t="s">
        <v>11</v>
      </c>
      <c r="B15" s="6">
        <v>0</v>
      </c>
      <c r="C15" s="7">
        <v>0</v>
      </c>
      <c r="D15" s="7">
        <f t="shared" si="0"/>
        <v>0</v>
      </c>
      <c r="E15" s="7">
        <f t="shared" si="1"/>
        <v>0</v>
      </c>
    </row>
    <row r="16" spans="1:9" s="1" customFormat="1" x14ac:dyDescent="0.3">
      <c r="A16" s="5"/>
      <c r="B16" s="5"/>
      <c r="C16" s="7"/>
      <c r="D16" s="7"/>
      <c r="E16" s="7"/>
    </row>
    <row r="17" spans="1:5" s="1" customFormat="1" x14ac:dyDescent="0.3">
      <c r="A17" s="11" t="s">
        <v>12</v>
      </c>
      <c r="B17" s="8">
        <f>SUM(B8:B16)</f>
        <v>1</v>
      </c>
      <c r="C17" s="9">
        <f>SUM(C8:C16)</f>
        <v>67876</v>
      </c>
      <c r="D17" s="9">
        <f t="shared" ref="D17:E17" si="2">SUM(D8:D16)</f>
        <v>175025.06666666668</v>
      </c>
      <c r="E17" s="9">
        <f t="shared" si="2"/>
        <v>242901.06666666668</v>
      </c>
    </row>
    <row r="18" spans="1:5" s="1" customFormat="1" x14ac:dyDescent="0.3">
      <c r="A18" s="5" t="s">
        <v>13</v>
      </c>
      <c r="B18" s="5"/>
      <c r="C18" s="5"/>
      <c r="D18" s="5"/>
      <c r="E18" s="5"/>
    </row>
    <row r="19" spans="1:5" s="1" customFormat="1" x14ac:dyDescent="0.3">
      <c r="A19" s="5" t="s">
        <v>6</v>
      </c>
      <c r="B19" s="5"/>
      <c r="C19" s="5"/>
      <c r="D19" s="5"/>
      <c r="E19" s="5"/>
    </row>
    <row r="20" spans="1:5" s="1" customFormat="1" x14ac:dyDescent="0.3">
      <c r="A20" s="5" t="s">
        <v>7</v>
      </c>
      <c r="B20" s="6">
        <v>8</v>
      </c>
      <c r="C20" s="26">
        <v>288456</v>
      </c>
      <c r="D20" s="7">
        <f t="shared" ref="D20" si="3">B20*$A$5</f>
        <v>1400200.5333333334</v>
      </c>
      <c r="E20" s="7">
        <f t="shared" ref="E20" si="4">SUM(C20:D20)</f>
        <v>1688656.5333333334</v>
      </c>
    </row>
    <row r="21" spans="1:5" s="1" customFormat="1" x14ac:dyDescent="0.3">
      <c r="A21" s="5"/>
      <c r="B21" s="5"/>
      <c r="C21" s="6"/>
      <c r="D21" s="6"/>
      <c r="E21" s="6"/>
    </row>
    <row r="22" spans="1:5" s="1" customFormat="1" x14ac:dyDescent="0.3">
      <c r="A22" s="5" t="s">
        <v>13</v>
      </c>
      <c r="B22" s="5"/>
      <c r="C22" s="5"/>
      <c r="D22" s="5"/>
      <c r="E22" s="5"/>
    </row>
    <row r="23" spans="1:5" s="1" customFormat="1" x14ac:dyDescent="0.3">
      <c r="A23" s="5" t="s">
        <v>42</v>
      </c>
      <c r="B23" s="5"/>
      <c r="C23" s="5"/>
      <c r="D23" s="5"/>
      <c r="E23" s="5"/>
    </row>
    <row r="24" spans="1:5" s="1" customFormat="1" x14ac:dyDescent="0.3">
      <c r="A24" s="5" t="s">
        <v>7</v>
      </c>
      <c r="B24" s="6">
        <v>4</v>
      </c>
      <c r="C24" s="26">
        <v>189836</v>
      </c>
      <c r="D24" s="7">
        <f t="shared" ref="D24" si="5">B24*$A$5</f>
        <v>700100.26666666672</v>
      </c>
      <c r="E24" s="7">
        <f t="shared" ref="E24" si="6">SUM(C24:D24)</f>
        <v>889936.26666666672</v>
      </c>
    </row>
    <row r="25" spans="1:5" s="1" customFormat="1" x14ac:dyDescent="0.3">
      <c r="A25" s="5"/>
      <c r="B25" s="6"/>
      <c r="C25" s="26"/>
      <c r="D25" s="7"/>
      <c r="E25" s="7"/>
    </row>
    <row r="26" spans="1:5" s="1" customFormat="1" x14ac:dyDescent="0.3">
      <c r="A26" s="5" t="s">
        <v>9</v>
      </c>
      <c r="B26" s="5"/>
      <c r="C26" s="5"/>
      <c r="D26" s="5"/>
      <c r="E26" s="5"/>
    </row>
    <row r="27" spans="1:5" s="1" customFormat="1" x14ac:dyDescent="0.3">
      <c r="A27" s="5" t="s">
        <v>10</v>
      </c>
      <c r="B27" s="6">
        <v>0</v>
      </c>
      <c r="C27" s="7">
        <v>0</v>
      </c>
      <c r="D27" s="7">
        <f t="shared" ref="D27:D28" si="7">B27*$A$5</f>
        <v>0</v>
      </c>
      <c r="E27" s="7">
        <f t="shared" ref="E27:E28" si="8">SUM(C27:D27)</f>
        <v>0</v>
      </c>
    </row>
    <row r="28" spans="1:5" s="1" customFormat="1" x14ac:dyDescent="0.3">
      <c r="A28" s="5" t="s">
        <v>11</v>
      </c>
      <c r="B28" s="6">
        <v>2</v>
      </c>
      <c r="C28" s="7">
        <v>103055</v>
      </c>
      <c r="D28" s="7">
        <f t="shared" si="7"/>
        <v>350050.13333333336</v>
      </c>
      <c r="E28" s="7">
        <f t="shared" si="8"/>
        <v>453105.13333333336</v>
      </c>
    </row>
    <row r="29" spans="1:5" s="1" customFormat="1" x14ac:dyDescent="0.3">
      <c r="A29" s="5"/>
      <c r="B29" s="5"/>
      <c r="C29" s="7"/>
      <c r="D29" s="7"/>
      <c r="E29" s="7"/>
    </row>
    <row r="30" spans="1:5" s="1" customFormat="1" x14ac:dyDescent="0.3">
      <c r="A30" s="11" t="s">
        <v>14</v>
      </c>
      <c r="B30" s="8">
        <f>SUM(B20:B29)</f>
        <v>14</v>
      </c>
      <c r="C30" s="9">
        <f>SUM(C20:C29)</f>
        <v>581347</v>
      </c>
      <c r="D30" s="9">
        <f>SUM(D20:D29)</f>
        <v>2450350.9333333336</v>
      </c>
      <c r="E30" s="9">
        <f>SUM(E20:E29)</f>
        <v>3031697.9333333336</v>
      </c>
    </row>
    <row r="31" spans="1:5" s="1" customFormat="1" x14ac:dyDescent="0.3">
      <c r="A31" s="11" t="s">
        <v>15</v>
      </c>
      <c r="B31" s="8">
        <f>SUM(B17,B30)</f>
        <v>15</v>
      </c>
      <c r="C31" s="9">
        <f>SUM(C17,C30)</f>
        <v>649223</v>
      </c>
      <c r="D31" s="9">
        <f>SUM(D17,D30)</f>
        <v>2625376.0000000005</v>
      </c>
      <c r="E31" s="9">
        <f>SUM(E17,E30)</f>
        <v>3274599.0000000005</v>
      </c>
    </row>
    <row r="32" spans="1:5" s="1" customFormat="1" x14ac:dyDescent="0.3">
      <c r="A32" s="11" t="s">
        <v>16</v>
      </c>
      <c r="B32" s="8">
        <f>B31</f>
        <v>15</v>
      </c>
      <c r="C32" s="9">
        <f>C31</f>
        <v>649223</v>
      </c>
      <c r="D32" s="9">
        <f t="shared" ref="D32:E32" si="9">D31</f>
        <v>2625376.0000000005</v>
      </c>
      <c r="E32" s="9">
        <f t="shared" si="9"/>
        <v>3274599.0000000005</v>
      </c>
    </row>
    <row r="34" spans="1:1" x14ac:dyDescent="0.4">
      <c r="A34" s="36" t="s">
        <v>49</v>
      </c>
    </row>
    <row r="35" spans="1:1" x14ac:dyDescent="0.4">
      <c r="A35" s="36" t="s">
        <v>50</v>
      </c>
    </row>
  </sheetData>
  <mergeCells count="1">
    <mergeCell ref="F2:I2"/>
  </mergeCells>
  <pageMargins left="0.25" right="0.25" top="0.25" bottom="0.25" header="0.3" footer="0.3"/>
  <pageSetup paperSize="9" scale="8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31E7-5D36-40AB-A8E5-E286B2439A12}">
  <sheetPr>
    <tabColor rgb="FFFFC000"/>
    <pageSetUpPr fitToPage="1"/>
  </sheetPr>
  <dimension ref="A1:I72"/>
  <sheetViews>
    <sheetView topLeftCell="A16" zoomScale="85" zoomScaleNormal="85" zoomScaleSheetLayoutView="70" workbookViewId="0">
      <selection activeCell="D42" sqref="D42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ht="19.2" x14ac:dyDescent="0.3">
      <c r="A3" s="44" t="s">
        <v>47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f>(3274599-C32)/B32</f>
        <v>196161.92307692306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6">
        <v>0</v>
      </c>
      <c r="C8" s="7">
        <v>0</v>
      </c>
      <c r="D8" s="7">
        <v>0</v>
      </c>
      <c r="E8" s="7">
        <v>0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5" t="s">
        <v>8</v>
      </c>
      <c r="B10" s="5"/>
      <c r="C10" s="5"/>
      <c r="D10" s="5"/>
      <c r="E10" s="5"/>
    </row>
    <row r="11" spans="1:9" s="1" customFormat="1" x14ac:dyDescent="0.3">
      <c r="A11" s="5" t="s">
        <v>7</v>
      </c>
      <c r="B11" s="6">
        <v>1</v>
      </c>
      <c r="C11" s="7">
        <v>120000</v>
      </c>
      <c r="D11" s="7">
        <f>B11*$A$5</f>
        <v>196161.92307692306</v>
      </c>
      <c r="E11" s="7">
        <f>SUM(C11:D11)</f>
        <v>316161.92307692306</v>
      </c>
    </row>
    <row r="12" spans="1:9" s="1" customFormat="1" x14ac:dyDescent="0.3">
      <c r="A12" s="5"/>
      <c r="B12" s="5"/>
      <c r="C12" s="7"/>
      <c r="D12" s="7"/>
      <c r="E12" s="7"/>
    </row>
    <row r="13" spans="1:9" s="1" customFormat="1" x14ac:dyDescent="0.3">
      <c r="A13" s="5" t="s">
        <v>9</v>
      </c>
      <c r="B13" s="5"/>
      <c r="C13" s="5"/>
      <c r="D13" s="5"/>
      <c r="E13" s="5"/>
    </row>
    <row r="14" spans="1:9" s="1" customFormat="1" x14ac:dyDescent="0.3">
      <c r="A14" s="5" t="s">
        <v>10</v>
      </c>
      <c r="B14" s="6">
        <v>1</v>
      </c>
      <c r="C14" s="7">
        <v>56583</v>
      </c>
      <c r="D14" s="7">
        <f t="shared" ref="D14:D15" si="0">B14*$A$5</f>
        <v>196161.92307692306</v>
      </c>
      <c r="E14" s="7">
        <f t="shared" ref="E14:E15" si="1">SUM(C14:D14)</f>
        <v>252744.92307692306</v>
      </c>
    </row>
    <row r="15" spans="1:9" s="1" customFormat="1" x14ac:dyDescent="0.3">
      <c r="A15" s="5" t="s">
        <v>11</v>
      </c>
      <c r="B15" s="6">
        <v>0</v>
      </c>
      <c r="C15" s="7">
        <v>0</v>
      </c>
      <c r="D15" s="7">
        <f t="shared" si="0"/>
        <v>0</v>
      </c>
      <c r="E15" s="7">
        <f t="shared" si="1"/>
        <v>0</v>
      </c>
    </row>
    <row r="16" spans="1:9" s="1" customFormat="1" x14ac:dyDescent="0.3">
      <c r="A16" s="5"/>
      <c r="B16" s="5"/>
      <c r="C16" s="7"/>
      <c r="D16" s="7"/>
      <c r="E16" s="7"/>
    </row>
    <row r="17" spans="1:5" s="1" customFormat="1" x14ac:dyDescent="0.3">
      <c r="A17" s="11" t="s">
        <v>12</v>
      </c>
      <c r="B17" s="8">
        <f>SUM(B8:B16)</f>
        <v>2</v>
      </c>
      <c r="C17" s="9">
        <f>SUM(C8:C16)</f>
        <v>176583</v>
      </c>
      <c r="D17" s="9">
        <f t="shared" ref="D17:E17" si="2">SUM(D8:D16)</f>
        <v>392323.84615384613</v>
      </c>
      <c r="E17" s="9">
        <f t="shared" si="2"/>
        <v>568906.84615384613</v>
      </c>
    </row>
    <row r="18" spans="1:5" s="1" customFormat="1" x14ac:dyDescent="0.3">
      <c r="A18" s="5" t="s">
        <v>13</v>
      </c>
      <c r="B18" s="5"/>
      <c r="C18" s="5"/>
      <c r="D18" s="5"/>
      <c r="E18" s="5"/>
    </row>
    <row r="19" spans="1:5" s="1" customFormat="1" x14ac:dyDescent="0.3">
      <c r="A19" s="5" t="s">
        <v>6</v>
      </c>
      <c r="B19" s="5"/>
      <c r="C19" s="5"/>
      <c r="D19" s="5"/>
      <c r="E19" s="5"/>
    </row>
    <row r="20" spans="1:5" s="1" customFormat="1" x14ac:dyDescent="0.3">
      <c r="A20" s="5" t="s">
        <v>7</v>
      </c>
      <c r="B20" s="6">
        <v>3</v>
      </c>
      <c r="C20" s="26">
        <v>134859</v>
      </c>
      <c r="D20" s="7">
        <f t="shared" ref="D20" si="3">B20*$A$5</f>
        <v>588485.76923076925</v>
      </c>
      <c r="E20" s="7">
        <f t="shared" ref="E20" si="4">SUM(C20:D20)</f>
        <v>723344.76923076925</v>
      </c>
    </row>
    <row r="21" spans="1:5" s="1" customFormat="1" x14ac:dyDescent="0.3">
      <c r="A21" s="5"/>
      <c r="B21" s="5"/>
      <c r="C21" s="6"/>
      <c r="D21" s="6"/>
      <c r="E21" s="6"/>
    </row>
    <row r="22" spans="1:5" s="1" customFormat="1" x14ac:dyDescent="0.3">
      <c r="A22" s="5" t="s">
        <v>13</v>
      </c>
      <c r="B22" s="5"/>
      <c r="C22" s="5"/>
      <c r="D22" s="5"/>
      <c r="E22" s="5"/>
    </row>
    <row r="23" spans="1:5" s="1" customFormat="1" x14ac:dyDescent="0.3">
      <c r="A23" s="5" t="s">
        <v>42</v>
      </c>
      <c r="B23" s="5"/>
      <c r="C23" s="5"/>
      <c r="D23" s="5"/>
      <c r="E23" s="5"/>
    </row>
    <row r="24" spans="1:5" s="1" customFormat="1" x14ac:dyDescent="0.3">
      <c r="A24" s="5" t="s">
        <v>7</v>
      </c>
      <c r="B24" s="6">
        <v>3</v>
      </c>
      <c r="C24" s="26">
        <v>159417</v>
      </c>
      <c r="D24" s="7">
        <f t="shared" ref="D24" si="5">B24*$A$5</f>
        <v>588485.76923076925</v>
      </c>
      <c r="E24" s="7">
        <f t="shared" ref="E24" si="6">SUM(C24:D24)</f>
        <v>747902.76923076925</v>
      </c>
    </row>
    <row r="25" spans="1:5" s="1" customFormat="1" x14ac:dyDescent="0.3">
      <c r="A25" s="5"/>
      <c r="B25" s="6"/>
      <c r="C25" s="26"/>
      <c r="D25" s="7"/>
      <c r="E25" s="7"/>
    </row>
    <row r="26" spans="1:5" s="1" customFormat="1" x14ac:dyDescent="0.3">
      <c r="A26" s="5" t="s">
        <v>9</v>
      </c>
      <c r="B26" s="5"/>
      <c r="C26" s="5"/>
      <c r="D26" s="5"/>
      <c r="E26" s="5"/>
    </row>
    <row r="27" spans="1:5" s="1" customFormat="1" x14ac:dyDescent="0.3">
      <c r="A27" s="5" t="s">
        <v>10</v>
      </c>
      <c r="B27" s="6">
        <v>2</v>
      </c>
      <c r="C27" s="7">
        <v>117703</v>
      </c>
      <c r="D27" s="7">
        <f t="shared" ref="D27:D28" si="7">B27*$A$5</f>
        <v>392323.84615384613</v>
      </c>
      <c r="E27" s="7">
        <f t="shared" ref="E27:E28" si="8">SUM(C27:D27)</f>
        <v>510026.84615384613</v>
      </c>
    </row>
    <row r="28" spans="1:5" s="1" customFormat="1" x14ac:dyDescent="0.3">
      <c r="A28" s="5" t="s">
        <v>11</v>
      </c>
      <c r="B28" s="6">
        <v>3</v>
      </c>
      <c r="C28" s="7">
        <v>135932</v>
      </c>
      <c r="D28" s="7">
        <f t="shared" si="7"/>
        <v>588485.76923076925</v>
      </c>
      <c r="E28" s="7">
        <f t="shared" si="8"/>
        <v>724417.76923076925</v>
      </c>
    </row>
    <row r="29" spans="1:5" s="1" customFormat="1" x14ac:dyDescent="0.3">
      <c r="A29" s="5"/>
      <c r="B29" s="5"/>
      <c r="C29" s="7"/>
      <c r="D29" s="7"/>
      <c r="E29" s="7"/>
    </row>
    <row r="30" spans="1:5" s="1" customFormat="1" x14ac:dyDescent="0.3">
      <c r="A30" s="11" t="s">
        <v>14</v>
      </c>
      <c r="B30" s="8">
        <f>SUM(B20:B29)</f>
        <v>11</v>
      </c>
      <c r="C30" s="9">
        <f>SUM(C20:C29)</f>
        <v>547911</v>
      </c>
      <c r="D30" s="9">
        <f>SUM(D20:D29)</f>
        <v>2157781.153846154</v>
      </c>
      <c r="E30" s="9">
        <f>SUM(E20:E29)</f>
        <v>2705692.153846154</v>
      </c>
    </row>
    <row r="31" spans="1:5" s="1" customFormat="1" x14ac:dyDescent="0.3">
      <c r="A31" s="11" t="s">
        <v>15</v>
      </c>
      <c r="B31" s="8">
        <f>SUM(B17,B30)</f>
        <v>13</v>
      </c>
      <c r="C31" s="9">
        <f>SUM(C17,C30)</f>
        <v>724494</v>
      </c>
      <c r="D31" s="9">
        <f>SUM(D17,D30)</f>
        <v>2550105</v>
      </c>
      <c r="E31" s="9">
        <f>SUM(E17,E30)</f>
        <v>3274599</v>
      </c>
    </row>
    <row r="32" spans="1:5" s="1" customFormat="1" x14ac:dyDescent="0.3">
      <c r="A32" s="11" t="s">
        <v>16</v>
      </c>
      <c r="B32" s="8">
        <f>B31</f>
        <v>13</v>
      </c>
      <c r="C32" s="9">
        <f>C31</f>
        <v>724494</v>
      </c>
      <c r="D32" s="9">
        <f t="shared" ref="D32:E32" si="9">D31</f>
        <v>2550105</v>
      </c>
      <c r="E32" s="9">
        <f t="shared" si="9"/>
        <v>3274599</v>
      </c>
    </row>
    <row r="34" spans="1:1" x14ac:dyDescent="0.4">
      <c r="A34" s="36" t="s">
        <v>49</v>
      </c>
    </row>
    <row r="35" spans="1:1" x14ac:dyDescent="0.4">
      <c r="A35" s="36" t="s">
        <v>50</v>
      </c>
    </row>
    <row r="71" spans="1:1" x14ac:dyDescent="0.4">
      <c r="A71" s="36" t="s">
        <v>49</v>
      </c>
    </row>
    <row r="72" spans="1:1" x14ac:dyDescent="0.4">
      <c r="A72" s="36" t="s">
        <v>50</v>
      </c>
    </row>
  </sheetData>
  <mergeCells count="1">
    <mergeCell ref="F2:I2"/>
  </mergeCells>
  <pageMargins left="0.25" right="0.25" top="0.25" bottom="0.25" header="0.3" footer="0.3"/>
  <pageSetup paperSize="9" scale="8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FFC000"/>
    <pageSetUpPr fitToPage="1"/>
  </sheetPr>
  <dimension ref="A1:I31"/>
  <sheetViews>
    <sheetView zoomScale="70" zoomScaleNormal="70" workbookViewId="0">
      <selection activeCell="A5" sqref="A5"/>
    </sheetView>
  </sheetViews>
  <sheetFormatPr defaultColWidth="9.109375" defaultRowHeight="16.8" x14ac:dyDescent="0.4"/>
  <cols>
    <col min="1" max="1" width="33" style="10" bestFit="1" customWidth="1"/>
    <col min="2" max="2" width="13.6640625" style="10" customWidth="1"/>
    <col min="3" max="3" width="14.33203125" style="10" bestFit="1" customWidth="1"/>
    <col min="4" max="4" width="16.6640625" style="10" bestFit="1" customWidth="1"/>
    <col min="5" max="5" width="15.6640625" style="10" bestFit="1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40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v>254450.41087613293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7">
        <v>5</v>
      </c>
      <c r="C8" s="7">
        <v>268450</v>
      </c>
      <c r="D8" s="7">
        <f t="shared" ref="D8" si="0">B8*$A$5</f>
        <v>1272252.0543806646</v>
      </c>
      <c r="E8" s="7">
        <f>SUM(C8:D8)</f>
        <v>1540702.0543806646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5" t="s">
        <v>8</v>
      </c>
      <c r="B10" s="5"/>
      <c r="C10" s="5"/>
      <c r="D10" s="5"/>
      <c r="E10" s="5"/>
    </row>
    <row r="11" spans="1:9" s="1" customFormat="1" x14ac:dyDescent="0.3">
      <c r="A11" s="5" t="s">
        <v>7</v>
      </c>
      <c r="B11" s="6">
        <v>7</v>
      </c>
      <c r="C11" s="7">
        <v>503033</v>
      </c>
      <c r="D11" s="7">
        <f t="shared" ref="D11" si="1">B11*$A$5</f>
        <v>1781152.8761329304</v>
      </c>
      <c r="E11" s="7">
        <f t="shared" ref="E11" si="2">SUM(C11:D11)</f>
        <v>2284185.8761329306</v>
      </c>
    </row>
    <row r="12" spans="1:9" s="1" customFormat="1" x14ac:dyDescent="0.3">
      <c r="A12" s="5"/>
      <c r="B12" s="5"/>
      <c r="C12" s="7"/>
      <c r="D12" s="7"/>
      <c r="E12" s="7"/>
    </row>
    <row r="13" spans="1:9" s="1" customFormat="1" x14ac:dyDescent="0.3">
      <c r="A13" s="5" t="s">
        <v>9</v>
      </c>
      <c r="B13" s="5"/>
      <c r="C13" s="5"/>
      <c r="D13" s="5"/>
      <c r="E13" s="5"/>
    </row>
    <row r="14" spans="1:9" s="1" customFormat="1" x14ac:dyDescent="0.3">
      <c r="A14" s="5" t="s">
        <v>10</v>
      </c>
      <c r="B14" s="6">
        <v>4</v>
      </c>
      <c r="C14" s="7">
        <v>280119</v>
      </c>
      <c r="D14" s="7">
        <f t="shared" ref="D14:D15" si="3">B14*$A$5</f>
        <v>1017801.6435045317</v>
      </c>
      <c r="E14" s="7">
        <f t="shared" ref="E14:E15" si="4">SUM(C14:D14)</f>
        <v>1297920.6435045316</v>
      </c>
    </row>
    <row r="15" spans="1:9" s="1" customFormat="1" x14ac:dyDescent="0.3">
      <c r="A15" s="5" t="s">
        <v>11</v>
      </c>
      <c r="B15" s="6">
        <v>7</v>
      </c>
      <c r="C15" s="7">
        <v>442549</v>
      </c>
      <c r="D15" s="7">
        <f t="shared" si="3"/>
        <v>1781152.8761329304</v>
      </c>
      <c r="E15" s="7">
        <f t="shared" si="4"/>
        <v>2223701.8761329306</v>
      </c>
    </row>
    <row r="16" spans="1:9" s="1" customFormat="1" x14ac:dyDescent="0.3">
      <c r="A16" s="5"/>
      <c r="B16" s="5"/>
      <c r="C16" s="7"/>
      <c r="D16" s="7"/>
      <c r="E16" s="7"/>
    </row>
    <row r="17" spans="1:5" s="1" customFormat="1" x14ac:dyDescent="0.3">
      <c r="A17" s="11" t="s">
        <v>12</v>
      </c>
      <c r="B17" s="8">
        <f>SUM(B7:B16)</f>
        <v>23</v>
      </c>
      <c r="C17" s="9">
        <f>SUM(C7:C16)</f>
        <v>1494151</v>
      </c>
      <c r="D17" s="9">
        <f>SUM(D7:D16)</f>
        <v>5852359.450151057</v>
      </c>
      <c r="E17" s="9">
        <f>SUM(E7:E16)</f>
        <v>7346510.450151057</v>
      </c>
    </row>
    <row r="18" spans="1:5" s="1" customFormat="1" x14ac:dyDescent="0.3">
      <c r="A18" s="5" t="s">
        <v>13</v>
      </c>
      <c r="B18" s="5"/>
      <c r="C18" s="5"/>
      <c r="D18" s="5"/>
      <c r="E18" s="5"/>
    </row>
    <row r="19" spans="1:5" s="1" customFormat="1" x14ac:dyDescent="0.3">
      <c r="A19" s="5" t="s">
        <v>6</v>
      </c>
      <c r="B19" s="5"/>
      <c r="C19" s="5"/>
      <c r="D19" s="5"/>
      <c r="E19" s="5"/>
    </row>
    <row r="20" spans="1:5" s="1" customFormat="1" x14ac:dyDescent="0.3">
      <c r="A20" s="5" t="s">
        <v>7</v>
      </c>
      <c r="B20" s="6">
        <v>42</v>
      </c>
      <c r="C20" s="7">
        <v>2281769</v>
      </c>
      <c r="D20" s="7">
        <f>B20*$A$5</f>
        <v>10686917.256797584</v>
      </c>
      <c r="E20" s="7">
        <f>SUM(C20:D20)</f>
        <v>12968686.256797584</v>
      </c>
    </row>
    <row r="21" spans="1:5" s="1" customFormat="1" x14ac:dyDescent="0.3">
      <c r="A21" s="5"/>
      <c r="B21" s="5"/>
      <c r="C21" s="7"/>
      <c r="D21" s="7"/>
      <c r="E21" s="7"/>
    </row>
    <row r="22" spans="1:5" s="1" customFormat="1" x14ac:dyDescent="0.3">
      <c r="A22" s="5" t="s">
        <v>8</v>
      </c>
      <c r="B22" s="5"/>
      <c r="C22" s="5"/>
      <c r="D22" s="5"/>
      <c r="E22" s="5"/>
    </row>
    <row r="23" spans="1:5" s="1" customFormat="1" x14ac:dyDescent="0.3">
      <c r="A23" s="5" t="s">
        <v>7</v>
      </c>
      <c r="B23" s="6">
        <v>36</v>
      </c>
      <c r="C23" s="7">
        <v>2237300</v>
      </c>
      <c r="D23" s="7">
        <f>B23*$A$5</f>
        <v>9160214.7915407848</v>
      </c>
      <c r="E23" s="7">
        <f>SUM(C23:D23)</f>
        <v>11397514.791540785</v>
      </c>
    </row>
    <row r="24" spans="1:5" s="1" customFormat="1" x14ac:dyDescent="0.3">
      <c r="A24" s="5"/>
      <c r="B24" s="5"/>
      <c r="C24" s="7"/>
      <c r="D24" s="7"/>
      <c r="E24" s="7"/>
    </row>
    <row r="25" spans="1:5" s="1" customFormat="1" x14ac:dyDescent="0.3">
      <c r="A25" s="5" t="s">
        <v>9</v>
      </c>
      <c r="B25" s="5"/>
      <c r="C25" s="5"/>
      <c r="D25" s="5"/>
      <c r="E25" s="5"/>
    </row>
    <row r="26" spans="1:5" s="1" customFormat="1" x14ac:dyDescent="0.3">
      <c r="A26" s="5" t="s">
        <v>10</v>
      </c>
      <c r="B26" s="37">
        <v>11</v>
      </c>
      <c r="C26" s="38">
        <v>673604</v>
      </c>
      <c r="D26" s="7">
        <f t="shared" ref="D26:D27" si="5">B26*$A$5</f>
        <v>2798954.5196374622</v>
      </c>
      <c r="E26" s="7">
        <f t="shared" ref="E26:E27" si="6">SUM(C26:D26)</f>
        <v>3472558.5196374622</v>
      </c>
    </row>
    <row r="27" spans="1:5" s="1" customFormat="1" x14ac:dyDescent="0.3">
      <c r="A27" s="5" t="s">
        <v>11</v>
      </c>
      <c r="B27" s="6">
        <v>8</v>
      </c>
      <c r="C27" s="7">
        <v>471022</v>
      </c>
      <c r="D27" s="7">
        <f t="shared" si="5"/>
        <v>2035603.2870090634</v>
      </c>
      <c r="E27" s="7">
        <f t="shared" si="6"/>
        <v>2506625.2870090632</v>
      </c>
    </row>
    <row r="28" spans="1:5" s="1" customFormat="1" x14ac:dyDescent="0.3">
      <c r="A28" s="5"/>
      <c r="B28" s="5"/>
      <c r="C28" s="7"/>
      <c r="D28" s="7"/>
      <c r="E28" s="7"/>
    </row>
    <row r="29" spans="1:5" s="1" customFormat="1" x14ac:dyDescent="0.3">
      <c r="A29" s="11" t="s">
        <v>14</v>
      </c>
      <c r="B29" s="8">
        <f>SUM(B20:B28)</f>
        <v>97</v>
      </c>
      <c r="C29" s="9">
        <f>SUM(C20:C28)</f>
        <v>5663695</v>
      </c>
      <c r="D29" s="9">
        <f t="shared" ref="D29:E29" si="7">SUM(D20:D28)</f>
        <v>24681689.854984894</v>
      </c>
      <c r="E29" s="9">
        <f t="shared" si="7"/>
        <v>30345384.854984894</v>
      </c>
    </row>
    <row r="30" spans="1:5" s="1" customFormat="1" x14ac:dyDescent="0.3">
      <c r="A30" s="11" t="s">
        <v>27</v>
      </c>
      <c r="B30" s="8">
        <f>SUM(B17,B29)</f>
        <v>120</v>
      </c>
      <c r="C30" s="9">
        <f>SUM(C17,C29)</f>
        <v>7157846</v>
      </c>
      <c r="D30" s="9">
        <f t="shared" ref="D30:E30" si="8">SUM(D17,D29)</f>
        <v>30534049.30513595</v>
      </c>
      <c r="E30" s="9">
        <f t="shared" si="8"/>
        <v>37691895.30513595</v>
      </c>
    </row>
    <row r="31" spans="1:5" s="1" customFormat="1" x14ac:dyDescent="0.3">
      <c r="A31" s="11" t="s">
        <v>16</v>
      </c>
      <c r="B31" s="30">
        <f>SUM(B30)</f>
        <v>120</v>
      </c>
      <c r="C31" s="30">
        <f>SUM(C30)</f>
        <v>7157846</v>
      </c>
      <c r="D31" s="30">
        <f>SUM(D30)</f>
        <v>30534049.30513595</v>
      </c>
      <c r="E31" s="30">
        <f>SUM(E30)</f>
        <v>37691895.30513595</v>
      </c>
    </row>
  </sheetData>
  <mergeCells count="1">
    <mergeCell ref="F2:I2"/>
  </mergeCells>
  <pageMargins left="0.7" right="0.7" top="0.25" bottom="0.25" header="0.3" footer="0.3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CCB-B79F-410C-9664-98D36AD29071}">
  <sheetPr codeName="Sheet16">
    <tabColor rgb="FFFFC000"/>
    <pageSetUpPr fitToPage="1"/>
  </sheetPr>
  <dimension ref="A1:I26"/>
  <sheetViews>
    <sheetView zoomScale="70" zoomScaleNormal="70" workbookViewId="0">
      <selection activeCell="D18" sqref="D18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43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f>(4348601-C24)/B24</f>
        <v>203749.23529411765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44</v>
      </c>
      <c r="B7" s="5"/>
      <c r="C7" s="5"/>
      <c r="D7" s="5"/>
      <c r="E7" s="5"/>
    </row>
    <row r="8" spans="1:9" s="1" customFormat="1" x14ac:dyDescent="0.3">
      <c r="A8" s="5" t="s">
        <v>7</v>
      </c>
      <c r="B8" s="6">
        <v>0</v>
      </c>
      <c r="C8" s="7"/>
      <c r="D8" s="7">
        <f>B8*$A$5</f>
        <v>0</v>
      </c>
      <c r="E8" s="7">
        <f>SUM(C8:D8)</f>
        <v>0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5" t="s">
        <v>9</v>
      </c>
      <c r="B10" s="5"/>
      <c r="C10" s="5"/>
      <c r="D10" s="5"/>
      <c r="E10" s="5"/>
    </row>
    <row r="11" spans="1:9" s="1" customFormat="1" x14ac:dyDescent="0.3">
      <c r="A11" s="5" t="s">
        <v>10</v>
      </c>
      <c r="B11" s="6">
        <v>2</v>
      </c>
      <c r="C11" s="7">
        <v>113423</v>
      </c>
      <c r="D11" s="7">
        <f>B11*$A$5</f>
        <v>407498.4705882353</v>
      </c>
      <c r="E11" s="7">
        <f>SUM(C11:D11)</f>
        <v>520921.4705882353</v>
      </c>
    </row>
    <row r="12" spans="1:9" s="1" customFormat="1" x14ac:dyDescent="0.3">
      <c r="A12" s="5" t="s">
        <v>11</v>
      </c>
      <c r="B12" s="43">
        <v>3</v>
      </c>
      <c r="C12" s="7">
        <v>135854</v>
      </c>
      <c r="D12" s="7">
        <f t="shared" ref="D12" si="0">B12*$A$5</f>
        <v>611247.70588235301</v>
      </c>
      <c r="E12" s="7">
        <f t="shared" ref="E12" si="1">SUM(C12:D12)</f>
        <v>747101.70588235301</v>
      </c>
    </row>
    <row r="13" spans="1:9" s="1" customFormat="1" x14ac:dyDescent="0.3">
      <c r="A13" s="5"/>
      <c r="B13" s="5"/>
      <c r="C13" s="7"/>
      <c r="D13" s="7"/>
      <c r="E13" s="7"/>
    </row>
    <row r="14" spans="1:9" s="1" customFormat="1" x14ac:dyDescent="0.3">
      <c r="A14" s="11" t="s">
        <v>12</v>
      </c>
      <c r="B14" s="8">
        <f>SUM(B8:B13)</f>
        <v>5</v>
      </c>
      <c r="C14" s="9">
        <f>SUM(C8:C13)</f>
        <v>249277</v>
      </c>
      <c r="D14" s="9">
        <f t="shared" ref="D14:E14" si="2">SUM(D8:D13)</f>
        <v>1018746.1764705883</v>
      </c>
      <c r="E14" s="9">
        <f t="shared" si="2"/>
        <v>1268023.1764705884</v>
      </c>
    </row>
    <row r="15" spans="1:9" s="1" customFormat="1" x14ac:dyDescent="0.3">
      <c r="A15" s="5" t="s">
        <v>13</v>
      </c>
      <c r="B15" s="5"/>
      <c r="C15" s="5"/>
      <c r="D15" s="5"/>
      <c r="E15" s="5"/>
    </row>
    <row r="16" spans="1:9" s="1" customFormat="1" x14ac:dyDescent="0.3">
      <c r="A16" s="5" t="s">
        <v>8</v>
      </c>
      <c r="B16" s="5"/>
      <c r="C16" s="5"/>
      <c r="D16" s="5"/>
      <c r="E16" s="5"/>
    </row>
    <row r="17" spans="1:5" s="1" customFormat="1" x14ac:dyDescent="0.3">
      <c r="A17" s="5" t="s">
        <v>7</v>
      </c>
      <c r="B17" s="6">
        <v>6</v>
      </c>
      <c r="C17" s="7">
        <v>290412</v>
      </c>
      <c r="D17" s="7">
        <f>B17*$A$5</f>
        <v>1222495.411764706</v>
      </c>
      <c r="E17" s="7">
        <f>SUM(C17:D17)</f>
        <v>1512907.411764706</v>
      </c>
    </row>
    <row r="18" spans="1:5" s="1" customFormat="1" x14ac:dyDescent="0.3">
      <c r="A18" s="5"/>
      <c r="B18" s="5"/>
      <c r="C18" s="7"/>
      <c r="D18" s="7"/>
      <c r="E18" s="7"/>
    </row>
    <row r="19" spans="1:5" s="1" customFormat="1" x14ac:dyDescent="0.3">
      <c r="A19" s="5" t="s">
        <v>9</v>
      </c>
      <c r="B19" s="5"/>
      <c r="C19" s="5"/>
      <c r="D19" s="5"/>
      <c r="E19" s="5"/>
    </row>
    <row r="20" spans="1:5" s="1" customFormat="1" x14ac:dyDescent="0.3">
      <c r="A20" s="5" t="s">
        <v>10</v>
      </c>
      <c r="B20" s="6">
        <v>1</v>
      </c>
      <c r="C20" s="7">
        <v>80735</v>
      </c>
      <c r="D20" s="7">
        <f t="shared" ref="D20:D21" si="3">B20*$A$5</f>
        <v>203749.23529411765</v>
      </c>
      <c r="E20" s="7">
        <f t="shared" ref="E20:E21" si="4">SUM(C20:D20)</f>
        <v>284484.23529411765</v>
      </c>
    </row>
    <row r="21" spans="1:5" s="1" customFormat="1" x14ac:dyDescent="0.3">
      <c r="A21" s="5" t="s">
        <v>11</v>
      </c>
      <c r="B21" s="6">
        <v>5</v>
      </c>
      <c r="C21" s="7">
        <v>264440</v>
      </c>
      <c r="D21" s="7">
        <f t="shared" si="3"/>
        <v>1018746.1764705882</v>
      </c>
      <c r="E21" s="7">
        <f t="shared" si="4"/>
        <v>1283186.1764705882</v>
      </c>
    </row>
    <row r="22" spans="1:5" s="1" customFormat="1" x14ac:dyDescent="0.3">
      <c r="A22" s="5"/>
      <c r="B22" s="5"/>
      <c r="C22" s="7"/>
      <c r="D22" s="7"/>
      <c r="E22" s="7"/>
    </row>
    <row r="23" spans="1:5" s="1" customFormat="1" x14ac:dyDescent="0.3">
      <c r="A23" s="11" t="s">
        <v>14</v>
      </c>
      <c r="B23" s="8">
        <f>SUM(B17:B22)</f>
        <v>12</v>
      </c>
      <c r="C23" s="9">
        <f>SUM(C17:C22)</f>
        <v>635587</v>
      </c>
      <c r="D23" s="9">
        <f t="shared" ref="D23:E23" si="5">SUM(D17:D22)</f>
        <v>2444990.823529412</v>
      </c>
      <c r="E23" s="9">
        <f t="shared" si="5"/>
        <v>3080577.823529412</v>
      </c>
    </row>
    <row r="24" spans="1:5" s="1" customFormat="1" x14ac:dyDescent="0.3">
      <c r="A24" s="11" t="s">
        <v>16</v>
      </c>
      <c r="B24" s="8">
        <f>SUM(B14,B23)</f>
        <v>17</v>
      </c>
      <c r="C24" s="9">
        <f t="shared" ref="C24:E24" si="6">SUM(C14,C23)</f>
        <v>884864</v>
      </c>
      <c r="D24" s="9">
        <f t="shared" si="6"/>
        <v>3463737.0000000005</v>
      </c>
      <c r="E24" s="9">
        <f t="shared" si="6"/>
        <v>4348601</v>
      </c>
    </row>
    <row r="25" spans="1:5" x14ac:dyDescent="0.4">
      <c r="E25" s="29"/>
    </row>
    <row r="26" spans="1:5" x14ac:dyDescent="0.4">
      <c r="E26" s="17"/>
    </row>
  </sheetData>
  <mergeCells count="1">
    <mergeCell ref="F2:I2"/>
  </mergeCells>
  <pageMargins left="0.7" right="0.7" top="0.25" bottom="0.25" header="0.3" footer="0.3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C000"/>
    <pageSetUpPr fitToPage="1"/>
  </sheetPr>
  <dimension ref="A1:I42"/>
  <sheetViews>
    <sheetView zoomScale="70" zoomScaleNormal="70" workbookViewId="0">
      <selection activeCell="A5" sqref="A5"/>
    </sheetView>
  </sheetViews>
  <sheetFormatPr defaultColWidth="9.109375" defaultRowHeight="16.8" x14ac:dyDescent="0.4"/>
  <cols>
    <col min="1" max="1" width="33" style="10" bestFit="1" customWidth="1"/>
    <col min="2" max="2" width="13.6640625" style="10" customWidth="1"/>
    <col min="3" max="4" width="14.5546875" style="10" bestFit="1" customWidth="1"/>
    <col min="5" max="5" width="15" style="10" bestFit="1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35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v>254450.41087613293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11" t="s">
        <v>36</v>
      </c>
      <c r="B6" s="5"/>
      <c r="C6" s="5"/>
      <c r="D6" s="5"/>
      <c r="E6" s="5"/>
    </row>
    <row r="7" spans="1:9" s="1" customFormat="1" x14ac:dyDescent="0.3">
      <c r="A7" s="5" t="s">
        <v>5</v>
      </c>
      <c r="B7" s="5"/>
      <c r="C7" s="5"/>
      <c r="D7" s="5"/>
      <c r="E7" s="5"/>
    </row>
    <row r="8" spans="1:9" s="1" customFormat="1" x14ac:dyDescent="0.3">
      <c r="A8" s="5" t="s">
        <v>8</v>
      </c>
      <c r="B8" s="5"/>
      <c r="C8" s="5"/>
      <c r="D8" s="5"/>
      <c r="E8" s="5"/>
    </row>
    <row r="9" spans="1:9" s="1" customFormat="1" x14ac:dyDescent="0.3">
      <c r="A9" s="5" t="s">
        <v>7</v>
      </c>
      <c r="B9" s="6">
        <v>1</v>
      </c>
      <c r="C9" s="7">
        <v>120000</v>
      </c>
      <c r="D9" s="7">
        <f>B9*$A$5</f>
        <v>254450.41087613293</v>
      </c>
      <c r="E9" s="7">
        <f>SUM(C9:D9)</f>
        <v>374450.4108761329</v>
      </c>
    </row>
    <row r="10" spans="1:9" s="1" customFormat="1" x14ac:dyDescent="0.3">
      <c r="A10" s="5"/>
      <c r="B10" s="5"/>
      <c r="C10" s="7"/>
      <c r="D10" s="7"/>
      <c r="E10" s="7"/>
    </row>
    <row r="11" spans="1:9" s="1" customFormat="1" x14ac:dyDescent="0.3">
      <c r="A11" s="5" t="s">
        <v>5</v>
      </c>
      <c r="B11" s="5"/>
      <c r="C11" s="5"/>
      <c r="D11" s="5"/>
      <c r="E11" s="5"/>
    </row>
    <row r="12" spans="1:9" s="1" customFormat="1" x14ac:dyDescent="0.3">
      <c r="A12" s="5" t="s">
        <v>9</v>
      </c>
      <c r="B12" s="5"/>
      <c r="C12" s="5"/>
      <c r="D12" s="5"/>
      <c r="E12" s="5"/>
    </row>
    <row r="13" spans="1:9" s="1" customFormat="1" x14ac:dyDescent="0.3">
      <c r="A13" s="5" t="s">
        <v>10</v>
      </c>
      <c r="B13" s="37">
        <v>2</v>
      </c>
      <c r="C13" s="38">
        <v>121618</v>
      </c>
      <c r="D13" s="7">
        <f>B13*$A$5</f>
        <v>508900.82175226585</v>
      </c>
      <c r="E13" s="7">
        <f>SUM(C13:D13)</f>
        <v>630518.82175226579</v>
      </c>
    </row>
    <row r="14" spans="1:9" s="1" customFormat="1" x14ac:dyDescent="0.3">
      <c r="A14" s="5" t="s">
        <v>11</v>
      </c>
      <c r="B14" s="6">
        <v>7</v>
      </c>
      <c r="C14" s="7">
        <v>598451</v>
      </c>
      <c r="D14" s="7">
        <f>B14*$A$5</f>
        <v>1781152.8761329304</v>
      </c>
      <c r="E14" s="7">
        <f>SUM(C14:D14)</f>
        <v>2379603.8761329306</v>
      </c>
    </row>
    <row r="15" spans="1:9" s="1" customFormat="1" x14ac:dyDescent="0.3">
      <c r="A15" s="5"/>
      <c r="B15" s="5"/>
      <c r="C15" s="7"/>
      <c r="D15" s="7"/>
      <c r="E15" s="7"/>
    </row>
    <row r="16" spans="1:9" s="1" customFormat="1" x14ac:dyDescent="0.3">
      <c r="A16" s="11" t="s">
        <v>12</v>
      </c>
      <c r="B16" s="8">
        <f>SUM(B9:B15)</f>
        <v>10</v>
      </c>
      <c r="C16" s="9">
        <f>SUM(C9:C15)</f>
        <v>840069</v>
      </c>
      <c r="D16" s="9">
        <f>SUM(D9:D15)</f>
        <v>2544504.1087613292</v>
      </c>
      <c r="E16" s="9">
        <f>SUM(E9:E15)</f>
        <v>3384573.1087613292</v>
      </c>
    </row>
    <row r="17" spans="1:5" s="1" customFormat="1" x14ac:dyDescent="0.3">
      <c r="A17" s="5" t="s">
        <v>13</v>
      </c>
      <c r="B17" s="5"/>
      <c r="C17" s="5"/>
      <c r="D17" s="5"/>
      <c r="E17" s="5"/>
    </row>
    <row r="18" spans="1:5" s="1" customFormat="1" x14ac:dyDescent="0.3">
      <c r="A18" s="5" t="s">
        <v>8</v>
      </c>
      <c r="B18" s="6"/>
      <c r="C18" s="7"/>
      <c r="D18" s="7"/>
      <c r="E18" s="7"/>
    </row>
    <row r="19" spans="1:5" s="1" customFormat="1" x14ac:dyDescent="0.3">
      <c r="A19" s="5" t="s">
        <v>7</v>
      </c>
      <c r="B19" s="6">
        <v>3</v>
      </c>
      <c r="C19" s="7">
        <v>199079</v>
      </c>
      <c r="D19" s="7">
        <f t="shared" ref="D19" si="0">B19*$A$5</f>
        <v>763351.23262839881</v>
      </c>
      <c r="E19" s="7">
        <f t="shared" ref="E19" si="1">SUM(C19:D19)</f>
        <v>962430.23262839881</v>
      </c>
    </row>
    <row r="20" spans="1:5" s="1" customFormat="1" x14ac:dyDescent="0.3">
      <c r="A20" s="5"/>
      <c r="B20" s="5"/>
      <c r="C20" s="7"/>
      <c r="D20" s="7"/>
      <c r="E20" s="7"/>
    </row>
    <row r="21" spans="1:5" s="1" customFormat="1" x14ac:dyDescent="0.3">
      <c r="A21" s="5" t="s">
        <v>9</v>
      </c>
      <c r="B21" s="5"/>
      <c r="C21" s="5"/>
      <c r="D21" s="5"/>
      <c r="E21" s="5"/>
    </row>
    <row r="22" spans="1:5" s="1" customFormat="1" x14ac:dyDescent="0.3">
      <c r="A22" s="5" t="s">
        <v>10</v>
      </c>
      <c r="B22" s="6">
        <v>1</v>
      </c>
      <c r="C22" s="7">
        <v>92022</v>
      </c>
      <c r="D22" s="7">
        <f>B22*$A$5</f>
        <v>254450.41087613293</v>
      </c>
      <c r="E22" s="7">
        <f t="shared" ref="E22:E23" si="2">SUM(C22:D22)</f>
        <v>346472.4108761329</v>
      </c>
    </row>
    <row r="23" spans="1:5" s="1" customFormat="1" x14ac:dyDescent="0.3">
      <c r="A23" s="5" t="s">
        <v>11</v>
      </c>
      <c r="B23" s="6">
        <v>23</v>
      </c>
      <c r="C23" s="7">
        <v>1895348</v>
      </c>
      <c r="D23" s="7">
        <f t="shared" ref="D23" si="3">B23*$A$5</f>
        <v>5852359.450151057</v>
      </c>
      <c r="E23" s="7">
        <f t="shared" si="2"/>
        <v>7747707.450151057</v>
      </c>
    </row>
    <row r="24" spans="1:5" s="1" customFormat="1" x14ac:dyDescent="0.3">
      <c r="A24" s="5"/>
      <c r="B24" s="6"/>
      <c r="C24" s="7"/>
      <c r="D24" s="7"/>
      <c r="E24" s="7"/>
    </row>
    <row r="25" spans="1:5" s="1" customFormat="1" x14ac:dyDescent="0.3">
      <c r="A25" s="11" t="s">
        <v>14</v>
      </c>
      <c r="B25" s="8">
        <f>SUM(B19:B24)</f>
        <v>27</v>
      </c>
      <c r="C25" s="9">
        <f>SUM(C19:C24)</f>
        <v>2186449</v>
      </c>
      <c r="D25" s="9">
        <f>SUM(D19:D24)</f>
        <v>6870161.093655589</v>
      </c>
      <c r="E25" s="9">
        <f>SUM(E19:E24)</f>
        <v>9056610.0936555881</v>
      </c>
    </row>
    <row r="26" spans="1:5" s="1" customFormat="1" x14ac:dyDescent="0.3">
      <c r="A26" s="11" t="s">
        <v>37</v>
      </c>
      <c r="B26" s="8">
        <f>SUM(B16,B25)</f>
        <v>37</v>
      </c>
      <c r="C26" s="9">
        <f>SUM(C16,C25)</f>
        <v>3026518</v>
      </c>
      <c r="D26" s="9">
        <f>SUM(D16,D25)</f>
        <v>9414665.2024169192</v>
      </c>
      <c r="E26" s="9">
        <f>SUM(E16,E25)</f>
        <v>12441183.202416917</v>
      </c>
    </row>
    <row r="27" spans="1:5" s="1" customFormat="1" x14ac:dyDescent="0.3">
      <c r="A27" s="5"/>
      <c r="B27" s="5"/>
      <c r="C27" s="5"/>
      <c r="D27" s="5"/>
      <c r="E27" s="5"/>
    </row>
    <row r="28" spans="1:5" s="1" customFormat="1" x14ac:dyDescent="0.3">
      <c r="A28" s="11" t="s">
        <v>38</v>
      </c>
      <c r="B28" s="5"/>
      <c r="C28" s="5"/>
      <c r="D28" s="5"/>
      <c r="E28" s="5"/>
    </row>
    <row r="29" spans="1:5" s="1" customFormat="1" x14ac:dyDescent="0.3">
      <c r="A29" s="5" t="s">
        <v>5</v>
      </c>
      <c r="B29" s="5"/>
      <c r="C29" s="5"/>
      <c r="D29" s="5"/>
      <c r="E29" s="5"/>
    </row>
    <row r="30" spans="1:5" s="1" customFormat="1" x14ac:dyDescent="0.3">
      <c r="A30" s="5" t="s">
        <v>8</v>
      </c>
      <c r="B30" s="5"/>
      <c r="C30" s="5"/>
      <c r="D30" s="5"/>
      <c r="E30" s="5"/>
    </row>
    <row r="31" spans="1:5" s="1" customFormat="1" x14ac:dyDescent="0.3">
      <c r="A31" s="5" t="s">
        <v>7</v>
      </c>
      <c r="B31" s="5"/>
      <c r="C31" s="27"/>
      <c r="D31" s="27">
        <f>B31*$A$5</f>
        <v>0</v>
      </c>
      <c r="E31" s="27">
        <f t="shared" ref="E31" si="4">SUM(C31:D31)</f>
        <v>0</v>
      </c>
    </row>
    <row r="32" spans="1:5" s="1" customFormat="1" x14ac:dyDescent="0.3">
      <c r="A32" s="5"/>
      <c r="B32" s="5"/>
      <c r="C32" s="5"/>
      <c r="D32" s="5"/>
      <c r="E32" s="5"/>
    </row>
    <row r="33" spans="1:5" s="1" customFormat="1" x14ac:dyDescent="0.3">
      <c r="A33" s="5" t="s">
        <v>9</v>
      </c>
      <c r="B33" s="5"/>
      <c r="C33" s="5"/>
      <c r="D33" s="5"/>
      <c r="E33" s="5"/>
    </row>
    <row r="34" spans="1:5" s="1" customFormat="1" x14ac:dyDescent="0.3">
      <c r="A34" s="5" t="s">
        <v>10</v>
      </c>
      <c r="B34" s="6">
        <v>1</v>
      </c>
      <c r="C34" s="7">
        <v>52154</v>
      </c>
      <c r="D34" s="7">
        <f t="shared" ref="D34" si="5">B34*$A$5</f>
        <v>254450.41087613293</v>
      </c>
      <c r="E34" s="7">
        <f t="shared" ref="E34" si="6">SUM(C34:D34)</f>
        <v>306604.4108761329</v>
      </c>
    </row>
    <row r="35" spans="1:5" s="1" customFormat="1" x14ac:dyDescent="0.3">
      <c r="A35" s="5"/>
      <c r="B35" s="6"/>
      <c r="C35" s="7"/>
      <c r="D35" s="7"/>
      <c r="E35" s="7"/>
    </row>
    <row r="36" spans="1:5" s="1" customFormat="1" x14ac:dyDescent="0.3">
      <c r="A36" s="5" t="s">
        <v>13</v>
      </c>
      <c r="B36" s="6"/>
      <c r="C36" s="7"/>
      <c r="D36" s="7"/>
      <c r="E36" s="7"/>
    </row>
    <row r="37" spans="1:5" s="1" customFormat="1" x14ac:dyDescent="0.3">
      <c r="A37" s="5" t="s">
        <v>8</v>
      </c>
      <c r="B37" s="6"/>
      <c r="C37" s="7"/>
      <c r="D37" s="7"/>
      <c r="E37" s="7"/>
    </row>
    <row r="38" spans="1:5" s="1" customFormat="1" x14ac:dyDescent="0.3">
      <c r="A38" s="5" t="s">
        <v>7</v>
      </c>
      <c r="B38" s="6"/>
      <c r="C38" s="7"/>
      <c r="D38" s="7">
        <f t="shared" ref="D38" si="7">B38*$A$5</f>
        <v>0</v>
      </c>
      <c r="E38" s="7">
        <f t="shared" ref="E38" si="8">SUM(C38:D38)</f>
        <v>0</v>
      </c>
    </row>
    <row r="39" spans="1:5" s="1" customFormat="1" x14ac:dyDescent="0.3">
      <c r="A39" s="5"/>
      <c r="B39" s="5"/>
      <c r="C39" s="7"/>
      <c r="D39" s="7"/>
      <c r="E39" s="7"/>
    </row>
    <row r="40" spans="1:5" s="1" customFormat="1" x14ac:dyDescent="0.3">
      <c r="A40" s="11" t="s">
        <v>12</v>
      </c>
      <c r="B40" s="8">
        <f>SUM(B30:B39)</f>
        <v>1</v>
      </c>
      <c r="C40" s="9">
        <f>SUM(C31:C39)</f>
        <v>52154</v>
      </c>
      <c r="D40" s="9">
        <f>SUM(D30:D39)</f>
        <v>254450.41087613293</v>
      </c>
      <c r="E40" s="9">
        <f>SUM(E30:E39)</f>
        <v>306604.4108761329</v>
      </c>
    </row>
    <row r="41" spans="1:5" s="1" customFormat="1" x14ac:dyDescent="0.3">
      <c r="A41" s="11" t="s">
        <v>39</v>
      </c>
      <c r="B41" s="8">
        <f>SUM(B40)</f>
        <v>1</v>
      </c>
      <c r="C41" s="9">
        <f>SUM(C40)</f>
        <v>52154</v>
      </c>
      <c r="D41" s="9">
        <f t="shared" ref="D41:E41" si="9">SUM(D40)</f>
        <v>254450.41087613293</v>
      </c>
      <c r="E41" s="9">
        <f t="shared" si="9"/>
        <v>306604.4108761329</v>
      </c>
    </row>
    <row r="42" spans="1:5" s="1" customFormat="1" x14ac:dyDescent="0.3">
      <c r="A42" s="11" t="s">
        <v>16</v>
      </c>
      <c r="B42" s="14">
        <f>SUM(B26,B41)</f>
        <v>38</v>
      </c>
      <c r="C42" s="14">
        <f>SUM(C26,C41)</f>
        <v>3078672</v>
      </c>
      <c r="D42" s="14">
        <f>SUM(D26,D41)</f>
        <v>9669115.6132930517</v>
      </c>
      <c r="E42" s="14">
        <f>SUM(E26,E41)</f>
        <v>12747787.61329305</v>
      </c>
    </row>
  </sheetData>
  <mergeCells count="1">
    <mergeCell ref="F2:I2"/>
  </mergeCells>
  <pageMargins left="0.7" right="0.7" top="0.25" bottom="0.25" header="0.3" footer="0.3"/>
  <pageSetup paperSize="9" scale="97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C000"/>
  </sheetPr>
  <dimension ref="A1:K31"/>
  <sheetViews>
    <sheetView zoomScale="70" zoomScaleNormal="70" workbookViewId="0">
      <selection activeCell="A5" sqref="A5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25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v>254450.41087613293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37">
        <v>5</v>
      </c>
      <c r="C8" s="38">
        <v>271704</v>
      </c>
      <c r="D8" s="7">
        <f>B8*$A$5</f>
        <v>1272252.0543806646</v>
      </c>
      <c r="E8" s="7">
        <f>SUM(C8:D8)</f>
        <v>1543956.0543806646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5" t="s">
        <v>8</v>
      </c>
      <c r="B10" s="5"/>
      <c r="C10" s="5"/>
      <c r="D10" s="5"/>
      <c r="E10" s="5"/>
    </row>
    <row r="11" spans="1:9" s="1" customFormat="1" x14ac:dyDescent="0.3">
      <c r="A11" s="5" t="s">
        <v>7</v>
      </c>
      <c r="B11" s="37">
        <v>9</v>
      </c>
      <c r="C11" s="38">
        <v>600209</v>
      </c>
      <c r="D11" s="7">
        <f>B11*$A$5</f>
        <v>2290053.6978851962</v>
      </c>
      <c r="E11" s="7">
        <f>SUM(C11:D11)</f>
        <v>2890262.6978851962</v>
      </c>
    </row>
    <row r="12" spans="1:9" s="1" customFormat="1" x14ac:dyDescent="0.3">
      <c r="A12" s="5"/>
      <c r="B12" s="5"/>
      <c r="C12" s="7"/>
      <c r="D12" s="7"/>
      <c r="E12" s="7"/>
    </row>
    <row r="13" spans="1:9" s="1" customFormat="1" x14ac:dyDescent="0.3">
      <c r="A13" s="5" t="s">
        <v>9</v>
      </c>
      <c r="B13" s="5"/>
      <c r="C13" s="5"/>
      <c r="D13" s="5"/>
      <c r="E13" s="5"/>
    </row>
    <row r="14" spans="1:9" s="1" customFormat="1" x14ac:dyDescent="0.3">
      <c r="A14" s="5" t="s">
        <v>10</v>
      </c>
      <c r="B14" s="6"/>
      <c r="C14" s="7"/>
      <c r="D14" s="7">
        <f t="shared" ref="D14:D15" si="0">B14*$A$5</f>
        <v>0</v>
      </c>
      <c r="E14" s="7">
        <f t="shared" ref="E14:E15" si="1">SUM(C14:D14)</f>
        <v>0</v>
      </c>
    </row>
    <row r="15" spans="1:9" s="1" customFormat="1" x14ac:dyDescent="0.3">
      <c r="A15" s="5" t="s">
        <v>11</v>
      </c>
      <c r="B15" s="6">
        <v>2</v>
      </c>
      <c r="C15" s="7">
        <v>105776</v>
      </c>
      <c r="D15" s="7">
        <f t="shared" si="0"/>
        <v>508900.82175226585</v>
      </c>
      <c r="E15" s="7">
        <f t="shared" si="1"/>
        <v>614676.82175226579</v>
      </c>
    </row>
    <row r="16" spans="1:9" s="1" customFormat="1" x14ac:dyDescent="0.3">
      <c r="A16" s="5"/>
      <c r="B16" s="5"/>
      <c r="C16" s="7"/>
      <c r="D16" s="7"/>
      <c r="E16" s="7"/>
    </row>
    <row r="17" spans="1:11" s="1" customFormat="1" x14ac:dyDescent="0.3">
      <c r="A17" s="11" t="s">
        <v>12</v>
      </c>
      <c r="B17" s="8">
        <f>SUM(B8:B16)</f>
        <v>16</v>
      </c>
      <c r="C17" s="9">
        <f>SUM(C8:C16)</f>
        <v>977689</v>
      </c>
      <c r="D17" s="9">
        <f t="shared" ref="D17:E17" si="2">SUM(D8:D16)</f>
        <v>4071206.5740181268</v>
      </c>
      <c r="E17" s="9">
        <f t="shared" si="2"/>
        <v>5048895.5740181273</v>
      </c>
    </row>
    <row r="18" spans="1:11" s="1" customFormat="1" x14ac:dyDescent="0.3">
      <c r="A18" s="5" t="s">
        <v>13</v>
      </c>
      <c r="B18" s="5"/>
      <c r="C18" s="5"/>
      <c r="D18" s="5"/>
      <c r="E18" s="5"/>
    </row>
    <row r="19" spans="1:11" s="1" customFormat="1" x14ac:dyDescent="0.3">
      <c r="A19" s="5" t="s">
        <v>6</v>
      </c>
      <c r="B19" s="5"/>
      <c r="C19" s="5"/>
      <c r="D19" s="5"/>
      <c r="E19" s="5"/>
    </row>
    <row r="20" spans="1:11" s="1" customFormat="1" x14ac:dyDescent="0.3">
      <c r="A20" s="5" t="s">
        <v>7</v>
      </c>
      <c r="B20" s="6">
        <v>5</v>
      </c>
      <c r="C20" s="7">
        <v>271187</v>
      </c>
      <c r="D20" s="7">
        <f>B20*$A$5</f>
        <v>1272252.0543806646</v>
      </c>
      <c r="E20" s="7">
        <f>SUM(C20:D20)</f>
        <v>1543439.0543806646</v>
      </c>
    </row>
    <row r="21" spans="1:11" s="1" customFormat="1" x14ac:dyDescent="0.3">
      <c r="A21" s="5"/>
      <c r="B21" s="5"/>
      <c r="C21" s="7"/>
      <c r="D21" s="7"/>
      <c r="E21" s="7"/>
    </row>
    <row r="22" spans="1:11" s="1" customFormat="1" x14ac:dyDescent="0.3">
      <c r="A22" s="5" t="s">
        <v>8</v>
      </c>
      <c r="B22" s="5"/>
      <c r="C22" s="5"/>
      <c r="D22" s="5"/>
      <c r="E22" s="5"/>
    </row>
    <row r="23" spans="1:11" s="1" customFormat="1" x14ac:dyDescent="0.3">
      <c r="A23" s="5" t="s">
        <v>7</v>
      </c>
      <c r="B23" s="6">
        <v>12</v>
      </c>
      <c r="C23" s="38">
        <v>786182</v>
      </c>
      <c r="D23" s="7">
        <f>B23*$A$5</f>
        <v>3053404.9305135952</v>
      </c>
      <c r="E23" s="7">
        <f>SUM(C23:D23)</f>
        <v>3839586.9305135952</v>
      </c>
    </row>
    <row r="24" spans="1:11" s="1" customFormat="1" x14ac:dyDescent="0.3">
      <c r="A24" s="5"/>
      <c r="B24" s="5"/>
      <c r="C24" s="7"/>
      <c r="D24" s="7"/>
      <c r="E24" s="7"/>
    </row>
    <row r="25" spans="1:11" s="1" customFormat="1" x14ac:dyDescent="0.3">
      <c r="A25" s="5" t="s">
        <v>9</v>
      </c>
      <c r="B25" s="5"/>
      <c r="C25" s="5"/>
      <c r="D25" s="5"/>
      <c r="E25" s="5"/>
    </row>
    <row r="26" spans="1:11" s="1" customFormat="1" x14ac:dyDescent="0.3">
      <c r="A26" s="5" t="s">
        <v>10</v>
      </c>
      <c r="B26" s="6">
        <v>3</v>
      </c>
      <c r="C26" s="7">
        <v>215930</v>
      </c>
      <c r="D26" s="7">
        <f t="shared" ref="D26:D27" si="3">B26*$A$5</f>
        <v>763351.23262839881</v>
      </c>
      <c r="E26" s="7">
        <f t="shared" ref="E26:E27" si="4">SUM(C26:D26)</f>
        <v>979281.23262839881</v>
      </c>
      <c r="K26" s="16"/>
    </row>
    <row r="27" spans="1:11" s="1" customFormat="1" x14ac:dyDescent="0.3">
      <c r="A27" s="5" t="s">
        <v>11</v>
      </c>
      <c r="B27" s="6">
        <v>1</v>
      </c>
      <c r="C27" s="7">
        <v>97819</v>
      </c>
      <c r="D27" s="7">
        <f t="shared" si="3"/>
        <v>254450.41087613293</v>
      </c>
      <c r="E27" s="7">
        <f t="shared" si="4"/>
        <v>352269.4108761329</v>
      </c>
    </row>
    <row r="28" spans="1:11" s="1" customFormat="1" x14ac:dyDescent="0.3">
      <c r="A28" s="5"/>
      <c r="B28" s="5"/>
      <c r="C28" s="7"/>
      <c r="D28" s="7"/>
      <c r="E28" s="7"/>
    </row>
    <row r="29" spans="1:11" s="1" customFormat="1" x14ac:dyDescent="0.3">
      <c r="A29" s="11" t="s">
        <v>14</v>
      </c>
      <c r="B29" s="8">
        <f>SUM(B20:B28)</f>
        <v>21</v>
      </c>
      <c r="C29" s="9">
        <f>SUM(C20:C28)</f>
        <v>1371118</v>
      </c>
      <c r="D29" s="9">
        <f t="shared" ref="D29:E29" si="5">SUM(D20:D28)</f>
        <v>5343458.628398791</v>
      </c>
      <c r="E29" s="9">
        <f t="shared" si="5"/>
        <v>6714576.628398791</v>
      </c>
    </row>
    <row r="30" spans="1:11" s="1" customFormat="1" x14ac:dyDescent="0.3">
      <c r="A30" s="11" t="s">
        <v>15</v>
      </c>
      <c r="B30" s="8">
        <f>SUM(B17,B29)</f>
        <v>37</v>
      </c>
      <c r="C30" s="9">
        <f>SUM(C17,C29)</f>
        <v>2348807</v>
      </c>
      <c r="D30" s="9">
        <f t="shared" ref="D30:E30" si="6">SUM(D17,D29)</f>
        <v>9414665.2024169173</v>
      </c>
      <c r="E30" s="9">
        <f t="shared" si="6"/>
        <v>11763472.202416919</v>
      </c>
    </row>
    <row r="31" spans="1:11" s="1" customFormat="1" x14ac:dyDescent="0.3">
      <c r="A31" s="11" t="s">
        <v>16</v>
      </c>
      <c r="B31" s="8">
        <f>SUM(B30)</f>
        <v>37</v>
      </c>
      <c r="C31" s="9">
        <f>SUM(C30)</f>
        <v>2348807</v>
      </c>
      <c r="D31" s="9">
        <f t="shared" ref="D31:E31" si="7">SUM(D30)</f>
        <v>9414665.2024169173</v>
      </c>
      <c r="E31" s="9">
        <f t="shared" si="7"/>
        <v>11763472.202416919</v>
      </c>
    </row>
  </sheetData>
  <mergeCells count="1">
    <mergeCell ref="F2:I2"/>
  </mergeCells>
  <pageMargins left="0.7" right="0.7" top="0.2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C000"/>
    <pageSetUpPr fitToPage="1"/>
  </sheetPr>
  <dimension ref="A1:I31"/>
  <sheetViews>
    <sheetView zoomScale="70" zoomScaleNormal="70" workbookViewId="0">
      <selection activeCell="A5" sqref="A5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30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v>254450.41087613293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24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6">
        <v>4</v>
      </c>
      <c r="C8" s="7">
        <v>237556</v>
      </c>
      <c r="D8" s="7">
        <f>B8*$A$5</f>
        <v>1017801.6435045317</v>
      </c>
      <c r="E8" s="7">
        <f>SUM(C8:D8)</f>
        <v>1255357.6435045316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5" t="s">
        <v>8</v>
      </c>
      <c r="B10" s="5"/>
      <c r="C10" s="5"/>
      <c r="D10" s="5"/>
      <c r="E10" s="5"/>
    </row>
    <row r="11" spans="1:9" s="1" customFormat="1" x14ac:dyDescent="0.3">
      <c r="A11" s="5" t="s">
        <v>7</v>
      </c>
      <c r="B11" s="37">
        <v>3</v>
      </c>
      <c r="C11" s="38">
        <v>199179</v>
      </c>
      <c r="D11" s="7">
        <f>B11*$A$5</f>
        <v>763351.23262839881</v>
      </c>
      <c r="E11" s="7">
        <f>SUM(C11:D11)</f>
        <v>962530.23262839881</v>
      </c>
    </row>
    <row r="12" spans="1:9" s="1" customFormat="1" x14ac:dyDescent="0.3">
      <c r="A12" s="5"/>
      <c r="B12" s="5"/>
      <c r="C12" s="7"/>
      <c r="D12" s="7"/>
      <c r="E12" s="7"/>
    </row>
    <row r="13" spans="1:9" s="1" customFormat="1" x14ac:dyDescent="0.3">
      <c r="A13" s="5" t="s">
        <v>9</v>
      </c>
      <c r="B13" s="5"/>
      <c r="C13" s="5"/>
      <c r="D13" s="5"/>
      <c r="E13" s="5"/>
    </row>
    <row r="14" spans="1:9" s="1" customFormat="1" x14ac:dyDescent="0.3">
      <c r="A14" s="5" t="s">
        <v>10</v>
      </c>
      <c r="B14" s="6">
        <v>1</v>
      </c>
      <c r="C14" s="7">
        <v>120000</v>
      </c>
      <c r="D14" s="7">
        <f>B14*$A$5</f>
        <v>254450.41087613293</v>
      </c>
      <c r="E14" s="7">
        <f>SUM(C14:D14)</f>
        <v>374450.4108761329</v>
      </c>
    </row>
    <row r="15" spans="1:9" s="1" customFormat="1" x14ac:dyDescent="0.3">
      <c r="A15" s="5" t="s">
        <v>11</v>
      </c>
      <c r="B15" s="6">
        <v>3</v>
      </c>
      <c r="C15" s="7">
        <v>180168</v>
      </c>
      <c r="D15" s="7">
        <f>B15*$A$5</f>
        <v>763351.23262839881</v>
      </c>
      <c r="E15" s="7">
        <f>SUM(C15:D15)</f>
        <v>943519.23262839881</v>
      </c>
    </row>
    <row r="16" spans="1:9" s="1" customFormat="1" x14ac:dyDescent="0.3">
      <c r="A16" s="5"/>
      <c r="B16" s="5"/>
      <c r="C16" s="7"/>
      <c r="D16" s="7"/>
      <c r="E16" s="7"/>
    </row>
    <row r="17" spans="1:5" s="1" customFormat="1" x14ac:dyDescent="0.3">
      <c r="A17" s="11" t="s">
        <v>12</v>
      </c>
      <c r="B17" s="8">
        <f>SUM(B8:B16)</f>
        <v>11</v>
      </c>
      <c r="C17" s="9">
        <f>SUM(C8:C16)</f>
        <v>736903</v>
      </c>
      <c r="D17" s="9">
        <f t="shared" ref="D17:E17" si="0">SUM(D8:D16)</f>
        <v>2798954.5196374627</v>
      </c>
      <c r="E17" s="9">
        <f t="shared" si="0"/>
        <v>3535857.5196374627</v>
      </c>
    </row>
    <row r="18" spans="1:5" s="1" customFormat="1" x14ac:dyDescent="0.3">
      <c r="A18" s="5" t="s">
        <v>13</v>
      </c>
      <c r="B18" s="5"/>
      <c r="C18" s="5"/>
      <c r="D18" s="5"/>
      <c r="E18" s="5"/>
    </row>
    <row r="19" spans="1:5" s="1" customFormat="1" x14ac:dyDescent="0.3">
      <c r="A19" s="5" t="s">
        <v>6</v>
      </c>
      <c r="B19" s="5"/>
      <c r="C19" s="5"/>
      <c r="D19" s="5"/>
      <c r="E19" s="5"/>
    </row>
    <row r="20" spans="1:5" s="1" customFormat="1" x14ac:dyDescent="0.3">
      <c r="A20" s="5" t="s">
        <v>7</v>
      </c>
      <c r="B20" s="6">
        <v>7</v>
      </c>
      <c r="C20" s="7">
        <v>417723</v>
      </c>
      <c r="D20" s="7">
        <f>B20*$A$5</f>
        <v>1781152.8761329304</v>
      </c>
      <c r="E20" s="7">
        <f>SUM(C20:D20)</f>
        <v>2198875.8761329306</v>
      </c>
    </row>
    <row r="21" spans="1:5" s="1" customFormat="1" x14ac:dyDescent="0.3">
      <c r="A21" s="5"/>
      <c r="B21" s="5"/>
      <c r="C21" s="7"/>
      <c r="D21" s="7"/>
      <c r="E21" s="7"/>
    </row>
    <row r="22" spans="1:5" s="1" customFormat="1" x14ac:dyDescent="0.3">
      <c r="A22" s="5" t="s">
        <v>8</v>
      </c>
      <c r="B22" s="5"/>
      <c r="C22" s="5"/>
      <c r="D22" s="5"/>
      <c r="E22" s="5"/>
    </row>
    <row r="23" spans="1:5" s="1" customFormat="1" x14ac:dyDescent="0.3">
      <c r="A23" s="5" t="s">
        <v>7</v>
      </c>
      <c r="B23" s="6">
        <v>13</v>
      </c>
      <c r="C23" s="7">
        <v>939110</v>
      </c>
      <c r="D23" s="7">
        <f>B23*$A$5</f>
        <v>3307855.3413897282</v>
      </c>
      <c r="E23" s="7">
        <f>SUM(C23:D23)</f>
        <v>4246965.3413897287</v>
      </c>
    </row>
    <row r="24" spans="1:5" s="1" customFormat="1" x14ac:dyDescent="0.3">
      <c r="A24" s="5"/>
      <c r="B24" s="5"/>
      <c r="C24" s="7"/>
      <c r="D24" s="7"/>
      <c r="E24" s="7"/>
    </row>
    <row r="25" spans="1:5" s="1" customFormat="1" x14ac:dyDescent="0.3">
      <c r="A25" s="5" t="s">
        <v>9</v>
      </c>
      <c r="B25" s="5"/>
      <c r="C25" s="5"/>
      <c r="D25" s="5"/>
      <c r="E25" s="5"/>
    </row>
    <row r="26" spans="1:5" s="1" customFormat="1" x14ac:dyDescent="0.3">
      <c r="A26" s="5" t="s">
        <v>10</v>
      </c>
      <c r="B26" s="6">
        <v>2</v>
      </c>
      <c r="C26" s="7">
        <v>158770</v>
      </c>
      <c r="D26" s="7">
        <f t="shared" ref="D26" si="1">B26*$A$5</f>
        <v>508900.82175226585</v>
      </c>
      <c r="E26" s="7">
        <f t="shared" ref="E26" si="2">SUM(C26:D26)</f>
        <v>667670.82175226579</v>
      </c>
    </row>
    <row r="27" spans="1:5" s="1" customFormat="1" x14ac:dyDescent="0.3">
      <c r="A27" s="5" t="s">
        <v>11</v>
      </c>
      <c r="B27" s="6">
        <v>2</v>
      </c>
      <c r="C27" s="7">
        <v>126278</v>
      </c>
      <c r="D27" s="7">
        <f t="shared" ref="D27" si="3">B27*$A$5</f>
        <v>508900.82175226585</v>
      </c>
      <c r="E27" s="7">
        <f t="shared" ref="E27" si="4">SUM(C27:D27)</f>
        <v>635178.82175226579</v>
      </c>
    </row>
    <row r="28" spans="1:5" s="1" customFormat="1" x14ac:dyDescent="0.3">
      <c r="A28" s="5"/>
      <c r="B28" s="5"/>
      <c r="C28" s="7"/>
      <c r="D28" s="7"/>
      <c r="E28" s="7"/>
    </row>
    <row r="29" spans="1:5" s="1" customFormat="1" x14ac:dyDescent="0.3">
      <c r="A29" s="11" t="s">
        <v>14</v>
      </c>
      <c r="B29" s="8">
        <f>SUM(B20:B28)</f>
        <v>24</v>
      </c>
      <c r="C29" s="9">
        <f>SUM(C20:C28)</f>
        <v>1641881</v>
      </c>
      <c r="D29" s="9">
        <f>SUM(D20:D28)</f>
        <v>6106809.8610271905</v>
      </c>
      <c r="E29" s="9">
        <f>SUM(E20:E28)</f>
        <v>7748690.8610271914</v>
      </c>
    </row>
    <row r="30" spans="1:5" s="1" customFormat="1" x14ac:dyDescent="0.3">
      <c r="A30" s="11" t="s">
        <v>15</v>
      </c>
      <c r="B30" s="8">
        <f>SUM(B17,B29)</f>
        <v>35</v>
      </c>
      <c r="C30" s="9">
        <f>SUM(C17,C29)</f>
        <v>2378784</v>
      </c>
      <c r="D30" s="9">
        <f>SUM(D17,D29)</f>
        <v>8905764.3806646541</v>
      </c>
      <c r="E30" s="9">
        <f>SUM(E17,E29)</f>
        <v>11284548.380664654</v>
      </c>
    </row>
    <row r="31" spans="1:5" s="1" customFormat="1" x14ac:dyDescent="0.3">
      <c r="A31" s="11" t="s">
        <v>16</v>
      </c>
      <c r="B31" s="8">
        <f>SUM(B30)</f>
        <v>35</v>
      </c>
      <c r="C31" s="9">
        <f>SUM(C30)</f>
        <v>2378784</v>
      </c>
      <c r="D31" s="9">
        <f t="shared" ref="D31:E31" si="5">SUM(D30)</f>
        <v>8905764.3806646541</v>
      </c>
      <c r="E31" s="9">
        <f t="shared" si="5"/>
        <v>11284548.380664654</v>
      </c>
    </row>
  </sheetData>
  <mergeCells count="1">
    <mergeCell ref="F2:I2"/>
  </mergeCells>
  <pageMargins left="0.7" right="0.7" top="0.2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FFC000"/>
  </sheetPr>
  <dimension ref="A1:I32"/>
  <sheetViews>
    <sheetView zoomScale="70" zoomScaleNormal="70" workbookViewId="0">
      <selection activeCell="A5" sqref="A5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31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v>254450.41087613293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13"/>
      <c r="B6" s="4"/>
      <c r="C6" s="4"/>
      <c r="D6" s="4"/>
      <c r="E6" s="4"/>
    </row>
    <row r="7" spans="1:9" s="1" customFormat="1" x14ac:dyDescent="0.3">
      <c r="A7" s="5" t="s">
        <v>5</v>
      </c>
      <c r="B7" s="5"/>
      <c r="C7" s="5"/>
      <c r="D7" s="5"/>
      <c r="E7" s="5"/>
    </row>
    <row r="8" spans="1:9" s="1" customFormat="1" x14ac:dyDescent="0.3">
      <c r="A8" s="5" t="s">
        <v>6</v>
      </c>
      <c r="B8" s="5"/>
      <c r="C8" s="5"/>
      <c r="D8" s="5"/>
      <c r="E8" s="5"/>
    </row>
    <row r="9" spans="1:9" s="1" customFormat="1" x14ac:dyDescent="0.3">
      <c r="A9" s="5" t="s">
        <v>7</v>
      </c>
      <c r="B9" s="7">
        <v>4</v>
      </c>
      <c r="C9" s="7">
        <v>238236</v>
      </c>
      <c r="D9" s="7">
        <f>B9*$A$5</f>
        <v>1017801.6435045317</v>
      </c>
      <c r="E9" s="7">
        <f>SUM(C9:D9)</f>
        <v>1256037.6435045316</v>
      </c>
    </row>
    <row r="10" spans="1:9" s="1" customFormat="1" x14ac:dyDescent="0.3">
      <c r="A10" s="5"/>
      <c r="B10" s="5"/>
      <c r="C10" s="7"/>
      <c r="D10" s="7"/>
      <c r="E10" s="7"/>
    </row>
    <row r="11" spans="1:9" s="1" customFormat="1" x14ac:dyDescent="0.3">
      <c r="A11" s="5" t="s">
        <v>8</v>
      </c>
      <c r="B11" s="5"/>
      <c r="C11" s="5"/>
      <c r="D11" s="5"/>
      <c r="E11" s="5"/>
    </row>
    <row r="12" spans="1:9" s="1" customFormat="1" x14ac:dyDescent="0.3">
      <c r="A12" s="5" t="s">
        <v>7</v>
      </c>
      <c r="B12" s="7">
        <v>13</v>
      </c>
      <c r="C12" s="28">
        <v>841039</v>
      </c>
      <c r="D12" s="7">
        <f>B12*$A$5</f>
        <v>3307855.3413897282</v>
      </c>
      <c r="E12" s="7">
        <f>SUM(C12:D12)</f>
        <v>4148894.3413897282</v>
      </c>
    </row>
    <row r="13" spans="1:9" s="1" customFormat="1" x14ac:dyDescent="0.3">
      <c r="A13" s="5"/>
      <c r="B13" s="5"/>
      <c r="C13" s="7"/>
      <c r="D13" s="7"/>
      <c r="E13" s="7"/>
    </row>
    <row r="14" spans="1:9" s="1" customFormat="1" x14ac:dyDescent="0.3">
      <c r="A14" s="5" t="s">
        <v>9</v>
      </c>
      <c r="B14" s="5"/>
      <c r="C14" s="5"/>
      <c r="D14" s="5"/>
      <c r="E14" s="5"/>
    </row>
    <row r="15" spans="1:9" s="1" customFormat="1" x14ac:dyDescent="0.3">
      <c r="A15" s="5" t="s">
        <v>10</v>
      </c>
      <c r="B15" s="6">
        <v>4</v>
      </c>
      <c r="C15" s="7">
        <v>251577</v>
      </c>
      <c r="D15" s="7">
        <f>B15*$A$5</f>
        <v>1017801.6435045317</v>
      </c>
      <c r="E15" s="7">
        <f>SUM(C15:D15)</f>
        <v>1269378.6435045316</v>
      </c>
    </row>
    <row r="16" spans="1:9" s="1" customFormat="1" x14ac:dyDescent="0.3">
      <c r="A16" s="5" t="s">
        <v>11</v>
      </c>
      <c r="B16" s="6">
        <v>2</v>
      </c>
      <c r="C16" s="7">
        <v>121638</v>
      </c>
      <c r="D16" s="7">
        <f>B16*$A$5</f>
        <v>508900.82175226585</v>
      </c>
      <c r="E16" s="7">
        <f>SUM(C16:D16)</f>
        <v>630538.82175226579</v>
      </c>
    </row>
    <row r="17" spans="1:5" s="1" customFormat="1" x14ac:dyDescent="0.3">
      <c r="A17" s="5"/>
      <c r="B17" s="5"/>
      <c r="C17" s="7"/>
      <c r="D17" s="7"/>
      <c r="E17" s="7"/>
    </row>
    <row r="18" spans="1:5" s="1" customFormat="1" x14ac:dyDescent="0.3">
      <c r="A18" s="11" t="s">
        <v>12</v>
      </c>
      <c r="B18" s="8">
        <f>SUM(B6:B17)</f>
        <v>23</v>
      </c>
      <c r="C18" s="9">
        <f>SUM(C6:C17)</f>
        <v>1452490</v>
      </c>
      <c r="D18" s="9">
        <f>SUM(D6:D17)</f>
        <v>5852359.4501510579</v>
      </c>
      <c r="E18" s="9">
        <f>SUM(E6:E17)</f>
        <v>7304849.450151057</v>
      </c>
    </row>
    <row r="19" spans="1:5" s="1" customFormat="1" x14ac:dyDescent="0.3">
      <c r="A19" s="5" t="s">
        <v>13</v>
      </c>
      <c r="B19" s="5"/>
      <c r="C19" s="5"/>
      <c r="D19" s="5"/>
      <c r="E19" s="5"/>
    </row>
    <row r="20" spans="1:5" s="1" customFormat="1" x14ac:dyDescent="0.3">
      <c r="A20" s="5" t="s">
        <v>6</v>
      </c>
      <c r="B20" s="5"/>
      <c r="C20" s="5"/>
      <c r="D20" s="5"/>
      <c r="E20" s="5"/>
    </row>
    <row r="21" spans="1:5" s="1" customFormat="1" x14ac:dyDescent="0.3">
      <c r="A21" s="5" t="s">
        <v>7</v>
      </c>
      <c r="B21" s="6">
        <v>3</v>
      </c>
      <c r="C21" s="7">
        <v>176359</v>
      </c>
      <c r="D21" s="7">
        <f>B21*$A$5</f>
        <v>763351.23262839881</v>
      </c>
      <c r="E21" s="7">
        <f>SUM(C21:D21)</f>
        <v>939710.23262839881</v>
      </c>
    </row>
    <row r="22" spans="1:5" s="1" customFormat="1" x14ac:dyDescent="0.3">
      <c r="A22" s="5"/>
      <c r="B22" s="5"/>
      <c r="C22" s="7"/>
      <c r="D22" s="7"/>
      <c r="E22" s="7"/>
    </row>
    <row r="23" spans="1:5" s="1" customFormat="1" x14ac:dyDescent="0.3">
      <c r="A23" s="5" t="s">
        <v>8</v>
      </c>
      <c r="B23" s="5"/>
      <c r="C23" s="5"/>
      <c r="D23" s="5"/>
      <c r="E23" s="5" t="s">
        <v>45</v>
      </c>
    </row>
    <row r="24" spans="1:5" s="1" customFormat="1" x14ac:dyDescent="0.3">
      <c r="A24" s="5" t="s">
        <v>7</v>
      </c>
      <c r="B24" s="6">
        <v>12</v>
      </c>
      <c r="C24" s="7">
        <v>803430</v>
      </c>
      <c r="D24" s="7">
        <f>B24*$A$5</f>
        <v>3053404.9305135952</v>
      </c>
      <c r="E24" s="7">
        <f>SUM(C24:D24)</f>
        <v>3856834.9305135952</v>
      </c>
    </row>
    <row r="25" spans="1:5" s="1" customFormat="1" x14ac:dyDescent="0.3">
      <c r="A25" s="5"/>
      <c r="B25" s="5"/>
      <c r="C25" s="7"/>
      <c r="D25" s="7"/>
      <c r="E25" s="7"/>
    </row>
    <row r="26" spans="1:5" s="1" customFormat="1" x14ac:dyDescent="0.3">
      <c r="A26" s="5" t="s">
        <v>9</v>
      </c>
      <c r="B26" s="5"/>
      <c r="C26" s="5"/>
      <c r="D26" s="5"/>
      <c r="E26" s="5"/>
    </row>
    <row r="27" spans="1:5" s="1" customFormat="1" x14ac:dyDescent="0.3">
      <c r="A27" s="5" t="s">
        <v>10</v>
      </c>
      <c r="B27" s="6">
        <v>3</v>
      </c>
      <c r="C27" s="7">
        <v>186979</v>
      </c>
      <c r="D27" s="7">
        <f t="shared" ref="D27:D28" si="0">B27*$A$5</f>
        <v>763351.23262839881</v>
      </c>
      <c r="E27" s="7">
        <f t="shared" ref="E27:E28" si="1">SUM(C27:D27)</f>
        <v>950330.23262839881</v>
      </c>
    </row>
    <row r="28" spans="1:5" s="1" customFormat="1" x14ac:dyDescent="0.3">
      <c r="A28" s="5" t="s">
        <v>11</v>
      </c>
      <c r="B28" s="6">
        <v>2</v>
      </c>
      <c r="C28" s="7">
        <v>157672</v>
      </c>
      <c r="D28" s="7">
        <f t="shared" si="0"/>
        <v>508900.82175226585</v>
      </c>
      <c r="E28" s="7">
        <f t="shared" si="1"/>
        <v>666572.82175226579</v>
      </c>
    </row>
    <row r="29" spans="1:5" s="1" customFormat="1" x14ac:dyDescent="0.3">
      <c r="A29" s="5"/>
      <c r="B29" s="5"/>
      <c r="C29" s="7"/>
      <c r="D29" s="7"/>
      <c r="E29" s="7"/>
    </row>
    <row r="30" spans="1:5" s="1" customFormat="1" x14ac:dyDescent="0.3">
      <c r="A30" s="11" t="s">
        <v>14</v>
      </c>
      <c r="B30" s="8">
        <f>SUM(B21:B29)</f>
        <v>20</v>
      </c>
      <c r="C30" s="9">
        <f>SUM(C21:C29)</f>
        <v>1324440</v>
      </c>
      <c r="D30" s="9">
        <f>SUM(D21:D29)</f>
        <v>5089008.2175226584</v>
      </c>
      <c r="E30" s="9">
        <f>SUM(E21:E29)</f>
        <v>6413448.2175226584</v>
      </c>
    </row>
    <row r="31" spans="1:5" s="1" customFormat="1" x14ac:dyDescent="0.3">
      <c r="A31" s="11" t="s">
        <v>15</v>
      </c>
      <c r="B31" s="8">
        <f>SUM(B18,B30)</f>
        <v>43</v>
      </c>
      <c r="C31" s="9">
        <f>SUM(C18,C30)</f>
        <v>2776930</v>
      </c>
      <c r="D31" s="9">
        <f>SUM(D18,D30)</f>
        <v>10941367.667673716</v>
      </c>
      <c r="E31" s="9">
        <f>SUM(E18,E30)</f>
        <v>13718297.667673714</v>
      </c>
    </row>
    <row r="32" spans="1:5" s="1" customFormat="1" x14ac:dyDescent="0.3">
      <c r="A32" s="11" t="s">
        <v>16</v>
      </c>
      <c r="B32" s="8">
        <f>SUM(B31)</f>
        <v>43</v>
      </c>
      <c r="C32" s="9">
        <f>SUM(C31)</f>
        <v>2776930</v>
      </c>
      <c r="D32" s="9">
        <f t="shared" ref="D32:E32" si="2">SUM(D31)</f>
        <v>10941367.667673716</v>
      </c>
      <c r="E32" s="9">
        <f t="shared" si="2"/>
        <v>13718297.667673714</v>
      </c>
    </row>
  </sheetData>
  <mergeCells count="1">
    <mergeCell ref="F2:I2"/>
  </mergeCells>
  <pageMargins left="0.7" right="0.7" top="0.2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FFC000"/>
    <pageSetUpPr fitToPage="1"/>
  </sheetPr>
  <dimension ref="A1:N28"/>
  <sheetViews>
    <sheetView zoomScale="70" zoomScaleNormal="70" workbookViewId="0">
      <selection activeCell="H24" sqref="H24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13" width="9.109375" style="10"/>
    <col min="14" max="14" width="12.6640625" style="10" bestFit="1" customWidth="1"/>
    <col min="15" max="16384" width="9.109375" style="10"/>
  </cols>
  <sheetData>
    <row r="1" spans="1:5" s="1" customFormat="1" ht="20.399999999999999" x14ac:dyDescent="0.3">
      <c r="A1" s="12" t="s">
        <v>0</v>
      </c>
    </row>
    <row r="2" spans="1:5" s="1" customFormat="1" x14ac:dyDescent="0.3">
      <c r="A2" s="2" t="str">
        <f>SMG!A2</f>
        <v>Periode : 02 - 2026</v>
      </c>
    </row>
    <row r="3" spans="1:5" s="1" customFormat="1" x14ac:dyDescent="0.3">
      <c r="A3" s="2" t="s">
        <v>41</v>
      </c>
    </row>
    <row r="4" spans="1:5" s="1" customFormat="1" x14ac:dyDescent="0.3">
      <c r="A4" s="2"/>
    </row>
    <row r="5" spans="1:5" s="1" customFormat="1" ht="33.6" x14ac:dyDescent="0.3">
      <c r="A5" s="13">
        <f>(7512338-C28)/B28</f>
        <v>207497.31034482759</v>
      </c>
      <c r="B5" s="4" t="s">
        <v>1</v>
      </c>
      <c r="C5" s="4" t="s">
        <v>2</v>
      </c>
      <c r="D5" s="4" t="s">
        <v>3</v>
      </c>
      <c r="E5" s="4" t="s">
        <v>4</v>
      </c>
    </row>
    <row r="6" spans="1:5" s="1" customFormat="1" x14ac:dyDescent="0.3">
      <c r="A6" s="5" t="s">
        <v>5</v>
      </c>
      <c r="B6" s="5"/>
      <c r="C6" s="5"/>
      <c r="D6" s="5"/>
      <c r="E6" s="5"/>
    </row>
    <row r="7" spans="1:5" s="1" customFormat="1" x14ac:dyDescent="0.3">
      <c r="A7" s="5" t="s">
        <v>8</v>
      </c>
      <c r="B7" s="5"/>
      <c r="C7" s="5"/>
      <c r="D7" s="5"/>
      <c r="E7" s="5"/>
    </row>
    <row r="8" spans="1:5" s="1" customFormat="1" x14ac:dyDescent="0.3">
      <c r="A8" s="5" t="s">
        <v>7</v>
      </c>
      <c r="B8" s="6">
        <v>2</v>
      </c>
      <c r="C8" s="7">
        <v>76178</v>
      </c>
      <c r="D8" s="7">
        <f>B8*$A$5</f>
        <v>414994.62068965519</v>
      </c>
      <c r="E8" s="7">
        <f>SUM(C8:D8)</f>
        <v>491172.62068965519</v>
      </c>
    </row>
    <row r="9" spans="1:5" s="1" customFormat="1" x14ac:dyDescent="0.3">
      <c r="A9" s="5"/>
      <c r="B9" s="5"/>
      <c r="C9" s="7"/>
      <c r="D9" s="7"/>
      <c r="E9" s="7"/>
    </row>
    <row r="10" spans="1:5" s="1" customFormat="1" x14ac:dyDescent="0.3">
      <c r="A10" s="5" t="s">
        <v>9</v>
      </c>
      <c r="B10" s="5"/>
      <c r="C10" s="5"/>
      <c r="D10" s="5"/>
      <c r="E10" s="5"/>
    </row>
    <row r="11" spans="1:5" s="1" customFormat="1" x14ac:dyDescent="0.3">
      <c r="A11" s="5" t="s">
        <v>10</v>
      </c>
      <c r="B11" s="6">
        <v>2</v>
      </c>
      <c r="C11" s="7">
        <v>128457</v>
      </c>
      <c r="D11" s="7">
        <f>B11*$A$5</f>
        <v>414994.62068965519</v>
      </c>
      <c r="E11" s="7">
        <f>SUM(C11:D11)</f>
        <v>543451.62068965519</v>
      </c>
    </row>
    <row r="12" spans="1:5" s="1" customFormat="1" x14ac:dyDescent="0.3">
      <c r="A12" s="5" t="s">
        <v>11</v>
      </c>
      <c r="B12" s="6">
        <v>1</v>
      </c>
      <c r="C12" s="7">
        <v>38029</v>
      </c>
      <c r="D12" s="7">
        <f>B12*$A$5</f>
        <v>207497.31034482759</v>
      </c>
      <c r="E12" s="7">
        <f>SUM(C12:D12)</f>
        <v>245526.31034482759</v>
      </c>
    </row>
    <row r="13" spans="1:5" s="1" customFormat="1" x14ac:dyDescent="0.3">
      <c r="A13" s="5"/>
      <c r="B13" s="5"/>
      <c r="C13" s="7"/>
      <c r="D13" s="7"/>
      <c r="E13" s="7"/>
    </row>
    <row r="14" spans="1:5" s="1" customFormat="1" x14ac:dyDescent="0.3">
      <c r="A14" s="11" t="s">
        <v>12</v>
      </c>
      <c r="B14" s="8">
        <f>SUM(B8:B13)</f>
        <v>5</v>
      </c>
      <c r="C14" s="9">
        <f>SUM(C8:C13)</f>
        <v>242664</v>
      </c>
      <c r="D14" s="9">
        <f>SUM(D8:D13)</f>
        <v>1037486.551724138</v>
      </c>
      <c r="E14" s="9">
        <f>SUM(E8:E13)</f>
        <v>1280150.551724138</v>
      </c>
    </row>
    <row r="15" spans="1:5" s="1" customFormat="1" x14ac:dyDescent="0.3">
      <c r="A15" s="5" t="s">
        <v>13</v>
      </c>
      <c r="B15" s="5"/>
      <c r="C15" s="5"/>
      <c r="D15" s="5"/>
      <c r="E15" s="5"/>
    </row>
    <row r="16" spans="1:5" s="1" customFormat="1" x14ac:dyDescent="0.3">
      <c r="A16" s="5" t="s">
        <v>6</v>
      </c>
      <c r="B16" s="5"/>
      <c r="C16" s="5"/>
      <c r="D16" s="5"/>
      <c r="E16" s="5"/>
    </row>
    <row r="17" spans="1:14" s="1" customFormat="1" x14ac:dyDescent="0.3">
      <c r="A17" s="5" t="s">
        <v>7</v>
      </c>
      <c r="B17" s="6">
        <v>2</v>
      </c>
      <c r="C17" s="7">
        <v>78445</v>
      </c>
      <c r="D17" s="7">
        <f>B17*$A$5</f>
        <v>414994.62068965519</v>
      </c>
      <c r="E17" s="7">
        <f>SUM(C17:D17)</f>
        <v>493439.62068965519</v>
      </c>
    </row>
    <row r="18" spans="1:14" s="1" customFormat="1" x14ac:dyDescent="0.3">
      <c r="A18" s="5"/>
      <c r="B18" s="5"/>
      <c r="C18" s="7"/>
      <c r="D18" s="7"/>
      <c r="E18" s="7"/>
    </row>
    <row r="19" spans="1:14" s="1" customFormat="1" x14ac:dyDescent="0.3">
      <c r="A19" s="5" t="s">
        <v>8</v>
      </c>
      <c r="B19" s="5"/>
      <c r="C19" s="5"/>
      <c r="D19" s="5"/>
      <c r="E19" s="5"/>
    </row>
    <row r="20" spans="1:14" s="1" customFormat="1" x14ac:dyDescent="0.3">
      <c r="A20" s="5" t="s">
        <v>7</v>
      </c>
      <c r="B20" s="6">
        <v>9</v>
      </c>
      <c r="C20" s="7">
        <v>437602</v>
      </c>
      <c r="D20" s="7">
        <f>B20*$A$5</f>
        <v>1867475.7931034483</v>
      </c>
      <c r="E20" s="7">
        <f>SUM(C20:D20)</f>
        <v>2305077.7931034481</v>
      </c>
    </row>
    <row r="21" spans="1:14" s="1" customFormat="1" x14ac:dyDescent="0.3">
      <c r="A21" s="5"/>
      <c r="B21" s="5"/>
      <c r="C21" s="7"/>
      <c r="D21" s="7"/>
      <c r="E21" s="7"/>
      <c r="N21" s="19"/>
    </row>
    <row r="22" spans="1:14" s="1" customFormat="1" x14ac:dyDescent="0.3">
      <c r="A22" s="5" t="s">
        <v>9</v>
      </c>
      <c r="B22" s="5"/>
      <c r="C22" s="5"/>
      <c r="D22" s="5"/>
      <c r="E22" s="5"/>
    </row>
    <row r="23" spans="1:14" s="1" customFormat="1" x14ac:dyDescent="0.3">
      <c r="A23" s="5" t="s">
        <v>10</v>
      </c>
      <c r="B23" s="6">
        <v>6</v>
      </c>
      <c r="C23" s="7">
        <v>374678</v>
      </c>
      <c r="D23" s="7">
        <f>B23*$A$5</f>
        <v>1244983.8620689656</v>
      </c>
      <c r="E23" s="7">
        <f t="shared" ref="E23" si="0">SUM(C23:D23)</f>
        <v>1619661.8620689656</v>
      </c>
    </row>
    <row r="24" spans="1:14" s="1" customFormat="1" x14ac:dyDescent="0.3">
      <c r="A24" s="5" t="s">
        <v>11</v>
      </c>
      <c r="B24" s="6">
        <v>7</v>
      </c>
      <c r="C24" s="7">
        <v>361527</v>
      </c>
      <c r="D24" s="7">
        <f>B24*$A$5</f>
        <v>1452481.1724137932</v>
      </c>
      <c r="E24" s="7">
        <f t="shared" ref="E24" si="1">SUM(C24:D24)</f>
        <v>1814008.1724137932</v>
      </c>
    </row>
    <row r="25" spans="1:14" s="1" customFormat="1" x14ac:dyDescent="0.3">
      <c r="A25" s="5"/>
      <c r="B25" s="5"/>
      <c r="C25" s="7"/>
      <c r="D25" s="7"/>
      <c r="E25" s="7"/>
    </row>
    <row r="26" spans="1:14" s="1" customFormat="1" x14ac:dyDescent="0.3">
      <c r="A26" s="11" t="s">
        <v>14</v>
      </c>
      <c r="B26" s="8">
        <f>SUM(B17:B25)</f>
        <v>24</v>
      </c>
      <c r="C26" s="9">
        <f>SUM(C17:C25)</f>
        <v>1252252</v>
      </c>
      <c r="D26" s="9">
        <f>SUM(D17:D25)</f>
        <v>4979935.4482758623</v>
      </c>
      <c r="E26" s="9">
        <f>SUM(E17:E25)</f>
        <v>6232187.4482758623</v>
      </c>
    </row>
    <row r="27" spans="1:14" s="1" customFormat="1" x14ac:dyDescent="0.3">
      <c r="A27" s="11" t="s">
        <v>24</v>
      </c>
      <c r="B27" s="8">
        <f>SUM(B14,B26)</f>
        <v>29</v>
      </c>
      <c r="C27" s="9">
        <f>SUM(C14,C26)</f>
        <v>1494916</v>
      </c>
      <c r="D27" s="9">
        <f>SUM(D14,D26)</f>
        <v>6017422</v>
      </c>
      <c r="E27" s="9">
        <f>SUM(E14,E26)</f>
        <v>7512338</v>
      </c>
    </row>
    <row r="28" spans="1:14" s="1" customFormat="1" x14ac:dyDescent="0.3">
      <c r="A28" s="11" t="s">
        <v>16</v>
      </c>
      <c r="B28" s="8">
        <f>SUM(B27)</f>
        <v>29</v>
      </c>
      <c r="C28" s="9">
        <f>SUM(C27)</f>
        <v>1494916</v>
      </c>
      <c r="D28" s="9">
        <f t="shared" ref="D28:E28" si="2">SUM(D27)</f>
        <v>6017422</v>
      </c>
      <c r="E28" s="9">
        <f t="shared" si="2"/>
        <v>7512338</v>
      </c>
    </row>
  </sheetData>
  <pageMargins left="0.70866141732283505" right="0.70866141732283505" top="0.23622047244094499" bottom="0.23622047244094499" header="0.31496062992126" footer="0.31496062992126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FFC000"/>
    <pageSetUpPr fitToPage="1"/>
  </sheetPr>
  <dimension ref="A1:I44"/>
  <sheetViews>
    <sheetView zoomScale="55" zoomScaleNormal="55" workbookViewId="0">
      <selection activeCell="B38" sqref="B38"/>
    </sheetView>
  </sheetViews>
  <sheetFormatPr defaultColWidth="9.109375" defaultRowHeight="16.8" x14ac:dyDescent="0.4"/>
  <cols>
    <col min="1" max="1" width="33" style="10" bestFit="1" customWidth="1"/>
    <col min="2" max="2" width="13.6640625" style="10" customWidth="1"/>
    <col min="3" max="5" width="16.10937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20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5">
        <f>(10956803-C37-105776)/B37</f>
        <v>259503.4411764706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5</v>
      </c>
      <c r="B6" s="5"/>
      <c r="C6" s="5"/>
      <c r="D6" s="5"/>
      <c r="E6" s="5"/>
    </row>
    <row r="7" spans="1:9" s="1" customFormat="1" x14ac:dyDescent="0.3">
      <c r="A7" s="5" t="s">
        <v>6</v>
      </c>
      <c r="B7" s="7"/>
      <c r="C7" s="5"/>
      <c r="D7" s="5"/>
      <c r="E7" s="5"/>
    </row>
    <row r="8" spans="1:9" s="1" customFormat="1" x14ac:dyDescent="0.3">
      <c r="A8" s="5" t="s">
        <v>7</v>
      </c>
      <c r="B8" s="38">
        <v>2</v>
      </c>
      <c r="C8" s="38">
        <v>52888</v>
      </c>
      <c r="D8" s="7">
        <f>B8*$A$5</f>
        <v>519006.8823529412</v>
      </c>
      <c r="E8" s="7">
        <f>SUM(C8:D8)</f>
        <v>571894.8823529412</v>
      </c>
    </row>
    <row r="9" spans="1:9" s="1" customFormat="1" x14ac:dyDescent="0.3">
      <c r="A9" s="5"/>
      <c r="B9" s="7"/>
      <c r="C9" s="7"/>
      <c r="D9" s="7"/>
      <c r="E9" s="7"/>
    </row>
    <row r="10" spans="1:9" s="1" customFormat="1" x14ac:dyDescent="0.3">
      <c r="A10" s="5" t="s">
        <v>8</v>
      </c>
      <c r="B10" s="7"/>
      <c r="C10" s="5"/>
      <c r="D10" s="5"/>
      <c r="E10" s="5"/>
    </row>
    <row r="11" spans="1:9" s="1" customFormat="1" x14ac:dyDescent="0.3">
      <c r="A11" s="5" t="s">
        <v>7</v>
      </c>
      <c r="B11" s="7">
        <v>1</v>
      </c>
      <c r="C11" s="7">
        <v>53861</v>
      </c>
      <c r="D11" s="7">
        <f t="shared" ref="D11" si="0">B11*$A$5</f>
        <v>259503.4411764706</v>
      </c>
      <c r="E11" s="7">
        <f t="shared" ref="E11" si="1">SUM(C11:D11)</f>
        <v>313364.4411764706</v>
      </c>
    </row>
    <row r="12" spans="1:9" s="1" customFormat="1" x14ac:dyDescent="0.3">
      <c r="A12" s="5"/>
      <c r="B12" s="7"/>
      <c r="C12" s="7"/>
      <c r="D12" s="7"/>
      <c r="E12" s="7"/>
    </row>
    <row r="13" spans="1:9" s="1" customFormat="1" x14ac:dyDescent="0.3">
      <c r="A13" s="5" t="s">
        <v>9</v>
      </c>
      <c r="B13" s="7"/>
      <c r="C13" s="5"/>
      <c r="D13" s="5"/>
      <c r="E13" s="5"/>
    </row>
    <row r="14" spans="1:9" s="1" customFormat="1" x14ac:dyDescent="0.3">
      <c r="A14" s="5" t="s">
        <v>10</v>
      </c>
      <c r="B14" s="38">
        <v>7</v>
      </c>
      <c r="C14" s="7">
        <v>420165</v>
      </c>
      <c r="D14" s="7">
        <f t="shared" ref="D14:D15" si="2">B14*$A$5</f>
        <v>1816524.0882352942</v>
      </c>
      <c r="E14" s="7">
        <f t="shared" ref="E14:E15" si="3">SUM(C14:D14)</f>
        <v>2236689.0882352944</v>
      </c>
    </row>
    <row r="15" spans="1:9" s="1" customFormat="1" x14ac:dyDescent="0.3">
      <c r="A15" s="5" t="s">
        <v>11</v>
      </c>
      <c r="B15" s="6">
        <v>2</v>
      </c>
      <c r="C15" s="7">
        <v>105776</v>
      </c>
      <c r="D15" s="7">
        <f t="shared" si="2"/>
        <v>519006.8823529412</v>
      </c>
      <c r="E15" s="7">
        <f t="shared" si="3"/>
        <v>624782.8823529412</v>
      </c>
    </row>
    <row r="16" spans="1:9" s="1" customFormat="1" x14ac:dyDescent="0.3">
      <c r="A16" s="5"/>
      <c r="B16" s="5"/>
      <c r="C16" s="7"/>
      <c r="D16" s="7"/>
      <c r="E16" s="7"/>
    </row>
    <row r="17" spans="1:5" s="1" customFormat="1" x14ac:dyDescent="0.3">
      <c r="A17" s="11" t="s">
        <v>12</v>
      </c>
      <c r="B17" s="8">
        <f>SUM(B8:B16)</f>
        <v>12</v>
      </c>
      <c r="C17" s="9">
        <f>SUM(C8:C16)</f>
        <v>632690</v>
      </c>
      <c r="D17" s="9">
        <f>SUM(D8:D16)</f>
        <v>3114041.2941176472</v>
      </c>
      <c r="E17" s="9">
        <f>SUM(E8:E16)</f>
        <v>3746731.2941176477</v>
      </c>
    </row>
    <row r="18" spans="1:5" s="1" customFormat="1" x14ac:dyDescent="0.3">
      <c r="A18" s="5" t="s">
        <v>13</v>
      </c>
      <c r="B18" s="5"/>
      <c r="C18" s="5"/>
      <c r="D18" s="5"/>
      <c r="E18" s="5"/>
    </row>
    <row r="19" spans="1:5" s="1" customFormat="1" x14ac:dyDescent="0.3">
      <c r="A19" s="5" t="s">
        <v>6</v>
      </c>
      <c r="B19" s="5"/>
      <c r="C19" s="5"/>
      <c r="D19" s="5"/>
      <c r="E19" s="5"/>
    </row>
    <row r="20" spans="1:5" s="1" customFormat="1" x14ac:dyDescent="0.3">
      <c r="A20" s="5" t="s">
        <v>7</v>
      </c>
      <c r="B20" s="6">
        <v>5</v>
      </c>
      <c r="C20" s="26">
        <v>264440</v>
      </c>
      <c r="D20" s="7">
        <f t="shared" ref="D20" si="4">B20*$A$5</f>
        <v>1297517.205882353</v>
      </c>
      <c r="E20" s="7">
        <f t="shared" ref="E20" si="5">SUM(C20:D20)</f>
        <v>1561957.205882353</v>
      </c>
    </row>
    <row r="21" spans="1:5" s="1" customFormat="1" x14ac:dyDescent="0.3">
      <c r="A21" s="5"/>
      <c r="B21" s="5"/>
      <c r="C21" s="6"/>
      <c r="D21" s="6"/>
      <c r="E21" s="6"/>
    </row>
    <row r="22" spans="1:5" s="1" customFormat="1" x14ac:dyDescent="0.3">
      <c r="A22" s="5" t="s">
        <v>8</v>
      </c>
      <c r="B22" s="5"/>
      <c r="C22" s="5"/>
      <c r="D22" s="5"/>
      <c r="E22" s="5"/>
    </row>
    <row r="23" spans="1:5" s="1" customFormat="1" x14ac:dyDescent="0.3">
      <c r="A23" s="5" t="s">
        <v>7</v>
      </c>
      <c r="B23" s="6">
        <v>5</v>
      </c>
      <c r="C23" s="7">
        <v>330826</v>
      </c>
      <c r="D23" s="7">
        <f>B23*$A$5</f>
        <v>1297517.205882353</v>
      </c>
      <c r="E23" s="7">
        <f>SUM(C23:D23)</f>
        <v>1628343.205882353</v>
      </c>
    </row>
    <row r="24" spans="1:5" s="1" customFormat="1" x14ac:dyDescent="0.3">
      <c r="A24" s="5"/>
      <c r="B24" s="5"/>
      <c r="C24" s="7"/>
      <c r="D24" s="7"/>
      <c r="E24" s="7"/>
    </row>
    <row r="25" spans="1:5" s="1" customFormat="1" x14ac:dyDescent="0.3">
      <c r="A25" s="5" t="s">
        <v>9</v>
      </c>
      <c r="B25" s="5"/>
      <c r="C25" s="5"/>
      <c r="D25" s="5"/>
      <c r="E25" s="5"/>
    </row>
    <row r="26" spans="1:5" s="1" customFormat="1" x14ac:dyDescent="0.3">
      <c r="A26" s="5" t="s">
        <v>10</v>
      </c>
      <c r="B26" s="6">
        <v>6</v>
      </c>
      <c r="C26" s="7">
        <v>397697</v>
      </c>
      <c r="D26" s="7">
        <f t="shared" ref="D26:D27" si="6">B26*$A$5</f>
        <v>1557020.6470588236</v>
      </c>
      <c r="E26" s="7">
        <f t="shared" ref="E26:E27" si="7">SUM(C26:D26)</f>
        <v>1954717.6470588236</v>
      </c>
    </row>
    <row r="27" spans="1:5" s="1" customFormat="1" x14ac:dyDescent="0.3">
      <c r="A27" s="5" t="s">
        <v>11</v>
      </c>
      <c r="B27" s="6">
        <v>5</v>
      </c>
      <c r="C27" s="7">
        <v>345118</v>
      </c>
      <c r="D27" s="7">
        <f t="shared" si="6"/>
        <v>1297517.205882353</v>
      </c>
      <c r="E27" s="7">
        <f t="shared" si="7"/>
        <v>1642635.205882353</v>
      </c>
    </row>
    <row r="28" spans="1:5" s="1" customFormat="1" x14ac:dyDescent="0.3">
      <c r="A28" s="5"/>
      <c r="B28" s="5"/>
      <c r="C28" s="7"/>
      <c r="D28" s="7"/>
      <c r="E28" s="7"/>
    </row>
    <row r="29" spans="1:5" s="1" customFormat="1" x14ac:dyDescent="0.3">
      <c r="A29" s="11" t="s">
        <v>14</v>
      </c>
      <c r="B29" s="8">
        <f>SUM(B20:B28)</f>
        <v>21</v>
      </c>
      <c r="C29" s="9">
        <f>SUM(C20:C28)</f>
        <v>1338081</v>
      </c>
      <c r="D29" s="9">
        <f t="shared" ref="D29:E29" si="8">SUM(D20:D28)</f>
        <v>5449572.2647058824</v>
      </c>
      <c r="E29" s="9">
        <f t="shared" si="8"/>
        <v>6787653.2647058824</v>
      </c>
    </row>
    <row r="30" spans="1:5" s="1" customFormat="1" x14ac:dyDescent="0.3">
      <c r="A30" s="11" t="s">
        <v>15</v>
      </c>
      <c r="B30" s="8">
        <f>SUM(B17,B29)</f>
        <v>33</v>
      </c>
      <c r="C30" s="9">
        <f>SUM(C17,C29)</f>
        <v>1970771</v>
      </c>
      <c r="D30" s="9">
        <f t="shared" ref="D30:E30" si="9">SUM(D17,D29)</f>
        <v>8563613.5588235296</v>
      </c>
      <c r="E30" s="9">
        <f t="shared" si="9"/>
        <v>10534384.55882353</v>
      </c>
    </row>
    <row r="31" spans="1:5" s="1" customFormat="1" x14ac:dyDescent="0.3">
      <c r="A31" s="5"/>
      <c r="B31" s="6"/>
      <c r="C31" s="7"/>
      <c r="D31" s="7"/>
      <c r="E31" s="7"/>
    </row>
    <row r="32" spans="1:5" s="1" customFormat="1" x14ac:dyDescent="0.3">
      <c r="A32" s="5" t="s">
        <v>9</v>
      </c>
      <c r="B32" s="5"/>
      <c r="C32" s="5"/>
      <c r="D32" s="5"/>
      <c r="E32" s="5"/>
    </row>
    <row r="33" spans="1:5" s="1" customFormat="1" x14ac:dyDescent="0.3">
      <c r="A33" s="5" t="s">
        <v>10</v>
      </c>
      <c r="B33" s="6">
        <v>1</v>
      </c>
      <c r="C33" s="7">
        <v>57139</v>
      </c>
      <c r="D33" s="7">
        <f t="shared" ref="D33" si="10">B33*$A$5</f>
        <v>259503.4411764706</v>
      </c>
      <c r="E33" s="7">
        <f t="shared" ref="E33" si="11">SUM(C33:D33)</f>
        <v>316642.4411764706</v>
      </c>
    </row>
    <row r="34" spans="1:5" s="1" customFormat="1" x14ac:dyDescent="0.3">
      <c r="A34" s="5"/>
      <c r="B34" s="5"/>
      <c r="C34" s="7"/>
      <c r="D34" s="7"/>
      <c r="E34" s="7"/>
    </row>
    <row r="35" spans="1:5" s="1" customFormat="1" x14ac:dyDescent="0.3">
      <c r="A35" s="11" t="s">
        <v>14</v>
      </c>
      <c r="B35" s="8">
        <f>SUM(B32:B34)</f>
        <v>1</v>
      </c>
      <c r="C35" s="9">
        <f>SUM(C32:C34)</f>
        <v>57139</v>
      </c>
      <c r="D35" s="9">
        <f>SUM(D32:D34)</f>
        <v>259503.4411764706</v>
      </c>
      <c r="E35" s="9">
        <f>SUM(E32:E34)</f>
        <v>316642.4411764706</v>
      </c>
    </row>
    <row r="36" spans="1:5" s="1" customFormat="1" x14ac:dyDescent="0.3">
      <c r="A36" s="11" t="s">
        <v>21</v>
      </c>
      <c r="B36" s="8">
        <f>SUM(B35)</f>
        <v>1</v>
      </c>
      <c r="C36" s="9">
        <f>SUM(C35)</f>
        <v>57139</v>
      </c>
      <c r="D36" s="9">
        <f t="shared" ref="D36:E36" si="12">SUM(D35)</f>
        <v>259503.4411764706</v>
      </c>
      <c r="E36" s="9">
        <f t="shared" si="12"/>
        <v>316642.4411764706</v>
      </c>
    </row>
    <row r="37" spans="1:5" s="1" customFormat="1" x14ac:dyDescent="0.3">
      <c r="A37" s="11" t="s">
        <v>16</v>
      </c>
      <c r="B37" s="8">
        <f>SUM(B36,B30)</f>
        <v>34</v>
      </c>
      <c r="C37" s="9">
        <f>SUM(C36,C30)</f>
        <v>2027910</v>
      </c>
      <c r="D37" s="9">
        <f>SUM(D30,D36)</f>
        <v>8823117</v>
      </c>
      <c r="E37" s="9">
        <f>SUM(E30,E36)</f>
        <v>10851027</v>
      </c>
    </row>
    <row r="39" spans="1:5" x14ac:dyDescent="0.4">
      <c r="A39" s="36"/>
      <c r="B39" s="36"/>
    </row>
    <row r="43" spans="1:5" x14ac:dyDescent="0.4">
      <c r="E43" s="31"/>
    </row>
    <row r="44" spans="1:5" x14ac:dyDescent="0.4">
      <c r="E44" s="17"/>
    </row>
  </sheetData>
  <mergeCells count="1">
    <mergeCell ref="F2:I2"/>
  </mergeCells>
  <pageMargins left="0.25" right="0.25" top="0.25" bottom="0.25" header="0.25" footer="0.25"/>
  <pageSetup paperSize="9" scale="7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C000"/>
    <pageSetUpPr fitToPage="1"/>
  </sheetPr>
  <dimension ref="A1:I35"/>
  <sheetViews>
    <sheetView zoomScale="70" zoomScaleNormal="70" workbookViewId="0">
      <selection activeCell="B33" sqref="B33:E33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26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3">
        <f>(5940911-C33)/B33</f>
        <v>239033.3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13</v>
      </c>
      <c r="B6" s="5"/>
      <c r="C6" s="5"/>
      <c r="D6" s="5"/>
      <c r="E6" s="5"/>
    </row>
    <row r="7" spans="1:9" s="1" customFormat="1" x14ac:dyDescent="0.3">
      <c r="A7" s="5" t="s">
        <v>6</v>
      </c>
      <c r="B7" s="5"/>
      <c r="C7" s="5"/>
      <c r="D7" s="5"/>
      <c r="E7" s="5"/>
    </row>
    <row r="8" spans="1:9" s="1" customFormat="1" x14ac:dyDescent="0.3">
      <c r="A8" s="5" t="s">
        <v>7</v>
      </c>
      <c r="B8" s="6">
        <v>0</v>
      </c>
      <c r="C8" s="7">
        <v>0</v>
      </c>
      <c r="D8" s="7">
        <f>B8*$A$5</f>
        <v>0</v>
      </c>
      <c r="E8" s="7">
        <f>SUM(C8:D8)</f>
        <v>0</v>
      </c>
    </row>
    <row r="9" spans="1:9" s="1" customFormat="1" x14ac:dyDescent="0.3">
      <c r="A9" s="5"/>
      <c r="B9" s="5"/>
      <c r="C9" s="7"/>
      <c r="D9" s="7"/>
      <c r="E9" s="7"/>
    </row>
    <row r="10" spans="1:9" s="1" customFormat="1" x14ac:dyDescent="0.3">
      <c r="A10" s="11" t="s">
        <v>14</v>
      </c>
      <c r="B10" s="8">
        <f>SUM(B8:B9)</f>
        <v>0</v>
      </c>
      <c r="C10" s="9">
        <f>SUM(C8:C9)</f>
        <v>0</v>
      </c>
      <c r="D10" s="9">
        <f t="shared" ref="D10:E10" si="0">SUM(D8:D9)</f>
        <v>0</v>
      </c>
      <c r="E10" s="9">
        <f t="shared" si="0"/>
        <v>0</v>
      </c>
    </row>
    <row r="11" spans="1:9" s="1" customFormat="1" x14ac:dyDescent="0.3">
      <c r="A11" s="11" t="s">
        <v>27</v>
      </c>
      <c r="B11" s="8">
        <f>SUM(B10)</f>
        <v>0</v>
      </c>
      <c r="C11" s="9">
        <f>SUM(C10)</f>
        <v>0</v>
      </c>
      <c r="D11" s="9">
        <f t="shared" ref="D11:E11" si="1">SUM(D10)</f>
        <v>0</v>
      </c>
      <c r="E11" s="9">
        <f t="shared" si="1"/>
        <v>0</v>
      </c>
    </row>
    <row r="12" spans="1:9" s="1" customFormat="1" x14ac:dyDescent="0.3">
      <c r="A12" s="5"/>
      <c r="B12" s="6"/>
      <c r="C12" s="7"/>
      <c r="D12" s="7"/>
      <c r="E12" s="7"/>
    </row>
    <row r="13" spans="1:9" s="1" customFormat="1" x14ac:dyDescent="0.3">
      <c r="A13" s="5" t="s">
        <v>28</v>
      </c>
      <c r="B13" s="5"/>
      <c r="C13" s="5"/>
      <c r="D13" s="5"/>
      <c r="E13" s="5"/>
    </row>
    <row r="14" spans="1:9" s="1" customFormat="1" x14ac:dyDescent="0.3">
      <c r="A14" s="5" t="s">
        <v>5</v>
      </c>
      <c r="B14" s="5"/>
      <c r="C14" s="5"/>
      <c r="D14" s="5"/>
      <c r="E14" s="5"/>
    </row>
    <row r="15" spans="1:9" s="1" customFormat="1" x14ac:dyDescent="0.3">
      <c r="A15" s="5" t="s">
        <v>8</v>
      </c>
      <c r="B15" s="5"/>
      <c r="C15" s="5"/>
      <c r="D15" s="5"/>
      <c r="E15" s="5"/>
    </row>
    <row r="16" spans="1:9" s="1" customFormat="1" x14ac:dyDescent="0.3">
      <c r="A16" s="5" t="s">
        <v>7</v>
      </c>
      <c r="B16" s="6">
        <v>3</v>
      </c>
      <c r="C16" s="7">
        <v>147268</v>
      </c>
      <c r="D16" s="7">
        <f>B16*$A$5</f>
        <v>717099.89999999991</v>
      </c>
      <c r="E16" s="7">
        <f>SUM(C16:D16)</f>
        <v>864367.89999999991</v>
      </c>
    </row>
    <row r="17" spans="1:5" s="1" customFormat="1" x14ac:dyDescent="0.3">
      <c r="A17" s="5"/>
      <c r="B17" s="5"/>
      <c r="C17" s="7"/>
      <c r="D17" s="7"/>
      <c r="E17" s="7"/>
    </row>
    <row r="18" spans="1:5" s="1" customFormat="1" x14ac:dyDescent="0.3">
      <c r="A18" s="5" t="s">
        <v>9</v>
      </c>
      <c r="B18" s="5"/>
      <c r="C18" s="5"/>
      <c r="D18" s="5"/>
      <c r="E18" s="5"/>
    </row>
    <row r="19" spans="1:5" s="1" customFormat="1" x14ac:dyDescent="0.3">
      <c r="A19" s="5" t="s">
        <v>10</v>
      </c>
      <c r="B19" s="42">
        <v>7</v>
      </c>
      <c r="C19" s="7">
        <v>317878</v>
      </c>
      <c r="D19" s="7">
        <f t="shared" ref="D19:D20" si="2">B19*$A$5</f>
        <v>1673233.0999999999</v>
      </c>
      <c r="E19" s="7">
        <f t="shared" ref="E19:E20" si="3">SUM(C19:D19)</f>
        <v>1991111.0999999999</v>
      </c>
    </row>
    <row r="20" spans="1:5" s="1" customFormat="1" x14ac:dyDescent="0.3">
      <c r="A20" s="5" t="s">
        <v>11</v>
      </c>
      <c r="B20" s="7">
        <v>1</v>
      </c>
      <c r="C20" s="7">
        <v>52521</v>
      </c>
      <c r="D20" s="7">
        <f t="shared" si="2"/>
        <v>239033.3</v>
      </c>
      <c r="E20" s="7">
        <f t="shared" si="3"/>
        <v>291554.3</v>
      </c>
    </row>
    <row r="21" spans="1:5" s="1" customFormat="1" x14ac:dyDescent="0.3">
      <c r="A21" s="5"/>
      <c r="B21" s="5"/>
      <c r="C21" s="7"/>
      <c r="D21" s="7"/>
      <c r="E21" s="7"/>
    </row>
    <row r="22" spans="1:5" s="1" customFormat="1" x14ac:dyDescent="0.3">
      <c r="A22" s="11" t="s">
        <v>12</v>
      </c>
      <c r="B22" s="8">
        <f>SUM(B16:B21)</f>
        <v>11</v>
      </c>
      <c r="C22" s="9">
        <f>SUM(C16:C21)</f>
        <v>517667</v>
      </c>
      <c r="D22" s="9">
        <f t="shared" ref="D22:E22" si="4">SUM(D16:D21)</f>
        <v>2629366.2999999998</v>
      </c>
      <c r="E22" s="9">
        <f t="shared" si="4"/>
        <v>3147033.3</v>
      </c>
    </row>
    <row r="23" spans="1:5" s="1" customFormat="1" x14ac:dyDescent="0.3">
      <c r="A23" s="5" t="s">
        <v>13</v>
      </c>
      <c r="B23" s="5"/>
      <c r="C23" s="5"/>
      <c r="D23" s="5"/>
      <c r="E23" s="5"/>
    </row>
    <row r="24" spans="1:5" s="1" customFormat="1" x14ac:dyDescent="0.3">
      <c r="A24" s="5" t="s">
        <v>8</v>
      </c>
      <c r="B24" s="5"/>
      <c r="C24" s="5"/>
      <c r="D24" s="5"/>
      <c r="E24" s="5"/>
    </row>
    <row r="25" spans="1:5" s="1" customFormat="1" x14ac:dyDescent="0.3">
      <c r="A25" s="5" t="s">
        <v>7</v>
      </c>
      <c r="B25" s="6">
        <v>2</v>
      </c>
      <c r="C25" s="7">
        <v>134786</v>
      </c>
      <c r="D25" s="7">
        <f>B25*$A$5</f>
        <v>478066.6</v>
      </c>
      <c r="E25" s="7">
        <f>SUM(C25:D25)</f>
        <v>612852.6</v>
      </c>
    </row>
    <row r="26" spans="1:5" s="1" customFormat="1" x14ac:dyDescent="0.3">
      <c r="A26" s="5"/>
      <c r="B26" s="5"/>
      <c r="C26" s="7"/>
      <c r="D26" s="7"/>
      <c r="E26" s="7"/>
    </row>
    <row r="27" spans="1:5" s="1" customFormat="1" x14ac:dyDescent="0.3">
      <c r="A27" s="5" t="s">
        <v>9</v>
      </c>
      <c r="B27" s="5"/>
      <c r="C27" s="5"/>
      <c r="D27" s="5"/>
      <c r="E27" s="5"/>
    </row>
    <row r="28" spans="1:5" s="1" customFormat="1" x14ac:dyDescent="0.3">
      <c r="A28" s="5" t="s">
        <v>10</v>
      </c>
      <c r="B28" s="6">
        <v>7</v>
      </c>
      <c r="C28" s="7">
        <v>507792</v>
      </c>
      <c r="D28" s="7">
        <f t="shared" ref="D28:D29" si="5">B28*$A$5</f>
        <v>1673233.0999999999</v>
      </c>
      <c r="E28" s="7">
        <f t="shared" ref="E28:E29" si="6">SUM(C28:D28)</f>
        <v>2181025.0999999996</v>
      </c>
    </row>
    <row r="29" spans="1:5" s="1" customFormat="1" x14ac:dyDescent="0.3">
      <c r="A29" s="5" t="s">
        <v>11</v>
      </c>
      <c r="B29" s="6">
        <v>0</v>
      </c>
      <c r="C29" s="7">
        <v>0</v>
      </c>
      <c r="D29" s="7">
        <f t="shared" si="5"/>
        <v>0</v>
      </c>
      <c r="E29" s="7">
        <f t="shared" si="6"/>
        <v>0</v>
      </c>
    </row>
    <row r="30" spans="1:5" s="1" customFormat="1" x14ac:dyDescent="0.3">
      <c r="A30" s="5"/>
      <c r="B30" s="5"/>
      <c r="C30" s="7"/>
      <c r="D30" s="7"/>
      <c r="E30" s="7"/>
    </row>
    <row r="31" spans="1:5" s="1" customFormat="1" x14ac:dyDescent="0.3">
      <c r="A31" s="11" t="s">
        <v>14</v>
      </c>
      <c r="B31" s="8">
        <f>SUM(B25:B30)</f>
        <v>9</v>
      </c>
      <c r="C31" s="9">
        <f>SUM(C25:C30)</f>
        <v>642578</v>
      </c>
      <c r="D31" s="9">
        <f t="shared" ref="D31:E31" si="7">SUM(D25:D30)</f>
        <v>2151299.6999999997</v>
      </c>
      <c r="E31" s="9">
        <f t="shared" si="7"/>
        <v>2793877.6999999997</v>
      </c>
    </row>
    <row r="32" spans="1:5" s="1" customFormat="1" x14ac:dyDescent="0.3">
      <c r="A32" s="11" t="s">
        <v>29</v>
      </c>
      <c r="B32" s="8">
        <f>SUM(B22,B31)</f>
        <v>20</v>
      </c>
      <c r="C32" s="9">
        <f>SUM(C22,C31)</f>
        <v>1160245</v>
      </c>
      <c r="D32" s="9">
        <f t="shared" ref="D32:E32" si="8">SUM(D22,D31)</f>
        <v>4780666</v>
      </c>
      <c r="E32" s="9">
        <f t="shared" si="8"/>
        <v>5940911</v>
      </c>
    </row>
    <row r="33" spans="1:5" s="1" customFormat="1" x14ac:dyDescent="0.3">
      <c r="A33" s="11" t="s">
        <v>16</v>
      </c>
      <c r="B33" s="8">
        <f>SUM(B11,B32)</f>
        <v>20</v>
      </c>
      <c r="C33" s="9">
        <f>SUM(C11,C32)</f>
        <v>1160245</v>
      </c>
      <c r="D33" s="9">
        <f t="shared" ref="D33:E33" si="9">SUM(D11,D32)</f>
        <v>4780666</v>
      </c>
      <c r="E33" s="9">
        <f t="shared" si="9"/>
        <v>5940911</v>
      </c>
    </row>
    <row r="34" spans="1:5" x14ac:dyDescent="0.4">
      <c r="E34" s="18"/>
    </row>
    <row r="35" spans="1:5" x14ac:dyDescent="0.4">
      <c r="E35" s="17">
        <f>E33+E34</f>
        <v>5940911</v>
      </c>
    </row>
  </sheetData>
  <mergeCells count="1">
    <mergeCell ref="F2:I2"/>
  </mergeCells>
  <pageMargins left="0.7" right="0.7" top="0.2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C000"/>
    <pageSetUpPr fitToPage="1"/>
  </sheetPr>
  <dimension ref="A1:I43"/>
  <sheetViews>
    <sheetView tabSelected="1" zoomScale="70" zoomScaleNormal="70" workbookViewId="0">
      <selection activeCell="M37" sqref="M37"/>
    </sheetView>
  </sheetViews>
  <sheetFormatPr defaultColWidth="9.109375" defaultRowHeight="16.8" x14ac:dyDescent="0.4"/>
  <cols>
    <col min="1" max="1" width="33" style="10" bestFit="1" customWidth="1"/>
    <col min="2" max="5" width="13.6640625" style="10" customWidth="1"/>
    <col min="6" max="6" width="9.109375" style="10"/>
    <col min="7" max="7" width="9.33203125" style="10" bestFit="1" customWidth="1"/>
    <col min="8" max="8" width="9.109375" style="10"/>
    <col min="9" max="9" width="9.33203125" style="10" bestFit="1" customWidth="1"/>
    <col min="10" max="16384" width="9.109375" style="10"/>
  </cols>
  <sheetData>
    <row r="1" spans="1:9" s="1" customFormat="1" ht="20.399999999999999" x14ac:dyDescent="0.3">
      <c r="A1" s="12" t="s">
        <v>0</v>
      </c>
    </row>
    <row r="2" spans="1:9" s="1" customFormat="1" x14ac:dyDescent="0.3">
      <c r="A2" s="2" t="str">
        <f>SMG!A2</f>
        <v>Periode : 02 - 2026</v>
      </c>
      <c r="F2" s="45"/>
      <c r="G2" s="45"/>
      <c r="H2" s="45"/>
      <c r="I2" s="45"/>
    </row>
    <row r="3" spans="1:9" s="1" customFormat="1" x14ac:dyDescent="0.3">
      <c r="A3" s="2" t="s">
        <v>32</v>
      </c>
      <c r="G3" s="3"/>
      <c r="I3" s="3"/>
    </row>
    <row r="4" spans="1:9" s="1" customFormat="1" x14ac:dyDescent="0.3">
      <c r="A4" s="2"/>
      <c r="G4" s="3"/>
      <c r="I4" s="3"/>
    </row>
    <row r="5" spans="1:9" s="1" customFormat="1" ht="33.6" x14ac:dyDescent="0.3">
      <c r="A5" s="15">
        <f>(4264600-C41-69661)/B41</f>
        <v>258822.76923076922</v>
      </c>
      <c r="B5" s="4" t="s">
        <v>1</v>
      </c>
      <c r="C5" s="4" t="s">
        <v>2</v>
      </c>
      <c r="D5" s="4" t="s">
        <v>3</v>
      </c>
      <c r="E5" s="4" t="s">
        <v>4</v>
      </c>
    </row>
    <row r="6" spans="1:9" s="1" customFormat="1" x14ac:dyDescent="0.3">
      <c r="A6" s="5" t="s">
        <v>33</v>
      </c>
      <c r="B6" s="5"/>
      <c r="C6" s="5"/>
      <c r="D6" s="5"/>
      <c r="E6" s="5"/>
    </row>
    <row r="7" spans="1:9" s="1" customFormat="1" x14ac:dyDescent="0.3">
      <c r="A7" s="5" t="s">
        <v>13</v>
      </c>
      <c r="B7" s="5"/>
      <c r="C7" s="5"/>
      <c r="D7" s="5"/>
      <c r="E7" s="5"/>
    </row>
    <row r="8" spans="1:9" s="1" customFormat="1" x14ac:dyDescent="0.3">
      <c r="A8" s="5" t="s">
        <v>9</v>
      </c>
      <c r="B8" s="5"/>
      <c r="C8" s="5"/>
      <c r="D8" s="5"/>
      <c r="E8" s="5"/>
    </row>
    <row r="9" spans="1:9" s="1" customFormat="1" x14ac:dyDescent="0.3">
      <c r="A9" s="5" t="s">
        <v>10</v>
      </c>
      <c r="B9" s="6"/>
      <c r="C9" s="7"/>
      <c r="D9" s="7">
        <f>B9*$A$5</f>
        <v>0</v>
      </c>
      <c r="E9" s="7">
        <f>SUM(C9:D9)</f>
        <v>0</v>
      </c>
    </row>
    <row r="10" spans="1:9" s="1" customFormat="1" x14ac:dyDescent="0.3">
      <c r="A10" s="5"/>
      <c r="B10" s="5"/>
      <c r="C10" s="7"/>
      <c r="D10" s="7"/>
      <c r="E10" s="7"/>
    </row>
    <row r="11" spans="1:9" s="1" customFormat="1" x14ac:dyDescent="0.3">
      <c r="A11" s="11" t="s">
        <v>14</v>
      </c>
      <c r="B11" s="8">
        <f>SUM(B9:B10)</f>
        <v>0</v>
      </c>
      <c r="C11" s="9">
        <f>SUM(C9:C10)</f>
        <v>0</v>
      </c>
      <c r="D11" s="9">
        <f>SUM(D9:D10)</f>
        <v>0</v>
      </c>
      <c r="E11" s="9">
        <f t="shared" ref="E11" si="0">SUM(E9:E10)</f>
        <v>0</v>
      </c>
    </row>
    <row r="12" spans="1:9" s="1" customFormat="1" x14ac:dyDescent="0.3">
      <c r="A12" s="11" t="s">
        <v>34</v>
      </c>
      <c r="B12" s="8">
        <f>SUM(B11)</f>
        <v>0</v>
      </c>
      <c r="C12" s="9">
        <f>SUM(C11)</f>
        <v>0</v>
      </c>
      <c r="D12" s="9">
        <f t="shared" ref="D12:E12" si="1">SUM(D11)</f>
        <v>0</v>
      </c>
      <c r="E12" s="9">
        <f t="shared" si="1"/>
        <v>0</v>
      </c>
    </row>
    <row r="13" spans="1:9" s="1" customFormat="1" x14ac:dyDescent="0.3">
      <c r="A13" s="5"/>
      <c r="B13" s="6"/>
      <c r="C13" s="7"/>
      <c r="D13" s="7"/>
      <c r="E13" s="7"/>
    </row>
    <row r="14" spans="1:9" s="1" customFormat="1" x14ac:dyDescent="0.3">
      <c r="A14" s="5" t="s">
        <v>22</v>
      </c>
      <c r="B14" s="5"/>
      <c r="C14" s="5"/>
      <c r="D14" s="5"/>
      <c r="E14" s="5"/>
    </row>
    <row r="15" spans="1:9" s="1" customFormat="1" x14ac:dyDescent="0.3">
      <c r="A15" s="5" t="s">
        <v>5</v>
      </c>
      <c r="B15" s="5"/>
      <c r="C15" s="24"/>
      <c r="D15" s="5"/>
      <c r="E15" s="5"/>
    </row>
    <row r="16" spans="1:9" s="1" customFormat="1" x14ac:dyDescent="0.3">
      <c r="A16" s="5" t="s">
        <v>9</v>
      </c>
      <c r="B16" s="5"/>
      <c r="C16" s="24"/>
      <c r="D16" s="5"/>
      <c r="E16" s="5"/>
    </row>
    <row r="17" spans="1:5" s="1" customFormat="1" x14ac:dyDescent="0.3">
      <c r="A17" s="5" t="s">
        <v>10</v>
      </c>
      <c r="B17" s="23">
        <v>0</v>
      </c>
      <c r="C17" s="23">
        <v>0</v>
      </c>
      <c r="D17" s="7">
        <f>B17*$A$5</f>
        <v>0</v>
      </c>
      <c r="E17" s="7">
        <f>SUM(C17:D17)</f>
        <v>0</v>
      </c>
    </row>
    <row r="18" spans="1:5" s="1" customFormat="1" x14ac:dyDescent="0.3">
      <c r="A18" s="5"/>
      <c r="B18" s="5"/>
      <c r="C18" s="23"/>
      <c r="D18" s="7"/>
      <c r="E18" s="7"/>
    </row>
    <row r="19" spans="1:5" s="1" customFormat="1" x14ac:dyDescent="0.3">
      <c r="A19" s="11" t="s">
        <v>12</v>
      </c>
      <c r="B19" s="8">
        <f>SUM(B17:B18)</f>
        <v>0</v>
      </c>
      <c r="C19" s="25">
        <f>SUM(C17:C18)</f>
        <v>0</v>
      </c>
      <c r="D19" s="9">
        <f t="shared" ref="D19:E19" si="2">SUM(D17:D18)</f>
        <v>0</v>
      </c>
      <c r="E19" s="9">
        <f t="shared" si="2"/>
        <v>0</v>
      </c>
    </row>
    <row r="20" spans="1:5" s="1" customFormat="1" x14ac:dyDescent="0.3">
      <c r="A20" s="11" t="s">
        <v>23</v>
      </c>
      <c r="B20" s="8">
        <f>SUM(B19)</f>
        <v>0</v>
      </c>
      <c r="C20" s="25">
        <f>SUM(C19)</f>
        <v>0</v>
      </c>
      <c r="D20" s="9">
        <f t="shared" ref="D20:E20" si="3">SUM(D19)</f>
        <v>0</v>
      </c>
      <c r="E20" s="9">
        <f t="shared" si="3"/>
        <v>0</v>
      </c>
    </row>
    <row r="21" spans="1:5" s="1" customFormat="1" x14ac:dyDescent="0.3">
      <c r="A21" s="5"/>
      <c r="B21" s="6"/>
      <c r="C21" s="23"/>
      <c r="D21" s="7"/>
      <c r="E21" s="7"/>
    </row>
    <row r="22" spans="1:5" s="1" customFormat="1" x14ac:dyDescent="0.3">
      <c r="A22" s="5" t="s">
        <v>5</v>
      </c>
      <c r="B22" s="5"/>
      <c r="C22" s="24"/>
      <c r="D22" s="5"/>
      <c r="E22" s="5"/>
    </row>
    <row r="23" spans="1:5" s="1" customFormat="1" x14ac:dyDescent="0.3">
      <c r="A23" s="5" t="s">
        <v>8</v>
      </c>
      <c r="B23" s="5"/>
      <c r="C23" s="24"/>
      <c r="D23" s="5"/>
      <c r="E23" s="5"/>
    </row>
    <row r="24" spans="1:5" s="1" customFormat="1" x14ac:dyDescent="0.3">
      <c r="A24" s="5" t="s">
        <v>7</v>
      </c>
      <c r="B24" s="6">
        <v>1</v>
      </c>
      <c r="C24" s="7">
        <v>66395</v>
      </c>
      <c r="D24" s="7">
        <f>B24*$A$5</f>
        <v>258822.76923076922</v>
      </c>
      <c r="E24" s="7">
        <f>SUM(C24:D24)</f>
        <v>325217.76923076925</v>
      </c>
    </row>
    <row r="25" spans="1:5" s="1" customFormat="1" x14ac:dyDescent="0.3">
      <c r="A25" s="5"/>
      <c r="B25" s="5"/>
      <c r="C25" s="7"/>
      <c r="D25" s="7"/>
      <c r="E25" s="7"/>
    </row>
    <row r="26" spans="1:5" s="1" customFormat="1" x14ac:dyDescent="0.3">
      <c r="A26" s="5" t="s">
        <v>9</v>
      </c>
      <c r="B26" s="5"/>
      <c r="C26" s="5"/>
      <c r="D26" s="5"/>
      <c r="E26" s="5"/>
    </row>
    <row r="27" spans="1:5" s="1" customFormat="1" x14ac:dyDescent="0.3">
      <c r="A27" s="5" t="s">
        <v>10</v>
      </c>
      <c r="B27" s="42">
        <v>3</v>
      </c>
      <c r="C27" s="38">
        <v>172968</v>
      </c>
      <c r="D27" s="7">
        <f>B27*$A$5</f>
        <v>776468.30769230763</v>
      </c>
      <c r="E27" s="7">
        <f>SUM(C27:D27)</f>
        <v>949436.30769230763</v>
      </c>
    </row>
    <row r="28" spans="1:5" s="1" customFormat="1" x14ac:dyDescent="0.3">
      <c r="A28" s="5" t="s">
        <v>11</v>
      </c>
      <c r="B28" s="6">
        <v>3</v>
      </c>
      <c r="C28" s="7">
        <v>175717</v>
      </c>
      <c r="D28" s="7">
        <f>B28*$A$5</f>
        <v>776468.30769230763</v>
      </c>
      <c r="E28" s="7">
        <f>SUM(C28:D28)</f>
        <v>952185.30769230763</v>
      </c>
    </row>
    <row r="29" spans="1:5" s="1" customFormat="1" x14ac:dyDescent="0.3">
      <c r="A29" s="5"/>
      <c r="B29" s="5"/>
      <c r="C29" s="7"/>
      <c r="D29" s="7"/>
      <c r="E29" s="7"/>
    </row>
    <row r="30" spans="1:5" s="1" customFormat="1" x14ac:dyDescent="0.3">
      <c r="A30" s="11" t="s">
        <v>12</v>
      </c>
      <c r="B30" s="8">
        <f>SUM(B24:B29)</f>
        <v>7</v>
      </c>
      <c r="C30" s="9">
        <f>SUM(C24:C29)</f>
        <v>415080</v>
      </c>
      <c r="D30" s="9">
        <f t="shared" ref="D30:E30" si="4">SUM(D24:D29)</f>
        <v>1811759.3846153845</v>
      </c>
      <c r="E30" s="9">
        <f t="shared" si="4"/>
        <v>2226839.3846153845</v>
      </c>
    </row>
    <row r="31" spans="1:5" s="1" customFormat="1" x14ac:dyDescent="0.3">
      <c r="A31" s="5" t="s">
        <v>13</v>
      </c>
      <c r="B31" s="5"/>
      <c r="C31" s="5"/>
      <c r="D31" s="5"/>
      <c r="E31" s="5"/>
    </row>
    <row r="32" spans="1:5" s="1" customFormat="1" x14ac:dyDescent="0.3">
      <c r="A32" s="5" t="s">
        <v>8</v>
      </c>
      <c r="B32" s="5"/>
      <c r="C32" s="5"/>
      <c r="D32" s="5"/>
      <c r="E32" s="5"/>
    </row>
    <row r="33" spans="1:5" s="1" customFormat="1" x14ac:dyDescent="0.3">
      <c r="A33" s="5" t="s">
        <v>7</v>
      </c>
      <c r="B33" s="6">
        <v>1</v>
      </c>
      <c r="C33" s="7">
        <v>53748</v>
      </c>
      <c r="D33" s="7">
        <f>B33*$A$5</f>
        <v>258822.76923076922</v>
      </c>
      <c r="E33" s="7">
        <f>SUM(C33:D33)</f>
        <v>312570.76923076925</v>
      </c>
    </row>
    <row r="34" spans="1:5" s="1" customFormat="1" x14ac:dyDescent="0.3">
      <c r="A34" s="5"/>
      <c r="B34" s="5"/>
      <c r="C34" s="7"/>
      <c r="D34" s="7"/>
      <c r="E34" s="7"/>
    </row>
    <row r="35" spans="1:5" s="1" customFormat="1" x14ac:dyDescent="0.3">
      <c r="A35" s="5" t="s">
        <v>9</v>
      </c>
      <c r="B35" s="5"/>
      <c r="C35" s="5"/>
      <c r="D35" s="5"/>
      <c r="E35" s="5"/>
    </row>
    <row r="36" spans="1:5" s="1" customFormat="1" x14ac:dyDescent="0.3">
      <c r="A36" s="5" t="s">
        <v>10</v>
      </c>
      <c r="B36" s="6">
        <v>4</v>
      </c>
      <c r="C36" s="7">
        <v>308207</v>
      </c>
      <c r="D36" s="7">
        <f>B36*$A$5</f>
        <v>1035291.0769230769</v>
      </c>
      <c r="E36" s="7">
        <f>SUM(C36:D36)</f>
        <v>1343498.076923077</v>
      </c>
    </row>
    <row r="37" spans="1:5" s="1" customFormat="1" x14ac:dyDescent="0.3">
      <c r="A37" s="5" t="s">
        <v>11</v>
      </c>
      <c r="B37" s="6">
        <v>1</v>
      </c>
      <c r="C37" s="7">
        <v>53208</v>
      </c>
      <c r="D37" s="7">
        <f>B37*$A$5</f>
        <v>258822.76923076922</v>
      </c>
      <c r="E37" s="7">
        <f>SUM(C37:D37)</f>
        <v>312030.76923076925</v>
      </c>
    </row>
    <row r="38" spans="1:5" s="1" customFormat="1" x14ac:dyDescent="0.3">
      <c r="A38" s="5"/>
      <c r="B38" s="5"/>
      <c r="C38" s="7"/>
      <c r="D38" s="7"/>
      <c r="E38" s="7"/>
    </row>
    <row r="39" spans="1:5" s="1" customFormat="1" x14ac:dyDescent="0.3">
      <c r="A39" s="11" t="s">
        <v>14</v>
      </c>
      <c r="B39" s="8">
        <f>SUM(B33:B38)</f>
        <v>6</v>
      </c>
      <c r="C39" s="9">
        <f>SUM(C33:C38)</f>
        <v>415163</v>
      </c>
      <c r="D39" s="9">
        <f>SUM(D33:D38)</f>
        <v>1552936.6153846153</v>
      </c>
      <c r="E39" s="9">
        <f>SUM(E33:E38)</f>
        <v>1968099.6153846155</v>
      </c>
    </row>
    <row r="40" spans="1:5" x14ac:dyDescent="0.4">
      <c r="A40" s="11" t="s">
        <v>27</v>
      </c>
      <c r="B40" s="8">
        <f>SUM(B30,B39)</f>
        <v>13</v>
      </c>
      <c r="C40" s="9">
        <f>SUM(C30,C39)</f>
        <v>830243</v>
      </c>
      <c r="D40" s="9">
        <f>SUM(D30,D39)</f>
        <v>3364696</v>
      </c>
      <c r="E40" s="9">
        <f>SUM(E30,E39)</f>
        <v>4194939</v>
      </c>
    </row>
    <row r="41" spans="1:5" x14ac:dyDescent="0.4">
      <c r="A41" s="11" t="s">
        <v>16</v>
      </c>
      <c r="B41" s="8">
        <f>SUM(B12,B20,B40)</f>
        <v>13</v>
      </c>
      <c r="C41" s="9">
        <f>SUM(C12,C20,C40)</f>
        <v>830243</v>
      </c>
      <c r="D41" s="9">
        <f>SUM(D12,D20,D40)</f>
        <v>3364696</v>
      </c>
      <c r="E41" s="9">
        <f>SUM(E12,E20,E40)</f>
        <v>4194939</v>
      </c>
    </row>
    <row r="42" spans="1:5" x14ac:dyDescent="0.4">
      <c r="E42" s="18">
        <v>68661</v>
      </c>
    </row>
    <row r="43" spans="1:5" x14ac:dyDescent="0.4">
      <c r="E43" s="17">
        <f>SUM(E41:E42)</f>
        <v>4263600</v>
      </c>
    </row>
  </sheetData>
  <mergeCells count="1">
    <mergeCell ref="F2:I2"/>
  </mergeCells>
  <pageMargins left="0.7" right="0.7" top="0.25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11</vt:i4>
      </vt:variant>
    </vt:vector>
  </HeadingPairs>
  <TitlesOfParts>
    <vt:vector size="26" baseType="lpstr">
      <vt:lpstr>SMG</vt:lpstr>
      <vt:lpstr>DPS</vt:lpstr>
      <vt:lpstr>ATNG</vt:lpstr>
      <vt:lpstr>DCI NGJK</vt:lpstr>
      <vt:lpstr>DCI SMG</vt:lpstr>
      <vt:lpstr>SBY</vt:lpstr>
      <vt:lpstr>JPM</vt:lpstr>
      <vt:lpstr>HLD MPGS</vt:lpstr>
      <vt:lpstr>PKG KRH</vt:lpstr>
      <vt:lpstr>PKG BKS</vt:lpstr>
      <vt:lpstr>SHPG BKS</vt:lpstr>
      <vt:lpstr>TWL</vt:lpstr>
      <vt:lpstr>JPMU</vt:lpstr>
      <vt:lpstr>DCP</vt:lpstr>
      <vt:lpstr>DIM</vt:lpstr>
      <vt:lpstr>DCP!Print_Area</vt:lpstr>
      <vt:lpstr>DIM!Print_Area</vt:lpstr>
      <vt:lpstr>DPS!Print_Area</vt:lpstr>
      <vt:lpstr>'HLD MPGS'!Print_Area</vt:lpstr>
      <vt:lpstr>JPM!Print_Area</vt:lpstr>
      <vt:lpstr>'PKG BKS'!Print_Area</vt:lpstr>
      <vt:lpstr>'PKG KRH'!Print_Area</vt:lpstr>
      <vt:lpstr>SBY!Print_Area</vt:lpstr>
      <vt:lpstr>'SHPG BKS'!Print_Area</vt:lpstr>
      <vt:lpstr>SMG!Print_Area</vt:lpstr>
      <vt:lpstr>TWL!Print_Area</vt:lpstr>
    </vt:vector>
  </TitlesOfParts>
  <Manager/>
  <Company>TEMPRINA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SYSTEM</dc:creator>
  <cp:keywords/>
  <dc:description/>
  <cp:lastModifiedBy>Rianiska Alivia Rumstikasany</cp:lastModifiedBy>
  <cp:revision/>
  <cp:lastPrinted>2026-02-03T03:59:16Z</cp:lastPrinted>
  <dcterms:created xsi:type="dcterms:W3CDTF">2020-08-01T03:45:11Z</dcterms:created>
  <dcterms:modified xsi:type="dcterms:W3CDTF">2026-02-12T04:10:37Z</dcterms:modified>
  <cp:category/>
  <cp:contentStatus/>
</cp:coreProperties>
</file>