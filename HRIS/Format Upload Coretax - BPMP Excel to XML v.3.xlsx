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BPMP" sheetId="2" r:id="rId6"/>
    <sheet state="visible" name="REF" sheetId="3" r:id="rId7"/>
  </sheets>
  <definedNames/>
  <calcPr/>
</workbook>
</file>

<file path=xl/sharedStrings.xml><?xml version="1.0" encoding="utf-8"?>
<sst xmlns="http://schemas.openxmlformats.org/spreadsheetml/2006/main" count="149" uniqueCount="90">
  <si>
    <t>Kode Objek Pajak</t>
  </si>
  <si>
    <t>Kolom pada excel</t>
  </si>
  <si>
    <t>Nama Objek Pajak</t>
  </si>
  <si>
    <t>Resident</t>
  </si>
  <si>
    <t>TK/0</t>
  </si>
  <si>
    <t>N/A</t>
  </si>
  <si>
    <t>21-100-01</t>
  </si>
  <si>
    <t>Penghasilan yang diterima oleh Pegawai Tetap termasuk Pegawai Negeri Sipil, Anggota Tentara Nasional Indonesia, Anggota Polisi Republik Indonesia atau Pejabat Negara</t>
  </si>
  <si>
    <t>Foreign</t>
  </si>
  <si>
    <t>TK/1</t>
  </si>
  <si>
    <t>DTP</t>
  </si>
  <si>
    <t>Kolom pada xml</t>
  </si>
  <si>
    <t>21-100-02</t>
  </si>
  <si>
    <t>Petunjuk pengisian</t>
  </si>
  <si>
    <t>Penghasilan yang diterima oleh Penerima Pensiun secara  teratur</t>
  </si>
  <si>
    <t>Contoh pengisian</t>
  </si>
  <si>
    <t>TK/2</t>
  </si>
  <si>
    <t>ETC</t>
  </si>
  <si>
    <t>Validasi</t>
  </si>
  <si>
    <t>21-100-32</t>
  </si>
  <si>
    <t>Keterangan tambahan</t>
  </si>
  <si>
    <t>Penghasilan yang diterima oleh Pegawai tetap yang menerima fasilitas di daerah tertentu</t>
  </si>
  <si>
    <t>TK/3</t>
  </si>
  <si>
    <t>NPWP Pemotong</t>
  </si>
  <si>
    <t>TIN</t>
  </si>
  <si>
    <t>K/0</t>
  </si>
  <si>
    <t>Diisi dengan NPWP pemotong</t>
  </si>
  <si>
    <t>K/1</t>
  </si>
  <si>
    <t>K/2</t>
  </si>
  <si>
    <t>1234567890123456</t>
  </si>
  <si>
    <t>K/3</t>
  </si>
  <si>
    <t>HB/0</t>
  </si>
  <si>
    <t>NPWP Pemotong harus sama dengan NPWP login</t>
  </si>
  <si>
    <t>HB/1</t>
  </si>
  <si>
    <t>HB/2</t>
  </si>
  <si>
    <t>Masa Pajak</t>
  </si>
  <si>
    <t>HB/3</t>
  </si>
  <si>
    <t>TaxPeriodMonth</t>
  </si>
  <si>
    <t>Diisi dengan masa pajak pemotongan</t>
  </si>
  <si>
    <t>1</t>
  </si>
  <si>
    <t>Tahun Pajak</t>
  </si>
  <si>
    <t>TaxPeriodYear</t>
  </si>
  <si>
    <t>2025</t>
  </si>
  <si>
    <t>Status Pegawai</t>
  </si>
  <si>
    <t>CounterpartOpt</t>
  </si>
  <si>
    <t>Diisi dengan status kewarganegaraan pegawai (karyawan asing atau tidak)</t>
  </si>
  <si>
    <t>NPWP/NIK/TIN</t>
  </si>
  <si>
    <t>CounterpartTin</t>
  </si>
  <si>
    <t>Diisi dengan NIK pegawai tetap</t>
  </si>
  <si>
    <t>0987654321098765</t>
  </si>
  <si>
    <t>NPWP/NIK wajib valid</t>
  </si>
  <si>
    <t>Nomor Passport</t>
  </si>
  <si>
    <t>CounterpartPassport</t>
  </si>
  <si>
    <t>Diisi dengan nomor paspor pegawai tetap (jika karyawan asing)</t>
  </si>
  <si>
    <t>Status</t>
  </si>
  <si>
    <t>StatusTaxExemption</t>
  </si>
  <si>
    <t>Diisi dengan status PTKP penerima penghasilan</t>
  </si>
  <si>
    <t>Posisi</t>
  </si>
  <si>
    <t>Position</t>
  </si>
  <si>
    <t>Diisi dengan posisi pegawai tetap</t>
  </si>
  <si>
    <t>Staff</t>
  </si>
  <si>
    <t>Sertifikat/Fasilitas</t>
  </si>
  <si>
    <t>TaxCertificate</t>
  </si>
  <si>
    <t>Diisi dengan fasilitas perpajakan yang digunakan</t>
  </si>
  <si>
    <t>TaxObjectCode</t>
  </si>
  <si>
    <t>Diisi dengan kode objek pajak</t>
  </si>
  <si>
    <t>Penghasilan Kotor</t>
  </si>
  <si>
    <t>Gross</t>
  </si>
  <si>
    <t>Diisi dengan penghasilan bruto</t>
  </si>
  <si>
    <t>Tarif</t>
  </si>
  <si>
    <t>Rate</t>
  </si>
  <si>
    <t>Diisi dengan tarif yang sesuai dengan referensi kode objek pajak</t>
  </si>
  <si>
    <t>Jika menggunakan fasilitas perpajakan lainnya, tarif dapat diisi tidak sesuai dengan referensi kode objek pajak</t>
  </si>
  <si>
    <t>Jika tarif menggunakan koma, di export ke xml, excel secara otomatis akan merubah menjadi format desimal menggunakan titik</t>
  </si>
  <si>
    <t>ID TKU</t>
  </si>
  <si>
    <t>IDPlaceOfBusinessActivity</t>
  </si>
  <si>
    <t>Diisi dengan ID TKU pemotong</t>
  </si>
  <si>
    <t>1234567890123456789012</t>
  </si>
  <si>
    <t>Tgl Pemotongan</t>
  </si>
  <si>
    <t>WithholdingDate</t>
  </si>
  <si>
    <t>Diisi dengan tanggal pemotongan</t>
  </si>
  <si>
    <t>Tanggal pemotongan tidak boleh lebih rendah dari masa/tahun pajak bukti potong</t>
  </si>
  <si>
    <t>Saat di export ke xml, excel secara otomatis akan merubah menjadi format YYYY-MM-DD</t>
  </si>
  <si>
    <t>3172022407981234</t>
  </si>
  <si>
    <t>TER A</t>
  </si>
  <si>
    <t>TER B</t>
  </si>
  <si>
    <t>TER C</t>
  </si>
  <si>
    <t>3172024806201234</t>
  </si>
  <si>
    <t>IRT</t>
  </si>
  <si>
    <t>3172022407981234000000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</si>
</sst>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FFFFFF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3" numFmtId="0" xfId="0" applyAlignment="1" applyFont="1">
      <alignment horizontal="right"/>
    </xf>
    <xf quotePrefix="1"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3" numFmtId="14" xfId="0" applyAlignment="1" applyFont="1" applyNumberFormat="1">
      <alignment horizontal="right"/>
    </xf>
    <xf quotePrefix="1" borderId="0" fillId="0" fontId="3" numFmtId="14" xfId="0" applyAlignment="1" applyFont="1" applyNumberFormat="1">
      <alignment horizontal="left"/>
    </xf>
    <xf quotePrefix="1" borderId="0" fillId="0" fontId="3" numFmtId="49" xfId="0" applyFont="1" applyNumberFormat="1"/>
    <xf borderId="0" fillId="0" fontId="4" numFmtId="0" xfId="0" applyFont="1"/>
    <xf borderId="0" fillId="0" fontId="1" numFmtId="0" xfId="0" applyFont="1"/>
    <xf borderId="0" fillId="0" fontId="3" numFmtId="49" xfId="0" applyFont="1" applyNumberFormat="1"/>
    <xf quotePrefix="1" borderId="0" fillId="0" fontId="3" numFmtId="49" xfId="0" applyFont="1" applyNumberFormat="1"/>
    <xf borderId="0" fillId="0" fontId="3" numFmtId="0" xfId="0" applyFont="1"/>
    <xf borderId="0" fillId="0" fontId="3" numFmtId="14" xfId="0" applyFont="1" applyNumberForma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N10" displayName="Table_1" name="Table_1" id="1">
  <tableColumns count="13">
    <tableColumn name="Masa Pajak" id="1"/>
    <tableColumn name="Tahun Pajak" id="2"/>
    <tableColumn name="Status Pegawai" id="3"/>
    <tableColumn name="NPWP/NIK/TIN" id="4"/>
    <tableColumn name="Nomor Passport" id="5"/>
    <tableColumn name="Status" id="6"/>
    <tableColumn name="Posisi" id="7"/>
    <tableColumn name="Sertifikat/Fasilitas" id="8"/>
    <tableColumn name="Kode Objek Pajak" id="9"/>
    <tableColumn name="Penghasilan Kotor" id="10"/>
    <tableColumn name="Tarif" id="11"/>
    <tableColumn name="ID TKU" id="12"/>
    <tableColumn name="Tgl Pemotongan" id="13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7.29"/>
    <col customWidth="1" min="3" max="3" width="13.86"/>
    <col customWidth="1" min="4" max="4" width="16.71"/>
    <col customWidth="1" min="5" max="5" width="25.43"/>
    <col customWidth="1" min="6" max="6" width="17.57"/>
    <col customWidth="1" min="7" max="7" width="8.71"/>
    <col customWidth="1" min="8" max="8" width="10.57"/>
    <col customWidth="1" min="9" max="9" width="19.71"/>
    <col customWidth="1" min="10" max="10" width="18.86"/>
    <col customWidth="1" min="11" max="11" width="19.57"/>
    <col customWidth="1" min="12" max="12" width="7.29"/>
    <col customWidth="1" min="13" max="13" width="24.57"/>
    <col customWidth="1" min="14" max="14" width="17.71"/>
    <col customWidth="1" min="15" max="15" width="8.71"/>
    <col customWidth="1" min="16" max="16" width="10.57"/>
    <col customWidth="1" min="17" max="17" width="8.71"/>
    <col customWidth="1" min="18" max="18" width="10.57"/>
    <col customWidth="1" min="19" max="26" width="8.71"/>
  </cols>
  <sheetData>
    <row r="1">
      <c r="A1" s="1" t="s">
        <v>23</v>
      </c>
      <c r="B1" s="8" t="s">
        <v>83</v>
      </c>
    </row>
    <row r="4">
      <c r="B4" s="9" t="s">
        <v>35</v>
      </c>
      <c r="C4" s="9" t="s">
        <v>40</v>
      </c>
      <c r="D4" s="9" t="s">
        <v>43</v>
      </c>
      <c r="E4" s="9" t="s">
        <v>46</v>
      </c>
      <c r="F4" s="9" t="s">
        <v>51</v>
      </c>
      <c r="G4" s="9" t="s">
        <v>54</v>
      </c>
      <c r="H4" s="9" t="s">
        <v>57</v>
      </c>
      <c r="I4" s="9" t="s">
        <v>61</v>
      </c>
      <c r="J4" s="9" t="s">
        <v>0</v>
      </c>
      <c r="K4" s="9" t="s">
        <v>66</v>
      </c>
      <c r="L4" s="9" t="s">
        <v>69</v>
      </c>
      <c r="M4" s="9" t="s">
        <v>74</v>
      </c>
      <c r="N4" s="9" t="s">
        <v>78</v>
      </c>
      <c r="P4" s="1" t="s">
        <v>84</v>
      </c>
      <c r="Q4" s="1" t="s">
        <v>85</v>
      </c>
      <c r="R4" s="1" t="s">
        <v>86</v>
      </c>
    </row>
    <row r="5">
      <c r="B5" s="10">
        <v>1.0</v>
      </c>
      <c r="C5" s="10">
        <v>2025.0</v>
      </c>
      <c r="D5" s="11" t="s">
        <v>3</v>
      </c>
      <c r="E5" s="12" t="s">
        <v>87</v>
      </c>
      <c r="F5" s="11"/>
      <c r="G5" s="11" t="s">
        <v>4</v>
      </c>
      <c r="H5" s="11" t="s">
        <v>88</v>
      </c>
      <c r="I5" s="11" t="s">
        <v>5</v>
      </c>
      <c r="J5" s="11" t="s">
        <v>6</v>
      </c>
      <c r="K5" s="10">
        <v>6300001.0</v>
      </c>
      <c r="L5" s="13">
        <f t="shared" ref="L5:L10" si="1">IF(OR(G5="TK/0",G5="TK/1",G5="K/0",G5="HB/0",G5="HB/1"),P5,IF(OR(G5="TK/2",G5="TK/3",G5="K/1",G5="K/2",G5="HB/2",G5="HB/3"),Q5,R5))</f>
        <v>1</v>
      </c>
      <c r="M5" s="12" t="s">
        <v>89</v>
      </c>
      <c r="N5" s="14">
        <v>45658.0</v>
      </c>
      <c r="P5" s="15">
        <f t="shared" ref="P5:P10" si="2">IF(K5&lt;=5400000,0,IF(AND(K5&gt;5400000,K5&lt;=5650000),0.25,IF(AND(K5&gt;5650000,K5&lt;=5950000),0.5,IF(AND(K5&gt;5950000,K5&lt;=6300000),0.75,IF(AND(K5&gt;6300000,K5&lt;=6750000),1,IF(AND(K5&gt;6750000,K5&lt;=7500000),1.25,IF(AND(K5&gt;7500000,K5&lt;=8550000),1.5,IF(AND(K5&gt;8550000,K5&lt;=9650000),1.75,IF(AND(K5&gt;9650000,K5&lt;=10050000),2,IF(AND(K5&gt;10050000,K5&lt;=10350000),2.25,IF(AND(K5&gt;10350000,K5&lt;=10700000),2.5,IF(AND(K5&gt;10700000,K5&lt;=11050000),3,IF(AND(K5&gt;11050000,K5&lt;=11600000),3.5,IF(AND(K5&gt;11600000,K5&lt;=12500000),4,IF(AND(K5&gt;12500000,K5&lt;=13750000),5,IF(AND(K5&gt;13750000,K5&lt;=15100000),6,IF(AND(K5&gt;15100000,K5&lt;=16950000),7,IF(AND(K5&gt;16950000,K5&lt;=19750000),8,IF(AND(K5&gt;19750000,K5&lt;=24150000),9,IF(AND(K5&gt;24150000,K5&lt;=26450000),10,IF(AND(K5&gt;26450000,K5&lt;=28000000),11,IF(AND(K5&gt;28000000,K5&lt;=30050000),12,IF(AND(K5&gt;30050000,K5&lt;=32400000),13,IF(AND(K5&gt;32400000,K5&lt;=35400000),14,IF(AND(K5&gt;35400000,K5&lt;=39100000),15,IF(AND(K5&gt;39100000,K5&lt;=43850000),16,IF(AND(K5&gt;43850000,K5&lt;=47800000),17,IF(AND(K5&gt;47800000,K5&lt;=51400000),18,IF(AND(K5&gt;51400000,K5&lt;=56300000),19,IF(AND(K5&gt;56300000,K5&lt;=62200000),20,IF(AND(K5&gt;62200000,K5&lt;=68600000),21,IF(AND(K5&gt;68600000,K5&lt;=77500000),22,IF(AND(K5&gt;77500000,K5&lt;=89000000),23,IF(AND(K5&gt;89000000,K5&lt;=103000000),24,IF(AND(K5&gt;103000000,K5&lt;=125000000),25,IF(AND(K5&gt;125000000,K5&lt;=157000000),26,IF(AND(K5&gt;157000000,K5&lt;=206000000),27,IF(AND(K5&gt;206000000,K5&lt;=337000000),28,IF(AND(K5&gt;337000000,K5&lt;=454000000),29,IF(AND(K5&gt;454000000,K5&lt;=550000000),30,IF(AND(K5&gt;550000000,K5&lt;=695000000),31,IF(AND(K5&gt;695000000,K5&lt;=910000000),32,IF(AND(K5&gt;910000000,K5&lt;=1400000000),33,34)))))))))))))))))))))))))))))))))))))))))))</f>
        <v>1</v>
      </c>
      <c r="Q5" s="15">
        <f t="shared" ref="Q5:Q10" si="3">IF(K5&lt;=6200000,0,IF(AND(K5&gt;6200000,K5&lt;=6500000),0.25,IF(AND(K5&gt;6500000,K5&lt;=6850000),0.5,IF(AND(K5&gt;6850000,K5&lt;=7300000),0.75,IF(AND(K5&gt;7300000,K5&lt;=9200000),1,IF(AND(K5&gt;9200000,K5&lt;=10750000),1.5,IF(AND(K5&gt;10750000,K5&lt;=11250000),2,IF(AND(K5&gt;11250000,K5&lt;=11600000),2.5,IF(AND(K5&gt;11600000,K5&lt;=12600000),3,IF(AND(K5&gt;12600000,K5&lt;=13600000),4,IF(AND(K5&gt;13600000,K5&lt;=14950000),5,IF(AND(K5&gt;14950000,K5&lt;=16400000),6,IF(AND(K5&gt;16400000,K5&lt;=18450000),7,IF(AND(K5&gt;18450000,K5&lt;=21850000),8,IF(AND(K5&gt;21850000,K5&lt;=26000000),9,IF(AND(K5&gt;26000000,K5&lt;=27700000),10,IF(AND(K5&gt;27700000,K5&lt;=29350000),11,IF(AND(K5&gt;29350000,K5&lt;=31450000),12,IF(AND(K5&gt;31450000,K5&lt;=33950000),13,IF(AND(K5&gt;33950000,K5&lt;=37100000),14,IF(AND(K5&gt;37100000,K5&lt;=41100000),15,IF(AND(K5&gt;41100000,K5&lt;=45800000),16,IF(AND(K5&gt;45800000,K5&lt;=49500000),17,IF(AND(K5&gt;49500000,K5&lt;=53800000),18,IF(AND(K5&gt;53800000,K5&lt;=58500000),19,IF(AND(K5&gt;58500000,K5&lt;=64000000),20,IF(AND(K5&gt;64000000,K5&lt;=71000000),21,IF(AND(K5&gt;71000000,K5&lt;=80000000),22,IF(AND(K5&gt;80000000,K5&lt;=93000000),23,IF(AND(K5&gt;93000000,K5&lt;=109000000),24,IF(AND(K5&gt;109000000,K5&lt;=129000000),25,IF(AND(K5&gt;129000000,K5&lt;=163000000),26,IF(AND(K5&gt;163000000,K5&lt;=211000000),27,IF(AND(K5&gt;211000000,K5&lt;=374000000),28,IF(AND(K5&gt;374000000,K5&lt;=459000000),29,IF(AND(K5&gt;459000000,K5&lt;=555000000),30,IF(AND(K5&gt;555000000,K5&lt;=704000000),31,IF(AND(K5&gt;704000000,K5&lt;=957000000),32,IF(AND(K5&gt;957000000,K5&lt;=1405000000),33,34)))))))))))))))))))))))))))))))))))))))</f>
        <v>0.25</v>
      </c>
      <c r="R5" s="15">
        <f t="shared" ref="R5:R10" si="4">IF(K5&lt;=6600000,0,IF(AND(K5&gt;6600000,K5&lt;=6950000),0.25,IF(AND(K5&gt;6950000,K5&lt;=7350000),0.5,IF(AND(K5&gt;7350000,K5&lt;=7800000),0.75,IF(AND(K5&gt;7800000,K5&lt;=8850000),1,IF(AND(K5&gt;8850000,K5&lt;=9800000),1.25,IF(AND(K5&gt;9800000,K5&lt;=10950000),1.5,IF(AND(K5&gt;10950000,K5&lt;=11200000),1.75,IF(AND(K5&gt;11200000,K5&lt;=12050000),2,IF(AND(K5&gt;12050000,K5&lt;=12950000),3,IF(AND(K5&gt;12950000,K5&lt;=14150000),4,IF(AND(K5&gt;14150000,K5&lt;=15550000),5,IF(AND(K5&gt;15550000,K5&lt;=17050000),6,IF(AND(K5&gt;17050000,K5&lt;=19500000),7,IF(AND(K5&gt;19500000,K5&lt;=22700000),8,IF(AND(K5&gt;22700000,K5&lt;=26600000),9,IF(AND(K5&gt;26600000,K5&lt;=28100000),10,IF(AND(K5&gt;28100000,K5&lt;=30100000),11,IF(AND(K5&gt;30100000,K5&lt;=32600000),12,IF(AND(K5&gt;32600000,K5&lt;=35400000),13,IF(AND(K5&gt;35400000,K5&lt;=38900000),14,IF(AND(K5&gt;38900000,K5&lt;=43000000),15,IF(AND(K5&gt;43000000,K5&lt;=47400000),16,IF(AND(K5&gt;47400000,K5&lt;=51200000),17,IF(AND(K5&gt;51200000,K5&lt;=55800000),18,IF(AND(K5&gt;55800000,K5&lt;=60400000),19,IF(AND(K5&gt;60400000,K5&lt;=66700000),20,IF(AND(K5&gt;66700000,K5&lt;=74500000),21,IF(AND(K5&gt;74500000,K5&lt;=83200000),22,IF(AND(K5&gt;83200000,K5&lt;=95600000),23,IF(AND(K5&gt;95600000,K5&lt;=110000000),24,IF(AND(K5&gt;110000000,K5&lt;=134000000),25,IF(AND(K5&gt;134000000,K5&lt;=169000000),26,IF(AND(K5&gt;169000000,K5&lt;=221000000),27,IF(AND(K5&gt;221000000,K5&lt;=390000000),28,IF(AND(K5&gt;390000000,K5&lt;=463000000),29,IF(AND(K5&gt;463000000,K5&lt;=561000000),30,IF(AND(K5&gt;561000000,K5&lt;=709000000),31,IF(AND(K5&gt;709000000,K5&lt;=965000000),32,IF(AND(K5&gt;965000000,K5&lt;=1419000000),33,34))))))))))))))))))))))))))))))))))))))))</f>
        <v>0</v>
      </c>
      <c r="S5" s="15"/>
      <c r="T5" s="15"/>
      <c r="U5" s="15"/>
      <c r="V5" s="15"/>
    </row>
    <row r="6">
      <c r="B6" s="10">
        <v>1.0</v>
      </c>
      <c r="C6" s="10">
        <v>2025.0</v>
      </c>
      <c r="D6" s="11" t="s">
        <v>3</v>
      </c>
      <c r="E6" s="12" t="s">
        <v>87</v>
      </c>
      <c r="F6" s="11"/>
      <c r="G6" s="11" t="s">
        <v>28</v>
      </c>
      <c r="H6" s="11" t="s">
        <v>88</v>
      </c>
      <c r="I6" s="11" t="s">
        <v>10</v>
      </c>
      <c r="J6" s="11" t="s">
        <v>6</v>
      </c>
      <c r="K6" s="10">
        <v>1.4E7</v>
      </c>
      <c r="L6" s="13">
        <f t="shared" si="1"/>
        <v>5</v>
      </c>
      <c r="M6" s="12" t="s">
        <v>89</v>
      </c>
      <c r="N6" s="14">
        <v>45658.0</v>
      </c>
      <c r="P6" s="15">
        <f t="shared" si="2"/>
        <v>6</v>
      </c>
      <c r="Q6" s="15">
        <f t="shared" si="3"/>
        <v>5</v>
      </c>
      <c r="R6" s="15">
        <f t="shared" si="4"/>
        <v>4</v>
      </c>
      <c r="S6" s="15"/>
      <c r="T6" s="15"/>
      <c r="U6" s="15"/>
      <c r="V6" s="15"/>
    </row>
    <row r="7">
      <c r="B7" s="10">
        <v>1.0</v>
      </c>
      <c r="C7" s="10">
        <v>2025.0</v>
      </c>
      <c r="D7" s="11" t="s">
        <v>3</v>
      </c>
      <c r="E7" s="12" t="s">
        <v>87</v>
      </c>
      <c r="F7" s="11"/>
      <c r="G7" s="11" t="s">
        <v>30</v>
      </c>
      <c r="H7" s="11" t="s">
        <v>88</v>
      </c>
      <c r="I7" s="11" t="s">
        <v>17</v>
      </c>
      <c r="J7" s="11" t="s">
        <v>6</v>
      </c>
      <c r="K7" s="10">
        <v>1.5E7</v>
      </c>
      <c r="L7" s="13">
        <f t="shared" si="1"/>
        <v>5</v>
      </c>
      <c r="M7" s="12" t="s">
        <v>89</v>
      </c>
      <c r="N7" s="14">
        <v>45658.0</v>
      </c>
      <c r="P7" s="15">
        <f t="shared" si="2"/>
        <v>6</v>
      </c>
      <c r="Q7" s="15">
        <f t="shared" si="3"/>
        <v>6</v>
      </c>
      <c r="R7" s="15">
        <f t="shared" si="4"/>
        <v>5</v>
      </c>
      <c r="S7" s="15"/>
      <c r="T7" s="15"/>
      <c r="U7" s="15"/>
      <c r="V7" s="15"/>
    </row>
    <row r="8">
      <c r="B8" s="10">
        <v>1.0</v>
      </c>
      <c r="C8" s="10">
        <v>2025.0</v>
      </c>
      <c r="D8" s="11" t="s">
        <v>3</v>
      </c>
      <c r="E8" s="12" t="s">
        <v>87</v>
      </c>
      <c r="F8" s="11"/>
      <c r="G8" s="11" t="s">
        <v>9</v>
      </c>
      <c r="H8" s="11" t="s">
        <v>88</v>
      </c>
      <c r="I8" s="11" t="s">
        <v>5</v>
      </c>
      <c r="J8" s="11" t="s">
        <v>6</v>
      </c>
      <c r="K8" s="10">
        <v>5700000.0</v>
      </c>
      <c r="L8" s="13">
        <f t="shared" si="1"/>
        <v>0.5</v>
      </c>
      <c r="M8" s="12" t="s">
        <v>89</v>
      </c>
      <c r="N8" s="14">
        <v>45658.0</v>
      </c>
      <c r="P8" s="15">
        <f t="shared" si="2"/>
        <v>0.5</v>
      </c>
      <c r="Q8" s="15">
        <f t="shared" si="3"/>
        <v>0</v>
      </c>
      <c r="R8" s="15">
        <f t="shared" si="4"/>
        <v>0</v>
      </c>
      <c r="S8" s="15"/>
      <c r="T8" s="15"/>
      <c r="U8" s="15"/>
      <c r="V8" s="15"/>
    </row>
    <row r="9">
      <c r="B9" s="10">
        <v>1.0</v>
      </c>
      <c r="C9" s="10">
        <v>2025.0</v>
      </c>
      <c r="D9" s="11" t="s">
        <v>3</v>
      </c>
      <c r="E9" s="12" t="s">
        <v>87</v>
      </c>
      <c r="F9" s="11"/>
      <c r="G9" s="11" t="s">
        <v>22</v>
      </c>
      <c r="H9" s="11" t="s">
        <v>88</v>
      </c>
      <c r="I9" s="11" t="s">
        <v>10</v>
      </c>
      <c r="J9" s="11" t="s">
        <v>6</v>
      </c>
      <c r="K9" s="10">
        <v>6900000.0</v>
      </c>
      <c r="L9" s="13">
        <f t="shared" si="1"/>
        <v>0.75</v>
      </c>
      <c r="M9" s="12" t="s">
        <v>89</v>
      </c>
      <c r="N9" s="14">
        <v>45658.0</v>
      </c>
      <c r="P9" s="15">
        <f t="shared" si="2"/>
        <v>1.25</v>
      </c>
      <c r="Q9" s="15">
        <f t="shared" si="3"/>
        <v>0.75</v>
      </c>
      <c r="R9" s="15">
        <f t="shared" si="4"/>
        <v>0.25</v>
      </c>
      <c r="S9" s="15"/>
      <c r="T9" s="15"/>
      <c r="U9" s="15"/>
      <c r="V9" s="15"/>
    </row>
    <row r="10">
      <c r="B10" s="10">
        <v>1.0</v>
      </c>
      <c r="C10" s="10">
        <v>2025.0</v>
      </c>
      <c r="D10" s="11" t="s">
        <v>3</v>
      </c>
      <c r="E10" s="12" t="s">
        <v>87</v>
      </c>
      <c r="F10" s="11"/>
      <c r="G10" s="11" t="s">
        <v>30</v>
      </c>
      <c r="H10" s="11" t="s">
        <v>88</v>
      </c>
      <c r="I10" s="11" t="s">
        <v>17</v>
      </c>
      <c r="J10" s="11" t="s">
        <v>6</v>
      </c>
      <c r="K10" s="10">
        <v>4.0E7</v>
      </c>
      <c r="L10" s="13">
        <f t="shared" si="1"/>
        <v>15</v>
      </c>
      <c r="M10" s="12" t="s">
        <v>89</v>
      </c>
      <c r="N10" s="14">
        <v>45658.0</v>
      </c>
      <c r="P10" s="15">
        <f t="shared" si="2"/>
        <v>16</v>
      </c>
      <c r="Q10" s="15">
        <f t="shared" si="3"/>
        <v>15</v>
      </c>
      <c r="R10" s="15">
        <f t="shared" si="4"/>
        <v>15</v>
      </c>
      <c r="S10" s="15"/>
      <c r="T10" s="15"/>
      <c r="U10" s="15"/>
      <c r="V10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5:G10">
      <formula1>REF!$C$2:$C$13</formula1>
    </dataValidation>
    <dataValidation type="list" allowBlank="1" showErrorMessage="1" sqref="J5:J10">
      <formula1>"21-100-01,21-100-02,21-100-32"</formula1>
    </dataValidation>
    <dataValidation type="list" allowBlank="1" showErrorMessage="1" sqref="I5:I10">
      <formula1>REF!$D$2:$D$4</formula1>
    </dataValidation>
    <dataValidation type="list" allowBlank="1" showErrorMessage="1" sqref="D5:D10">
      <formula1>REF!$B$2:$B$3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4.57"/>
    <col customWidth="1" min="3" max="3" width="67.86"/>
    <col customWidth="1" min="4" max="4" width="23.43"/>
    <col customWidth="1" min="5" max="5" width="100.71"/>
    <col customWidth="1" min="6" max="6" width="105.29"/>
    <col customWidth="1" min="7" max="26" width="8.71"/>
  </cols>
  <sheetData>
    <row r="1">
      <c r="A1" s="2" t="s">
        <v>1</v>
      </c>
      <c r="B1" s="2" t="s">
        <v>11</v>
      </c>
      <c r="C1" s="2" t="s">
        <v>13</v>
      </c>
      <c r="D1" s="2" t="s">
        <v>15</v>
      </c>
      <c r="E1" s="2" t="s">
        <v>18</v>
      </c>
      <c r="F1" s="2" t="s">
        <v>20</v>
      </c>
    </row>
    <row r="2">
      <c r="A2" s="1" t="s">
        <v>23</v>
      </c>
      <c r="B2" s="1" t="s">
        <v>24</v>
      </c>
      <c r="C2" s="1" t="s">
        <v>26</v>
      </c>
      <c r="D2" s="3" t="s">
        <v>29</v>
      </c>
      <c r="E2" s="4" t="s">
        <v>32</v>
      </c>
    </row>
    <row r="3">
      <c r="A3" s="1" t="s">
        <v>35</v>
      </c>
      <c r="B3" s="1" t="s">
        <v>37</v>
      </c>
      <c r="C3" s="1" t="s">
        <v>38</v>
      </c>
      <c r="D3" s="3" t="s">
        <v>39</v>
      </c>
      <c r="E3" s="5"/>
    </row>
    <row r="4">
      <c r="A4" s="1" t="s">
        <v>40</v>
      </c>
      <c r="B4" s="1" t="s">
        <v>41</v>
      </c>
      <c r="C4" s="1" t="s">
        <v>38</v>
      </c>
      <c r="D4" s="3" t="s">
        <v>42</v>
      </c>
      <c r="E4" s="5"/>
    </row>
    <row r="5">
      <c r="A5" s="1" t="s">
        <v>43</v>
      </c>
      <c r="B5" s="1" t="s">
        <v>44</v>
      </c>
      <c r="C5" s="1" t="s">
        <v>45</v>
      </c>
      <c r="D5" s="5" t="s">
        <v>3</v>
      </c>
      <c r="E5" s="5"/>
    </row>
    <row r="6">
      <c r="A6" s="1" t="s">
        <v>46</v>
      </c>
      <c r="B6" s="1" t="s">
        <v>47</v>
      </c>
      <c r="C6" s="1" t="s">
        <v>48</v>
      </c>
      <c r="D6" s="3" t="s">
        <v>49</v>
      </c>
      <c r="E6" s="4" t="s">
        <v>50</v>
      </c>
    </row>
    <row r="7">
      <c r="A7" s="1" t="s">
        <v>51</v>
      </c>
      <c r="B7" s="1" t="s">
        <v>52</v>
      </c>
      <c r="C7" s="1" t="s">
        <v>53</v>
      </c>
      <c r="D7" s="5"/>
      <c r="E7" s="5"/>
    </row>
    <row r="8">
      <c r="A8" s="1" t="s">
        <v>54</v>
      </c>
      <c r="B8" s="1" t="s">
        <v>55</v>
      </c>
      <c r="C8" s="1" t="s">
        <v>56</v>
      </c>
      <c r="D8" s="5" t="s">
        <v>22</v>
      </c>
      <c r="E8" s="5"/>
    </row>
    <row r="9">
      <c r="A9" s="1" t="s">
        <v>57</v>
      </c>
      <c r="B9" s="1" t="s">
        <v>58</v>
      </c>
      <c r="C9" s="1" t="s">
        <v>59</v>
      </c>
      <c r="D9" s="5" t="s">
        <v>60</v>
      </c>
      <c r="E9" s="5"/>
    </row>
    <row r="10">
      <c r="A10" s="1" t="s">
        <v>61</v>
      </c>
      <c r="B10" s="1" t="s">
        <v>62</v>
      </c>
      <c r="C10" s="1" t="s">
        <v>63</v>
      </c>
      <c r="D10" s="3" t="s">
        <v>5</v>
      </c>
      <c r="E10" s="5"/>
    </row>
    <row r="11">
      <c r="A11" s="1" t="s">
        <v>0</v>
      </c>
      <c r="B11" s="1" t="s">
        <v>64</v>
      </c>
      <c r="C11" s="1" t="s">
        <v>65</v>
      </c>
      <c r="D11" s="3" t="s">
        <v>6</v>
      </c>
      <c r="E11" s="5"/>
    </row>
    <row r="12">
      <c r="A12" s="1" t="s">
        <v>66</v>
      </c>
      <c r="B12" s="1" t="s">
        <v>67</v>
      </c>
      <c r="C12" s="1" t="s">
        <v>68</v>
      </c>
      <c r="D12" s="5">
        <v>1.0E7</v>
      </c>
      <c r="E12" s="5"/>
    </row>
    <row r="13">
      <c r="A13" s="1" t="s">
        <v>69</v>
      </c>
      <c r="B13" s="1" t="s">
        <v>70</v>
      </c>
      <c r="C13" s="1" t="s">
        <v>71</v>
      </c>
      <c r="D13" s="5">
        <v>2.0</v>
      </c>
      <c r="E13" s="4" t="s">
        <v>72</v>
      </c>
      <c r="F13" s="1" t="s">
        <v>73</v>
      </c>
    </row>
    <row r="14">
      <c r="A14" s="1" t="s">
        <v>74</v>
      </c>
      <c r="B14" s="1" t="s">
        <v>75</v>
      </c>
      <c r="C14" s="1" t="s">
        <v>76</v>
      </c>
      <c r="D14" s="3" t="s">
        <v>77</v>
      </c>
      <c r="E14" s="5"/>
    </row>
    <row r="15">
      <c r="A15" s="1" t="s">
        <v>78</v>
      </c>
      <c r="B15" s="1" t="s">
        <v>79</v>
      </c>
      <c r="C15" s="1" t="s">
        <v>80</v>
      </c>
      <c r="D15" s="6">
        <v>45673.0</v>
      </c>
      <c r="E15" s="7" t="s">
        <v>81</v>
      </c>
      <c r="F15" s="1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57"/>
    <col customWidth="1" min="7" max="7" width="156.14"/>
    <col customWidth="1" min="8" max="26" width="8.71"/>
  </cols>
  <sheetData>
    <row r="1">
      <c r="F1" s="1" t="s">
        <v>0</v>
      </c>
      <c r="G1" s="1" t="s">
        <v>2</v>
      </c>
    </row>
    <row r="2">
      <c r="B2" s="1" t="s">
        <v>3</v>
      </c>
      <c r="C2" s="1" t="s">
        <v>4</v>
      </c>
      <c r="D2" s="1" t="s">
        <v>5</v>
      </c>
      <c r="F2" s="1" t="s">
        <v>6</v>
      </c>
      <c r="G2" s="1" t="s">
        <v>7</v>
      </c>
    </row>
    <row r="3">
      <c r="B3" s="1" t="s">
        <v>8</v>
      </c>
      <c r="C3" s="1" t="s">
        <v>9</v>
      </c>
      <c r="D3" s="1" t="s">
        <v>10</v>
      </c>
      <c r="F3" s="1" t="s">
        <v>12</v>
      </c>
      <c r="G3" s="1" t="s">
        <v>14</v>
      </c>
    </row>
    <row r="4">
      <c r="C4" s="1" t="s">
        <v>16</v>
      </c>
      <c r="D4" s="1" t="s">
        <v>17</v>
      </c>
      <c r="F4" s="1" t="s">
        <v>19</v>
      </c>
      <c r="G4" s="1" t="s">
        <v>21</v>
      </c>
    </row>
    <row r="5">
      <c r="C5" s="1" t="s">
        <v>22</v>
      </c>
    </row>
    <row r="6">
      <c r="C6" s="1" t="s">
        <v>25</v>
      </c>
    </row>
    <row r="7">
      <c r="C7" s="1" t="s">
        <v>27</v>
      </c>
    </row>
    <row r="8">
      <c r="C8" s="1" t="s">
        <v>28</v>
      </c>
    </row>
    <row r="9">
      <c r="C9" s="1" t="s">
        <v>30</v>
      </c>
    </row>
    <row r="10">
      <c r="C10" s="1" t="s">
        <v>31</v>
      </c>
    </row>
    <row r="11">
      <c r="C11" s="1" t="s">
        <v>33</v>
      </c>
    </row>
    <row r="12">
      <c r="C12" s="1" t="s">
        <v>34</v>
      </c>
    </row>
    <row r="13">
      <c r="C13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