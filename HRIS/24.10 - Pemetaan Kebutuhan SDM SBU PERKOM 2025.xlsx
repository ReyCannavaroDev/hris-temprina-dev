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obdesc" sheetId="1" r:id="rId5"/>
    <sheet state="hidden" name="Weekly" sheetId="2" r:id="rId6"/>
    <sheet state="hidden" name="NOTE" sheetId="3" r:id="rId7"/>
    <sheet state="hidden" name="sby update" sheetId="4" r:id="rId8"/>
    <sheet state="visible" name="SBY" sheetId="5" r:id="rId9"/>
    <sheet state="visible" name="BKS" sheetId="6" r:id="rId10"/>
    <sheet state="visible" name="DPS" sheetId="7" r:id="rId11"/>
    <sheet state="visible" name="BWN" sheetId="8" r:id="rId12"/>
    <sheet state="visible" name="NGK" sheetId="9" r:id="rId13"/>
    <sheet state="visible" name="DCI" sheetId="10" r:id="rId14"/>
    <sheet state="visible" name="JBR" sheetId="11" r:id="rId15"/>
    <sheet state="visible" name="ATNG" sheetId="12" r:id="rId16"/>
    <sheet state="visible" name="RESUME" sheetId="13" r:id="rId17"/>
    <sheet state="hidden" name="resume lama" sheetId="14" r:id="rId18"/>
    <sheet state="hidden" name="rentang kendali" sheetId="15" r:id="rId19"/>
    <sheet state="hidden" name="Sheet3" sheetId="16" r:id="rId20"/>
    <sheet state="hidden" name="Data Karyawan" sheetId="17" r:id="rId21"/>
    <sheet state="hidden" name="Sheet4" sheetId="18" r:id="rId22"/>
    <sheet state="hidden" name="Sheet1" sheetId="19" r:id="rId23"/>
  </sheets>
  <definedNames>
    <definedName name="DUEFROMCOUNTERPART">#REF!</definedName>
    <definedName localSheetId="4" name="CURRLTDDIFFPAYMONFAACQ">#REF!</definedName>
    <definedName localSheetId="7" name="PAGEBS">#REF!</definedName>
    <definedName name="TY">#REF!</definedName>
    <definedName localSheetId="7" name="E1A">#REF!</definedName>
    <definedName name="accumdeprbegbalfurniture_Fixture">#REF!</definedName>
    <definedName localSheetId="4" name="Monthof2004">#REF!</definedName>
    <definedName localSheetId="4" name="APDEFERREDTAX">#REF!</definedName>
    <definedName name="ref_SBLC">#REF!</definedName>
    <definedName localSheetId="0" name="APSUBSCON">#REF!</definedName>
    <definedName localSheetId="0" name="LIABFORRETIREMENTBENEFIT">#REF!</definedName>
    <definedName localSheetId="0" name="cy_net_income">#REF!</definedName>
    <definedName localSheetId="7" name="liftingsum">#REF!</definedName>
    <definedName localSheetId="9" name="py_net_income">#REF!</definedName>
    <definedName localSheetId="8" name="L1A">#REF!</definedName>
    <definedName localSheetId="0" name="Prd_CopyAll">#REF!</definedName>
    <definedName localSheetId="0" name="W">#REF!</definedName>
    <definedName localSheetId="9" name="CURRLTDDIFFPAYMONFAACQ">#REF!</definedName>
    <definedName name="Excel_BuiltIn_Print_Area_5">#REF!</definedName>
    <definedName localSheetId="0" name="APOTHTHIRD">#REF!</definedName>
    <definedName name="NOTESPAYABLE">#REF!</definedName>
    <definedName localSheetId="9" name="DUETOCOUNTERPART">#REF!</definedName>
    <definedName name="DUETOSTOCKHOLDER">#REF!</definedName>
    <definedName localSheetId="7" name="KKM">#REF!</definedName>
    <definedName name="Excel_BuiltIn_Print_Area_4">#REF!</definedName>
    <definedName localSheetId="0" name="N1B">#REF!</definedName>
    <definedName localSheetId="9" name="_R1A">#REF!</definedName>
    <definedName localSheetId="7" name="DUEFROMAFFCO">#REF!</definedName>
    <definedName name="Excel_BuiltIn_Print_Area_3">#REF!</definedName>
    <definedName localSheetId="8" name="J1B">#REF!</definedName>
    <definedName localSheetId="8" name="Excel_BuiltIn_Print_Area_11">#REF!</definedName>
    <definedName localSheetId="0" name="Excel_BuiltIn_Print_Titles_10">#REF!</definedName>
    <definedName localSheetId="4" name="kopRIN">#REF!</definedName>
    <definedName name="yy">#REF!</definedName>
    <definedName localSheetId="9" name="STK">#REF!</definedName>
    <definedName localSheetId="7" name="DUETOAFFCO">#REF!</definedName>
    <definedName localSheetId="0" name="dhjk">#REF!</definedName>
    <definedName localSheetId="7" name="J1A">#REF!</definedName>
    <definedName localSheetId="0" name="kopRIN">#REF!</definedName>
    <definedName name="LIABFORRETIREMENTBENEFIT">#REF!</definedName>
    <definedName localSheetId="0" name="ADVFORACQUISITIONOFINVESTMENT">#REF!</definedName>
    <definedName localSheetId="7" name="N1B">#REF!</definedName>
    <definedName localSheetId="8" name="DUEFROMAFFCON">#REF!</definedName>
    <definedName name="DUEFROMOTHSTOCKHOLDER">#REF!</definedName>
    <definedName name="ccc">#REF!</definedName>
    <definedName localSheetId="0" name="ARTRADTHIRD">#REF!</definedName>
    <definedName name="SHEET4">Sheet1!$BS$61:$BV$61</definedName>
    <definedName localSheetId="0" name="Excel_BuiltIn_Print_Titles_4">#REF!</definedName>
    <definedName name="ADVANCES">#REF!</definedName>
    <definedName localSheetId="9" name="E1A">#REF!</definedName>
    <definedName localSheetId="0" name="Attachment_16.2">#REF!</definedName>
    <definedName name="Excel_BuiltIn_Print_Area_17">#REF!</definedName>
    <definedName localSheetId="8" name="jjddll">#REF!</definedName>
    <definedName localSheetId="0" name="DIFFINVALUEOFTRANSACTIONWITHUCC">#REF!</definedName>
    <definedName localSheetId="0" name="Monthof2004">#REF!</definedName>
    <definedName localSheetId="8" name="CURRLTDLOAN">#REF!</definedName>
    <definedName localSheetId="0" name="L1A">#REF!</definedName>
    <definedName localSheetId="9" name="APAFFCON">#REF!</definedName>
    <definedName localSheetId="0" name="searchsuratjalan">#REF!</definedName>
    <definedName name="KKM">#REF!</definedName>
    <definedName localSheetId="0" name="COMMSTOCKSUBSCRIPTIONRECEIVABLE">#REF!</definedName>
    <definedName name="INVESTMENTINSHAREOFSTOCKS">#REF!</definedName>
    <definedName localSheetId="7" name="PREPAIDEXPENSES">#REF!</definedName>
    <definedName localSheetId="4" name="NOTESPAYABLE">#REF!</definedName>
    <definedName name="PAGEALL">#REF!</definedName>
    <definedName localSheetId="9" name="J1A">#REF!</definedName>
    <definedName localSheetId="0" name="py_ret_earn_beg">#REF!</definedName>
    <definedName localSheetId="4" name="APINTERCOMPANYACCOUNT">#REF!</definedName>
    <definedName localSheetId="4" name="PAGEALL">#REF!</definedName>
    <definedName localSheetId="8" name="kopRIN">#REF!</definedName>
    <definedName name="OTHDEFERREDPROJECT">#REF!</definedName>
    <definedName name="accumdeprbegbalTransportationequipment">#REF!</definedName>
    <definedName localSheetId="8" name="I1A">#REF!</definedName>
    <definedName localSheetId="0" name="APTRADRELATED">#REF!</definedName>
    <definedName localSheetId="0" name="calculation">#REF!</definedName>
    <definedName localSheetId="8" name="APAFFCON">#REF!</definedName>
    <definedName localSheetId="0" name="GOODWILL">#REF!</definedName>
    <definedName localSheetId="4" name="COMMSTOCKSUBSCRIPTIONRECEIVABLE">#REF!</definedName>
    <definedName name="M1A">#REF!</definedName>
    <definedName localSheetId="8" name="DUEFROMAFFCO">#REF!</definedName>
    <definedName localSheetId="8" name="N1A">#REF!</definedName>
    <definedName localSheetId="9" name="Excel_BuiltIn_Print_Titles_10">#REF!</definedName>
    <definedName localSheetId="0" name="NPRSHN">#REF!</definedName>
    <definedName name="_R1A">#REF!</definedName>
    <definedName localSheetId="9" name="DUEFROMCOUNTERPART">#REF!</definedName>
    <definedName localSheetId="4" name="GOODWILL">#REF!</definedName>
    <definedName localSheetId="9" name="Attachment_16.2">#REF!</definedName>
    <definedName name="K1A">#REF!</definedName>
    <definedName localSheetId="4" name="LTDLOAN">#REF!</definedName>
    <definedName localSheetId="4" name="STANDARD_ROW">#REF!</definedName>
    <definedName name="W">#REF!</definedName>
    <definedName localSheetId="4" name="ARAFFCON">#REF!</definedName>
    <definedName name="cy_retained_earnings">#REF!</definedName>
    <definedName localSheetId="4" name="N1B">#REF!</definedName>
    <definedName name="hh">#REF!</definedName>
    <definedName name="ADVANCEFORSALE">#REF!</definedName>
    <definedName name="OTHBANKGUARANTEE">#REF!</definedName>
    <definedName name="jjddll">#REF!</definedName>
    <definedName localSheetId="0" name="CUSTOMERDEPOSIT">#REF!</definedName>
    <definedName localSheetId="9" name="liftingsum">#REF!</definedName>
    <definedName localSheetId="7" name="LTDLOAN">#REF!</definedName>
    <definedName name="_CA110">#REF!</definedName>
    <definedName localSheetId="0" name="Excel_BuiltIn_Print_Titles_3">#REF!</definedName>
    <definedName name="xsx">#REF!</definedName>
    <definedName localSheetId="9" name="COMMSTOCKSUBSCRIPTIONRECEIVABLE">#REF!</definedName>
    <definedName localSheetId="7" name="TY">#REF!</definedName>
    <definedName name="ref_technical_spt_svc">#REF!</definedName>
    <definedName localSheetId="4" name="TY">#REF!</definedName>
    <definedName localSheetId="0" name="DUETOSTOCKSUBSCON">#REF!</definedName>
    <definedName name="DUETOAFFCON">#REF!</definedName>
    <definedName localSheetId="0" name="accumdeprbegbalCIP">#REF!</definedName>
    <definedName localSheetId="0" name="DUEFROMAFFCON">#REF!</definedName>
    <definedName localSheetId="4" name="TextRefCopy1">#REF!</definedName>
    <definedName name="H1A">#REF!</definedName>
    <definedName localSheetId="4" name="searchsp">#REF!</definedName>
    <definedName localSheetId="0" name="TY">#REF!</definedName>
    <definedName name="Excel_BuiltIn_Print_Area_14">#REF!</definedName>
    <definedName name="ARTRADRELATED">#REF!</definedName>
    <definedName name="APOTHRELATED">#REF!</definedName>
    <definedName localSheetId="4" name="jjddll">#REF!</definedName>
    <definedName localSheetId="0" name="APDEFERREDTAX">#REF!</definedName>
    <definedName localSheetId="9" name="I1A">#REF!</definedName>
    <definedName name="AR">#REF!</definedName>
    <definedName localSheetId="4" name="liftingsum">#REF!</definedName>
    <definedName localSheetId="8" name="COMM">#REF!</definedName>
    <definedName localSheetId="0" name="H1A">#REF!</definedName>
    <definedName localSheetId="4" name="cy_ret_earn_beg">#REF!</definedName>
    <definedName localSheetId="8" name="searchbantu">#REF!</definedName>
    <definedName name="DUEFROMSUBSCO">#REF!</definedName>
    <definedName localSheetId="9" name="PAGEBS">#REF!</definedName>
    <definedName name="OTHPREOPERATINGEXPENSE">#REF!</definedName>
    <definedName localSheetId="7" name="jjddll2">#REF!</definedName>
    <definedName name="J1A">#REF!</definedName>
    <definedName localSheetId="8" name="calculation">#REF!</definedName>
    <definedName localSheetId="0" name="STANDARD_ROW">#REF!</definedName>
    <definedName name="CURRLTDRELATED">#REF!</definedName>
    <definedName localSheetId="0" name="laba">#REF!</definedName>
    <definedName localSheetId="0" name="PROJECTINPROGRESS">#REF!</definedName>
    <definedName name="GovtLifting">#REF!</definedName>
    <definedName localSheetId="0" name="ARTRADRELATED">#REF!</definedName>
    <definedName name="O1A">#REF!</definedName>
    <definedName localSheetId="4" name="KKM">#REF!</definedName>
    <definedName localSheetId="0" name="Excel_BuiltIn_Print_Area_11">#REF!</definedName>
    <definedName localSheetId="9" name="O1A">#REF!</definedName>
    <definedName localSheetId="7" name="L1A">#REF!</definedName>
    <definedName localSheetId="4" name="DUETOCOUNTERPART">#REF!</definedName>
    <definedName name="SECURITIESPAYABLE">#REF!</definedName>
    <definedName localSheetId="9" name="CURRLTDLOAN">#REF!</definedName>
    <definedName localSheetId="7" name="LIABFORRETIREMENTBENEFIT">#REF!</definedName>
    <definedName localSheetId="4" name="J1A">#REF!</definedName>
    <definedName localSheetId="7" name="cy_ret_earn_beg">#REF!</definedName>
    <definedName name="ref_supervision">#REF!</definedName>
    <definedName name="TBSRTBOkForBL">#REF!</definedName>
    <definedName localSheetId="0" name="liftingsum">#REF!</definedName>
    <definedName name="ref_maintenance">#REF!</definedName>
    <definedName localSheetId="9" name="ADVANCEFORSALE">#REF!</definedName>
    <definedName localSheetId="9" name="DUETOAFFCO">#REF!</definedName>
    <definedName localSheetId="8" name="APSUBSCON">#REF!</definedName>
    <definedName localSheetId="8" name="CONS">#REF!</definedName>
    <definedName localSheetId="0" name="ADVANCEFORSALE">#REF!</definedName>
    <definedName localSheetId="8" name="APINTERCOMPANYACCOUNT">#REF!</definedName>
    <definedName name="costbegbalMachineryandequipment">#REF!</definedName>
    <definedName localSheetId="0" name="PAGEBS">#REF!</definedName>
    <definedName localSheetId="7" name="AAA">#REF!</definedName>
    <definedName name="N1B">#REF!</definedName>
    <definedName localSheetId="4" name="CUSTOMERDEPOSIT">#REF!</definedName>
    <definedName name="costbegbalBuildingsandimprovements">#REF!</definedName>
    <definedName localSheetId="4" name="SHORTERMINVESTMENT">#REF!</definedName>
    <definedName localSheetId="0" name="AROTHRELATED">#REF!</definedName>
    <definedName name="LTDOBLIGATION">#REF!</definedName>
    <definedName localSheetId="4" name="Excel_BuiltIn_Print_Titles_10">#REF!</definedName>
    <definedName localSheetId="0" name="cy_retained_earnings">#REF!</definedName>
    <definedName localSheetId="4" name="GovtLifting">#REF!</definedName>
    <definedName localSheetId="7" name="BALSHT">#REF!</definedName>
    <definedName localSheetId="7" name="laba">#REF!</definedName>
    <definedName localSheetId="4" name="cy_retained_earnings">#REF!</definedName>
    <definedName localSheetId="0" name="BALSHT">#REF!</definedName>
    <definedName name="Page_1_of_6">#REF!</definedName>
    <definedName name="calculation">#REF!</definedName>
    <definedName localSheetId="8" name="laba">#REF!</definedName>
    <definedName name="OTHGUARANTEELC">#REF!</definedName>
    <definedName name="OTHRESTRICTEDFUND">#REF!</definedName>
    <definedName localSheetId="4" name="UNREALIZEDPROFIT">#REF!</definedName>
    <definedName localSheetId="8" name="G1A">#REF!</definedName>
    <definedName name="CONVERTIBLENOTES">#REF!</definedName>
    <definedName name="accumdeprbegbalOfficeequipment">#REF!</definedName>
    <definedName name="CONS">#REF!</definedName>
    <definedName localSheetId="0" name="a">#REF!</definedName>
    <definedName localSheetId="0" name="PAGEIS">#REF!</definedName>
    <definedName localSheetId="8" name="CUSTOMERDEPOSIT">#REF!</definedName>
    <definedName name="RECOVERABLE">#REF!</definedName>
    <definedName name="D">#REF!</definedName>
    <definedName name="OCREDITOR">#REF!</definedName>
    <definedName localSheetId="9" name="CONS">#REF!</definedName>
    <definedName localSheetId="0" name="ref_SBLC">#REF!</definedName>
    <definedName localSheetId="9" name="searchsuratjalan">#REF!</definedName>
    <definedName localSheetId="4" name="hh">#REF!</definedName>
    <definedName localSheetId="7" name="APTRADTHIRD">#REF!</definedName>
    <definedName localSheetId="9" name="L1A">#REF!</definedName>
    <definedName localSheetId="8" name="LTDLOAN">#REF!</definedName>
    <definedName name="AVSC">#REF!</definedName>
    <definedName name="py_net_income">#REF!</definedName>
    <definedName name="accumdeprbegbalTelecommunicationsequipment">#REF!</definedName>
    <definedName localSheetId="0" name="G1A">#REF!</definedName>
    <definedName localSheetId="9" name="CAJE">#REF!</definedName>
    <definedName localSheetId="0" name="ccc">#REF!</definedName>
    <definedName localSheetId="9" name="APSUBSCON">#REF!</definedName>
    <definedName name="py_share_equity">#REF!</definedName>
    <definedName localSheetId="9" name="laba">#REF!</definedName>
    <definedName localSheetId="7" name="CONS">#REF!</definedName>
    <definedName localSheetId="7" name="DUETOCOUNTERPART">#REF!</definedName>
    <definedName name="cy_share_equity">#REF!</definedName>
    <definedName localSheetId="8" name="APTRADTHIRD">#REF!</definedName>
    <definedName localSheetId="7" name="CURRLTDDEBTS">#REF!</definedName>
    <definedName localSheetId="4" name="saldo">#REF!</definedName>
    <definedName localSheetId="0" name="TextRefCopy1">#REF!</definedName>
    <definedName localSheetId="8" name="UNEARNEDINCOME">#REF!</definedName>
    <definedName name="accumdeprbegbalMachineryandequipment">#REF!</definedName>
    <definedName localSheetId="0" name="CURRLTDDEBTS">#REF!</definedName>
    <definedName localSheetId="9" name="a">#REF!</definedName>
    <definedName localSheetId="7" name="jjddll">#REF!</definedName>
    <definedName localSheetId="0" name="TRAVEL">#REF!</definedName>
    <definedName name="SGH">#REF!</definedName>
    <definedName name="PAGEBS">#REF!</definedName>
    <definedName localSheetId="4" name="AVSC">#REF!</definedName>
    <definedName localSheetId="0" name="ref_personnel_expense">#REF!</definedName>
    <definedName name="DUETOSTOCKSUBSCON">#REF!</definedName>
    <definedName name="OTHBUSINESSDEVELPMENTPROJECT">#REF!</definedName>
    <definedName localSheetId="8" name="UNREALIZEDPROFIT">#REF!</definedName>
    <definedName localSheetId="0" name="asdasd">#REF!</definedName>
    <definedName localSheetId="0" name="KKM">#REF!</definedName>
    <definedName localSheetId="7" name="N1A">#REF!</definedName>
    <definedName localSheetId="9" name="UNEARNEDINCOME">#REF!</definedName>
    <definedName localSheetId="9" name="GOODWILL">#REF!</definedName>
    <definedName name="CAPPAIDINEXCESSOFPARVALUE">#REF!</definedName>
    <definedName localSheetId="7" name="BLANK">#REF!</definedName>
    <definedName name="CURRLTDLOAN">#REF!</definedName>
    <definedName name="Excel_BuiltIn_Print_Area_13">#REF!</definedName>
    <definedName name="ARTRADTHIRD">#REF!</definedName>
    <definedName localSheetId="9" name="LTDDIFFPAYMONFAACQ">#REF!</definedName>
    <definedName localSheetId="9" name="LTDFOREXTRANSLATION">#REF!</definedName>
    <definedName localSheetId="0" name="BS">#REF!</definedName>
    <definedName localSheetId="7" name="TAXESPAYABLE">#REF!</definedName>
    <definedName localSheetId="9" name="TRAVEL">#REF!</definedName>
    <definedName name="DUEFROMAFFCO">#REF!</definedName>
    <definedName localSheetId="7" name="O1A">#REF!</definedName>
    <definedName name="EXCESSOFBOOKVALUEOVERCOST">#REF!</definedName>
    <definedName name="APDEFERREDTAX">#REF!</definedName>
    <definedName localSheetId="7" name="J1B">#REF!</definedName>
    <definedName localSheetId="4" name="UNEARNEDINCOME">#REF!</definedName>
    <definedName localSheetId="7" name="APDEFERREDTAX">#REF!</definedName>
    <definedName localSheetId="8" name="cy_net_income">#REF!</definedName>
    <definedName localSheetId="9" name="DUETOAFFCON">#REF!</definedName>
    <definedName name="PAIDUPCAPITAL">#REF!</definedName>
    <definedName localSheetId="9" name="jddl">#REF!</definedName>
    <definedName localSheetId="0" name="E1A">#REF!</definedName>
    <definedName localSheetId="9" name="Excel_BuiltIn_Print_Titles_12">#REF!</definedName>
    <definedName localSheetId="7" name="CAPPAIDINEXCESSOFPARVALUE">#REF!</definedName>
    <definedName localSheetId="0" name="_R1A">#REF!</definedName>
    <definedName localSheetId="4" name="DUEFROMCOUNTERPART">#REF!</definedName>
    <definedName localSheetId="4" name="H1A">#REF!</definedName>
    <definedName name="CURRLTDDIFFPAYMONFAACQ">#REF!</definedName>
    <definedName localSheetId="4" name="APAFFCON">#REF!</definedName>
    <definedName name="AFDA">#REF!</definedName>
    <definedName localSheetId="8" name="ETB">#REF!</definedName>
    <definedName localSheetId="0" name="DUEFROMAFFCO">#REF!</definedName>
    <definedName localSheetId="7" name="searchbantu">#REF!</definedName>
    <definedName localSheetId="4" name="a">#REF!</definedName>
    <definedName localSheetId="9" name="AVSC">#REF!</definedName>
    <definedName name="AAA">#REF!</definedName>
    <definedName localSheetId="8" name="PAGEALL">#REF!</definedName>
    <definedName localSheetId="4" name="CONS">#REF!</definedName>
    <definedName localSheetId="4" name="COMM">#REF!</definedName>
    <definedName localSheetId="9" name="cy_retained_earnings">#REF!</definedName>
    <definedName name="costbegbalTelecommunicationsequipment">#REF!</definedName>
    <definedName localSheetId="4" name="TAXESPAYABLE">#REF!</definedName>
    <definedName name="Excel_BuiltIn_Print_Titles_10">#REF!</definedName>
    <definedName name="py_ret_earn_beg">#REF!</definedName>
    <definedName name="E1A">#REF!</definedName>
    <definedName localSheetId="0" name="jddl">#REF!</definedName>
    <definedName localSheetId="0" name="SHORTERMLOAN">#REF!</definedName>
    <definedName localSheetId="9" name="COMM">#REF!</definedName>
    <definedName localSheetId="0" name="O1A">#REF!</definedName>
    <definedName localSheetId="9" name="SGH">#REF!</definedName>
    <definedName localSheetId="8" name="LIABFORRETIREMENTBENEFIT">#REF!</definedName>
    <definedName localSheetId="4" name="TRAVEL">#REF!</definedName>
    <definedName name="datas">#REF!</definedName>
    <definedName localSheetId="9" name="LTDLOAN">#REF!</definedName>
    <definedName localSheetId="9" name="APTRADTHIRD">#REF!</definedName>
    <definedName localSheetId="9" name="PAGEALL">#REF!</definedName>
    <definedName name="accumdeprbegbalCIP">#REF!</definedName>
    <definedName localSheetId="0" name="OTHRESTRICTEDFUND">#REF!</definedName>
    <definedName name="BONDPAYABLE">#REF!</definedName>
    <definedName localSheetId="0" name="TBSRTBOkForBL">#REF!</definedName>
    <definedName localSheetId="0" name="ASSETUNDERCAPITALLEASE">#REF!</definedName>
    <definedName localSheetId="0" name="DETAILS">#REF!</definedName>
    <definedName name="kabkota">#REF!</definedName>
    <definedName localSheetId="9" name="PREPAIDTAX">#REF!</definedName>
    <definedName name="FA1CARRYINGVALUE">#REF!</definedName>
    <definedName localSheetId="8" name="N1B">#REF!</definedName>
    <definedName localSheetId="8" name="hh">#REF!</definedName>
    <definedName localSheetId="7" name="UNREALIZEDPROFIT">#REF!</definedName>
    <definedName localSheetId="7" name="DUETOAFFCON">#REF!</definedName>
    <definedName localSheetId="0" name="Excel_BuiltIn_Print_Area_3">#REF!</definedName>
    <definedName localSheetId="0" name="SECURITIESPAYABLE">#REF!</definedName>
    <definedName localSheetId="0" name="DUETOCOUNTERPART">#REF!</definedName>
    <definedName name="STANDARD_ROW">#REF!</definedName>
    <definedName name="costbegbalLandandlandrights">#REF!</definedName>
    <definedName localSheetId="7" name="Attachment_16.2">#REF!</definedName>
    <definedName name="OTHASSETNOTUSED">#REF!</definedName>
    <definedName localSheetId="9" name="NPRSHN">#REF!</definedName>
    <definedName name="OTHOTHER">#REF!</definedName>
    <definedName localSheetId="7" name="CUSTOMERDEPOSIT">#REF!</definedName>
    <definedName localSheetId="8" name="Attachment_16.2">#REF!</definedName>
    <definedName localSheetId="7" name="SHORTERMLOAN">#REF!</definedName>
    <definedName localSheetId="8" name="CURRLTDDIFFPAYMONFAACQ">#REF!</definedName>
    <definedName name="accumdeprbegbalLandandlandrights">#REF!</definedName>
    <definedName name="DEFERREDTAX">#REF!</definedName>
    <definedName name="BLANK">#REF!</definedName>
    <definedName name="AROTHRELATED">#REF!</definedName>
    <definedName name="LONGTERMRECEIVABLE">#REF!</definedName>
    <definedName name="DUETOPLASMAPROJECT">#REF!</definedName>
    <definedName localSheetId="0" name="RETAINEDEARNINGS">#REF!</definedName>
    <definedName localSheetId="8" name="TRAVEL">#REF!</definedName>
    <definedName localSheetId="9" name="CUSTOMERDEPOSIT">#REF!</definedName>
    <definedName name="F1A">#REF!</definedName>
    <definedName localSheetId="9" name="ADVFORACQUISITIONOFINVESTMENT">#REF!</definedName>
    <definedName localSheetId="9" name="N1B">#REF!</definedName>
    <definedName name="I1A">#REF!</definedName>
    <definedName name="UNEARNEDINCOME">#REF!</definedName>
    <definedName name="OTHSEEDLING">#REF!</definedName>
    <definedName localSheetId="0" name="J1A">#REF!</definedName>
    <definedName name="Monthof2004">#REF!</definedName>
    <definedName name="CAJE">#REF!</definedName>
    <definedName localSheetId="8" name="TAXESPAYABLE">#REF!</definedName>
    <definedName name="CASH">#REF!</definedName>
    <definedName localSheetId="9" name="DUEFROMAFFCON">#REF!</definedName>
    <definedName localSheetId="9" name="J1B">#REF!</definedName>
    <definedName name="ref_office_Misc">#REF!</definedName>
    <definedName name="DUEFROMAFFCON">#REF!</definedName>
    <definedName localSheetId="7" name="STK">#REF!</definedName>
    <definedName name="DIFFRESULTFROMFOREXTRANSLATION">#REF!</definedName>
    <definedName name="Excel_BuiltIn_Print_Titles_15">#REF!</definedName>
    <definedName name="costbegbalOfficeequipment">#REF!</definedName>
    <definedName localSheetId="7" name="NOTESPAYABLE">#REF!</definedName>
    <definedName localSheetId="8" name="APDEFERREDTAX">#REF!</definedName>
    <definedName name="PAGEIS">#REF!</definedName>
    <definedName name="adffa">#REF!</definedName>
    <definedName name="ARAFFCON">#REF!</definedName>
    <definedName localSheetId="4" name="jjddll2">#REF!</definedName>
    <definedName localSheetId="9" name="jjddll">#REF!</definedName>
    <definedName localSheetId="8" name="ADVANCEFORSALE">#REF!</definedName>
    <definedName name="cy_ret_earn_beg">#REF!</definedName>
    <definedName name="OTHTAXREFUND">#REF!</definedName>
    <definedName localSheetId="7" name="TextRefCopy1">#REF!</definedName>
    <definedName name="a">#REF!</definedName>
    <definedName localSheetId="9" name="SHORTERMINVESTMENT">#REF!</definedName>
    <definedName localSheetId="8" name="ADVFORACQUISITIONOFINVESTMENT">#REF!</definedName>
    <definedName name="ACCRUEDEXPENSE">#REF!</definedName>
    <definedName localSheetId="9" name="calculation">#REF!</definedName>
    <definedName localSheetId="4" name="STK">#REF!</definedName>
    <definedName localSheetId="7" name="GovtLifting">#REF!</definedName>
    <definedName localSheetId="4" name="N1A">#REF!</definedName>
    <definedName localSheetId="4" name="APSUBSCON">#REF!</definedName>
    <definedName name="DIVIDENPAYABLE">#REF!</definedName>
    <definedName localSheetId="7" name="COMM">#REF!</definedName>
    <definedName localSheetId="7" name="Excel_BuiltIn_Print_Titles_10">#REF!</definedName>
    <definedName name="accumdeprbegbalLandimprovements">#REF!</definedName>
    <definedName name="FA2ACCUMDEPR">#REF!</definedName>
    <definedName localSheetId="4" name="PAGEBS">#REF!</definedName>
    <definedName localSheetId="0" name="F1A">#REF!</definedName>
    <definedName localSheetId="9" name="Excel_BuiltIn_Print_Area_11">#REF!</definedName>
    <definedName name="DUETOCOUNTERPART">#REF!</definedName>
    <definedName localSheetId="9" name="H1A">#REF!</definedName>
    <definedName name="COMMSTOCKSUBSCRIPTIONRECEIVABLE">#REF!</definedName>
    <definedName localSheetId="9" name="searchsp">#REF!</definedName>
    <definedName localSheetId="4" name="I1A">#REF!</definedName>
    <definedName localSheetId="0" name="ETB">#REF!</definedName>
    <definedName localSheetId="4" name="APTRADRELATED">#REF!</definedName>
    <definedName localSheetId="9" name="IMMATUREPLANTATION">#REF!</definedName>
    <definedName localSheetId="9" name="Monthof2004">#REF!</definedName>
    <definedName localSheetId="8" name="TY">#REF!</definedName>
    <definedName localSheetId="0" name="CURRLTDDIFFPAYMONFAACQ">#REF!</definedName>
    <definedName name="Attach_to_1_of__6">#REF!</definedName>
    <definedName name="CURRLTDDEBTS">#REF!</definedName>
    <definedName localSheetId="8" name="Prd_CopyAll">#REF!</definedName>
    <definedName localSheetId="0" name="LTDLOAN">#REF!</definedName>
    <definedName localSheetId="8" name="BLANK">#REF!</definedName>
    <definedName localSheetId="0" name="TAXESPAYABLE">#REF!</definedName>
    <definedName localSheetId="0" name="LONGTERMRECEIVABLE">#REF!</definedName>
    <definedName localSheetId="0" name="APAFFCON">#REF!</definedName>
    <definedName name="jddl">#REF!</definedName>
    <definedName localSheetId="9" name="GovtLifting">#REF!</definedName>
    <definedName name="PROJECTINPROGRESS">#REF!</definedName>
    <definedName localSheetId="0" name="Report">#REF!</definedName>
    <definedName localSheetId="7" name="searchsp">#REF!</definedName>
    <definedName name="ref_materialwo">#REF!</definedName>
    <definedName name="Excel_BuiltIn_Print_Titles_14">#REF!</definedName>
    <definedName localSheetId="7" name="Excel_BuiltIn_Print_Area_11">#REF!</definedName>
    <definedName name="NPRSHN">#REF!</definedName>
    <definedName name="Excel_BuiltIn_Print_Titles_17">#REF!</definedName>
    <definedName localSheetId="4" name="Prd_CopyAll">#REF!</definedName>
    <definedName localSheetId="9" name="ADVANCES">#REF!</definedName>
    <definedName name="cmr_co">#REF!</definedName>
    <definedName localSheetId="0" name="PrintArea">#REF!</definedName>
    <definedName name="ADDPAININCAPITAL">#REF!</definedName>
    <definedName localSheetId="4" name="CURRLTDDEBTS">#REF!</definedName>
    <definedName name="Attachment_16.2">#REF!</definedName>
    <definedName localSheetId="0" name="I1A">#REF!</definedName>
    <definedName name="Excel_BuiltIn_Print_Area_15">#REF!</definedName>
    <definedName localSheetId="9" name="LIABFORRETIREMENTBENEFIT">#REF!</definedName>
    <definedName localSheetId="0" name="CASHTIMEDEPOSIT">#REF!</definedName>
    <definedName name="ddddd">#REF!</definedName>
    <definedName localSheetId="7" name="ADVANCEFORSALE">#REF!</definedName>
    <definedName name="JudulKolom">#REF!</definedName>
    <definedName localSheetId="0" name="ACCRUEDEXPENSE">#REF!</definedName>
    <definedName localSheetId="8" name="PREPAIDEXPENSES">#REF!</definedName>
    <definedName localSheetId="4" name="DUEFROMAFFCON">#REF!</definedName>
    <definedName localSheetId="9" name="yy">#REF!</definedName>
    <definedName localSheetId="0" name="SGH">#REF!</definedName>
    <definedName name="costbegbalTransportationequipment">#REF!</definedName>
    <definedName localSheetId="9" name="CURRLTDDEBTS">#REF!</definedName>
    <definedName name="py_retained_earnings">#REF!</definedName>
    <definedName localSheetId="7" name="STANDARD_ROW">#REF!</definedName>
    <definedName name="QUOTEDINV">#REF!</definedName>
    <definedName name="Excel_BuiltIn_Print_Area_11">#REF!</definedName>
    <definedName localSheetId="8" name="ADVANCES">#REF!</definedName>
    <definedName name="Excel_BuiltIn_Print_Area_6">#REF!</definedName>
    <definedName localSheetId="0" name="AROTHTHIRD">#REF!</definedName>
    <definedName localSheetId="4" name="searchbantu">#REF!</definedName>
    <definedName localSheetId="4" name="ADVFORACQUISITIONOFINVESTMENT">#REF!</definedName>
    <definedName localSheetId="9" name="UNREALIZEDPROFIT">#REF!</definedName>
    <definedName localSheetId="0" name="Excel_BuiltIn_Print_Titles_20">#REF!</definedName>
    <definedName localSheetId="7" name="ADVANCES">#REF!</definedName>
    <definedName localSheetId="0" name="JudulKolom">#REF!</definedName>
    <definedName localSheetId="9" name="hh">#REF!</definedName>
    <definedName localSheetId="0" name="CAJE">#REF!</definedName>
    <definedName name="Excel_BuiltIn_Print_Area_7">#REF!</definedName>
    <definedName name="cy_net_income">#REF!</definedName>
    <definedName name="APAFFCON">#REF!</definedName>
    <definedName localSheetId="0" name="AR">#REF!</definedName>
    <definedName localSheetId="4" name="DUETOAFFCO">#REF!</definedName>
    <definedName localSheetId="9" name="AAA">#REF!</definedName>
    <definedName localSheetId="0" name="LTDFOREXTRANSLATION">#REF!</definedName>
    <definedName localSheetId="0" name="ARAFFCON">#REF!</definedName>
    <definedName localSheetId="4" name="LIABFORRETIREMENTBENEFIT">#REF!</definedName>
    <definedName localSheetId="9" name="ARAFFCON">#REF!</definedName>
    <definedName localSheetId="9" name="TY">#REF!</definedName>
    <definedName localSheetId="9" name="BALSHT">#REF!</definedName>
    <definedName localSheetId="7" name="I1A">#REF!</definedName>
    <definedName name="LTDFOREXTRANSLATION">#REF!</definedName>
    <definedName name="DUEFROMSTOCKHOLDER">#REF!</definedName>
    <definedName name="LY">#REF!</definedName>
    <definedName localSheetId="8" name="JudulKolom">#REF!</definedName>
    <definedName localSheetId="0" name="UNEARNEDINCOME">#REF!</definedName>
    <definedName name="Excel_BuiltIn_Print_Titles_13">#REF!</definedName>
    <definedName localSheetId="4" name="INTEREST">#REF!</definedName>
    <definedName name="asdasd">#REF!</definedName>
    <definedName localSheetId="0" name="LTDDIFFPAYMONFAACQ">#REF!</definedName>
    <definedName localSheetId="0" name="AAA">#REF!</definedName>
    <definedName localSheetId="8" name="STANDARD_ROW">#REF!</definedName>
    <definedName name="Excel_BuiltIn_Print_Titles_4">#REF!</definedName>
    <definedName localSheetId="4" name="cy_net_income">#REF!</definedName>
    <definedName name="dhjk">#REF!</definedName>
    <definedName localSheetId="7" name="SGH">#REF!</definedName>
    <definedName name="OUTPUT">#REF!</definedName>
    <definedName localSheetId="7" name="searchsuratjalan">#REF!</definedName>
    <definedName localSheetId="8" name="O1A">#REF!</definedName>
    <definedName name="costbegbalLease">#REF!</definedName>
    <definedName name="M1B">#REF!</definedName>
    <definedName name="costbegbalLandimprovements">#REF!</definedName>
    <definedName name="Excel_BuiltIn_Print_Titles_16">#REF!</definedName>
    <definedName name="PAJE">#REF!</definedName>
    <definedName localSheetId="0" name="APINTERCOMPANYACCOUNT">#REF!</definedName>
    <definedName localSheetId="8" name="BALSHT">#REF!</definedName>
    <definedName name="STK">#REF!</definedName>
    <definedName localSheetId="8" name="E1A">#REF!</definedName>
    <definedName localSheetId="9" name="aa">#REF!</definedName>
    <definedName localSheetId="0" name="CASHFLOW">#REF!</definedName>
    <definedName name="Print_Titles_MI">#REF!</definedName>
    <definedName name="ref_personnel_expense">#REF!</definedName>
    <definedName localSheetId="4" name="ADVANCES">#REF!</definedName>
    <definedName localSheetId="7" name="DUEFROMAFFCON">#REF!</definedName>
    <definedName name="ODTR">#REF!</definedName>
    <definedName name="accumdeprbegbalBuildingsandimprovements">#REF!</definedName>
    <definedName localSheetId="8" name="searchsp">#REF!</definedName>
    <definedName name="ARP_Threshold">#REF!</definedName>
    <definedName localSheetId="8" name="SHORTERMLOAN">#REF!</definedName>
    <definedName localSheetId="7" name="IMMATUREPLANTATION">#REF!</definedName>
    <definedName localSheetId="0" name="ARP_Threshold">#REF!</definedName>
    <definedName name="SHORTERMINVESTMENT">#REF!</definedName>
    <definedName localSheetId="7" name="TRAVEL">#REF!</definedName>
    <definedName localSheetId="4" name="DUETOSTOCKSUBSCON">#REF!</definedName>
    <definedName localSheetId="8" name="yy">#REF!</definedName>
    <definedName localSheetId="7" name="APSUBSCON">#REF!</definedName>
    <definedName localSheetId="4" name="NPRSHN">#REF!</definedName>
    <definedName name="BANK">#REF!</definedName>
    <definedName name="READJDUETOSHIFTOFDEFTAX">#REF!</definedName>
    <definedName localSheetId="7" name="APINTERCOMPANYACCOUNT">#REF!</definedName>
    <definedName name="APSUBSCON">#REF!</definedName>
    <definedName localSheetId="9" name="BLANK">#REF!</definedName>
    <definedName localSheetId="0" name="jjddll">#REF!</definedName>
    <definedName localSheetId="0" name="SHORTERMINVESTMENT">#REF!</definedName>
    <definedName name="CASHFLOW">#REF!</definedName>
    <definedName name="LTDDIFFPAYMONFAACQ">#REF!</definedName>
    <definedName localSheetId="7" name="CURRLTDLOAN">#REF!</definedName>
    <definedName name="Excel_BuiltIn_Print_Area_8">#REF!</definedName>
    <definedName name="OTHDEFCHARGE">#REF!</definedName>
    <definedName localSheetId="4" name="LTDDIFFPAYMONFAACQ">#REF!</definedName>
    <definedName localSheetId="0" name="DIFFRESULTFROMEQUITYTRANSACTIONOFSUBS">#REF!</definedName>
    <definedName name="DAYS">#REF!</definedName>
    <definedName localSheetId="7" name="PREPAIDTAX">#REF!</definedName>
    <definedName localSheetId="9" name="APDEFERREDTAX">#REF!</definedName>
    <definedName name="UNREALIZEDPROFIT">#REF!</definedName>
    <definedName localSheetId="7" name="GOODWILL">#REF!</definedName>
    <definedName localSheetId="4" name="SGH">#REF!</definedName>
    <definedName localSheetId="8" name="STK">#REF!</definedName>
    <definedName localSheetId="9" name="cy_ret_earn_beg">#REF!</definedName>
    <definedName localSheetId="9" name="saldo">#REF!</definedName>
    <definedName localSheetId="0" name="DUETOAFFCON">#REF!</definedName>
    <definedName localSheetId="0" name="xsx">#REF!</definedName>
    <definedName localSheetId="4" name="J1B">#REF!</definedName>
    <definedName name="dd">#REF!</definedName>
    <definedName localSheetId="4" name="G1A">#REF!</definedName>
    <definedName localSheetId="0" name="Excel_BuiltIn_Print_Area_10">#REF!</definedName>
    <definedName localSheetId="0" name="Excel_BuiltIn_Print_Area_4">#REF!</definedName>
    <definedName name="READJDUETOTRANSLATIONOFBEGYEAR">#REF!</definedName>
    <definedName localSheetId="9" name="APINTERCOMPANYACCOUNT">#REF!</definedName>
    <definedName localSheetId="7" name="LTDDIFFPAYMONFAACQ">#REF!</definedName>
    <definedName localSheetId="9" name="TAXESPAYABLE">#REF!</definedName>
    <definedName localSheetId="7" name="hh">#REF!</definedName>
    <definedName localSheetId="0" name="ARA_Threshold">#REF!</definedName>
    <definedName localSheetId="8" name="NPRSHN">#REF!</definedName>
    <definedName name="PREPAIDEXPENSES">#REF!</definedName>
    <definedName localSheetId="0" name="COMM">#REF!</definedName>
    <definedName localSheetId="9" name="KKM">#REF!</definedName>
    <definedName localSheetId="8" name="PAGEBS">#REF!</definedName>
    <definedName localSheetId="8" name="liftingsum">#REF!</definedName>
    <definedName localSheetId="8" name="IMMATUREPLANTATION">#REF!</definedName>
    <definedName name="APTRADTHIRD">#REF!</definedName>
    <definedName localSheetId="4" name="CAJE">#REF!</definedName>
    <definedName name="LTDRELATED">#REF!</definedName>
    <definedName localSheetId="4" name="CURRLTDLOAN">#REF!</definedName>
    <definedName name="PREPAIDTAX">#REF!</definedName>
    <definedName localSheetId="4" name="PREPAIDEXPENSES">#REF!</definedName>
    <definedName name="Prd_CopyAll">#REF!</definedName>
    <definedName name="AFES">#REF!</definedName>
    <definedName localSheetId="4" name="BALSHT">#REF!</definedName>
    <definedName localSheetId="8" name="DUEFROMCOUNTERPART">#REF!</definedName>
    <definedName localSheetId="0" name="py_net_income">#REF!</definedName>
    <definedName localSheetId="4" name="aa">#REF!</definedName>
    <definedName name="LTDLOAN">#REF!</definedName>
    <definedName localSheetId="9" name="jjddll2">#REF!</definedName>
    <definedName localSheetId="8" name="PREPAIDTAX">#REF!</definedName>
    <definedName localSheetId="0" name="DUETOAFFCO">#REF!</definedName>
    <definedName localSheetId="7" name="aa">#REF!</definedName>
    <definedName localSheetId="4" name="LTDFOREXTRANSLATION">#REF!</definedName>
    <definedName name="liftingsum">#REF!</definedName>
    <definedName localSheetId="0" name="aa">#REF!</definedName>
    <definedName name="saldo">#REF!</definedName>
    <definedName name="copy">#REF!</definedName>
    <definedName localSheetId="0" name="Print_Area_MI">#REF!</definedName>
    <definedName localSheetId="4" name="APTRADTHIRD">#REF!</definedName>
    <definedName name="Excel_BuiltIn_Print_Titles_12">#REF!</definedName>
    <definedName name="APTRADRELATED">#REF!</definedName>
    <definedName localSheetId="7" name="UNEARNEDINCOME">#REF!</definedName>
    <definedName localSheetId="7" name="AVSC">#REF!</definedName>
    <definedName name="APMINORITYINTEREST">#REF!</definedName>
    <definedName localSheetId="7" name="H1A">#REF!</definedName>
    <definedName localSheetId="7" name="cy_net_income">#REF!</definedName>
    <definedName localSheetId="8" name="J1A">#REF!</definedName>
    <definedName name="FA1ACCUMDEPR">#REF!</definedName>
    <definedName localSheetId="7" name="Prd_CopyAll">#REF!</definedName>
    <definedName localSheetId="9" name="ETB">#REF!</definedName>
    <definedName name="D1A">#REF!</definedName>
    <definedName localSheetId="7" name="G1A">#REF!</definedName>
    <definedName localSheetId="0" name="CONS">#REF!</definedName>
    <definedName name="Excel_BuiltIn_Print_Area_20">#REF!</definedName>
    <definedName localSheetId="7" name="a">#REF!</definedName>
    <definedName name="RETAINEDEARNINGS">#REF!</definedName>
    <definedName name="searchbantu">#REF!</definedName>
    <definedName localSheetId="7" name="yy">#REF!</definedName>
    <definedName name="OTHSECURITYDEPOSIT">#REF!</definedName>
    <definedName localSheetId="0" name="ADVANCES">#REF!</definedName>
    <definedName localSheetId="7" name="DUETOSTOCKSUBSCON">#REF!</definedName>
    <definedName localSheetId="9" name="PAGEIS">#REF!</definedName>
    <definedName name="EXCESSOFCONSTRUCTIONOVERCLAIM">#REF!</definedName>
    <definedName localSheetId="7" name="Monthof2004">#REF!</definedName>
    <definedName localSheetId="9" name="cy_net_income">#REF!</definedName>
    <definedName name="DIFFINVALUEOFTRANSACTIONWITHUCC">#REF!</definedName>
    <definedName localSheetId="9" name="Excel_BuiltIn_Print_Area_10">#REF!</definedName>
    <definedName localSheetId="7" name="Excel_BuiltIn_Print_Titles_12">#REF!</definedName>
    <definedName localSheetId="4" name="SHORTERMLOAN">#REF!</definedName>
    <definedName name="as">#REF!</definedName>
    <definedName name="CASHTIMEDEPOSIT">#REF!</definedName>
    <definedName localSheetId="7" name="Print_Area_MI">#REF!</definedName>
    <definedName name="accumdeprbegbalLease">#REF!</definedName>
    <definedName name="OFFICE">#REF!</definedName>
    <definedName localSheetId="0" name="OTHSEEDLING">#REF!</definedName>
    <definedName name="Excel_BuiltIn_Print_Titles_3">#REF!</definedName>
    <definedName localSheetId="0" name="Attach_to_1_of__6">#REF!</definedName>
    <definedName localSheetId="0" name="X1A">#REF!</definedName>
    <definedName localSheetId="0" name="PAGEALL">#REF!</definedName>
    <definedName name="TRAVEL">#REF!</definedName>
    <definedName localSheetId="0" name="as">#REF!</definedName>
    <definedName localSheetId="8" name="KKM">#REF!</definedName>
    <definedName name="Excel_BuiltIn_Print_Titles_18">#REF!</definedName>
    <definedName localSheetId="4" name="jddl">#REF!</definedName>
    <definedName name="ALL">#REF!</definedName>
    <definedName localSheetId="0" name="APTRADTHIRD">#REF!</definedName>
    <definedName localSheetId="7" name="APTRADRELATED">#REF!</definedName>
    <definedName localSheetId="7" name="JudulKolom">#REF!</definedName>
    <definedName name="DIFFRESULTFROMEQUITYTRANSACTIONOFSUBS">#REF!</definedName>
    <definedName localSheetId="4" name="ADVANCEFORSALE">#REF!</definedName>
    <definedName localSheetId="4" name="PREPAIDTAX">#REF!</definedName>
    <definedName localSheetId="4" name="Attachment_16.2">#REF!</definedName>
    <definedName localSheetId="0" name="OTHSECURITYDEPOSIT">#REF!</definedName>
    <definedName localSheetId="0" name="DIFFRESULTFROMFOREXTRANSLATION">#REF!</definedName>
    <definedName localSheetId="9" name="kopRIN">#REF!</definedName>
    <definedName name="BS">#REF!</definedName>
    <definedName localSheetId="4" name="yy">#REF!</definedName>
    <definedName name="F1B">#REF!</definedName>
    <definedName name="DETAILS">#REF!</definedName>
    <definedName localSheetId="4" name="CAPPAIDINEXCESSOFPARVALUE">#REF!</definedName>
    <definedName name="INTEREST">#REF!</definedName>
    <definedName name="OTHBONDSINGKINGFUND">#REF!</definedName>
    <definedName name="aa">#REF!</definedName>
    <definedName localSheetId="9" name="CAPPAIDINEXCESSOFPARVALUE">#REF!</definedName>
    <definedName name="searchsp">#REF!</definedName>
    <definedName localSheetId="4" name="laba">#REF!</definedName>
    <definedName name="COMM">#REF!</definedName>
    <definedName localSheetId="8" name="DUETOAFFCO">#REF!</definedName>
    <definedName localSheetId="4" name="Excel_BuiltIn_Print_Area_11">#REF!</definedName>
    <definedName localSheetId="9" name="N1A">#REF!</definedName>
    <definedName localSheetId="4" name="DUEFROMAFFCO">#REF!</definedName>
    <definedName localSheetId="8" name="DUETOAFFCON">#REF!</definedName>
    <definedName localSheetId="4" name="BLANK">#REF!</definedName>
    <definedName localSheetId="0" name="searchsp">#REF!</definedName>
    <definedName localSheetId="9" name="DUETOSTOCKSUBSCON">#REF!</definedName>
    <definedName localSheetId="4" name="O1A">#REF!</definedName>
    <definedName localSheetId="7" name="PAGEALL">#REF!</definedName>
    <definedName localSheetId="0" name="accumdeprbegbalBuildingsandimprovements">#REF!</definedName>
    <definedName localSheetId="7" name="DUEFROMCOUNTERPART">#REF!</definedName>
    <definedName name="APINTERCOMPANYACCOUNT">#REF!</definedName>
    <definedName localSheetId="4" name="calculation">#REF!</definedName>
    <definedName localSheetId="8" name="aa">#REF!</definedName>
    <definedName localSheetId="4" name="E1A">#REF!</definedName>
    <definedName localSheetId="0" name="IMMATUREPLANTATION">#REF!</definedName>
    <definedName name="J1B">#REF!</definedName>
    <definedName localSheetId="7" name="ETB">#REF!</definedName>
    <definedName localSheetId="8" name="AVSC">#REF!</definedName>
    <definedName name="ref_transportation_cost">#REF!</definedName>
    <definedName name="ETB">#REF!</definedName>
    <definedName localSheetId="8" name="GOODWILL">#REF!</definedName>
    <definedName localSheetId="4" name="Excel_BuiltIn_Print_Titles_12">#REF!</definedName>
    <definedName localSheetId="0" name="_CA110">#REF!</definedName>
    <definedName localSheetId="4" name="L1A">#REF!</definedName>
    <definedName localSheetId="0" name="_DAT11">#REF!</definedName>
    <definedName localSheetId="8" name="TextRefCopy1">#REF!</definedName>
    <definedName name="jjddll2">#REF!</definedName>
    <definedName localSheetId="8" name="CURRLTDDEBTS">#REF!</definedName>
    <definedName localSheetId="8" name="a">#REF!</definedName>
    <definedName localSheetId="0" name="INVENTORIES">#REF!</definedName>
    <definedName localSheetId="9" name="APTRADRELATED">#REF!</definedName>
    <definedName name="D1B">#REF!</definedName>
    <definedName localSheetId="0" name="N1A">#REF!</definedName>
    <definedName name="AROTHTHIRD">#REF!</definedName>
    <definedName name="OTHADVANCEFORPURCHASE">#REF!</definedName>
    <definedName localSheetId="0" name="INVESTMENTINSHAREOFSTOCKS">#REF!</definedName>
    <definedName name="L1A">#REF!</definedName>
    <definedName localSheetId="8" name="jddl">#REF!</definedName>
    <definedName localSheetId="0" name="Excel_BuiltIn_Print_Titles_13">#REF!</definedName>
    <definedName name="OTHADVANCEFORINVESTMENT">#REF!</definedName>
    <definedName localSheetId="8" name="DUETOSTOCKSUBSCON">#REF!</definedName>
    <definedName localSheetId="9" name="PREPAIDEXPENSES">#REF!</definedName>
    <definedName localSheetId="7" name="kopRIN">#REF!</definedName>
    <definedName localSheetId="0" name="hh">#REF!</definedName>
    <definedName name="READJUSTMENT">#REF!</definedName>
    <definedName localSheetId="8" name="cy_retained_earnings">#REF!</definedName>
    <definedName localSheetId="7" name="INTEREST">#REF!</definedName>
    <definedName localSheetId="8" name="Excel_BuiltIn_Print_Titles_10">#REF!</definedName>
    <definedName localSheetId="8" name="APTRADRELATED">#REF!</definedName>
    <definedName localSheetId="8" name="ARAFFCON">#REF!</definedName>
    <definedName name="Print_Area_MI">#REF!</definedName>
    <definedName name="IMMATUREPLANTATION">#REF!</definedName>
    <definedName localSheetId="0" name="AVSC">#REF!</definedName>
    <definedName name="Excel_BuiltIn_Print_Area_18">#REF!</definedName>
    <definedName name="ref_insurance">#REF!</definedName>
    <definedName localSheetId="8" name="saldo">#REF!</definedName>
    <definedName localSheetId="0" name="Print_Titles_MI">#REF!</definedName>
    <definedName localSheetId="0" name="Excel_BuiltIn_Print_Area_20">#REF!</definedName>
    <definedName name="LTDOTHER">#REF!</definedName>
    <definedName localSheetId="0" name="UNREALIZEDPROFIT">#REF!</definedName>
    <definedName localSheetId="8" name="GovtLifting">#REF!</definedName>
    <definedName name="P1A">#REF!</definedName>
    <definedName name="X1A">#REF!</definedName>
    <definedName localSheetId="0" name="OTHTAXREFUND">#REF!</definedName>
    <definedName name="BALSHT">#REF!</definedName>
    <definedName name="INVENTORIES">#REF!</definedName>
    <definedName name="CUSTOMERDEPOSIT">#REF!</definedName>
    <definedName localSheetId="8" name="LTDFOREXTRANSLATION">#REF!</definedName>
    <definedName localSheetId="9" name="searchbantu">#REF!</definedName>
    <definedName localSheetId="7" name="PAGEIS">#REF!</definedName>
    <definedName name="OTHLOANTOEMPLOYEE">#REF!</definedName>
    <definedName localSheetId="4" name="JudulKolom">#REF!</definedName>
    <definedName localSheetId="8" name="SGH">#REF!</definedName>
    <definedName localSheetId="4" name="ETB">#REF!</definedName>
    <definedName localSheetId="0" name="Excel_BuiltIn_Print_Titles_12">#REF!</definedName>
    <definedName localSheetId="7" name="cy_retained_earnings">#REF!</definedName>
    <definedName localSheetId="0" name="yy">#REF!</definedName>
    <definedName localSheetId="7" name="jddl">#REF!</definedName>
    <definedName name="TextRefCopy1">#REF!</definedName>
    <definedName localSheetId="9" name="INTEREST">#REF!</definedName>
    <definedName localSheetId="7" name="LTDFOREXTRANSLATION">#REF!</definedName>
    <definedName localSheetId="0" name="searchbantu">#REF!</definedName>
    <definedName localSheetId="0" name="PREPAIDTAX">#REF!</definedName>
    <definedName localSheetId="0" name="EXCESSOFCONSTRUCTIONOVERCLAIM">#REF!</definedName>
    <definedName name="accumdeprbegbalMatureplantations">#REF!</definedName>
    <definedName name="PrintArea">#REF!</definedName>
    <definedName name="TAXESPAYABLE">#REF!</definedName>
    <definedName name="CURRLTDOTHER">#REF!</definedName>
    <definedName name="N1C">#REF!</definedName>
    <definedName localSheetId="7" name="saldo">#REF!</definedName>
    <definedName localSheetId="0" name="GovtLifting">#REF!</definedName>
    <definedName name="APOTHTHIRD">#REF!</definedName>
    <definedName localSheetId="8" name="COMMSTOCKSUBSCRIPTIONRECEIVABLE">#REF!</definedName>
    <definedName localSheetId="9" name="JudulKolom">#REF!</definedName>
    <definedName name="N1A">#REF!</definedName>
    <definedName name="ref_material_services">#REF!</definedName>
    <definedName name="Report">#REF!</definedName>
    <definedName name="Excel_BuiltIn_Print_Titles_20">#REF!</definedName>
    <definedName name="OTHDUEFROMPLASMAPROJECT">#REF!</definedName>
    <definedName localSheetId="8" name="Monthof2004">#REF!</definedName>
    <definedName name="GOODWILL">#REF!</definedName>
    <definedName localSheetId="8" name="CAJE">#REF!</definedName>
    <definedName localSheetId="9" name="DUEFROMAFFCO">#REF!</definedName>
    <definedName name="CURRLTDOBLIGATION">#REF!</definedName>
    <definedName name="SHORTERMLOAN">#REF!</definedName>
    <definedName localSheetId="0" name="cy_ret_earn_beg">#REF!</definedName>
    <definedName name="READJDUETOASSETSREVALUATION">#REF!</definedName>
    <definedName localSheetId="0" name="INTEREST">#REF!</definedName>
    <definedName localSheetId="8" name="AAA">#REF!</definedName>
    <definedName name="searchsuratjalan">#REF!</definedName>
    <definedName localSheetId="8" name="SHORTERMINVESTMENT">#REF!</definedName>
    <definedName name="OTHDEPOSITRECEIVABLE">#REF!</definedName>
    <definedName name="Excel_BuiltIn_Print_Area_12">#REF!</definedName>
    <definedName localSheetId="8" name="CAPPAIDINEXCESSOFPARVALUE">#REF!</definedName>
    <definedName localSheetId="8" name="searchsuratjalan">#REF!</definedName>
    <definedName localSheetId="8" name="cy_ret_earn_beg">#REF!</definedName>
    <definedName localSheetId="8" name="LTDDIFFPAYMONFAACQ">#REF!</definedName>
    <definedName name="FA2CARRYINGVALUE">#REF!</definedName>
    <definedName localSheetId="8" name="DUETOCOUNTERPART">#REF!</definedName>
    <definedName localSheetId="0" name="CAPPAIDINEXCESSOFPARVALUE">#REF!</definedName>
    <definedName localSheetId="8" name="INTEREST">#REF!</definedName>
    <definedName localSheetId="8" name="Excel_BuiltIn_Print_Titles_12">#REF!</definedName>
    <definedName localSheetId="7" name="COMMSTOCKSUBSCRIPTIONRECEIVABLE">#REF!</definedName>
    <definedName name="ASSETUNDERCAPITALLEASE">#REF!</definedName>
    <definedName name="CRECOVERABLE">#REF!</definedName>
    <definedName localSheetId="0" name="BLANK">#REF!</definedName>
    <definedName localSheetId="9" name="G1A">#REF!</definedName>
    <definedName name="CURRMATURITIESOFDUEFROMSTOCKHOLDER">#REF!</definedName>
    <definedName localSheetId="7" name="CURRLTDDIFFPAYMONFAACQ">#REF!</definedName>
    <definedName localSheetId="7" name="ARAFFCON">#REF!</definedName>
    <definedName localSheetId="0" name="CURRLTDLOAN">#REF!</definedName>
    <definedName localSheetId="7" name="NPRSHN">#REF!</definedName>
    <definedName localSheetId="8" name="PAGEIS">#REF!</definedName>
    <definedName localSheetId="0" name="DUEFROMCOUNTERPART">#REF!</definedName>
    <definedName localSheetId="4" name="DUETOAFFCON">#REF!</definedName>
    <definedName localSheetId="0" name="NOTESPAYABLE">#REF!</definedName>
    <definedName localSheetId="0" name="BONDPAYABLE">#REF!</definedName>
    <definedName name="DEFERREDGAINONSALE">#REF!</definedName>
    <definedName name="laba">#REF!</definedName>
    <definedName name="Excel_BuiltIn_Print_Area_10">#REF!</definedName>
    <definedName localSheetId="9" name="SHORTERMLOAN">#REF!</definedName>
    <definedName localSheetId="0" name="STK">#REF!</definedName>
    <definedName localSheetId="4" name="PAGEIS">#REF!</definedName>
    <definedName localSheetId="7" name="APAFFCON">#REF!</definedName>
    <definedName localSheetId="4" name="AAA">#REF!</definedName>
    <definedName localSheetId="0" name="py_retained_earnings">#REF!</definedName>
    <definedName name="G1A">#REF!</definedName>
    <definedName localSheetId="0" name="EXCESSOFBOOKVALUEOVERCOST">#REF!</definedName>
    <definedName localSheetId="8" name="NOTESPAYABLE">#REF!</definedName>
    <definedName localSheetId="8" name="Excel_BuiltIn_Print_Area_10">#REF!</definedName>
    <definedName localSheetId="8" name="H1A">#REF!</definedName>
    <definedName localSheetId="9" name="NOTESPAYABLE">#REF!</definedName>
    <definedName name="Excel_BuiltIn_Print_Area_16">#REF!</definedName>
    <definedName localSheetId="7" name="ADVFORACQUISITIONOFINVESTMENT">#REF!</definedName>
    <definedName localSheetId="0" name="J1B">#REF!</definedName>
    <definedName localSheetId="0" name="PREPAIDEXPENSES">#REF!</definedName>
    <definedName name="ADVFORACQUISITIONOFINVESTMENT">#REF!</definedName>
    <definedName name="DUETOAFFCO">#REF!</definedName>
    <definedName localSheetId="4" name="Excel_BuiltIn_Print_Area_10">#REF!</definedName>
    <definedName localSheetId="7" name="CAJE">#REF!</definedName>
    <definedName name="costbegbalMatureplantations">#REF!</definedName>
    <definedName localSheetId="9" name="STANDARD_ROW">#REF!</definedName>
    <definedName localSheetId="9" name="Prd_CopyAll">#REF!</definedName>
    <definedName localSheetId="9" name="TextRefCopy1">#REF!</definedName>
    <definedName name="OFFFIN">#REF!</definedName>
    <definedName localSheetId="7" name="calculation">#REF!</definedName>
    <definedName localSheetId="8" name="jjddll2">#REF!</definedName>
    <definedName localSheetId="0" name="saldo">#REF!</definedName>
    <definedName name="costbegbalfurniture_Fixture">#REF!</definedName>
    <definedName name="costbegbalCIP">#REF!</definedName>
    <definedName name="_DAT11">#REF!</definedName>
    <definedName localSheetId="0" name="jjddll2">#REF!</definedName>
    <definedName localSheetId="7" name="SHORTERMINVESTMENT">#REF!</definedName>
    <definedName localSheetId="4" name="searchsuratjalan">#REF!</definedName>
    <definedName localSheetId="0" name="ref_supervision">#REF!</definedName>
    <definedName localSheetId="7" name="Excel_BuiltIn_Print_Area_10">#REF!</definedName>
    <definedName name="ARA_Threshold">#REF!</definedName>
    <definedName localSheetId="4" name="IMMATUREPLANTATION">#REF!</definedName>
    <definedName name="kopRIN">#REF!</definedName>
    <definedName hidden="1" localSheetId="0" name="_xlnm._FilterDatabase">Jobdesc!$A$5:$K$253</definedName>
    <definedName hidden="1" localSheetId="3" name="_xlnm._FilterDatabase">'sby update'!$AD$5:$BD$5</definedName>
    <definedName hidden="1" localSheetId="4" name="_xlnm._FilterDatabase">SBY!$A$3:$AA$110</definedName>
    <definedName hidden="1" localSheetId="7" name="_xlnm._FilterDatabase">BWN!$A$5:$AS$1013</definedName>
    <definedName hidden="1" localSheetId="8" name="_xlnm._FilterDatabase">NGK!$A$5:$AN$1009</definedName>
    <definedName hidden="1" localSheetId="16" name="_xlnm._FilterDatabase">'Data Karyawan'!$A$4:$U$225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7">
      <text>
        <t xml:space="preserve">======
ID#AAABIjwP1c8
HC    (2024-03-05 08:47:32)
OFF, MESIN BONGKAR</t>
      </text>
    </comment>
    <comment authorId="0" ref="D65">
      <text>
        <t xml:space="preserve">======
ID#AAABIjwP1dw
HC    (2024-03-05 08:47:32)
off, mesin di bongkar</t>
      </text>
    </comment>
    <comment authorId="0" ref="D63">
      <text>
        <t xml:space="preserve">======
ID#AAABIjwP1fo
HC    (2024-03-05 08:47:32)
off, sdm dr aster</t>
      </text>
    </comment>
    <comment authorId="0" ref="AG58">
      <text>
        <t xml:space="preserve">======
ID#AAABIjwP1f0
HC    (2024-03-05 08:47:32)
off, sdm ambil dr stahl 1,2</t>
      </text>
    </comment>
    <comment authorId="0" ref="D61">
      <text>
        <t xml:space="preserve">======
ID#AAABIjwP1fU
HC    (2024-03-05 08:47:32)
off</t>
      </text>
    </comment>
    <comment authorId="0" ref="B90">
      <text>
        <t xml:space="preserve">======
ID#AAABIjwP1cw
RIRIS    (2024-03-05 08:47:32)
Membantu menyiapkan barang setengah jadi hingga ke mesin.</t>
      </text>
    </comment>
    <comment authorId="0" ref="AG85">
      <text>
        <t xml:space="preserve">======
ID#AAABIjwP1e0
RIRIS    (2024-03-05 08:47:32)
1 Al-Qur'an, 2 Komersial</t>
      </text>
    </comment>
    <comment authorId="0" ref="AG52">
      <text>
        <t xml:space="preserve">======
ID#AAABIjwP1dA
HC    (2024-03-05 08:47:32)
off, proses mtc teknik</t>
      </text>
    </comment>
    <comment authorId="0" ref="AG81">
      <text>
        <t xml:space="preserve">======
ID#AAABIjwP1dQ
HC    (2024-03-05 08:47:32)
SDM AMBIL DR POTONG BOARD</t>
      </text>
    </comment>
    <comment authorId="0" ref="AG79">
      <text>
        <t xml:space="preserve">======
ID#AAABIjwP1fs
RIRIS    (2024-03-05 08:47:32)
Dihandle OPERATOR Cutting Board</t>
      </text>
    </comment>
    <comment authorId="0" ref="D49">
      <text>
        <t xml:space="preserve">======
ID#AAABIjwP1eA
HC    (2024-03-05 08:47:32)
off krn mtc</t>
      </text>
    </comment>
    <comment authorId="0" ref="D80">
      <text>
        <t xml:space="preserve">======
ID#AAABIjwP1f8
RIRIS    (2024-03-05 08:47:32)
Dihandle OP Casemaker</t>
      </text>
    </comment>
    <comment authorId="0" ref="H16">
      <text>
        <t xml:space="preserve">======
ID#AAABIjwP1fg
RIRIS    (2024-03-05 08:47:32)
2</t>
      </text>
    </comment>
    <comment authorId="0" ref="AG38">
      <text>
        <t xml:space="preserve">======
ID#AAABIjwP1d0
HC    (2024-03-05 08:47:32)
OFF</t>
      </text>
    </comment>
    <comment authorId="0" ref="AG67">
      <text>
        <t xml:space="preserve">======
ID#AAABIjwP1gI
HC    (2024-03-05 08:47:32)
OFF, MESIN BONGKAR</t>
      </text>
    </comment>
    <comment authorId="0" ref="AG65">
      <text>
        <t xml:space="preserve">======
ID#AAABIjwP1fA
HC    (2024-03-05 08:47:32)
off, mesin di bongkar</t>
      </text>
    </comment>
    <comment authorId="0" ref="AG63">
      <text>
        <t xml:space="preserve">======
ID#AAABIjwP1cg
HC    (2024-03-05 08:47:32)
off, sdm dr aster</t>
      </text>
    </comment>
    <comment authorId="0" ref="AG61">
      <text>
        <t xml:space="preserve">======
ID#AAABIjwP1fE
HC    (2024-03-05 08:47:32)
off</t>
      </text>
    </comment>
    <comment authorId="0" ref="AE90">
      <text>
        <t xml:space="preserve">======
ID#AAABIjwP1eE
RIRIS    (2024-03-05 08:47:32)
Membantu menyiapkan barang setengah jadi hingga ke mesin.</t>
      </text>
    </comment>
    <comment authorId="0" ref="D58">
      <text>
        <t xml:space="preserve">======
ID#AAABIjwP1fc
HC    (2024-03-05 08:47:32)
off, sdm ambil dr stahl 1,2</t>
      </text>
    </comment>
    <comment authorId="0" ref="D85">
      <text>
        <t xml:space="preserve">======
ID#AAABIjwP1gA
RIRIS    (2024-03-05 08:47:32)
1 Al-Qur'an, 2 Komersial</t>
      </text>
    </comment>
    <comment authorId="0" ref="D52">
      <text>
        <t xml:space="preserve">======
ID#AAABIjwP1eg
HC    (2024-03-05 08:47:32)
off, proses mtc teknik</t>
      </text>
    </comment>
    <comment authorId="0" ref="AG49">
      <text>
        <t xml:space="preserve">======
ID#AAABIjwP1ek
HC    (2024-03-05 08:47:32)
off krn mtc</t>
      </text>
    </comment>
    <comment authorId="0" ref="AG80">
      <text>
        <t xml:space="preserve">======
ID#AAABIjwP1dM
RIRIS    (2024-03-05 08:47:32)
Dihandle OP Casemaker</t>
      </text>
    </comment>
    <comment authorId="0" ref="D81">
      <text>
        <t xml:space="preserve">======
ID#AAABIjwP1dc
HC    (2024-03-05 08:47:32)
SDM AMBIL DR POTONG BOARD</t>
      </text>
    </comment>
    <comment authorId="0" ref="AK16">
      <text>
        <t xml:space="preserve">======
ID#AAABIjwP1dI
RIRIS    (2024-03-05 08:47:32)
2</t>
      </text>
    </comment>
    <comment authorId="0" ref="D79">
      <text>
        <t xml:space="preserve">======
ID#AAABIjwP1dY
RIRIS    (2024-03-05 08:47:32)
Dihandle OPERATOR Cutting Board</t>
      </text>
    </comment>
    <comment authorId="0" ref="D38">
      <text>
        <t xml:space="preserve">======
ID#AAABIjwP1eM
HC    (2024-03-05 08:47:32)
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8">
      <text>
        <t xml:space="preserve">UserID:
Off (sesuai kebutuhan)</t>
      </text>
    </comment>
    <comment authorId="0" ref="C59">
      <text>
        <t xml:space="preserve">======
ID#AAABIjwP1dU
HC    (2024-03-05 08:47:32)
off</t>
      </text>
    </comment>
    <comment authorId="0" ref="C90">
      <text>
        <t xml:space="preserve">sdm jadi 1 dgn mesin laminasi 1</t>
      </text>
    </comment>
    <comment authorId="0" ref="C88">
      <text>
        <t xml:space="preserve">UserID:
off (sesuai kebutuhan)</t>
      </text>
    </comment>
    <comment authorId="0" ref="C86">
      <text>
        <t xml:space="preserve">======
ID#AAABIjwP1fk
HC    (2024-03-05 08:47:32)
OFF, MESIN BONGKAR</t>
      </text>
    </comment>
    <comment authorId="0" ref="C84">
      <text>
        <t xml:space="preserve">======
ID#AAABIjwP1c4
HC    (2024-03-05 08:47:32)
off, mesin di bongkar</t>
      </text>
    </comment>
    <comment authorId="0" ref="C51">
      <text>
        <t xml:space="preserve">======
ID#AAABIjwP1d4
UserID    (2024-03-05 08:47:32)
OFF</t>
      </text>
    </comment>
    <comment authorId="0" ref="C82">
      <text>
        <t xml:space="preserve">======
ID#AAABIjwP1d8
HC    (2024-03-05 08:47:32)
off, sdm dr aster</t>
      </text>
    </comment>
    <comment authorId="0" ref="C78">
      <text>
        <t xml:space="preserve">UserID:
Mesin baru</t>
      </text>
    </comment>
    <comment authorId="0" ref="C45">
      <text>
        <t xml:space="preserve">UserID:
mesin off</t>
      </text>
    </comment>
    <comment authorId="0" ref="C76">
      <text>
        <t xml:space="preserve">UserID:
Mesin lama
Off</t>
      </text>
    </comment>
    <comment authorId="0" ref="C43">
      <text>
        <t xml:space="preserve">UserID:
mesin off</t>
      </text>
    </comment>
    <comment authorId="0" ref="C74">
      <text>
        <t xml:space="preserve">UserID:
Mesin off (sesuai kebutuhan)</t>
      </text>
    </comment>
    <comment authorId="0" ref="C103">
      <text>
        <t xml:space="preserve">======
ID#AAABIjwP1f4
UserID    (2024-03-05 08:47:32)
OFF</t>
      </text>
    </comment>
    <comment authorId="0" ref="C99">
      <text>
        <t xml:space="preserve">UserID:
Off (sesuai kebutuhan)</t>
      </text>
    </comment>
    <comment authorId="0" ref="P14">
      <text>
        <t xml:space="preserve">UserID:
Marketing Komersial &amp;
Marketing Proyek</t>
      </text>
    </comment>
    <comment authorId="0" ref="C62">
      <text>
        <t xml:space="preserve">UserID:
Mesin off (sesuai kebutuhan)</t>
      </text>
    </comment>
    <comment authorId="0" ref="C91">
      <text>
        <t xml:space="preserve">UserID:
off (sesuai kebutuhan)</t>
      </text>
    </comment>
    <comment authorId="0" ref="O68">
      <text>
        <t xml:space="preserve">wakadiv
======</t>
      </text>
    </comment>
    <comment authorId="0" ref="C52">
      <text>
        <t xml:space="preserve">======
ID#AAABIjwP1fQ
HC    (2024-03-05 08:47:32)
off, proses mtc teknik</t>
      </text>
    </comment>
    <comment authorId="0" ref="C50">
      <text>
        <t xml:space="preserve">======
ID#AAABIjwP1e4
HC    (2024-03-05 08:47:32)
off krn mtc</t>
      </text>
    </comment>
    <comment authorId="0" ref="C46">
      <text>
        <t xml:space="preserve">UserID:
mesin off</t>
      </text>
    </comment>
    <comment authorId="0" ref="P27">
      <text>
        <t xml:space="preserve">UserID:
admin</t>
      </text>
    </comment>
    <comment authorId="0" ref="C77">
      <text>
        <t xml:space="preserve">UserID:
Mesin baru</t>
      </text>
    </comment>
    <comment authorId="0" ref="O56">
      <text>
        <t xml:space="preserve">karu/kadiv
======</t>
      </text>
    </comment>
    <comment authorId="0" ref="C44">
      <text>
        <t xml:space="preserve">UserID:
mesin off</t>
      </text>
    </comment>
    <comment authorId="0" ref="C108">
      <text>
        <t xml:space="preserve">UserID:
Off</t>
      </text>
    </comment>
    <comment authorId="0" ref="C75">
      <text>
        <t xml:space="preserve">UserID:
Mesin lama 
Off</t>
      </text>
    </comment>
    <comment authorId="0" ref="C106">
      <text>
        <t xml:space="preserve">UserID:
Off</t>
      </text>
    </comment>
    <comment authorId="0" ref="C40">
      <text>
        <t xml:space="preserve">UserID:
plan mesin move ke nganjuk/bawen 2025</t>
      </text>
    </comment>
    <comment authorId="0" ref="C102">
      <text>
        <t xml:space="preserve">UserID:
Off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E15">
      <text>
        <t xml:space="preserve">======
ID#AAABIjwP1ck
Dissy Ardjani    (2024-03-05 08:47:32)
3 masuk SBY</t>
      </text>
    </comment>
    <comment authorId="0" ref="AJ18">
      <text>
        <t xml:space="preserve">======
ID#AAABIjwP1dE
Dissy Ardjani    (2024-03-05 08:47:32)
3 orang tapi biaya dibagi 3 dengan PKG BKS &amp;SHP BAG (40+40+20)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======
ID#AAABIjwP1eQ
HRD    (2024-03-05 08:47:32)
Master Karyawan di Holding</t>
      </text>
    </comment>
    <comment authorId="0" ref="J8">
      <text>
        <t xml:space="preserve">======
ID#AAABIjwP1e8
HRD    (2024-03-05 08:47:32)
Resign per 2 Maret 2024</t>
      </text>
    </comment>
    <comment authorId="0" ref="AD10">
      <text>
        <t xml:space="preserve">======
ID#AAABIjwP1es
HRD    (2024-03-05 08:47:32)
Master Karyawan di Holding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8">
      <text>
        <t xml:space="preserve">4 TMG, 2 JPBook
======</t>
      </text>
    </comment>
    <comment authorId="0" ref="K41">
      <text>
        <t xml:space="preserve">Dedy (Kadiv), A. Ariono (Wakaru)</t>
      </text>
    </comment>
    <comment authorId="0" ref="M41">
      <text>
        <t xml:space="preserve">Agung Yuarianto (HL)</t>
      </text>
    </comment>
    <comment authorId="0" ref="M22">
      <text>
        <t xml:space="preserve">3 di NGMS Solo</t>
      </text>
    </comment>
    <comment authorId="0" ref="K16">
      <text>
        <t xml:space="preserve">4 Holding</t>
      </text>
    </comment>
    <comment authorId="0" ref="M32">
      <text>
        <t xml:space="preserve">teknik holding 1 org
======</t>
      </text>
    </comment>
    <comment authorId="0" ref="C37">
      <text>
        <t xml:space="preserve">mesin off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2">
      <text>
        <t xml:space="preserve">ikut HC Bawen
======</t>
      </text>
    </comment>
    <comment authorId="0" ref="L11">
      <text>
        <t xml:space="preserve">3 mkt holding</t>
      </text>
    </comment>
    <comment authorId="0" ref="O51">
      <text>
        <t xml:space="preserve">20 borong manual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2">
      <text>
        <t xml:space="preserve">ikut HC Bawen
======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6">
      <text>
        <t xml:space="preserve">======
ID#AAABIjwP1dk
UserID    (2024-03-05 08:47:32)
rangkap dengan ppic</t>
      </text>
    </comment>
    <comment authorId="0" ref="AE18">
      <text>
        <t xml:space="preserve">======
ID#AAABIjwP1eo
Dissy Ardjani    (2024-03-05 08:47:32)
februari 2023 ada kebutuhan teknisi harian perbaikan mesin 3 orang</t>
      </text>
    </comment>
  </commentList>
</comments>
</file>

<file path=xl/sharedStrings.xml><?xml version="1.0" encoding="utf-8"?>
<sst xmlns="http://schemas.openxmlformats.org/spreadsheetml/2006/main" count="6975" uniqueCount="1666">
  <si>
    <t>BIAYA TENAGA KERJA SBU COMMERCIAL PRINTING</t>
  </si>
  <si>
    <t>DATA KARYAWAN SBU PERCETAKAN KOMERSIAL</t>
  </si>
  <si>
    <t>PERIODE FEBRUARI 2023</t>
  </si>
  <si>
    <t>KRY+HL</t>
  </si>
  <si>
    <t>BULAN MARET 2022</t>
  </si>
  <si>
    <t>Jadwal pertemuan HC , para GM dgn mas rudi JP</t>
  </si>
  <si>
    <t>COST CENTER SDM</t>
  </si>
  <si>
    <t>rencana kebutuhan tenaker</t>
  </si>
  <si>
    <t>BEKASI</t>
  </si>
  <si>
    <t>TMG JOB ORDER, ADA BULAN LOW SEASON ( JAN - AWAL MARET ) DAN ADA HIGH SEASON</t>
  </si>
  <si>
    <t>BASO</t>
  </si>
  <si>
    <t>REGULER &amp; PROJEK</t>
  </si>
  <si>
    <t>NGANJUK</t>
  </si>
  <si>
    <t>JEMBER</t>
  </si>
  <si>
    <t>KEBUTUHAN TENAGA KERJA :</t>
  </si>
  <si>
    <t>BALI</t>
  </si>
  <si>
    <t>TENAKER DI SUSUN MENURUT PEKERJAAN REGULER --- &gt; FIX COST</t>
  </si>
  <si>
    <t>ALIANSI</t>
  </si>
  <si>
    <t>Cabang</t>
  </si>
  <si>
    <t>SURABAYA</t>
  </si>
  <si>
    <t>KEBUTUHAN TENAKER YG SIFATNYA PROJEK DI SUSUN / DIRENCANAKAN SERTA DI LAPORKAN TERSENDIRI------&gt; VARIABLE COST</t>
  </si>
  <si>
    <t>No</t>
  </si>
  <si>
    <t>Nama Pegawai</t>
  </si>
  <si>
    <t>Jabatan</t>
  </si>
  <si>
    <t>Minggu 1</t>
  </si>
  <si>
    <t>Level</t>
  </si>
  <si>
    <t>Departemen</t>
  </si>
  <si>
    <t>FIX COST :</t>
  </si>
  <si>
    <t>Cost Center</t>
  </si>
  <si>
    <t>Minggu 2</t>
  </si>
  <si>
    <t>status</t>
  </si>
  <si>
    <t>SDM HL</t>
  </si>
  <si>
    <t>A</t>
  </si>
  <si>
    <t>MEMPUNYAI SKILL DAN TIDAK MUDAH DI GANTIKAN</t>
  </si>
  <si>
    <t>B</t>
  </si>
  <si>
    <t>OPERATOR MESIN</t>
  </si>
  <si>
    <t>C</t>
  </si>
  <si>
    <t>HARUS ADA SECARA JUMLAH</t>
  </si>
  <si>
    <t>SMG</t>
  </si>
  <si>
    <t>DETA LIANA PUSPITA RIA</t>
  </si>
  <si>
    <t>Accounting</t>
  </si>
  <si>
    <t>Staff/Operator</t>
  </si>
  <si>
    <t>Accounting/Finan ce</t>
  </si>
  <si>
    <t>Akuntansi</t>
  </si>
  <si>
    <t>Tetap</t>
  </si>
  <si>
    <t>VARIABLE COST :</t>
  </si>
  <si>
    <t>SAAT ADA PROYEK</t>
  </si>
  <si>
    <t>YUNITA HERUWATI</t>
  </si>
  <si>
    <t>Piutang</t>
  </si>
  <si>
    <t>SAAT ADA TAMBAHAN OMZET - KONDISIONAL</t>
  </si>
  <si>
    <t>SDM</t>
  </si>
  <si>
    <t>NURUL KHANIFAH</t>
  </si>
  <si>
    <t>Karu HC</t>
  </si>
  <si>
    <t>BIAYA</t>
  </si>
  <si>
    <t>Karu/Wakaru</t>
  </si>
  <si>
    <t>HRD &amp; Umum</t>
  </si>
  <si>
    <t>HRD</t>
  </si>
  <si>
    <t>UP DATE LAPORAN SUSUNAN TENAKER</t>
  </si>
  <si>
    <t>IDEAL KEBUTUHAN SDM PERKOM 2024</t>
  </si>
  <si>
    <t>GINANJAR</t>
  </si>
  <si>
    <t>Umum</t>
  </si>
  <si>
    <t>A. FERY ARDIANSAH</t>
  </si>
  <si>
    <t>Kadiv PPIC</t>
  </si>
  <si>
    <t>Kasi/Wakasi/Kadiv/W akadiv/Koordinator</t>
  </si>
  <si>
    <t>Product Planning Control</t>
  </si>
  <si>
    <t>PPIC</t>
  </si>
  <si>
    <t>CATATAN :</t>
  </si>
  <si>
    <t>chalenge kemapanan</t>
  </si>
  <si>
    <t>AFFAN JULIARDI</t>
  </si>
  <si>
    <t>IDEAL KEBUTUHAN SDM PERKOM 2023</t>
  </si>
  <si>
    <t>minimum th lalu saat ini beda</t>
  </si>
  <si>
    <t xml:space="preserve">lonjakan naik pemakluman , saat turun harus segera </t>
  </si>
  <si>
    <t>SUPRIYANTO</t>
  </si>
  <si>
    <t>Staff Gudang Barang Jadi</t>
  </si>
  <si>
    <t>Gudang B.Jadi</t>
  </si>
  <si>
    <t>kewenangan penambahan tenaker untuk hl dan borongan ?</t>
  </si>
  <si>
    <t>AGUS SALIKIN</t>
  </si>
  <si>
    <t>CABANG SURABAYA</t>
  </si>
  <si>
    <t>Staff Gudang Sparepart &amp; Bahan Baku</t>
  </si>
  <si>
    <t>RIZKY YANWARIO</t>
  </si>
  <si>
    <t>SOHIM SAIFUL HIDAYAT</t>
  </si>
  <si>
    <t>Kontrak</t>
  </si>
  <si>
    <t>ACHMAD EDI YULIANTO</t>
  </si>
  <si>
    <t>Finishing</t>
  </si>
  <si>
    <t>NO</t>
  </si>
  <si>
    <t>Produksi</t>
  </si>
  <si>
    <t xml:space="preserve">mengadakan meeting off line dgn direksi secara detail sebelum hari kamis </t>
  </si>
  <si>
    <t>HARIYANTO</t>
  </si>
  <si>
    <t>SLAMET</t>
  </si>
  <si>
    <t>DEDY HARYADI</t>
  </si>
  <si>
    <t>Kadiv Protek</t>
  </si>
  <si>
    <t>Web</t>
  </si>
  <si>
    <t>HANDIKA TATARISA</t>
  </si>
  <si>
    <t>Karu Pracetak</t>
  </si>
  <si>
    <t>replace , tenaker yg tidak produktif atau "virus negativ"</t>
  </si>
  <si>
    <t>Pra Cetak</t>
  </si>
  <si>
    <t>Harian Lepas</t>
  </si>
  <si>
    <t>ACHMAD FAUZI PRASETYA</t>
  </si>
  <si>
    <t>Op. Cetak Sheet</t>
  </si>
  <si>
    <t>Sheet</t>
  </si>
  <si>
    <t>FIKRI AKHMADI</t>
  </si>
  <si>
    <t>Outsourcing</t>
  </si>
  <si>
    <t>MUKHAMAD ASARI</t>
  </si>
  <si>
    <t>Omset</t>
  </si>
  <si>
    <t>HERMAWAN EKA PRASETYA</t>
  </si>
  <si>
    <t>DIVISI</t>
  </si>
  <si>
    <t>Op. Cetak Web</t>
  </si>
  <si>
    <t>MISNO</t>
  </si>
  <si>
    <t>RISMANTO</t>
  </si>
  <si>
    <t>MESIN</t>
  </si>
  <si>
    <t>SLAMET WIDODO</t>
  </si>
  <si>
    <t>MOCHAMAD ARIFIN</t>
  </si>
  <si>
    <t>KEBUTUHAN (ORANG)</t>
  </si>
  <si>
    <t>Pracetak</t>
  </si>
  <si>
    <t>AGUS ARIONO</t>
  </si>
  <si>
    <t>Wakaru Web</t>
  </si>
  <si>
    <t>SHIFT</t>
  </si>
  <si>
    <t>MUHAMMAD MAKIN</t>
  </si>
  <si>
    <t>Karu Elektrik</t>
  </si>
  <si>
    <t>Teknik</t>
  </si>
  <si>
    <t>Elektrik</t>
  </si>
  <si>
    <t>SETYO WIBOWO</t>
  </si>
  <si>
    <t>Karu Teknik</t>
  </si>
  <si>
    <t>FIX</t>
  </si>
  <si>
    <t>Mekanik</t>
  </si>
  <si>
    <t>DIAN SAPUTRO</t>
  </si>
  <si>
    <t>RUSDWIANTO</t>
  </si>
  <si>
    <t>TRI BAGUS KUSUMA</t>
  </si>
  <si>
    <t>TRIYONO</t>
  </si>
  <si>
    <t>VARIABEL -- PROJEK</t>
  </si>
  <si>
    <t>SUDARMAWAN</t>
  </si>
  <si>
    <t>Wakadiv Teknik</t>
  </si>
  <si>
    <t>AGUS SURYO ATMOJO</t>
  </si>
  <si>
    <t>General Manager Commercial Printing</t>
  </si>
  <si>
    <t>General Manager</t>
  </si>
  <si>
    <t>Kontrak pasca pensiun</t>
  </si>
  <si>
    <t>HADIYANTO</t>
  </si>
  <si>
    <t>Assistant Manager</t>
  </si>
  <si>
    <t>Manager</t>
  </si>
  <si>
    <t>Manager/Branch Manager</t>
  </si>
  <si>
    <t>BIAYA (RP)</t>
  </si>
  <si>
    <t>Branch Manager</t>
  </si>
  <si>
    <t>HAKIM NOORDIN MUSYADDAD</t>
  </si>
  <si>
    <t>Assistant Manager Marketing</t>
  </si>
  <si>
    <t>Manager Pemasaran</t>
  </si>
  <si>
    <t>MUHAMMAD LUTHFAN PRANOWO JATI</t>
  </si>
  <si>
    <t>Marketing</t>
  </si>
  <si>
    <t>Pemasaran</t>
  </si>
  <si>
    <t>Kontrak 3</t>
  </si>
  <si>
    <t>BUDI SETIAWAN. ST</t>
  </si>
  <si>
    <t>Karu Purchasing</t>
  </si>
  <si>
    <t>Pembelian</t>
  </si>
  <si>
    <t>AGUNG MUSTOFA</t>
  </si>
  <si>
    <t>Kontrak 1</t>
  </si>
  <si>
    <t>WITRIYANTO</t>
  </si>
  <si>
    <t>ARI WIDIYANTO</t>
  </si>
  <si>
    <t>Karu Finishing</t>
  </si>
  <si>
    <t>DONI SAPUTRO</t>
  </si>
  <si>
    <t>Kontrak 2</t>
  </si>
  <si>
    <t>AHMAD ROUF</t>
  </si>
  <si>
    <t>NGK</t>
  </si>
  <si>
    <t>YULITA RAHMAWATI</t>
  </si>
  <si>
    <t>Admin. Piutang</t>
  </si>
  <si>
    <t>EVA HAPSARI DWI BEKTI</t>
  </si>
  <si>
    <t>Kasir</t>
  </si>
  <si>
    <t>Keuangan</t>
  </si>
  <si>
    <t>EXISTING</t>
  </si>
  <si>
    <t>SUYADI</t>
  </si>
  <si>
    <t>M. LUTHFIL FUAD</t>
  </si>
  <si>
    <t>Purchasing staff</t>
  </si>
  <si>
    <t>MOHAMAD RIDWAN</t>
  </si>
  <si>
    <t>OUTPUT/OMSET (RP)</t>
  </si>
  <si>
    <t>RASIO (%)</t>
  </si>
  <si>
    <t>HERU SUSILO</t>
  </si>
  <si>
    <t>MASHUDI</t>
  </si>
  <si>
    <t>Op. Cetak Komersial</t>
  </si>
  <si>
    <t>KETERANGAN</t>
  </si>
  <si>
    <t>KARMAN</t>
  </si>
  <si>
    <t>ARI LESTARI PUGUH CAHYONO</t>
  </si>
  <si>
    <t>SUYONO</t>
  </si>
  <si>
    <t>Op.Cetak Web JP</t>
  </si>
  <si>
    <t>AAN WIBISONO</t>
  </si>
  <si>
    <t>SENDI MUHAMMAD IWAN</t>
  </si>
  <si>
    <t>JOKO SUHENDRO</t>
  </si>
  <si>
    <t>Wakaru Teknik</t>
  </si>
  <si>
    <t>MOHAMAD MARZUKI</t>
  </si>
  <si>
    <t>GM Operasional &amp; BM Nganjuk</t>
  </si>
  <si>
    <t>DPS</t>
  </si>
  <si>
    <t>NI KETUT AYU PURNAMI</t>
  </si>
  <si>
    <t>Kadiv Accounting &amp; Keuangan</t>
  </si>
  <si>
    <t>PEMBI DWI LUTHFITANING RATRI</t>
  </si>
  <si>
    <t>TRI ISWANTO</t>
  </si>
  <si>
    <t>Karu PPIC</t>
  </si>
  <si>
    <t>ERDIAN APRIANTO</t>
  </si>
  <si>
    <t>Staf Gudang Barang Jadi</t>
  </si>
  <si>
    <t>INDRA SETIAWAN</t>
  </si>
  <si>
    <t>Karu Cetak Web JP</t>
  </si>
  <si>
    <t>SULAIMAN</t>
  </si>
  <si>
    <t>MURDANI</t>
  </si>
  <si>
    <t>TETAP</t>
  </si>
  <si>
    <t>KONTRAK</t>
  </si>
  <si>
    <t>OS/HL</t>
  </si>
  <si>
    <t>I MADE BERLIANTO</t>
  </si>
  <si>
    <t>TOTAL</t>
  </si>
  <si>
    <t>KET</t>
  </si>
  <si>
    <t>MUH ZAKARIA AMAL</t>
  </si>
  <si>
    <t>AHMAD ANDRI MAULIDY</t>
  </si>
  <si>
    <t>total</t>
  </si>
  <si>
    <t>FAIZAL HIDAYAH</t>
  </si>
  <si>
    <t>IMAM SANUSI</t>
  </si>
  <si>
    <t>Kontrak 4</t>
  </si>
  <si>
    <t>I KOMANG WIJANA</t>
  </si>
  <si>
    <t>HIDAYAT SOLIHIN</t>
  </si>
  <si>
    <t>ATNG</t>
  </si>
  <si>
    <t>ROBY ANDRYANTO</t>
  </si>
  <si>
    <t>Kadiv. Protek dan PPIC</t>
  </si>
  <si>
    <t>ERWIN BUDI SETIAWAN</t>
  </si>
  <si>
    <t>Karu Web</t>
  </si>
  <si>
    <t>TOTAL SDM/BIAYA</t>
  </si>
  <si>
    <t>ABU BAKAR</t>
  </si>
  <si>
    <t>MOCH. FACHRUR ROZI</t>
  </si>
  <si>
    <t>NURHIDAYAT</t>
  </si>
  <si>
    <t>ZAENAL ABIDIN</t>
  </si>
  <si>
    <t>BUDY KRIS SULIYANTO</t>
  </si>
  <si>
    <t>Karu Mekanik</t>
  </si>
  <si>
    <t>PURWANTO</t>
  </si>
  <si>
    <t>ALIF RAHMAN</t>
  </si>
  <si>
    <t>Adm. Sparepart dan Bahan Baku</t>
  </si>
  <si>
    <t>EGI YULIANTO</t>
  </si>
  <si>
    <t>DCI</t>
  </si>
  <si>
    <t>HANA NOVELINA</t>
  </si>
  <si>
    <t>Karu Acc &amp; Keuangan</t>
  </si>
  <si>
    <t>MOH. TRI WIDODO</t>
  </si>
  <si>
    <t>SULISTIONO</t>
  </si>
  <si>
    <t>SUPIYAN</t>
  </si>
  <si>
    <t>ARIS WIDODO</t>
  </si>
  <si>
    <t>Kadiv Produksi</t>
  </si>
  <si>
    <t>SUPRIYATIN</t>
  </si>
  <si>
    <t>SAMSUL HUDA</t>
  </si>
  <si>
    <t>SARIFUDIN ZUHRI</t>
  </si>
  <si>
    <t>MOHAMMAD ANUR ROJAB</t>
  </si>
  <si>
    <t>ILHAM NOR FAHMI</t>
  </si>
  <si>
    <t>Staff Pracetak</t>
  </si>
  <si>
    <t>IWAN AFANDI</t>
  </si>
  <si>
    <t>SBY</t>
  </si>
  <si>
    <t>BUDI SLAMET</t>
  </si>
  <si>
    <t>Penagihan</t>
  </si>
  <si>
    <t>KHURIN NUR AINI</t>
  </si>
  <si>
    <t>ATOK TAUFIK</t>
  </si>
  <si>
    <t>Karu Umum</t>
  </si>
  <si>
    <t>DEVI PRIDIAH</t>
  </si>
  <si>
    <t>Staff HRD</t>
  </si>
  <si>
    <t>VIVIN NOVARINA</t>
  </si>
  <si>
    <t>ZAINUL ARIFIN DJUWITO</t>
  </si>
  <si>
    <t>HADI KUSMANTO</t>
  </si>
  <si>
    <t>Karu IT</t>
  </si>
  <si>
    <t>Information Technology</t>
  </si>
  <si>
    <t>IT</t>
  </si>
  <si>
    <t>MIFTAKHUL ANWAR</t>
  </si>
  <si>
    <t>Staff IT Sumengko</t>
  </si>
  <si>
    <t>YUSAK FAHRUR HAMZAH</t>
  </si>
  <si>
    <t>YUNUS ANDRIANTO</t>
  </si>
  <si>
    <t>Admin Marketing Proyek</t>
  </si>
  <si>
    <t>ZULKARNEN</t>
  </si>
  <si>
    <t>GM</t>
  </si>
  <si>
    <t>DIDIN KRISTIAWAN</t>
  </si>
  <si>
    <t>Admin. Marketing</t>
  </si>
  <si>
    <t>Administrasi Pemasaran</t>
  </si>
  <si>
    <t>FELBY ANDELIA SUPRATIKNO</t>
  </si>
  <si>
    <t>Kadiv Marketing</t>
  </si>
  <si>
    <t>AGUS MAULID</t>
  </si>
  <si>
    <t>ARI ARRAHIM</t>
  </si>
  <si>
    <t>DANI SOTANTO</t>
  </si>
  <si>
    <t>DWI THOFANI M THOYIB</t>
  </si>
  <si>
    <t>HERMAN SUSANTO</t>
  </si>
  <si>
    <t>RIZA CHOIRUL ANAS</t>
  </si>
  <si>
    <t>RONI SUPRIYADI</t>
  </si>
  <si>
    <t>SHANDI AMRI AZHAR</t>
  </si>
  <si>
    <t>ACHMAD SAFII KARIM</t>
  </si>
  <si>
    <t>Staff Purchasing</t>
  </si>
  <si>
    <t>ARIS DWI PURNOMO</t>
  </si>
  <si>
    <t>UNTUNG WANTOYO</t>
  </si>
  <si>
    <t>Ekspedisi</t>
  </si>
  <si>
    <t>YAYAN SETIYO NUGROHO</t>
  </si>
  <si>
    <t>ASEP GUNAWAN</t>
  </si>
  <si>
    <t>Karu Gudang Bahan Baku</t>
  </si>
  <si>
    <t>Gudang B.Baku</t>
  </si>
  <si>
    <t>SUPRAPTO</t>
  </si>
  <si>
    <t>Staff Gudang Bahan Baku</t>
  </si>
  <si>
    <t>MANAGER</t>
  </si>
  <si>
    <t>TOMI SULISTIONO</t>
  </si>
  <si>
    <t>ERIK ENGGAR PRASTYAWAN</t>
  </si>
  <si>
    <t>SIGIT MURI UTOMO</t>
  </si>
  <si>
    <t>DANAR WIDODO</t>
  </si>
  <si>
    <t>Staff Gudang Sparepart</t>
  </si>
  <si>
    <t>RUDDY NURDIANSAH</t>
  </si>
  <si>
    <t>ADAM CHRISNANDA SRIWANTYO</t>
  </si>
  <si>
    <t>Staff PPIC</t>
  </si>
  <si>
    <t>ANANDA DUGI PRASETYO</t>
  </si>
  <si>
    <t>ARI PRASETYO</t>
  </si>
  <si>
    <t>ASMEN</t>
  </si>
  <si>
    <t>YOSEP HARIONO</t>
  </si>
  <si>
    <t>Wakaru GBJ &amp; Ekspedisi</t>
  </si>
  <si>
    <t>MOH. HASAN BISRI</t>
  </si>
  <si>
    <t>Wakaru Gudang bahan baku</t>
  </si>
  <si>
    <t>ABDL. LATIF USWANDI</t>
  </si>
  <si>
    <t>BAGUS PUTU ASTAWA</t>
  </si>
  <si>
    <t>BENI SUBIYANTO</t>
  </si>
  <si>
    <t>ISHADI PRAYITNO</t>
  </si>
  <si>
    <t>JAINUL ARIFIN</t>
  </si>
  <si>
    <t>MOCH. RIYANTO</t>
  </si>
  <si>
    <t>MOCHAMMAD WIYONO</t>
  </si>
  <si>
    <t>MOHAMAD ULUM AFANDI</t>
  </si>
  <si>
    <t>PRIYO PUJIANTO</t>
  </si>
  <si>
    <t>KEUANGAN</t>
  </si>
  <si>
    <t>RUSGIANTO</t>
  </si>
  <si>
    <t>ACC</t>
  </si>
  <si>
    <t>SULISWANTO</t>
  </si>
  <si>
    <t>TEO DHARISMAN</t>
  </si>
  <si>
    <t>TRI PRASETIYO WIBOWO</t>
  </si>
  <si>
    <t>VERGA ADITYA</t>
  </si>
  <si>
    <t>VIVID MURDIANTO</t>
  </si>
  <si>
    <t>ANTOK PRIBADI</t>
  </si>
  <si>
    <t>DWI KURNIAWAN</t>
  </si>
  <si>
    <t>AGUS SUDARIYANTO</t>
  </si>
  <si>
    <t>MUHAMMAD QOMARI</t>
  </si>
  <si>
    <t>Karu Sheet</t>
  </si>
  <si>
    <t>ARIE SUKARNADI</t>
  </si>
  <si>
    <t>DWI RUDAL WANTO</t>
  </si>
  <si>
    <t>FITRO ARIFIN</t>
  </si>
  <si>
    <t>IMRON WAHYUDI</t>
  </si>
  <si>
    <t>KASIR/KEU</t>
  </si>
  <si>
    <t>NOVIAN SAPUTRA WARDANA</t>
  </si>
  <si>
    <t>PURNOMO</t>
  </si>
  <si>
    <t>RETNO PURNOMO PRAMANTARA</t>
  </si>
  <si>
    <t>ACHMAD ANDIK SETYAWAN</t>
  </si>
  <si>
    <t>ACHMAD MUCHIBIN</t>
  </si>
  <si>
    <t>ANDI FITRIANTO</t>
  </si>
  <si>
    <t>ANDIK IRAWAN</t>
  </si>
  <si>
    <t>BAHRUR ROZI</t>
  </si>
  <si>
    <t>DWI BAGUS PRAMONO</t>
  </si>
  <si>
    <t>INVOICING</t>
  </si>
  <si>
    <t>FERLI BAGUS HERMAWAN</t>
  </si>
  <si>
    <t>HERMAN SETIAWAN</t>
  </si>
  <si>
    <t>IPUNG WIBOWO</t>
  </si>
  <si>
    <t>RIZA ISMAIL</t>
  </si>
  <si>
    <t>SAMSUL ARIFIN</t>
  </si>
  <si>
    <t>TRI FAUDIN</t>
  </si>
  <si>
    <t>ANDIK SISWANTO</t>
  </si>
  <si>
    <t>TRESURY</t>
  </si>
  <si>
    <t>HARIADI RIANTO</t>
  </si>
  <si>
    <t>MOCH YOGI FIRMANSYAH</t>
  </si>
  <si>
    <t>SLAMET NGADIONO</t>
  </si>
  <si>
    <t>ANDHI CANDRA PRASTYAWAN</t>
  </si>
  <si>
    <t>ANDIK SETIAWAN</t>
  </si>
  <si>
    <t>AGUS HARIYANTO</t>
  </si>
  <si>
    <t>Pracetak JP</t>
  </si>
  <si>
    <t>WILDAN ROZY DJATMIKO</t>
  </si>
  <si>
    <t>ABDUL ROCHIM</t>
  </si>
  <si>
    <t>Wakaru Cetak Web JP</t>
  </si>
  <si>
    <t>PURCHASING</t>
  </si>
  <si>
    <t>YUNARSONO</t>
  </si>
  <si>
    <t>Wakaru Pracetak</t>
  </si>
  <si>
    <t>FIRMAN ABADI</t>
  </si>
  <si>
    <t>Wakaru Sheet</t>
  </si>
  <si>
    <t>MOCHAMAD SUHARTONO</t>
  </si>
  <si>
    <t>Staff QA</t>
  </si>
  <si>
    <t>Q C</t>
  </si>
  <si>
    <t>QC</t>
  </si>
  <si>
    <t>FIRMAN MURJIYANTO</t>
  </si>
  <si>
    <t>ELektrik Komersial</t>
  </si>
  <si>
    <t>MAS YULIANTO</t>
  </si>
  <si>
    <t>AKHMAD MAZANI</t>
  </si>
  <si>
    <t>Elektrik Web</t>
  </si>
  <si>
    <t>OKY WICAKSONO</t>
  </si>
  <si>
    <t>MARKETING</t>
  </si>
  <si>
    <t>TRI CITRA SETIA</t>
  </si>
  <si>
    <t>ADM MARKETING</t>
  </si>
  <si>
    <t>AGUS PURNOMO</t>
  </si>
  <si>
    <t>Kadiv Teknik</t>
  </si>
  <si>
    <t>E KATALOG 6-12</t>
  </si>
  <si>
    <t>ANDRI PRASETYA</t>
  </si>
  <si>
    <t>Mekanik  Web</t>
  </si>
  <si>
    <t>ARIEF SUPRAYOGI</t>
  </si>
  <si>
    <t>MOCHAMMAD ARIS</t>
  </si>
  <si>
    <t>NURSAHID</t>
  </si>
  <si>
    <t>RAHMAD EDY PRANOTO</t>
  </si>
  <si>
    <t>MARKETING PROYEK</t>
  </si>
  <si>
    <t>ROHMAT</t>
  </si>
  <si>
    <t>SUHENDRIK</t>
  </si>
  <si>
    <t>DIDIK SANTOSO</t>
  </si>
  <si>
    <t>KHOIRUL ANAM</t>
  </si>
  <si>
    <t>Kadiv Accounting</t>
  </si>
  <si>
    <t>ANANDA MITSA GHALIZHA LAKSMANTA</t>
  </si>
  <si>
    <t xml:space="preserve">MARKETING </t>
  </si>
  <si>
    <t>SRI HANDAYANI</t>
  </si>
  <si>
    <t>ALFIAN IBNU SINA</t>
  </si>
  <si>
    <t>Staff Accounting</t>
  </si>
  <si>
    <t>RADINA PRESTICA HIDAYAH</t>
  </si>
  <si>
    <t>SOLEH HUDIN</t>
  </si>
  <si>
    <t>SUPRIYONO</t>
  </si>
  <si>
    <t>ARIS GUNAWAN</t>
  </si>
  <si>
    <t>Manager Product, Planning &amp; Control</t>
  </si>
  <si>
    <t>SRI MULYANI</t>
  </si>
  <si>
    <t>IKHWAN BUKHORI</t>
  </si>
  <si>
    <t>HC</t>
  </si>
  <si>
    <t>MUHAMMAD</t>
  </si>
  <si>
    <t>ACHMAD FERDINAL HARIS</t>
  </si>
  <si>
    <t>Staff Gudang Sentral Commercial Printing</t>
  </si>
  <si>
    <t>EDY RIYANTO</t>
  </si>
  <si>
    <t>MOHAMMAD NAJIB</t>
  </si>
  <si>
    <t>KATENO</t>
  </si>
  <si>
    <t>HERI SANTOSO</t>
  </si>
  <si>
    <t>UMUM - TAMAN</t>
  </si>
  <si>
    <t>SAIFUL ARIFIN</t>
  </si>
  <si>
    <t>SANDY RAMADHAN</t>
  </si>
  <si>
    <t>NURUL ABIDIN</t>
  </si>
  <si>
    <t>Wakadiv Produksi</t>
  </si>
  <si>
    <t>DIDIN SAMSUDIN</t>
  </si>
  <si>
    <t>HL : Taman/Aval = 2, Aval/Sampah = 2, Gedung Komersial/Gudang = 1, Gedung Biru (Web/Reelstand) = 1, Office (3 lantai) = 1
KARYAWAN : Bank, Front Office, Driver, Building</t>
  </si>
  <si>
    <t>Staff QC</t>
  </si>
  <si>
    <t>ETOS TELEVOLTI</t>
  </si>
  <si>
    <t>Wakadiv QC</t>
  </si>
  <si>
    <t>AGUS SUDARMONO</t>
  </si>
  <si>
    <t>Karu Mekanik Web</t>
  </si>
  <si>
    <t>WAWAN DWI MURYANTO</t>
  </si>
  <si>
    <t>Wakaru Mekanik Komersial</t>
  </si>
  <si>
    <t>UMUM - OFFICE</t>
  </si>
  <si>
    <t>UMUM - WEB</t>
  </si>
  <si>
    <t xml:space="preserve">UMUM - FINISHING </t>
  </si>
  <si>
    <t xml:space="preserve">UMUM- DRIVER BANK </t>
  </si>
  <si>
    <t>UMUM - KOORDINATOR</t>
  </si>
  <si>
    <t>UMUM- ADMIN + CS</t>
  </si>
  <si>
    <t>UMUM - KM WC</t>
  </si>
  <si>
    <t>SECURITY</t>
  </si>
  <si>
    <t>PLANNING</t>
  </si>
  <si>
    <t>IDEAL KEBUTUHAN SDM PERKOM 2025</t>
  </si>
  <si>
    <t>average upah dan dikalikan jumlah sdm</t>
  </si>
  <si>
    <t>KEBUTUHAN</t>
  </si>
  <si>
    <t>MANUFAKTUR</t>
  </si>
  <si>
    <t>GUDANG BAHAN BAKU + SPAREPART</t>
  </si>
  <si>
    <t>OS FIX</t>
  </si>
  <si>
    <t>OS VAR</t>
  </si>
  <si>
    <t>OS/FIX COST</t>
  </si>
  <si>
    <t>OS/VAR COST</t>
  </si>
  <si>
    <t>GUDANG BARANG JADI</t>
  </si>
  <si>
    <t>KURMER</t>
  </si>
  <si>
    <t>EKSPEDISI- 3 MOBIL</t>
  </si>
  <si>
    <t>Selisih Tetap/Kontrak</t>
  </si>
  <si>
    <t>QC - JP</t>
  </si>
  <si>
    <t>QC - KOMERSIAL</t>
  </si>
  <si>
    <t>TEKNIK</t>
  </si>
  <si>
    <t>MEKANIK</t>
  </si>
  <si>
    <t>ELEKTRIK</t>
  </si>
  <si>
    <t>JARINGAN</t>
  </si>
  <si>
    <t>PRACETAK</t>
  </si>
  <si>
    <t>KODAK 1- JP KOM</t>
  </si>
  <si>
    <t>KODAK 2- JP KOM</t>
  </si>
  <si>
    <t>SCREEN 1 - JP</t>
  </si>
  <si>
    <t>A8T- JP KOM</t>
  </si>
  <si>
    <t>AVALON - KOM</t>
  </si>
  <si>
    <t>GA/UMUM</t>
  </si>
  <si>
    <t>MD - DIGITAL PRINTING</t>
  </si>
  <si>
    <t>HL : Taman/Aval = 2, Kamar mandi = 1, Gedung Komersial/Gudang = 3, Gedung Biru &amp; Basement (Web/Reelstand) = 4, Office (3 lantai) = 2 
KARYAWAN : Bank, Front Office, Driver, Building</t>
  </si>
  <si>
    <t>TAMAN/AVAL</t>
  </si>
  <si>
    <t>SHEET</t>
  </si>
  <si>
    <t>SELISIH</t>
  </si>
  <si>
    <t>KAMAR MANDI</t>
  </si>
  <si>
    <t>KOMORI 1</t>
  </si>
  <si>
    <t>CABANG BEKASI (GUDANG SENTRAL)</t>
  </si>
  <si>
    <t>GEDUNG KOMERSIAL/GUDANG</t>
  </si>
  <si>
    <t>GEDUNG BIRU &amp; BASEMENT (Web/Reelstand)</t>
  </si>
  <si>
    <t>KOMORI 2</t>
  </si>
  <si>
    <t>w32</t>
  </si>
  <si>
    <t>CABANG BEKASI</t>
  </si>
  <si>
    <t>LEPAS 3 (PINDAH KE WEB UNTUK PEKERJAAN SAAT INI)</t>
  </si>
  <si>
    <t>OFFICE 3 LT</t>
  </si>
  <si>
    <t>HEIDELBERG</t>
  </si>
  <si>
    <t>Kebutuhan (Orang)</t>
  </si>
  <si>
    <t>WEB</t>
  </si>
  <si>
    <t>UNISET 1 - JP</t>
  </si>
  <si>
    <t>JP+KOM</t>
  </si>
  <si>
    <t>UNISET 2 - JP KOM</t>
  </si>
  <si>
    <t>GOSS UNIVERSAL - JP KOM</t>
  </si>
  <si>
    <t>EKSPEDISI</t>
  </si>
  <si>
    <t>KBA 63</t>
  </si>
  <si>
    <t>R&amp;D</t>
  </si>
  <si>
    <t>GLOBAL</t>
  </si>
  <si>
    <t>QA</t>
  </si>
  <si>
    <t>TENSOR</t>
  </si>
  <si>
    <t>DEV HORISSON</t>
  </si>
  <si>
    <t>FINISHING KOMERSIAL</t>
  </si>
  <si>
    <t>YOSHINO INLINE</t>
  </si>
  <si>
    <t>HL</t>
  </si>
  <si>
    <t>Harian hanya pada saat ada pekerjaan</t>
  </si>
  <si>
    <t>KODAK 1</t>
  </si>
  <si>
    <t>BM</t>
  </si>
  <si>
    <t>MULLER PRESTO</t>
  </si>
  <si>
    <t>KADIV PRODUKSI</t>
  </si>
  <si>
    <t>KODAK 2</t>
  </si>
  <si>
    <t>MARKETINIG</t>
  </si>
  <si>
    <t>OSAKO</t>
  </si>
  <si>
    <t>SCREEN 1</t>
  </si>
  <si>
    <t>A8T</t>
  </si>
  <si>
    <t>GUDANG SENTRAL</t>
  </si>
  <si>
    <t>STAHL 1</t>
  </si>
  <si>
    <t>ADMIN GUDANG</t>
  </si>
  <si>
    <t>AVALON</t>
  </si>
  <si>
    <t>UNIT RATE</t>
  </si>
  <si>
    <t>KARU PRODUKSI</t>
  </si>
  <si>
    <t>STAHL 2</t>
  </si>
  <si>
    <t>MD</t>
  </si>
  <si>
    <t>QC SHIFT PAGI</t>
  </si>
  <si>
    <t xml:space="preserve">GUDANG </t>
  </si>
  <si>
    <t>STAHL 3</t>
  </si>
  <si>
    <t>a</t>
  </si>
  <si>
    <t>POTONG POLAR</t>
  </si>
  <si>
    <t>SORTIR GUDANG</t>
  </si>
  <si>
    <t>Menyesuaikan pekerjaan</t>
  </si>
  <si>
    <t>KOMORI 3</t>
  </si>
  <si>
    <t>POTONG ROBOCUT</t>
  </si>
  <si>
    <t>POTONG SHLM</t>
  </si>
  <si>
    <t>UNISET 1</t>
  </si>
  <si>
    <t>PENATAAN GUDANG</t>
  </si>
  <si>
    <t>ALQUR'AN</t>
  </si>
  <si>
    <t>COLLATING</t>
  </si>
  <si>
    <t>UNISET 2</t>
  </si>
  <si>
    <t>COUNTER</t>
  </si>
  <si>
    <t>LOADING/UNLOADING</t>
  </si>
  <si>
    <t>UNIVERSAL L3</t>
  </si>
  <si>
    <t>SEWING VENTURA</t>
  </si>
  <si>
    <t>TRESURY/UMUM PENAGIHAN</t>
  </si>
  <si>
    <t>DRIVER EKSPEDISI</t>
  </si>
  <si>
    <t>UNIVERSAL 63/L6</t>
  </si>
  <si>
    <t>SEWING ASTER EVO</t>
  </si>
  <si>
    <t>SEWING ASTER BKS</t>
  </si>
  <si>
    <t>BLOK LEM SIGLOCH</t>
  </si>
  <si>
    <t xml:space="preserve">CABANG DENPASAR </t>
  </si>
  <si>
    <t>PROGNOSIS</t>
  </si>
  <si>
    <t>BLOK LEM WOOJIN</t>
  </si>
  <si>
    <t>CASE MAKER DA</t>
  </si>
  <si>
    <t xml:space="preserve">REALISASI </t>
  </si>
  <si>
    <t>SELISIH SDM</t>
  </si>
  <si>
    <t>CASE MAKER SW</t>
  </si>
  <si>
    <t>SOLNA OLD</t>
  </si>
  <si>
    <t>UV VARNISH PANORAMA</t>
  </si>
  <si>
    <t>MINGGU 1</t>
  </si>
  <si>
    <t>MINGGU 2</t>
  </si>
  <si>
    <t>SOLNA NEW</t>
  </si>
  <si>
    <t>MINGGU 3</t>
  </si>
  <si>
    <t>OFFICE, PRODUKSI, LAPANGAN</t>
  </si>
  <si>
    <t>UV VARNISH CHINGFENG</t>
  </si>
  <si>
    <t>BACKING PLATE</t>
  </si>
  <si>
    <t xml:space="preserve"> </t>
  </si>
  <si>
    <t>LAMINASI WL900</t>
  </si>
  <si>
    <t>KOORDINATOR LAPANGAN</t>
  </si>
  <si>
    <t>LAMINASI LIXIN</t>
  </si>
  <si>
    <t>YOSHINO NEW VEGA</t>
  </si>
  <si>
    <t>GUDANG BAHAN BAKU</t>
  </si>
  <si>
    <t>LAMINASI 2 (CUTTER)</t>
  </si>
  <si>
    <t>HL/UR</t>
  </si>
  <si>
    <t>DEBOSS</t>
  </si>
  <si>
    <t>CASE IN KOLBUS</t>
  </si>
  <si>
    <t>QC SHIFT MALAM</t>
  </si>
  <si>
    <t>SORTIR (HASIL CASE IN)</t>
  </si>
  <si>
    <t>UR menyesuaikan jumlah Oplah</t>
  </si>
  <si>
    <t>CUTTING BOARD 1</t>
  </si>
  <si>
    <t>PRACETAK, EDITOR MATERI</t>
  </si>
  <si>
    <t>SPIN CUTTER</t>
  </si>
  <si>
    <t>MITSUBISHI</t>
  </si>
  <si>
    <t>ANGEL CUTTER</t>
  </si>
  <si>
    <t>UNIVERSAL 630</t>
  </si>
  <si>
    <t>TRIMMER TSK</t>
  </si>
  <si>
    <t>POTONG WOHLENBERG</t>
  </si>
  <si>
    <t>UV VARNISH</t>
  </si>
  <si>
    <t>TREASURY/PIUTANG</t>
  </si>
  <si>
    <t>LIPAT STHAL</t>
  </si>
  <si>
    <t>LIPAT PM</t>
  </si>
  <si>
    <t>LIPAT MBO</t>
  </si>
  <si>
    <t>TIGRA</t>
  </si>
  <si>
    <t>SISIP MANUAL</t>
  </si>
  <si>
    <t>PLAN MOVING KE BAWEN</t>
  </si>
  <si>
    <t>STICTHING MULLER</t>
  </si>
  <si>
    <t>UR</t>
  </si>
  <si>
    <t>SHRINK 1</t>
  </si>
  <si>
    <t xml:space="preserve">ADMIN MARKETING </t>
  </si>
  <si>
    <t>POTONG ITOTECH</t>
  </si>
  <si>
    <t>LAMINATING (PAMOR KECIL)</t>
  </si>
  <si>
    <t>SHRINK 2</t>
  </si>
  <si>
    <t>SORTIR DAN PACKING</t>
  </si>
  <si>
    <t>PISAH VEL HASIL CETAK</t>
  </si>
  <si>
    <t>SORTIR PLANO</t>
  </si>
  <si>
    <t xml:space="preserve">GA/UMUM : KANTOR </t>
  </si>
  <si>
    <t>LIPAT RATAN 1</t>
  </si>
  <si>
    <t>LIPAT RATAN 2</t>
  </si>
  <si>
    <t>ADMIN QUR'AN</t>
  </si>
  <si>
    <t>PLONG</t>
  </si>
  <si>
    <t>ADMIN KOMERSIAL</t>
  </si>
  <si>
    <t>GA/UMUM : PRODUKSI</t>
  </si>
  <si>
    <t>PASANG SPIRAL</t>
  </si>
  <si>
    <t>REVISI QUR'AN</t>
  </si>
  <si>
    <t>GA/UMUM : AFVAL</t>
  </si>
  <si>
    <t>SPIRAL KALENDER</t>
  </si>
  <si>
    <t>1 &amp; 2</t>
  </si>
  <si>
    <t>PACKING</t>
  </si>
  <si>
    <t>SUPPORT KOMERSIAL</t>
  </si>
  <si>
    <t>SUPORT AL QURAN</t>
  </si>
  <si>
    <t>SUPPORTING PEKERJAAN FINISHING GLOBAL</t>
  </si>
  <si>
    <t>SUPORT KOMERSIAL</t>
  </si>
  <si>
    <t xml:space="preserve">1 &amp;2 </t>
  </si>
  <si>
    <t>CTP AVALON A8T</t>
  </si>
  <si>
    <t>LAMINASI 1</t>
  </si>
  <si>
    <t>CTP Thermal 1</t>
  </si>
  <si>
    <t>CTP AVALON 1823</t>
  </si>
  <si>
    <t>CTP Thermal 2</t>
  </si>
  <si>
    <t xml:space="preserve">KOMORI </t>
  </si>
  <si>
    <t>BINDING TSK</t>
  </si>
  <si>
    <t>LINE GOSS SSC 3 TOWER</t>
  </si>
  <si>
    <t>GOSS  SSC</t>
  </si>
  <si>
    <t>LINE GOSS SSC 1 TOWER</t>
  </si>
  <si>
    <t>CASE IN MANUAL &amp;  REVISI</t>
  </si>
  <si>
    <t>SHARPLINE</t>
  </si>
  <si>
    <t>SORTIR (HASIL CASE IN) + PROGRESS WIP</t>
  </si>
  <si>
    <t>TRIMER YOSHINO</t>
  </si>
  <si>
    <t>STITCHING OSAKA</t>
  </si>
  <si>
    <t>STITCHING</t>
  </si>
  <si>
    <t>LIPAT PURPLE MAGNA</t>
  </si>
  <si>
    <t>SHRINK 3</t>
  </si>
  <si>
    <t>POTONG SHLM LONG 104</t>
  </si>
  <si>
    <t>POTONG SHLM 1</t>
  </si>
  <si>
    <t>POTONG SHLM QZ920 B</t>
  </si>
  <si>
    <t>REWINDER</t>
  </si>
  <si>
    <t>POTONG SHLM 2</t>
  </si>
  <si>
    <t>BINDING TIGRA</t>
  </si>
  <si>
    <t>BENDING TIGRA</t>
  </si>
  <si>
    <t>SISIP GATEHERED 001</t>
  </si>
  <si>
    <t>SORTIR BARANG SETENGAH JADI</t>
  </si>
  <si>
    <t>SHRINK</t>
  </si>
  <si>
    <t>CUTTING/PLONG</t>
  </si>
  <si>
    <t>CUTTING</t>
  </si>
  <si>
    <t>LAMINASI (GLOSSY &amp;DOFF)</t>
  </si>
  <si>
    <t>UV/glossy</t>
  </si>
  <si>
    <t>SABLON MANUAL</t>
  </si>
  <si>
    <t>PASANG PITA &amp; HEADBAND - ACCESORIS</t>
  </si>
  <si>
    <t>Selisih SDM</t>
  </si>
  <si>
    <t>PASANG SKIBLAT</t>
  </si>
  <si>
    <t>SUPORT PRODUKSI AL QURAN</t>
  </si>
  <si>
    <t>CABANG BAWEN SOLO</t>
  </si>
  <si>
    <t>OS BOR</t>
  </si>
  <si>
    <t>KURANG</t>
  </si>
  <si>
    <t>NOTE</t>
  </si>
  <si>
    <t>DIBANTU PSG</t>
  </si>
  <si>
    <t>GA</t>
  </si>
  <si>
    <t>GA/UMUM : KANTOR</t>
  </si>
  <si>
    <t>GA/UMUM : SAPU PEL PRODUKSI</t>
  </si>
  <si>
    <t>GA/UMUM : AVAL</t>
  </si>
  <si>
    <t>INVENTORY CONTROL, MANUFACTURE</t>
  </si>
  <si>
    <t>EKSPEDISI - DRIVER</t>
  </si>
  <si>
    <t>GUDANG SENTRAL BAWEN</t>
  </si>
  <si>
    <t>PROSES REKRUT</t>
  </si>
  <si>
    <t>WAKADIV</t>
  </si>
  <si>
    <t>DESAIN GRAFIS</t>
  </si>
  <si>
    <t>CTP THERMAL AGFA 1</t>
  </si>
  <si>
    <t>CTP THERMAL AGFA 2</t>
  </si>
  <si>
    <t>CABANG NGANJUK</t>
  </si>
  <si>
    <t>CTCP CRON 2</t>
  </si>
  <si>
    <t>KOORDINATOR</t>
  </si>
  <si>
    <t>OS VAR (HL &amp; BOR)</t>
  </si>
  <si>
    <t>KADIV/ WAKARU/ KOORDINATOR</t>
  </si>
  <si>
    <t>GOSS UNIVERSAL</t>
  </si>
  <si>
    <t>GOSS SHANGHAI LINE 1 - KORAN</t>
  </si>
  <si>
    <t>JP</t>
  </si>
  <si>
    <t>GOSS SHANGHAI LINE 1</t>
  </si>
  <si>
    <t>GOSS SHANGHAI LINE 2</t>
  </si>
  <si>
    <t>BINDING (TSK) + TRIMMER</t>
  </si>
  <si>
    <t>BINDING (YOSHINO) + TRIMMER</t>
  </si>
  <si>
    <t>STICHING MULLER MARTINI - EKS BEKASI</t>
  </si>
  <si>
    <t>STITCHING MULLER MARTINI - EKS JEMBER</t>
  </si>
  <si>
    <t>LIPAT STAHL - EKS BEKASI</t>
  </si>
  <si>
    <t>GA/UMUM - KANTOR</t>
  </si>
  <si>
    <t>GA/UMUM - PRODUKSI</t>
  </si>
  <si>
    <t>LIPAT STAHL 1 PLANO</t>
  </si>
  <si>
    <t>LIPAT GUK 1 PLANO</t>
  </si>
  <si>
    <t>PLANNING, MANUFACTURE</t>
  </si>
  <si>
    <t>INVENTORY CONTROL</t>
  </si>
  <si>
    <t>GUDANG SPAREPART</t>
  </si>
  <si>
    <t>DRIVER</t>
  </si>
  <si>
    <t xml:space="preserve">POTONG SHLM 1 </t>
  </si>
  <si>
    <t>POTONG MASTER</t>
  </si>
  <si>
    <t>POTONG 3 SISI</t>
  </si>
  <si>
    <t>UV</t>
  </si>
  <si>
    <t>PRACETAK/MD</t>
  </si>
  <si>
    <t xml:space="preserve">KARU/ KOORDINATOR </t>
  </si>
  <si>
    <t>LAMINASI</t>
  </si>
  <si>
    <t>BORONGAN</t>
  </si>
  <si>
    <t>CASEMAKER MANUAL</t>
  </si>
  <si>
    <t>KEPALA DIVISI PRODUKSI</t>
  </si>
  <si>
    <t>SIDEBLAT</t>
  </si>
  <si>
    <t>CASEIN MANUAL</t>
  </si>
  <si>
    <t>VEGAS</t>
  </si>
  <si>
    <t>NEKING</t>
  </si>
  <si>
    <t xml:space="preserve">UNIVERSAL </t>
  </si>
  <si>
    <t>HOTPRINT</t>
  </si>
  <si>
    <t>ADMIN FINISHING</t>
  </si>
  <si>
    <t>KARU FINISHING</t>
  </si>
  <si>
    <t>SEWING ASTER</t>
  </si>
  <si>
    <t>BINDING MULLER + TRIMMER 1</t>
  </si>
  <si>
    <t>BLOKLEM MANUAL</t>
  </si>
  <si>
    <t>POTONG BOARD</t>
  </si>
  <si>
    <t>SPIN CUTER</t>
  </si>
  <si>
    <t>PACKING/SHRINK(MANUAL)</t>
  </si>
  <si>
    <t>ADMIN PRODUKSI</t>
  </si>
  <si>
    <t>POTONG LINE</t>
  </si>
  <si>
    <t>SUPPORT PRODUKSI (CETAK KE FINISHING)</t>
  </si>
  <si>
    <t>TRIMMER 2</t>
  </si>
  <si>
    <t>SEWING ICHIDA 1</t>
  </si>
  <si>
    <t>SEWING ICHIDA 2</t>
  </si>
  <si>
    <t>LAMINASI 2</t>
  </si>
  <si>
    <t>MESIN YANG TIDAK DIGUNAKAN</t>
  </si>
  <si>
    <t>STITCHING ZHENGTU</t>
  </si>
  <si>
    <t>CASEMAKER ZHENGRUN</t>
  </si>
  <si>
    <t>CASEMAKER</t>
  </si>
  <si>
    <t>CASEIN STAHL</t>
  </si>
  <si>
    <t>termasuk marketing holding</t>
  </si>
  <si>
    <t>DINAMIKA CAHAYA INSANI (DCI)</t>
  </si>
  <si>
    <t>CABANG JEMBER</t>
  </si>
  <si>
    <t>LEADER</t>
  </si>
  <si>
    <t>KEUANAGAN</t>
  </si>
  <si>
    <t>ikut sby nempel di jember</t>
  </si>
  <si>
    <t>di handle ishaq anak web malam</t>
  </si>
  <si>
    <t>AVALON AGFA</t>
  </si>
  <si>
    <t>CABANG ALIANSI</t>
  </si>
  <si>
    <t>GAB SSC TENSOR</t>
  </si>
  <si>
    <t>CUTTING BOARD 2</t>
  </si>
  <si>
    <t>TREASURY</t>
  </si>
  <si>
    <t>GA/UMUM - AVAL</t>
  </si>
  <si>
    <t>DRIVER, UMUM KEBERSIHAN DAN PENAGIHAN, UMUM UNTUK LOADING GBJ DAN AVAL</t>
  </si>
  <si>
    <t>GA/UMUM - CLEANING</t>
  </si>
  <si>
    <t>12 JAM PER SHIFT</t>
  </si>
  <si>
    <t>KARU MEKANIK</t>
  </si>
  <si>
    <t>PERBAIKAN DAN PEMELIHARAAN MESIN</t>
  </si>
  <si>
    <t>KARU ELEKTRIK</t>
  </si>
  <si>
    <t>TAMBAH PHL KARENA MESIN RUSAK PARAH</t>
  </si>
  <si>
    <t>CTCP CRON</t>
  </si>
  <si>
    <t>CTCP AVALON</t>
  </si>
  <si>
    <t>KADIV PROTEK</t>
  </si>
  <si>
    <t>SCREEN 2</t>
  </si>
  <si>
    <t>KARU WEB</t>
  </si>
  <si>
    <t xml:space="preserve">OPERATOR WEB COLLORMAN </t>
  </si>
  <si>
    <t>IT , (ADMIN ALL PACK + PRACETAK PAGI)</t>
  </si>
  <si>
    <t xml:space="preserve">COLLORMAN </t>
  </si>
  <si>
    <t>RESUME Jumlah Tenaga kerja 2025</t>
  </si>
  <si>
    <t>kebutuhan Vs existing</t>
  </si>
  <si>
    <t>deviasi</t>
  </si>
  <si>
    <t>cabang</t>
  </si>
  <si>
    <t>Tetap/Kontrak</t>
  </si>
  <si>
    <t>OS Fix</t>
  </si>
  <si>
    <t>OS Variable</t>
  </si>
  <si>
    <t>total kebutuhan</t>
  </si>
  <si>
    <t>total existing</t>
  </si>
  <si>
    <t>rasio kebutuhan/existing karyawan</t>
  </si>
  <si>
    <t>rasio kebutuhan/existing os</t>
  </si>
  <si>
    <t>juml all</t>
  </si>
  <si>
    <t>rasio all</t>
  </si>
  <si>
    <t>keterangan</t>
  </si>
  <si>
    <t>surabaya</t>
  </si>
  <si>
    <t>rekrut acc, ppic, mkt, kadiv produksi, r&amp;d, elektrik</t>
  </si>
  <si>
    <t>bekasi</t>
  </si>
  <si>
    <t>bawen</t>
  </si>
  <si>
    <t>rekrut ppic, it, qc, mekanik, web</t>
  </si>
  <si>
    <t>nganjuk</t>
  </si>
  <si>
    <t>rekrut qc</t>
  </si>
  <si>
    <t>dci</t>
  </si>
  <si>
    <t>jember</t>
  </si>
  <si>
    <t>bali</t>
  </si>
  <si>
    <t>atng</t>
  </si>
  <si>
    <t>PERKOM</t>
  </si>
  <si>
    <t>BIAYA GAJI PER BULAN SDM SBU PERKOM</t>
  </si>
  <si>
    <t>GROWTH</t>
  </si>
  <si>
    <t>GAJI T/K SAJA 2025</t>
  </si>
  <si>
    <t>THR 2025</t>
  </si>
  <si>
    <t>BPJS (Perusahaan) 2025</t>
  </si>
  <si>
    <t>Rawat Jalan 2025</t>
  </si>
  <si>
    <t>Rawat Inap 2025</t>
  </si>
  <si>
    <t>Per Bulan</t>
  </si>
  <si>
    <t>TOTAL GAJI PERKOM</t>
  </si>
  <si>
    <t>Mempermudah dalam pengolahan data dan dapat meningkatkan efisiensi operasional (On Progress Quantum)</t>
  </si>
  <si>
    <t>Mencari SDM yang lebih berkompeten, baik dari pendidikan maupun soft skill/hard skill</t>
  </si>
  <si>
    <t>RESUME Jumlah Tenaga kerja 2024</t>
  </si>
  <si>
    <t>kebutuhan tetap/kontrak</t>
  </si>
  <si>
    <t>kebutuhan os</t>
  </si>
  <si>
    <t>existing tetap/kontrak</t>
  </si>
  <si>
    <t>existing os</t>
  </si>
  <si>
    <t>nganjuk &amp; dci</t>
  </si>
  <si>
    <t>Biaya SDM</t>
  </si>
  <si>
    <t>Fix cost karyawan</t>
  </si>
  <si>
    <t>Fix cost OS</t>
  </si>
  <si>
    <t>Variable cost</t>
  </si>
  <si>
    <t>Total Biaya</t>
  </si>
  <si>
    <t>Jumlah Karyawan</t>
  </si>
  <si>
    <t>Jumlah OS</t>
  </si>
  <si>
    <t>Total</t>
  </si>
  <si>
    <t>rasio fix cost karyawan</t>
  </si>
  <si>
    <t>rasio fix cost OS</t>
  </si>
  <si>
    <t>Omset/Biaya</t>
  </si>
  <si>
    <t>Output Produksi</t>
  </si>
  <si>
    <t>Prosentase karyawan/output</t>
  </si>
  <si>
    <t>Leader &amp; Total Mesin Cabang</t>
  </si>
  <si>
    <t>Nama</t>
  </si>
  <si>
    <t>Total Mesin</t>
  </si>
  <si>
    <t>Edy Riyanto</t>
  </si>
  <si>
    <t>Web, Sheet, Pracetak</t>
  </si>
  <si>
    <t>Nurul Abidin</t>
  </si>
  <si>
    <t>-</t>
  </si>
  <si>
    <t>Dedy Haryadi</t>
  </si>
  <si>
    <t>Kadiv Produksi &amp; Teknik</t>
  </si>
  <si>
    <t>Web, Sheet, Pracetak, Finishing</t>
  </si>
  <si>
    <t>Aris Widodo</t>
  </si>
  <si>
    <t>Ayu Purnami</t>
  </si>
  <si>
    <t>Roby Andryanto</t>
  </si>
  <si>
    <t>Kadiv Protek dan PPIC</t>
  </si>
  <si>
    <t>Web, Pracetak</t>
  </si>
  <si>
    <t>Rentang Kendali Bagian Produksi</t>
  </si>
  <si>
    <t>Omset Thn 2023 (Rp)</t>
  </si>
  <si>
    <t>Output Thn 2023</t>
  </si>
  <si>
    <t>Leader</t>
  </si>
  <si>
    <t>Existing</t>
  </si>
  <si>
    <t>JENIS KELAMIN</t>
  </si>
  <si>
    <t xml:space="preserve">PENDIDIKAN </t>
  </si>
  <si>
    <t>USIA</t>
  </si>
  <si>
    <t>AREA</t>
  </si>
  <si>
    <t>LAKI - LAKI</t>
  </si>
  <si>
    <t>PEREMPUAN</t>
  </si>
  <si>
    <t>Delegasi</t>
  </si>
  <si>
    <t>Mesin (all)</t>
  </si>
  <si>
    <t>Mesin Aktif</t>
  </si>
  <si>
    <t>SMA/SMK</t>
  </si>
  <si>
    <t>Operator</t>
  </si>
  <si>
    <t>DIPLOMA</t>
  </si>
  <si>
    <t>Jumlah Mesin</t>
  </si>
  <si>
    <t>SARJANA</t>
  </si>
  <si>
    <t>Output (lembar)</t>
  </si>
  <si>
    <t>MAGISTER</t>
  </si>
  <si>
    <t>Rata2 output</t>
  </si>
  <si>
    <t>Output (web)</t>
  </si>
  <si>
    <t>&lt; 20 th</t>
  </si>
  <si>
    <t>Surabaya</t>
  </si>
  <si>
    <t>20 - 30 th</t>
  </si>
  <si>
    <t>31 - 40 th</t>
  </si>
  <si>
    <t>41 - 50 th</t>
  </si>
  <si>
    <t>&gt; 50 th</t>
  </si>
  <si>
    <t>(1) Wakadiv, (5) Karu, (3) Wakaru</t>
  </si>
  <si>
    <t>(2) Karu &amp; Wakaru</t>
  </si>
  <si>
    <t>(3) Karu &amp; Wakaru</t>
  </si>
  <si>
    <t>(2) Wakadiv &amp; Karu</t>
  </si>
  <si>
    <t>Bawen</t>
  </si>
  <si>
    <t>(1) Karu, (1) Wakaru</t>
  </si>
  <si>
    <t>SD</t>
  </si>
  <si>
    <t>SMP</t>
  </si>
  <si>
    <t>(1) Karu</t>
  </si>
  <si>
    <t>(1) Wakaru</t>
  </si>
  <si>
    <t>Nganjuk + DCI</t>
  </si>
  <si>
    <t>MALANG</t>
  </si>
  <si>
    <t>Jember</t>
  </si>
  <si>
    <t>Bali</t>
  </si>
  <si>
    <t>(3) Karu</t>
  </si>
  <si>
    <t>Bekasi</t>
  </si>
  <si>
    <t>Divisi</t>
  </si>
  <si>
    <t>EXISTING 2024</t>
  </si>
  <si>
    <t>PENDIDIKAN</t>
  </si>
  <si>
    <t>Acc/Finance</t>
  </si>
  <si>
    <t>Branch/Assistant Manager</t>
  </si>
  <si>
    <t>HRD&amp;GA</t>
  </si>
  <si>
    <t>per delegasi :</t>
  </si>
  <si>
    <t>kendali thd operator</t>
  </si>
  <si>
    <t>kendali thd mesin</t>
  </si>
  <si>
    <t>- Pracetak</t>
  </si>
  <si>
    <t>- Sheet</t>
  </si>
  <si>
    <t>- Web</t>
  </si>
  <si>
    <t>- Finishing</t>
  </si>
  <si>
    <t>QC / QA</t>
  </si>
  <si>
    <t>SDM Tetap/Kontrak</t>
  </si>
  <si>
    <t>SDM Existing</t>
  </si>
  <si>
    <t>- Elektrik</t>
  </si>
  <si>
    <t>- Mekanik</t>
  </si>
  <si>
    <t>rasio total SDM Tetap/Kontrak</t>
  </si>
  <si>
    <t>Strategy SDM</t>
  </si>
  <si>
    <t>Pelatihan/Training SDM</t>
  </si>
  <si>
    <t>Mereview ulang pelatihan mesin-mesin temprina &amp; pelatihan yang di butuhkan masing-masing dept. Untuk memaksimalkan kompetensi SDM</t>
  </si>
  <si>
    <t>Talent Mapping</t>
  </si>
  <si>
    <t>Pendidikan (misal program melanjutkan kuliah atau sertifikat keahlian)</t>
  </si>
  <si>
    <t>Pengembangan sistem</t>
  </si>
  <si>
    <t xml:space="preserve">Kesempatan (jenjang karir) </t>
  </si>
  <si>
    <t>update jobdesc</t>
  </si>
  <si>
    <t>Coaching</t>
  </si>
  <si>
    <t>Recruitment</t>
  </si>
  <si>
    <t>PPC</t>
  </si>
  <si>
    <t xml:space="preserve">                            </t>
  </si>
  <si>
    <t>dept.</t>
  </si>
  <si>
    <t>karyawan tetap</t>
  </si>
  <si>
    <t>karyawan kontrak</t>
  </si>
  <si>
    <t>NIP</t>
  </si>
  <si>
    <t>No Registrasi</t>
  </si>
  <si>
    <t>Status Karyawan</t>
  </si>
  <si>
    <t>AwalMasuk</t>
  </si>
  <si>
    <t>Awal/Periode</t>
  </si>
  <si>
    <t>Akhir/Sd</t>
  </si>
  <si>
    <t>TahunPengangkatan</t>
  </si>
  <si>
    <t>AwalDiangkat</t>
  </si>
  <si>
    <t>Status</t>
  </si>
  <si>
    <t>Pendidikan</t>
  </si>
  <si>
    <t>L/P</t>
  </si>
  <si>
    <t>TanggalLahir</t>
  </si>
  <si>
    <t>TahunLahir</t>
  </si>
  <si>
    <t>Usia</t>
  </si>
  <si>
    <t>012200050</t>
  </si>
  <si>
    <t>Kepala Divisi PPIC</t>
  </si>
  <si>
    <t>01-APR-22</t>
  </si>
  <si>
    <t>TK / 0</t>
  </si>
  <si>
    <t>D3</t>
  </si>
  <si>
    <t>L</t>
  </si>
  <si>
    <t>24-DEC-81</t>
  </si>
  <si>
    <t>012200051</t>
  </si>
  <si>
    <t>SMK-GF</t>
  </si>
  <si>
    <t>12-JUN-82</t>
  </si>
  <si>
    <t>012200053</t>
  </si>
  <si>
    <t>18-MAY-80</t>
  </si>
  <si>
    <t>011201138</t>
  </si>
  <si>
    <t>10-JUN-12</t>
  </si>
  <si>
    <t>01-JUN-17</t>
  </si>
  <si>
    <t>S1</t>
  </si>
  <si>
    <t>P</t>
  </si>
  <si>
    <t>04-FEB-92</t>
  </si>
  <si>
    <t>011100103</t>
  </si>
  <si>
    <t>01-FEB-11</t>
  </si>
  <si>
    <t>01-JAN-14</t>
  </si>
  <si>
    <t>TK / 2</t>
  </si>
  <si>
    <t>13-OCT-89</t>
  </si>
  <si>
    <t>0900894</t>
  </si>
  <si>
    <t>010902105</t>
  </si>
  <si>
    <t>01-AUG-09</t>
  </si>
  <si>
    <t>SMK</t>
  </si>
  <si>
    <t>13-AUG-81</t>
  </si>
  <si>
    <t>012200043</t>
  </si>
  <si>
    <t>07-MAR-22</t>
  </si>
  <si>
    <t>01-JAN-24</t>
  </si>
  <si>
    <t>K / 2</t>
  </si>
  <si>
    <t>20-JUL-84</t>
  </si>
  <si>
    <t>0600926</t>
  </si>
  <si>
    <t>011000008</t>
  </si>
  <si>
    <t>01-MAY-06</t>
  </si>
  <si>
    <t>01-JAN-12</t>
  </si>
  <si>
    <t>STM</t>
  </si>
  <si>
    <t>05-JUL-86</t>
  </si>
  <si>
    <t>0900884</t>
  </si>
  <si>
    <t>010901387</t>
  </si>
  <si>
    <t>01-MAY-09</t>
  </si>
  <si>
    <t>SLTA</t>
  </si>
  <si>
    <t>15-AUG-86</t>
  </si>
  <si>
    <t>0500323</t>
  </si>
  <si>
    <t>02-JUN-04</t>
  </si>
  <si>
    <t>01-JAN-07</t>
  </si>
  <si>
    <t>K / 0</t>
  </si>
  <si>
    <t>04-JAN-82</t>
  </si>
  <si>
    <t>0800681</t>
  </si>
  <si>
    <t>0108136</t>
  </si>
  <si>
    <t>01-JAN-08</t>
  </si>
  <si>
    <t>01-JAN-11</t>
  </si>
  <si>
    <t>15-AUG-82</t>
  </si>
  <si>
    <t>0800753</t>
  </si>
  <si>
    <t>0408005</t>
  </si>
  <si>
    <t>13-MAR-80</t>
  </si>
  <si>
    <t>011100510</t>
  </si>
  <si>
    <t>Finishing Al Quran</t>
  </si>
  <si>
    <t>Alquran</t>
  </si>
  <si>
    <t>05-MAY-11</t>
  </si>
  <si>
    <t>07-JUL-90</t>
  </si>
  <si>
    <t>0800940</t>
  </si>
  <si>
    <t>010800802</t>
  </si>
  <si>
    <t>01-MAR-08</t>
  </si>
  <si>
    <t>01-FEB-15</t>
  </si>
  <si>
    <t>SMA</t>
  </si>
  <si>
    <t>30-APR-87</t>
  </si>
  <si>
    <t>011000630</t>
  </si>
  <si>
    <t>05-MAY-10</t>
  </si>
  <si>
    <t>K / 1</t>
  </si>
  <si>
    <t>24-JAN-93</t>
  </si>
  <si>
    <t>0500372</t>
  </si>
  <si>
    <t>01-MAR-03</t>
  </si>
  <si>
    <t>01-JAN-06</t>
  </si>
  <si>
    <t>06-APR-84</t>
  </si>
  <si>
    <t>0801273</t>
  </si>
  <si>
    <t>010800682</t>
  </si>
  <si>
    <t>29-AUG-08</t>
  </si>
  <si>
    <t>01-JAN-15</t>
  </si>
  <si>
    <t>31-DEC-85</t>
  </si>
  <si>
    <t>011300963</t>
  </si>
  <si>
    <t>22-JUL-13</t>
  </si>
  <si>
    <t>01-JAN-17</t>
  </si>
  <si>
    <t>04-JAN-93</t>
  </si>
  <si>
    <t>0400216</t>
  </si>
  <si>
    <t>01-APR-01</t>
  </si>
  <si>
    <t>01-JAN-04</t>
  </si>
  <si>
    <t>24-AUG-82</t>
  </si>
  <si>
    <t>0900858</t>
  </si>
  <si>
    <t>010900782</t>
  </si>
  <si>
    <t>16-FEB-09</t>
  </si>
  <si>
    <t>01-APR-13</t>
  </si>
  <si>
    <t>04-DEC-86</t>
  </si>
  <si>
    <t>011301087</t>
  </si>
  <si>
    <t>01-JUL-14</t>
  </si>
  <si>
    <t>SMKN</t>
  </si>
  <si>
    <t>13-FEB-95</t>
  </si>
  <si>
    <t>011001050</t>
  </si>
  <si>
    <t>01-OCT-10</t>
  </si>
  <si>
    <t>578 (1 mesin per cabang)</t>
  </si>
  <si>
    <t>AGENDA MEETING PERKOM</t>
  </si>
  <si>
    <t>12-AUG-92</t>
  </si>
  <si>
    <t>011001049</t>
  </si>
  <si>
    <t>Speed/jam</t>
  </si>
  <si>
    <t>17-MAR-91</t>
  </si>
  <si>
    <t>Katern</t>
  </si>
  <si>
    <t>Kapasitas/jam</t>
  </si>
  <si>
    <t>Kapasitas/hari</t>
  </si>
  <si>
    <t>Qty/bulan</t>
  </si>
  <si>
    <t>Binding/jam</t>
  </si>
  <si>
    <t>Binding/bulan</t>
  </si>
  <si>
    <t>HARI</t>
  </si>
  <si>
    <t>012100241</t>
  </si>
  <si>
    <t>WAKTU</t>
  </si>
  <si>
    <t>01-AUG-21</t>
  </si>
  <si>
    <t>01-JAN-23</t>
  </si>
  <si>
    <t>02-JUL-81</t>
  </si>
  <si>
    <t>0700744</t>
  </si>
  <si>
    <t>0208015</t>
  </si>
  <si>
    <t>10-AUG-07</t>
  </si>
  <si>
    <t>01-JAN-10</t>
  </si>
  <si>
    <t>25-JUN-83</t>
  </si>
  <si>
    <t>011301236</t>
  </si>
  <si>
    <t>20-NOV-13</t>
  </si>
  <si>
    <t>01-JAN-18</t>
  </si>
  <si>
    <t>23-DEC-89</t>
  </si>
  <si>
    <t>011402291</t>
  </si>
  <si>
    <t>01-AUG-16</t>
  </si>
  <si>
    <t>TK / 1</t>
  </si>
  <si>
    <t>25-FEB-89</t>
  </si>
  <si>
    <t>0700634</t>
  </si>
  <si>
    <t>SELASA</t>
  </si>
  <si>
    <t>0207013</t>
  </si>
  <si>
    <t>LEADER + DIREKSI</t>
  </si>
  <si>
    <t>09.00 - 11.00</t>
  </si>
  <si>
    <t>01-FEB-07</t>
  </si>
  <si>
    <t>Nganjuk</t>
  </si>
  <si>
    <t>24-MAR-82</t>
  </si>
  <si>
    <t>0500432</t>
  </si>
  <si>
    <t>22-FEB-04</t>
  </si>
  <si>
    <t>11.00 - 12.00</t>
  </si>
  <si>
    <t>25-APR-82</t>
  </si>
  <si>
    <t>0500290</t>
  </si>
  <si>
    <t>01-AUG-02</t>
  </si>
  <si>
    <t>01-JAN-05</t>
  </si>
  <si>
    <t>PRODUKSI</t>
  </si>
  <si>
    <t>13.00 - 15.00</t>
  </si>
  <si>
    <t>05-NOV-81</t>
  </si>
  <si>
    <t>012200156</t>
  </si>
  <si>
    <t>17-OCT-22</t>
  </si>
  <si>
    <t>01-OCT-23</t>
  </si>
  <si>
    <t>30-JUN-24</t>
  </si>
  <si>
    <t>15.00 - 17.00</t>
  </si>
  <si>
    <t>03-DEC-93</t>
  </si>
  <si>
    <t>012100167</t>
  </si>
  <si>
    <t>31-DEC-24</t>
  </si>
  <si>
    <t>07-AUG-75</t>
  </si>
  <si>
    <t>GINANJAR ART MANGKU PARIHEN</t>
  </si>
  <si>
    <t>012300076</t>
  </si>
  <si>
    <t>03-JUL-23</t>
  </si>
  <si>
    <t>31-MAR-24</t>
  </si>
  <si>
    <t>12-SEP-94</t>
  </si>
  <si>
    <t>012100195</t>
  </si>
  <si>
    <t>10-JUL-80</t>
  </si>
  <si>
    <t>012100240</t>
  </si>
  <si>
    <t>19-SEP-74</t>
  </si>
  <si>
    <t>012300130</t>
  </si>
  <si>
    <t>RABU</t>
  </si>
  <si>
    <t>01-SEP-23</t>
  </si>
  <si>
    <t>28-FEB-24</t>
  </si>
  <si>
    <t>PIUTANG + PURCHASING</t>
  </si>
  <si>
    <t>14-APR-98</t>
  </si>
  <si>
    <t>15.00 - 16.00</t>
  </si>
  <si>
    <t>012100243</t>
  </si>
  <si>
    <t>28-FEB-74</t>
  </si>
  <si>
    <t>012400008</t>
  </si>
  <si>
    <t>06-JUL-93</t>
  </si>
  <si>
    <t>012400009</t>
  </si>
  <si>
    <t>26-FEB-85</t>
  </si>
  <si>
    <t>012300002</t>
  </si>
  <si>
    <t>04-JUL-96</t>
  </si>
  <si>
    <t>WIDHI HARYO PERMANA</t>
  </si>
  <si>
    <t>012300075</t>
  </si>
  <si>
    <t>07-APR-93</t>
  </si>
  <si>
    <t>011000175</t>
  </si>
  <si>
    <t>01-APR-10</t>
  </si>
  <si>
    <t>27-JUL-86</t>
  </si>
  <si>
    <t>011700038</t>
  </si>
  <si>
    <t>01-FEB-10</t>
  </si>
  <si>
    <t>01-JAN-16</t>
  </si>
  <si>
    <t>06-MAY-86</t>
  </si>
  <si>
    <t>HL60704</t>
  </si>
  <si>
    <t>0308031</t>
  </si>
  <si>
    <t>28-OCT-06</t>
  </si>
  <si>
    <t>11-JUN-76</t>
  </si>
  <si>
    <t>0801030</t>
  </si>
  <si>
    <t>010800462</t>
  </si>
  <si>
    <t>01-JUN-08</t>
  </si>
  <si>
    <t>K / 3</t>
  </si>
  <si>
    <t>01-MAR-83</t>
  </si>
  <si>
    <t>0500692</t>
  </si>
  <si>
    <t>0108229</t>
  </si>
  <si>
    <t>06-DEC-05</t>
  </si>
  <si>
    <t>01-JAN-09</t>
  </si>
  <si>
    <t>12-DEC-81</t>
  </si>
  <si>
    <t>HL61296</t>
  </si>
  <si>
    <t>010800837</t>
  </si>
  <si>
    <t>19-JUN-08</t>
  </si>
  <si>
    <t>SMU</t>
  </si>
  <si>
    <t>17-JAN-89</t>
  </si>
  <si>
    <t>0200691</t>
  </si>
  <si>
    <t>0108234</t>
  </si>
  <si>
    <t>04-JAN-03</t>
  </si>
  <si>
    <t>30-JUN-78</t>
  </si>
  <si>
    <t>0700605</t>
  </si>
  <si>
    <t>0107008</t>
  </si>
  <si>
    <t>01-SEP-02</t>
  </si>
  <si>
    <t>03-MAY-84</t>
  </si>
  <si>
    <t>0300689</t>
  </si>
  <si>
    <t>0108232</t>
  </si>
  <si>
    <t>20-SEP-04</t>
  </si>
  <si>
    <t>16-MAR-85</t>
  </si>
  <si>
    <t>0700607</t>
  </si>
  <si>
    <t>0107004</t>
  </si>
  <si>
    <t>05-MAR-80</t>
  </si>
  <si>
    <t>0801105</t>
  </si>
  <si>
    <t>010800411</t>
  </si>
  <si>
    <t>01-APR-08</t>
  </si>
  <si>
    <t>HL62928</t>
  </si>
  <si>
    <t>010902372</t>
  </si>
  <si>
    <t>20-NOV-09</t>
  </si>
  <si>
    <t>06-SEP-91</t>
  </si>
  <si>
    <t>0600690</t>
  </si>
  <si>
    <t>0108231</t>
  </si>
  <si>
    <t>28-FEB-07</t>
  </si>
  <si>
    <t>11-JUN-86</t>
  </si>
  <si>
    <t>0300172</t>
  </si>
  <si>
    <t>01-JAN-01</t>
  </si>
  <si>
    <t>01-JAN-03</t>
  </si>
  <si>
    <t>25-SEP-70</t>
  </si>
  <si>
    <t>012100225</t>
  </si>
  <si>
    <t>09-OCT-79</t>
  </si>
  <si>
    <t>011500066</t>
  </si>
  <si>
    <t>01-MAR-15</t>
  </si>
  <si>
    <t>21-NOV-96</t>
  </si>
  <si>
    <t>0500273</t>
  </si>
  <si>
    <t>01-JAN-02</t>
  </si>
  <si>
    <t>31-JUL-83</t>
  </si>
  <si>
    <t>0901000</t>
  </si>
  <si>
    <t>010901571</t>
  </si>
  <si>
    <t>01-JUL-09</t>
  </si>
  <si>
    <t>22-JUL-90</t>
  </si>
  <si>
    <t>0800951</t>
  </si>
  <si>
    <t>010800788</t>
  </si>
  <si>
    <t>01-SEP-08</t>
  </si>
  <si>
    <t>20-SEP-86</t>
  </si>
  <si>
    <t>0700631</t>
  </si>
  <si>
    <t>0207021</t>
  </si>
  <si>
    <t>01-NOV-06</t>
  </si>
  <si>
    <t>16-JUL-83</t>
  </si>
  <si>
    <t>0500502</t>
  </si>
  <si>
    <t>28-OCT-83</t>
  </si>
  <si>
    <t>0800950</t>
  </si>
  <si>
    <t>010803034</t>
  </si>
  <si>
    <t>11-MAY-84</t>
  </si>
  <si>
    <t>HL64614</t>
  </si>
  <si>
    <t>011001871</t>
  </si>
  <si>
    <t>16-NOV-10</t>
  </si>
  <si>
    <t>11-JAN-88</t>
  </si>
  <si>
    <t>011500570</t>
  </si>
  <si>
    <t>01-SEP-15</t>
  </si>
  <si>
    <t>01-JAN-19</t>
  </si>
  <si>
    <t>29-JUL-97</t>
  </si>
  <si>
    <t>0300708</t>
  </si>
  <si>
    <t>01-NOV-03</t>
  </si>
  <si>
    <t>19-MAY-85</t>
  </si>
  <si>
    <t>012100046</t>
  </si>
  <si>
    <t>01-JAN-21</t>
  </si>
  <si>
    <t>06-MAY-97</t>
  </si>
  <si>
    <t>012100224</t>
  </si>
  <si>
    <t>24-FEB-79</t>
  </si>
  <si>
    <t>012100226</t>
  </si>
  <si>
    <t>30-JUN-81</t>
  </si>
  <si>
    <t>0500264</t>
  </si>
  <si>
    <t>08-AUG-02</t>
  </si>
  <si>
    <t>04-JUL-84</t>
  </si>
  <si>
    <t>0500444</t>
  </si>
  <si>
    <t>02-JAN-03</t>
  </si>
  <si>
    <t>22-MAY-84</t>
  </si>
  <si>
    <t>0700620</t>
  </si>
  <si>
    <t>0107032</t>
  </si>
  <si>
    <t>20-JAN-07</t>
  </si>
  <si>
    <t>08-FEB-82</t>
  </si>
  <si>
    <t>011402239</t>
  </si>
  <si>
    <t>12-SEP-14</t>
  </si>
  <si>
    <t>02-APR-95</t>
  </si>
  <si>
    <t>011300004</t>
  </si>
  <si>
    <t>24-DEC-12</t>
  </si>
  <si>
    <t>01-FEB-18</t>
  </si>
  <si>
    <t>03-JUN-91</t>
  </si>
  <si>
    <t>0800827</t>
  </si>
  <si>
    <t>010802843</t>
  </si>
  <si>
    <t>24-JUN-08</t>
  </si>
  <si>
    <t>10-SEP-89</t>
  </si>
  <si>
    <t>0700682</t>
  </si>
  <si>
    <t>16-JUL-07</t>
  </si>
  <si>
    <t>22-DEC-80</t>
  </si>
  <si>
    <t>0600536</t>
  </si>
  <si>
    <t>01-FEB-04</t>
  </si>
  <si>
    <t>19-NOV-84</t>
  </si>
  <si>
    <t>011100432</t>
  </si>
  <si>
    <t>06-APR-11</t>
  </si>
  <si>
    <t>29-MAR-91</t>
  </si>
  <si>
    <t>012100002</t>
  </si>
  <si>
    <t>12-APR-95</t>
  </si>
  <si>
    <t>012200117</t>
  </si>
  <si>
    <t>01-AUG-22</t>
  </si>
  <si>
    <t>08-MAR-98</t>
  </si>
  <si>
    <t>011700326</t>
  </si>
  <si>
    <t>01-NOV-17</t>
  </si>
  <si>
    <t>01-JAN-20</t>
  </si>
  <si>
    <t>02-NOV-94</t>
  </si>
  <si>
    <t>0500942</t>
  </si>
  <si>
    <t>0308034</t>
  </si>
  <si>
    <t>01-NOV-05</t>
  </si>
  <si>
    <t>06-JUN-79</t>
  </si>
  <si>
    <t>0701109</t>
  </si>
  <si>
    <t>0308023</t>
  </si>
  <si>
    <t>01-DEC-07</t>
  </si>
  <si>
    <t>09-MAY-83</t>
  </si>
  <si>
    <t>0500941</t>
  </si>
  <si>
    <t>0308032</t>
  </si>
  <si>
    <t>01-JUL-05</t>
  </si>
  <si>
    <t>07-JUN-80</t>
  </si>
  <si>
    <t>0500475</t>
  </si>
  <si>
    <t>03-JUN-03</t>
  </si>
  <si>
    <t>16-DEC-82</t>
  </si>
  <si>
    <t>0400694</t>
  </si>
  <si>
    <t>0108225</t>
  </si>
  <si>
    <t>08-JAN-04</t>
  </si>
  <si>
    <t>20-AUG-74</t>
  </si>
  <si>
    <t>0701108</t>
  </si>
  <si>
    <t>0308019</t>
  </si>
  <si>
    <t>01-JUN-07</t>
  </si>
  <si>
    <t>16-APR-85</t>
  </si>
  <si>
    <t>0700606</t>
  </si>
  <si>
    <t>0107009</t>
  </si>
  <si>
    <t>05-AUG-83</t>
  </si>
  <si>
    <t>0701029</t>
  </si>
  <si>
    <t>0308015</t>
  </si>
  <si>
    <t>01-MAY-07</t>
  </si>
  <si>
    <t>24-MAR-87</t>
  </si>
  <si>
    <t>012200012</t>
  </si>
  <si>
    <t>01-JAN-22</t>
  </si>
  <si>
    <t>22-MAR-89</t>
  </si>
  <si>
    <t>012100229</t>
  </si>
  <si>
    <t>21-MAY-77</t>
  </si>
  <si>
    <t>0800849</t>
  </si>
  <si>
    <t>010803259</t>
  </si>
  <si>
    <t>20-DEC-08</t>
  </si>
  <si>
    <t>06-SEP-82</t>
  </si>
  <si>
    <t>0500521</t>
  </si>
  <si>
    <t>05-APR-82</t>
  </si>
  <si>
    <t>HL63650</t>
  </si>
  <si>
    <t>011001226</t>
  </si>
  <si>
    <t>20-OCT-10</t>
  </si>
  <si>
    <t>06-JUN-87</t>
  </si>
  <si>
    <t>0700739</t>
  </si>
  <si>
    <t>20-NOV-07</t>
  </si>
  <si>
    <t>27-DEC-85</t>
  </si>
  <si>
    <t>HL60301</t>
  </si>
  <si>
    <t>010800232</t>
  </si>
  <si>
    <t>17-JUL-08</t>
  </si>
  <si>
    <t>01-JAN-85</t>
  </si>
  <si>
    <t>0700994</t>
  </si>
  <si>
    <t>0308011</t>
  </si>
  <si>
    <t>01-JUL-07</t>
  </si>
  <si>
    <t>D1</t>
  </si>
  <si>
    <t>14-APR-84</t>
  </si>
  <si>
    <t>0800818</t>
  </si>
  <si>
    <t>010801400</t>
  </si>
  <si>
    <t>14-OCT-08</t>
  </si>
  <si>
    <t>25-JAN-90</t>
  </si>
  <si>
    <t>011300878</t>
  </si>
  <si>
    <t>08-JUL-13</t>
  </si>
  <si>
    <t>14-AUG-95</t>
  </si>
  <si>
    <t>012200020</t>
  </si>
  <si>
    <t>24-MAY-91</t>
  </si>
  <si>
    <t>0700629</t>
  </si>
  <si>
    <t>0207004</t>
  </si>
  <si>
    <t>23-JAN-07</t>
  </si>
  <si>
    <t>02-JUL-82</t>
  </si>
  <si>
    <t>0500340</t>
  </si>
  <si>
    <t>21-OCT-03</t>
  </si>
  <si>
    <t>17-JUL-84</t>
  </si>
  <si>
    <t>0500485</t>
  </si>
  <si>
    <t>08-SEP-02</t>
  </si>
  <si>
    <t>28-MAR-83</t>
  </si>
  <si>
    <t>0801027</t>
  </si>
  <si>
    <t>0308029</t>
  </si>
  <si>
    <t>01-MAY-89</t>
  </si>
  <si>
    <t>011100767</t>
  </si>
  <si>
    <t>13-SEP-11</t>
  </si>
  <si>
    <t>09-JUN-89</t>
  </si>
  <si>
    <t>011401277</t>
  </si>
  <si>
    <t>03-FEB-87</t>
  </si>
  <si>
    <t>HL64807</t>
  </si>
  <si>
    <t>011200755</t>
  </si>
  <si>
    <t>20-FEB-12</t>
  </si>
  <si>
    <t>17-JUL-92</t>
  </si>
  <si>
    <t>0800920</t>
  </si>
  <si>
    <t>0108153</t>
  </si>
  <si>
    <t>27-JAN-86</t>
  </si>
  <si>
    <t>0800910</t>
  </si>
  <si>
    <t>0108158</t>
  </si>
  <si>
    <t>21-DEC-84</t>
  </si>
  <si>
    <t>0500378</t>
  </si>
  <si>
    <t>24-DEC-03</t>
  </si>
  <si>
    <t>03-FEB-85</t>
  </si>
  <si>
    <t>0700592</t>
  </si>
  <si>
    <t>0107003</t>
  </si>
  <si>
    <t>Karu Gudang Sentral Commercial Printing</t>
  </si>
  <si>
    <t>27-DEC-84</t>
  </si>
  <si>
    <t>0500852</t>
  </si>
  <si>
    <t>19-MAY-05</t>
  </si>
  <si>
    <t>24-MAY-81</t>
  </si>
  <si>
    <t>HL60714</t>
  </si>
  <si>
    <t>010800239</t>
  </si>
  <si>
    <t>08-JUL-08</t>
  </si>
  <si>
    <t>01-JUL-15</t>
  </si>
  <si>
    <t>17-JUL-90</t>
  </si>
  <si>
    <t>0500672</t>
  </si>
  <si>
    <t>19-OCT-85</t>
  </si>
  <si>
    <t>0500358</t>
  </si>
  <si>
    <t>09-SEP-02</t>
  </si>
  <si>
    <t>27-DEC-83</t>
  </si>
  <si>
    <t>ANSORI</t>
  </si>
  <si>
    <t>011001337</t>
  </si>
  <si>
    <t>29-OCT-10</t>
  </si>
  <si>
    <t>12-MAY-90</t>
  </si>
  <si>
    <t>HL64140</t>
  </si>
  <si>
    <t>011001946</t>
  </si>
  <si>
    <t>30-NOV-10</t>
  </si>
  <si>
    <t>12-MAR-88</t>
  </si>
  <si>
    <t>0701025</t>
  </si>
  <si>
    <t>0108119</t>
  </si>
  <si>
    <t>19-DEC-07</t>
  </si>
  <si>
    <t>01-JUN-14</t>
  </si>
  <si>
    <t>13-MAY-89</t>
  </si>
  <si>
    <t>010803152</t>
  </si>
  <si>
    <t>01-JUL-10</t>
  </si>
  <si>
    <t>10-NOV-91</t>
  </si>
  <si>
    <t>0500360</t>
  </si>
  <si>
    <t>01-JUL-03</t>
  </si>
  <si>
    <t>21-DEC-82</t>
  </si>
  <si>
    <t>0700714</t>
  </si>
  <si>
    <t>28-NOV-07</t>
  </si>
  <si>
    <t>14-JAN-89</t>
  </si>
  <si>
    <t>011000954</t>
  </si>
  <si>
    <t>01-AUG-10</t>
  </si>
  <si>
    <t>05-APR-91</t>
  </si>
  <si>
    <t>0500285</t>
  </si>
  <si>
    <t>07-APR-00</t>
  </si>
  <si>
    <t>28-FEB-83</t>
  </si>
  <si>
    <t>HL60086</t>
  </si>
  <si>
    <t>0108169</t>
  </si>
  <si>
    <t>24-APR-07</t>
  </si>
  <si>
    <t>22-FEB-87</t>
  </si>
  <si>
    <t>HL40009</t>
  </si>
  <si>
    <t>011300510</t>
  </si>
  <si>
    <t>18-APR-13</t>
  </si>
  <si>
    <t>15-JUL-90</t>
  </si>
  <si>
    <t>0500670</t>
  </si>
  <si>
    <t>HL61346</t>
  </si>
  <si>
    <t>010802112</t>
  </si>
  <si>
    <t>17-OCT-08</t>
  </si>
  <si>
    <t>28-SEP-87</t>
  </si>
  <si>
    <t>HL60439</t>
  </si>
  <si>
    <t>0708011</t>
  </si>
  <si>
    <t>26-JUN-08</t>
  </si>
  <si>
    <t>24-AUG-88</t>
  </si>
  <si>
    <t>HL60064</t>
  </si>
  <si>
    <t>0108208</t>
  </si>
  <si>
    <t>05-AUG-86</t>
  </si>
  <si>
    <t>HL60501</t>
  </si>
  <si>
    <t>010800247</t>
  </si>
  <si>
    <t>01-JUL-08</t>
  </si>
  <si>
    <t>29-APR-83</t>
  </si>
  <si>
    <t>HL60066</t>
  </si>
  <si>
    <t>0108087</t>
  </si>
  <si>
    <t>01-JUN-89</t>
  </si>
  <si>
    <t>HL60571</t>
  </si>
  <si>
    <t>0608051</t>
  </si>
  <si>
    <t>02-JUN-08</t>
  </si>
  <si>
    <t>20-MAY-83</t>
  </si>
  <si>
    <t>0601020</t>
  </si>
  <si>
    <t>0108199</t>
  </si>
  <si>
    <t>15-DEC-06</t>
  </si>
  <si>
    <t>15-JUN-85</t>
  </si>
  <si>
    <t>HL65523</t>
  </si>
  <si>
    <t>011201667</t>
  </si>
  <si>
    <t>10-OCT-12</t>
  </si>
  <si>
    <t>26-AUG-94</t>
  </si>
  <si>
    <t>HL41074</t>
  </si>
  <si>
    <t>011401335</t>
  </si>
  <si>
    <t>08-JUN-14</t>
  </si>
  <si>
    <t>14-MAY-96</t>
  </si>
  <si>
    <t>HL64882</t>
  </si>
  <si>
    <t>011001892</t>
  </si>
  <si>
    <t>24-NOV-10</t>
  </si>
  <si>
    <t>09-DEC-84</t>
  </si>
  <si>
    <t>0601022</t>
  </si>
  <si>
    <t>0108204</t>
  </si>
  <si>
    <t>20-SEP-85</t>
  </si>
  <si>
    <t>HL60735</t>
  </si>
  <si>
    <t>0308058</t>
  </si>
  <si>
    <t>17-MAR-08</t>
  </si>
  <si>
    <t>12-FEB-89</t>
  </si>
  <si>
    <t>0300171</t>
  </si>
  <si>
    <t>17-DEC-00</t>
  </si>
  <si>
    <t>22-OCT-81</t>
  </si>
  <si>
    <t>0500346</t>
  </si>
  <si>
    <t>14-JUL-04</t>
  </si>
  <si>
    <t>11-MAR-86</t>
  </si>
  <si>
    <t>0700580</t>
  </si>
  <si>
    <t>23-NOV-03</t>
  </si>
  <si>
    <t>13-SEP-84</t>
  </si>
  <si>
    <t>011000026</t>
  </si>
  <si>
    <t>04-JAN-10</t>
  </si>
  <si>
    <t>30-DEC-87</t>
  </si>
  <si>
    <t>0500375</t>
  </si>
  <si>
    <t>10-JUL-85</t>
  </si>
  <si>
    <t>0600560</t>
  </si>
  <si>
    <t>01-FEB-05</t>
  </si>
  <si>
    <t>26-JUN-84</t>
  </si>
  <si>
    <t>0700715</t>
  </si>
  <si>
    <t>17-DEC-07</t>
  </si>
  <si>
    <t>20-JUL-89</t>
  </si>
  <si>
    <t>0700613</t>
  </si>
  <si>
    <t>0107028</t>
  </si>
  <si>
    <t>15-JAN-07</t>
  </si>
  <si>
    <t>09-APR-85</t>
  </si>
  <si>
    <t>0700612</t>
  </si>
  <si>
    <t>0107029</t>
  </si>
  <si>
    <t>22-MAY-88</t>
  </si>
  <si>
    <t>0500353</t>
  </si>
  <si>
    <t>08-MAY-04</t>
  </si>
  <si>
    <t>15-MAR-85</t>
  </si>
  <si>
    <t>HL65519</t>
  </si>
  <si>
    <t>011201946</t>
  </si>
  <si>
    <t>04-DEC-12</t>
  </si>
  <si>
    <t>05-NOV-93</t>
  </si>
  <si>
    <t>HL60575</t>
  </si>
  <si>
    <t>0608357</t>
  </si>
  <si>
    <t>10-JUN-08</t>
  </si>
  <si>
    <t>03-AUG-87</t>
  </si>
  <si>
    <t>HL60074</t>
  </si>
  <si>
    <t>0108161</t>
  </si>
  <si>
    <t>17-DEC-06</t>
  </si>
  <si>
    <t>0500278</t>
  </si>
  <si>
    <t>03-SEP-02</t>
  </si>
  <si>
    <t>25-JAN-84</t>
  </si>
  <si>
    <t>0700713</t>
  </si>
  <si>
    <t>25-DEC-07</t>
  </si>
  <si>
    <t>13-JUL-83</t>
  </si>
  <si>
    <t>0500283</t>
  </si>
  <si>
    <t>31-AUG-03</t>
  </si>
  <si>
    <t>31-AUG-83</t>
  </si>
  <si>
    <t>0700716</t>
  </si>
  <si>
    <t>25-SEP-88</t>
  </si>
  <si>
    <t>0700922</t>
  </si>
  <si>
    <t>0108118</t>
  </si>
  <si>
    <t>31-AUG-85</t>
  </si>
  <si>
    <t>0500348</t>
  </si>
  <si>
    <t>11-MAY-85</t>
  </si>
  <si>
    <t>0500350</t>
  </si>
  <si>
    <t>07-SEP-05</t>
  </si>
  <si>
    <t>08-JUN-86</t>
  </si>
  <si>
    <t>0600529</t>
  </si>
  <si>
    <t>0806001</t>
  </si>
  <si>
    <t>05-AUG-06</t>
  </si>
  <si>
    <t>19-FEB-87</t>
  </si>
  <si>
    <t>0500352</t>
  </si>
  <si>
    <t>02-OCT-82</t>
  </si>
  <si>
    <t>0500349</t>
  </si>
  <si>
    <t>21-MAY-86</t>
  </si>
  <si>
    <t>0500334</t>
  </si>
  <si>
    <t>11-JUL-03</t>
  </si>
  <si>
    <t>18-MAR-85</t>
  </si>
  <si>
    <t>0700640</t>
  </si>
  <si>
    <t>0207017</t>
  </si>
  <si>
    <t>02-FEB-07</t>
  </si>
  <si>
    <t>17-JUN-87</t>
  </si>
  <si>
    <t>0700721</t>
  </si>
  <si>
    <t>07-MAY-89</t>
  </si>
  <si>
    <t>0700913</t>
  </si>
  <si>
    <t>0108120</t>
  </si>
  <si>
    <t>17-NOV-86</t>
  </si>
  <si>
    <t>0500354</t>
  </si>
  <si>
    <t>24-AUG-04</t>
  </si>
  <si>
    <t>26-MAY-85</t>
  </si>
  <si>
    <t>0700712</t>
  </si>
  <si>
    <t>12-APR-89</t>
  </si>
  <si>
    <t>HL65280</t>
  </si>
  <si>
    <t>011300686</t>
  </si>
  <si>
    <t>08-JUN-13</t>
  </si>
  <si>
    <t>30-MAY-95</t>
  </si>
  <si>
    <t>0500342</t>
  </si>
  <si>
    <t>29-MAY-04</t>
  </si>
  <si>
    <t>08-APR-85</t>
  </si>
  <si>
    <t>HL65134</t>
  </si>
  <si>
    <t>011300119</t>
  </si>
  <si>
    <t>29-JAN-13</t>
  </si>
  <si>
    <t>03-SEP-93</t>
  </si>
  <si>
    <t>0500265</t>
  </si>
  <si>
    <t>15-OCT-02</t>
  </si>
  <si>
    <t>01-JUL-83</t>
  </si>
  <si>
    <t>0500369</t>
  </si>
  <si>
    <t>01-AUG-03</t>
  </si>
  <si>
    <t>08-JUN-85</t>
  </si>
  <si>
    <t>0500276</t>
  </si>
  <si>
    <t>10-NOV-02</t>
  </si>
  <si>
    <t>17-JAN-83</t>
  </si>
  <si>
    <t>0500231</t>
  </si>
  <si>
    <t>17-FEB-02</t>
  </si>
  <si>
    <t>01-FEB-83</t>
  </si>
  <si>
    <t>0700573</t>
  </si>
  <si>
    <t>30-NOV-05</t>
  </si>
  <si>
    <t>13-JUL-80</t>
  </si>
  <si>
    <t>HL63474</t>
  </si>
  <si>
    <t>011000949</t>
  </si>
  <si>
    <t>07-AUG-10</t>
  </si>
  <si>
    <t>28-JUL-91</t>
  </si>
  <si>
    <t>HL65098</t>
  </si>
  <si>
    <t>011201987</t>
  </si>
  <si>
    <t>11-DEC-12</t>
  </si>
  <si>
    <t>08-APR-81</t>
  </si>
  <si>
    <t>011000030</t>
  </si>
  <si>
    <t>12-JAN-10</t>
  </si>
  <si>
    <t>06-DEC-89</t>
  </si>
  <si>
    <t>0700886</t>
  </si>
  <si>
    <t>0108150</t>
  </si>
  <si>
    <t>26-MAY-07</t>
  </si>
  <si>
    <t>04-OCT-88</t>
  </si>
  <si>
    <t>012100184</t>
  </si>
  <si>
    <t>02-AUG-79</t>
  </si>
  <si>
    <t>0800873</t>
  </si>
  <si>
    <t>0108133</t>
  </si>
  <si>
    <t>07-JAN-08</t>
  </si>
  <si>
    <t>25-JUL-87</t>
  </si>
  <si>
    <t>0700638</t>
  </si>
  <si>
    <t>0207009</t>
  </si>
  <si>
    <t>18-JUN-85</t>
  </si>
  <si>
    <t>0800745</t>
  </si>
  <si>
    <t>0208029</t>
  </si>
  <si>
    <t>18-FEB-08</t>
  </si>
  <si>
    <t>04-MAR-82</t>
  </si>
  <si>
    <t>0800872</t>
  </si>
  <si>
    <t>0608332</t>
  </si>
  <si>
    <t>17-JAN-88</t>
  </si>
  <si>
    <t>0500289</t>
  </si>
  <si>
    <t>0500321</t>
  </si>
  <si>
    <t>04-SEP-82</t>
  </si>
  <si>
    <t>0500320</t>
  </si>
  <si>
    <t>05-NOV-83</t>
  </si>
  <si>
    <t>0900914</t>
  </si>
  <si>
    <t>010900742</t>
  </si>
  <si>
    <t>11-FEB-09</t>
  </si>
  <si>
    <t>02-JAN-84</t>
  </si>
  <si>
    <t>0700652</t>
  </si>
  <si>
    <t>0407004</t>
  </si>
  <si>
    <t>02-APR-07</t>
  </si>
  <si>
    <t>25-MAY-81</t>
  </si>
  <si>
    <t>012100230</t>
  </si>
  <si>
    <t>07-SEP-73</t>
  </si>
  <si>
    <t>012200159</t>
  </si>
  <si>
    <t>01-NOV-22</t>
  </si>
  <si>
    <t>09-JUL-92</t>
  </si>
  <si>
    <t>HL42861</t>
  </si>
  <si>
    <t>012300097</t>
  </si>
  <si>
    <t>07-AUG-23</t>
  </si>
  <si>
    <t>01-NOV-23</t>
  </si>
  <si>
    <t>31-OCT-24</t>
  </si>
  <si>
    <t>26-DEC-93</t>
  </si>
  <si>
    <t>012200024</t>
  </si>
  <si>
    <t>01-FEB-22</t>
  </si>
  <si>
    <t>18-SEP-96</t>
  </si>
  <si>
    <t>012200093</t>
  </si>
  <si>
    <t>01-MAY-22</t>
  </si>
  <si>
    <t>03-NOV-98</t>
  </si>
  <si>
    <t>012100208</t>
  </si>
  <si>
    <t>08-FEB-77</t>
  </si>
  <si>
    <t>012100210</t>
  </si>
  <si>
    <t>15-MAY-78</t>
  </si>
  <si>
    <t>012100223</t>
  </si>
  <si>
    <t>18-APR-78</t>
  </si>
  <si>
    <t>012100209</t>
  </si>
  <si>
    <t>30-APR-77</t>
  </si>
  <si>
    <t>DEDEN SETIADI</t>
  </si>
  <si>
    <t>012100191</t>
  </si>
  <si>
    <t>10-MAR-79</t>
  </si>
  <si>
    <t>012100228</t>
  </si>
  <si>
    <t>24-SEP-79</t>
  </si>
  <si>
    <t>012100204</t>
  </si>
  <si>
    <t>05-SEP-80</t>
  </si>
  <si>
    <t>NINDYTA SEPTIANA PUTRI</t>
  </si>
  <si>
    <t>012200007</t>
  </si>
  <si>
    <t>18-FEB-98</t>
  </si>
  <si>
    <t>012100041</t>
  </si>
  <si>
    <t>23-DEC-94</t>
  </si>
  <si>
    <t>012100193</t>
  </si>
  <si>
    <t>16-AUG-76</t>
  </si>
  <si>
    <t>012100203</t>
  </si>
  <si>
    <t>14-MAY-81</t>
  </si>
  <si>
    <t>012100199</t>
  </si>
  <si>
    <t>07-APR-80</t>
  </si>
  <si>
    <t>012100196</t>
  </si>
  <si>
    <t>13-DEC-80</t>
  </si>
  <si>
    <t>012100207</t>
  </si>
  <si>
    <t>28-APR-81</t>
  </si>
  <si>
    <t>012200027</t>
  </si>
  <si>
    <t>07-FEB-22</t>
  </si>
  <si>
    <t>20-JUN-89</t>
  </si>
  <si>
    <t>012100205</t>
  </si>
  <si>
    <t>28-MAY-73</t>
  </si>
  <si>
    <t>012100192</t>
  </si>
  <si>
    <t>24-MAR-81</t>
  </si>
  <si>
    <t>012100194</t>
  </si>
  <si>
    <t>20-APR-73</t>
  </si>
  <si>
    <t>DENNY PRABOWO SASMITA</t>
  </si>
  <si>
    <t>012300001</t>
  </si>
  <si>
    <t>04-MAR-97</t>
  </si>
  <si>
    <t>012100185</t>
  </si>
  <si>
    <t>13-AUG-77</t>
  </si>
  <si>
    <t>012100212</t>
  </si>
  <si>
    <t>29-MAY-80</t>
  </si>
  <si>
    <t>HL62056</t>
  </si>
  <si>
    <t>010900687</t>
  </si>
  <si>
    <t>10-FEB-09</t>
  </si>
  <si>
    <t>01-SEP-77</t>
  </si>
  <si>
    <t>0900851</t>
  </si>
  <si>
    <t>0508101</t>
  </si>
  <si>
    <t>25-JUN-88</t>
  </si>
  <si>
    <t>0800962</t>
  </si>
  <si>
    <t>010800318</t>
  </si>
  <si>
    <t>29-JUL-08</t>
  </si>
  <si>
    <t>04-NOV-83</t>
  </si>
  <si>
    <t>0400205</t>
  </si>
  <si>
    <t>03-DEC-01</t>
  </si>
  <si>
    <t>19-APR-83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</si>
</sst>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* #,##0_);_(* \(#,##0\);_(* &quot;-&quot;??_);_(@_)"/>
    <numFmt numFmtId="165" formatCode="0_ "/>
    <numFmt numFmtId="166" formatCode="_(* #,##0_);_(* \(#,##0\);_(* &quot;-&quot;_);_(@_)"/>
    <numFmt numFmtId="167" formatCode="_-* #,##0_-;\-* #,##0_-;_-* &quot;-&quot;??_-;_-@"/>
    <numFmt numFmtId="168" formatCode="#,###_);\(#,###\)"/>
    <numFmt numFmtId="169" formatCode="_-&quot;Rp&quot;* #,##0_-;\-&quot;Rp&quot;* #,##0_-;_-&quot;Rp&quot;* &quot;-&quot;_-;_-@"/>
    <numFmt numFmtId="170" formatCode="0.000%"/>
    <numFmt numFmtId="171" formatCode="0.0%"/>
  </numFmts>
  <fonts count="21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Quattrocento Sans"/>
    </font>
    <font>
      <b/>
      <sz val="10.0"/>
      <color theme="1"/>
      <name val="Quattrocento Sans"/>
    </font>
    <font>
      <sz val="11.0"/>
      <color theme="1"/>
      <name val="Quattrocento Sans"/>
    </font>
    <font>
      <sz val="10.0"/>
      <color theme="1"/>
      <name val="Quattrocento Sans"/>
    </font>
    <font>
      <b/>
      <u/>
      <sz val="11.0"/>
      <color theme="1"/>
      <name val="Calibri"/>
    </font>
    <font/>
    <font>
      <sz val="10.0"/>
      <color rgb="FF000000"/>
      <name val="Quattrocento Sans"/>
    </font>
    <font>
      <sz val="10.0"/>
      <color theme="0"/>
      <name val="Quattrocento Sans"/>
    </font>
    <font>
      <b/>
      <sz val="11.0"/>
      <color theme="1"/>
      <name val="Calibri"/>
    </font>
    <font>
      <sz val="11.0"/>
      <color rgb="FF000000"/>
      <name val="Quattrocento Sans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b/>
      <sz val="10.0"/>
      <color rgb="FF000000"/>
      <name val="Quattrocento Sans"/>
    </font>
    <font>
      <sz val="10.0"/>
      <color rgb="FF000000"/>
      <name val="Roboto"/>
    </font>
    <font>
      <sz val="7.0"/>
      <color theme="1"/>
      <name val="Times New Roman"/>
    </font>
    <font>
      <sz val="10.0"/>
      <color theme="1"/>
      <name val="Calibri"/>
    </font>
    <font>
      <sz val="7.0"/>
      <color rgb="FFFF0000"/>
      <name val="Times New Roman"/>
    </font>
  </fonts>
  <fills count="2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theme="7"/>
        <bgColor theme="7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D9E2F3"/>
        <bgColor rgb="FFD9E2F3"/>
      </patternFill>
    </fill>
    <fill>
      <patternFill patternType="solid">
        <fgColor rgb="FFF4CCCC"/>
        <bgColor rgb="FFF4CCCC"/>
      </patternFill>
    </fill>
    <fill>
      <patternFill patternType="solid">
        <fgColor rgb="FFBF9000"/>
        <bgColor rgb="FFBF9000"/>
      </patternFill>
    </fill>
    <fill>
      <patternFill patternType="solid">
        <fgColor rgb="FF7F7F7F"/>
        <bgColor rgb="FF7F7F7F"/>
      </patternFill>
    </fill>
    <fill>
      <patternFill patternType="solid">
        <fgColor rgb="FFD0E0E3"/>
        <bgColor rgb="FFD0E0E3"/>
      </patternFill>
    </fill>
    <fill>
      <patternFill patternType="solid">
        <fgColor rgb="FFB4C6E7"/>
        <bgColor rgb="FFB4C6E7"/>
      </patternFill>
    </fill>
    <fill>
      <patternFill patternType="solid">
        <fgColor rgb="FF00B0F0"/>
        <bgColor rgb="FF00B0F0"/>
      </patternFill>
    </fill>
    <fill>
      <patternFill patternType="solid">
        <fgColor rgb="FF3C78D8"/>
        <bgColor rgb="FF3C78D8"/>
      </patternFill>
    </fill>
    <fill>
      <patternFill patternType="solid">
        <fgColor rgb="FFC8C8C8"/>
        <bgColor rgb="FFC8C8C8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9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vertical="center"/>
    </xf>
    <xf borderId="3" fillId="0" fontId="7" numFmtId="0" xfId="0" applyAlignment="1" applyBorder="1" applyFont="1">
      <alignment vertical="center"/>
    </xf>
    <xf borderId="4" fillId="0" fontId="7" numFmtId="0" xfId="0" applyAlignment="1" applyBorder="1" applyFont="1">
      <alignment vertical="center"/>
    </xf>
    <xf borderId="0" fillId="0" fontId="8" numFmtId="164" xfId="0" applyAlignment="1" applyFont="1" applyNumberFormat="1">
      <alignment vertical="top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vertical="center"/>
    </xf>
    <xf borderId="4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165" xfId="0" applyAlignment="1" applyBorder="1" applyFont="1" applyNumberFormat="1">
      <alignment horizontal="right" vertical="bottom"/>
    </xf>
    <xf borderId="4" fillId="0" fontId="5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5" fillId="0" fontId="5" numFmtId="0" xfId="0" applyAlignment="1" applyBorder="1" applyFont="1">
      <alignment horizontal="left" vertical="bottom"/>
    </xf>
    <xf borderId="7" fillId="0" fontId="7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5" fillId="0" fontId="4" numFmtId="0" xfId="0" applyAlignment="1" applyBorder="1" applyFont="1">
      <alignment vertical="center"/>
    </xf>
    <xf borderId="5" fillId="0" fontId="11" numFmtId="164" xfId="0" applyAlignment="1" applyBorder="1" applyFont="1" applyNumberFormat="1">
      <alignment vertical="top"/>
    </xf>
    <xf borderId="0" fillId="0" fontId="1" numFmtId="166" xfId="0" applyAlignment="1" applyFont="1" applyNumberFormat="1">
      <alignment vertical="center"/>
    </xf>
    <xf borderId="8" fillId="2" fontId="10" numFmtId="0" xfId="0" applyAlignment="1" applyBorder="1" applyFill="1" applyFont="1">
      <alignment horizontal="center" vertical="center"/>
    </xf>
    <xf borderId="8" fillId="2" fontId="10" numFmtId="0" xfId="0" applyAlignment="1" applyBorder="1" applyFill="1" applyFont="1">
      <alignment horizontal="center" shrinkToFit="0" vertical="center" wrapText="1"/>
    </xf>
    <xf borderId="9" fillId="2" fontId="10" numFmtId="0" xfId="0" applyAlignment="1" applyBorder="1" applyFill="1" applyFont="1">
      <alignment horizontal="center" shrinkToFit="0" vertical="center" wrapText="1"/>
    </xf>
    <xf borderId="10" fillId="0" fontId="7" numFmtId="0" xfId="0" applyAlignment="1" applyBorder="1" applyFont="1">
      <alignment vertical="center"/>
    </xf>
    <xf borderId="11" fillId="0" fontId="7" numFmtId="0" xfId="0" applyAlignment="1" applyBorder="1" applyFont="1">
      <alignment vertical="center"/>
    </xf>
    <xf borderId="12" fillId="2" fontId="10" numFmtId="0" xfId="0" applyAlignment="1" applyBorder="1" applyFill="1" applyFont="1">
      <alignment horizontal="center" shrinkToFit="0" vertical="center" wrapText="1"/>
    </xf>
    <xf borderId="13" fillId="3" fontId="10" numFmtId="0" xfId="0" applyAlignment="1" applyBorder="1" applyFill="1" applyFont="1">
      <alignment horizontal="center" shrinkToFit="0" vertical="center" wrapText="1"/>
    </xf>
    <xf borderId="14" fillId="0" fontId="7" numFmtId="0" xfId="0" applyAlignment="1" applyBorder="1" applyFont="1">
      <alignment vertical="center"/>
    </xf>
    <xf borderId="8" fillId="4" fontId="10" numFmtId="0" xfId="0" applyAlignment="1" applyBorder="1" applyFill="1" applyFont="1">
      <alignment horizontal="center" shrinkToFit="0" vertical="center" wrapText="1"/>
    </xf>
    <xf borderId="8" fillId="4" fontId="10" numFmtId="0" xfId="0" applyAlignment="1" applyBorder="1" applyFill="1" applyFont="1">
      <alignment horizontal="center" vertical="center"/>
    </xf>
    <xf borderId="9" fillId="4" fontId="10" numFmtId="0" xfId="0" applyAlignment="1" applyBorder="1" applyFill="1" applyFont="1">
      <alignment horizontal="center" vertical="center"/>
    </xf>
    <xf borderId="9" fillId="2" fontId="10" numFmtId="0" xfId="0" applyAlignment="1" applyBorder="1" applyFill="1" applyFont="1">
      <alignment horizontal="center" vertical="center"/>
    </xf>
    <xf borderId="15" fillId="2" fontId="10" numFmtId="166" xfId="0" applyAlignment="1" applyBorder="1" applyFill="1" applyFont="1" applyNumberFormat="1">
      <alignment horizontal="center" shrinkToFit="0" vertical="center" wrapText="1"/>
    </xf>
    <xf borderId="16" fillId="0" fontId="1" numFmtId="0" xfId="0" applyAlignment="1" applyBorder="1" applyFont="1">
      <alignment horizontal="center" vertical="center"/>
    </xf>
    <xf borderId="17" fillId="0" fontId="7" numFmtId="0" xfId="0" applyAlignment="1" applyBorder="1" applyFont="1">
      <alignment vertical="center"/>
    </xf>
    <xf borderId="18" fillId="2" fontId="10" numFmtId="0" xfId="0" applyAlignment="1" applyBorder="1" applyFill="1" applyFont="1">
      <alignment horizontal="center" vertical="center"/>
    </xf>
    <xf borderId="18" fillId="3" fontId="10" numFmtId="0" xfId="0" applyAlignment="1" applyBorder="1" applyFill="1" applyFont="1">
      <alignment horizontal="center" vertical="center"/>
    </xf>
    <xf borderId="18" fillId="3" fontId="10" numFmtId="0" xfId="0" applyAlignment="1" applyBorder="1" applyFill="1" applyFont="1">
      <alignment horizontal="center" shrinkToFit="0" vertical="center" wrapText="1"/>
    </xf>
    <xf borderId="18" fillId="4" fontId="10" numFmtId="0" xfId="0" applyAlignment="1" applyBorder="1" applyFill="1" applyFont="1">
      <alignment horizontal="center" vertical="center"/>
    </xf>
    <xf borderId="19" fillId="2" fontId="10" numFmtId="166" xfId="0" applyAlignment="1" applyBorder="1" applyFill="1" applyFont="1" applyNumberFormat="1">
      <alignment horizontal="center" shrinkToFit="0" vertical="center" wrapText="1"/>
    </xf>
    <xf borderId="19" fillId="2" fontId="10" numFmtId="0" xfId="0" applyAlignment="1" applyBorder="1" applyFill="1" applyFont="1">
      <alignment horizontal="center" shrinkToFit="0" vertical="center" wrapText="1"/>
    </xf>
    <xf borderId="18" fillId="5" fontId="10" numFmtId="0" xfId="0" applyAlignment="1" applyBorder="1" applyFill="1" applyFont="1">
      <alignment horizontal="left" vertical="center"/>
    </xf>
    <xf borderId="18" fillId="5" fontId="10" numFmtId="0" xfId="0" applyAlignment="1" applyBorder="1" applyFill="1" applyFont="1">
      <alignment vertical="top"/>
    </xf>
    <xf borderId="18" fillId="5" fontId="10" numFmtId="0" xfId="0" applyAlignment="1" applyBorder="1" applyFill="1" applyFont="1">
      <alignment horizontal="center" shrinkToFit="0" vertical="center" wrapText="1"/>
    </xf>
    <xf borderId="18" fillId="4" fontId="10" numFmtId="0" xfId="0" applyAlignment="1" applyBorder="1" applyFill="1" applyFont="1">
      <alignment horizontal="center" shrinkToFit="0" vertical="center" wrapText="1"/>
    </xf>
    <xf borderId="18" fillId="5" fontId="12" numFmtId="164" xfId="0" applyAlignment="1" applyBorder="1" applyFill="1" applyFont="1" applyNumberFormat="1">
      <alignment vertical="top"/>
    </xf>
    <xf borderId="19" fillId="5" fontId="10" numFmtId="166" xfId="0" applyAlignment="1" applyBorder="1" applyFill="1" applyFont="1" applyNumberFormat="1">
      <alignment horizontal="center" shrinkToFit="0" vertical="center" wrapText="1"/>
    </xf>
    <xf borderId="5" fillId="3" fontId="5" numFmtId="0" xfId="0" applyAlignment="1" applyBorder="1" applyFill="1" applyFont="1">
      <alignment horizontal="left" vertical="bottom"/>
    </xf>
    <xf borderId="7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left" vertical="center"/>
    </xf>
    <xf borderId="7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20" fillId="4" fontId="10" numFmtId="0" xfId="0" applyAlignment="1" applyBorder="1" applyFill="1" applyFont="1">
      <alignment horizontal="center" shrinkToFit="0" vertical="center" wrapText="1"/>
    </xf>
    <xf borderId="20" fillId="4" fontId="10" numFmtId="0" xfId="0" applyAlignment="1" applyBorder="1" applyFill="1" applyFont="1">
      <alignment horizontal="center" vertical="center"/>
    </xf>
    <xf borderId="0" fillId="0" fontId="10" numFmtId="166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left" vertical="center"/>
    </xf>
    <xf borderId="5" fillId="0" fontId="10" numFmtId="0" xfId="0" applyAlignment="1" applyBorder="1" applyFont="1">
      <alignment horizontal="center" vertical="center"/>
    </xf>
    <xf borderId="5" fillId="4" fontId="10" numFmtId="0" xfId="0" applyAlignment="1" applyBorder="1" applyFill="1" applyFont="1">
      <alignment horizontal="center" shrinkToFit="0" vertical="center" wrapText="1"/>
    </xf>
    <xf borderId="5" fillId="4" fontId="10" numFmtId="0" xfId="0" applyAlignment="1" applyBorder="1" applyFill="1" applyFont="1">
      <alignment horizontal="center" vertical="center"/>
    </xf>
    <xf borderId="5" fillId="6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left" vertical="center"/>
    </xf>
    <xf borderId="21" fillId="6" fontId="1" numFmtId="0" xfId="0" applyAlignment="1" applyBorder="1" applyFill="1" applyFont="1">
      <alignment horizontal="center" vertical="center"/>
    </xf>
    <xf borderId="5" fillId="6" fontId="1" numFmtId="0" xfId="0" applyAlignment="1" applyBorder="1" applyFill="1" applyFont="1">
      <alignment horizontal="left" vertical="center"/>
    </xf>
    <xf borderId="5" fillId="6" fontId="10" numFmtId="0" xfId="0" applyAlignment="1" applyBorder="1" applyFill="1" applyFont="1">
      <alignment horizontal="center" shrinkToFit="0" vertical="center" wrapText="1"/>
    </xf>
    <xf borderId="5" fillId="6" fontId="10" numFmtId="0" xfId="0" applyAlignment="1" applyBorder="1" applyFill="1" applyFont="1">
      <alignment horizontal="center" vertical="center"/>
    </xf>
    <xf borderId="20" fillId="6" fontId="10" numFmtId="0" xfId="0" applyAlignment="1" applyBorder="1" applyFill="1" applyFont="1">
      <alignment horizontal="center" vertical="center"/>
    </xf>
    <xf borderId="19" fillId="6" fontId="10" numFmtId="0" xfId="0" applyAlignment="1" applyBorder="1" applyFill="1" applyFont="1">
      <alignment horizontal="center" shrinkToFit="0" vertical="center" wrapText="1"/>
    </xf>
    <xf borderId="19" fillId="6" fontId="1" numFmtId="0" xfId="0" applyAlignment="1" applyBorder="1" applyFill="1" applyFont="1">
      <alignment vertical="center"/>
    </xf>
    <xf borderId="22" fillId="6" fontId="1" numFmtId="0" xfId="0" applyAlignment="1" applyBorder="1" applyFill="1" applyFont="1">
      <alignment horizontal="center" vertical="center"/>
    </xf>
    <xf borderId="20" fillId="6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6" fillId="0" fontId="1" numFmtId="0" xfId="0" applyAlignment="1" applyBorder="1" applyFont="1">
      <alignment horizontal="left" vertical="center"/>
    </xf>
    <xf borderId="5" fillId="7" fontId="10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  <xf borderId="6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center"/>
    </xf>
    <xf borderId="7" fillId="0" fontId="1" numFmtId="0" xfId="0" applyAlignment="1" applyBorder="1" applyFont="1">
      <alignment horizontal="left" vertical="top"/>
    </xf>
    <xf borderId="0" fillId="0" fontId="13" numFmtId="0" xfId="0" applyAlignment="1" applyFont="1">
      <alignment horizontal="center" vertical="center"/>
    </xf>
    <xf borderId="0" fillId="0" fontId="13" numFmtId="167" xfId="0" applyAlignment="1" applyFont="1" applyNumberFormat="1">
      <alignment vertical="center"/>
    </xf>
    <xf borderId="0" fillId="0" fontId="13" numFmtId="9" xfId="0" applyAlignment="1" applyFont="1" applyNumberFormat="1">
      <alignment vertical="center"/>
    </xf>
    <xf borderId="0" fillId="0" fontId="13" numFmtId="0" xfId="0" applyAlignment="1" applyFont="1">
      <alignment vertical="center"/>
    </xf>
    <xf borderId="23" fillId="2" fontId="10" numFmtId="0" xfId="0" applyAlignment="1" applyBorder="1" applyFill="1" applyFont="1">
      <alignment horizontal="center" vertical="center"/>
    </xf>
    <xf borderId="23" fillId="2" fontId="10" numFmtId="0" xfId="0" applyAlignment="1" applyBorder="1" applyFill="1" applyFont="1">
      <alignment horizontal="center" shrinkToFit="0" vertical="center" wrapText="1"/>
    </xf>
    <xf borderId="24" fillId="2" fontId="10" numFmtId="0" xfId="0" applyAlignment="1" applyBorder="1" applyFill="1" applyFont="1">
      <alignment horizontal="center" vertical="center"/>
    </xf>
    <xf borderId="25" fillId="0" fontId="7" numFmtId="0" xfId="0" applyAlignment="1" applyBorder="1" applyFont="1">
      <alignment vertical="center"/>
    </xf>
    <xf borderId="26" fillId="0" fontId="7" numFmtId="0" xfId="0" applyAlignment="1" applyBorder="1" applyFont="1">
      <alignment vertical="center"/>
    </xf>
    <xf borderId="17" fillId="0" fontId="1" numFmtId="0" xfId="0" applyAlignment="1" applyBorder="1" applyFont="1">
      <alignment vertical="center"/>
    </xf>
    <xf borderId="18" fillId="2" fontId="10" numFmtId="0" xfId="0" applyAlignment="1" applyBorder="1" applyFill="1" applyFont="1">
      <alignment horizontal="center" shrinkToFit="0" vertical="center" wrapText="1"/>
    </xf>
    <xf borderId="27" fillId="2" fontId="10" numFmtId="167" xfId="0" applyAlignment="1" applyBorder="1" applyFill="1" applyFont="1" applyNumberFormat="1">
      <alignment horizontal="center" vertical="center"/>
    </xf>
    <xf borderId="18" fillId="5" fontId="10" numFmtId="168" xfId="0" applyAlignment="1" applyBorder="1" applyFill="1" applyFont="1" applyNumberFormat="1">
      <alignment horizontal="center" shrinkToFit="0" vertical="center" wrapText="1"/>
    </xf>
    <xf borderId="18" fillId="5" fontId="10" numFmtId="167" xfId="0" applyAlignment="1" applyBorder="1" applyFill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left" vertical="top"/>
    </xf>
    <xf borderId="7" fillId="0" fontId="1" numFmtId="168" xfId="0" applyAlignment="1" applyBorder="1" applyFont="1" applyNumberFormat="1">
      <alignment horizontal="center" shrinkToFit="0" vertical="center" wrapText="1"/>
    </xf>
    <xf borderId="7" fillId="0" fontId="10" numFmtId="168" xfId="0" applyAlignment="1" applyBorder="1" applyFont="1" applyNumberFormat="1">
      <alignment horizontal="center" shrinkToFit="0" vertical="center" wrapText="1"/>
    </xf>
    <xf borderId="7" fillId="0" fontId="10" numFmtId="168" xfId="0" applyAlignment="1" applyBorder="1" applyFont="1" applyNumberFormat="1">
      <alignment horizontal="center" vertical="center"/>
    </xf>
    <xf borderId="7" fillId="0" fontId="1" numFmtId="168" xfId="0" applyAlignment="1" applyBorder="1" applyFont="1" applyNumberFormat="1">
      <alignment horizontal="center" vertical="center"/>
    </xf>
    <xf borderId="20" fillId="3" fontId="1" numFmtId="168" xfId="0" applyAlignment="1" applyBorder="1" applyFill="1" applyFont="1" applyNumberFormat="1">
      <alignment horizontal="center" vertical="center"/>
    </xf>
    <xf borderId="20" fillId="3" fontId="10" numFmtId="168" xfId="0" applyAlignment="1" applyBorder="1" applyFill="1" applyFont="1" applyNumberFormat="1">
      <alignment horizontal="center" vertical="center"/>
    </xf>
    <xf borderId="7" fillId="0" fontId="10" numFmtId="167" xfId="0" applyAlignment="1" applyBorder="1" applyFont="1" applyNumberFormat="1">
      <alignment horizontal="center" vertical="center"/>
    </xf>
    <xf borderId="0" fillId="0" fontId="14" numFmtId="168" xfId="0" applyAlignment="1" applyFont="1" applyNumberFormat="1">
      <alignment shrinkToFit="0" vertical="center" wrapText="1"/>
    </xf>
    <xf borderId="0" fillId="0" fontId="15" numFmtId="168" xfId="0" applyAlignment="1" applyFont="1" applyNumberFormat="1">
      <alignment vertical="center"/>
    </xf>
    <xf borderId="6" fillId="0" fontId="1" numFmtId="0" xfId="0" applyAlignment="1" applyBorder="1" applyFont="1">
      <alignment vertical="top"/>
    </xf>
    <xf borderId="5" fillId="0" fontId="1" numFmtId="168" xfId="0" applyAlignment="1" applyBorder="1" applyFont="1" applyNumberFormat="1">
      <alignment horizontal="center" shrinkToFit="0" vertical="center" wrapText="1"/>
    </xf>
    <xf borderId="5" fillId="0" fontId="10" numFmtId="168" xfId="0" applyAlignment="1" applyBorder="1" applyFont="1" applyNumberFormat="1">
      <alignment horizontal="center" shrinkToFit="0" vertical="center" wrapText="1"/>
    </xf>
    <xf borderId="5" fillId="0" fontId="10" numFmtId="168" xfId="0" applyAlignment="1" applyBorder="1" applyFont="1" applyNumberFormat="1">
      <alignment horizontal="center" vertical="center"/>
    </xf>
    <xf borderId="5" fillId="0" fontId="1" numFmtId="168" xfId="0" applyAlignment="1" applyBorder="1" applyFont="1" applyNumberFormat="1">
      <alignment horizontal="center" vertical="center"/>
    </xf>
    <xf borderId="5" fillId="0" fontId="10" numFmtId="167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7" fillId="0" fontId="10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5" fillId="0" fontId="10" numFmtId="0" xfId="0" applyAlignment="1" applyBorder="1" applyFont="1">
      <alignment vertical="center"/>
    </xf>
    <xf borderId="5" fillId="8" fontId="1" numFmtId="0" xfId="0" applyAlignment="1" applyBorder="1" applyFill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28" fillId="2" fontId="10" numFmtId="0" xfId="0" applyAlignment="1" applyBorder="1" applyFill="1" applyFont="1">
      <alignment horizontal="center" vertical="center"/>
    </xf>
    <xf borderId="29" fillId="0" fontId="7" numFmtId="0" xfId="0" applyAlignment="1" applyBorder="1" applyFont="1">
      <alignment vertical="center"/>
    </xf>
    <xf borderId="30" fillId="0" fontId="7" numFmtId="0" xfId="0" applyAlignment="1" applyBorder="1" applyFont="1">
      <alignment vertical="center"/>
    </xf>
    <xf borderId="5" fillId="7" fontId="1" numFmtId="0" xfId="0" applyAlignment="1" applyBorder="1" applyFill="1" applyFont="1">
      <alignment horizontal="left" vertical="center"/>
    </xf>
    <xf borderId="18" fillId="2" fontId="10" numFmtId="167" xfId="0" applyAlignment="1" applyBorder="1" applyFill="1" applyFont="1" applyNumberFormat="1">
      <alignment horizontal="center" vertical="center"/>
    </xf>
    <xf borderId="22" fillId="9" fontId="1" numFmtId="0" xfId="0" applyAlignment="1" applyBorder="1" applyFill="1" applyFont="1">
      <alignment horizontal="left" vertical="top"/>
    </xf>
    <xf borderId="23" fillId="5" fontId="10" numFmtId="0" xfId="0" applyAlignment="1" applyBorder="1" applyFill="1" applyFont="1">
      <alignment horizontal="left" vertical="center"/>
    </xf>
    <xf borderId="5" fillId="9" fontId="1" numFmtId="0" xfId="0" applyAlignment="1" applyBorder="1" applyFill="1" applyFont="1">
      <alignment vertical="center"/>
    </xf>
    <xf borderId="23" fillId="5" fontId="10" numFmtId="0" xfId="0" applyAlignment="1" applyBorder="1" applyFill="1" applyFont="1">
      <alignment horizontal="center" vertical="center"/>
    </xf>
    <xf borderId="5" fillId="9" fontId="10" numFmtId="0" xfId="0" applyAlignment="1" applyBorder="1" applyFill="1" applyFont="1">
      <alignment horizontal="center" vertical="center"/>
    </xf>
    <xf borderId="5" fillId="9" fontId="10" numFmtId="0" xfId="0" applyAlignment="1" applyBorder="1" applyFill="1" applyFont="1">
      <alignment horizontal="center" shrinkToFit="0" vertical="center" wrapText="1"/>
    </xf>
    <xf borderId="23" fillId="5" fontId="10" numFmtId="0" xfId="0" applyAlignment="1" applyBorder="1" applyFill="1" applyFont="1">
      <alignment horizontal="center" shrinkToFit="0" vertical="center" wrapText="1"/>
    </xf>
    <xf borderId="23" fillId="5" fontId="12" numFmtId="164" xfId="0" applyAlignment="1" applyBorder="1" applyFill="1" applyFont="1" applyNumberFormat="1">
      <alignment vertical="top"/>
    </xf>
    <xf borderId="23" fillId="5" fontId="12" numFmtId="167" xfId="0" applyAlignment="1" applyBorder="1" applyFill="1" applyFont="1" applyNumberFormat="1">
      <alignment vertical="top"/>
    </xf>
    <xf borderId="18" fillId="5" fontId="10" numFmtId="0" xfId="0" applyAlignment="1" applyBorder="1" applyFill="1" applyFont="1">
      <alignment horizontal="center" vertical="center"/>
    </xf>
    <xf borderId="31" fillId="6" fontId="1" numFmtId="0" xfId="0" applyAlignment="1" applyBorder="1" applyFill="1" applyFont="1">
      <alignment horizontal="left" shrinkToFit="0" vertical="top" wrapText="1"/>
    </xf>
    <xf borderId="5" fillId="6" fontId="1" numFmtId="0" xfId="0" applyAlignment="1" applyBorder="1" applyFill="1" applyFont="1">
      <alignment vertical="center"/>
    </xf>
    <xf borderId="5" fillId="6" fontId="10" numFmtId="0" xfId="0" applyAlignment="1" applyBorder="1" applyFill="1" applyFont="1">
      <alignment vertical="center"/>
    </xf>
    <xf borderId="6" fillId="0" fontId="1" numFmtId="168" xfId="0" applyAlignment="1" applyBorder="1" applyFont="1" applyNumberFormat="1">
      <alignment horizontal="center" vertical="center"/>
    </xf>
    <xf borderId="6" fillId="0" fontId="10" numFmtId="168" xfId="0" applyAlignment="1" applyBorder="1" applyFont="1" applyNumberFormat="1">
      <alignment horizontal="center" shrinkToFit="0" vertical="center" wrapText="1"/>
    </xf>
    <xf borderId="1" fillId="0" fontId="10" numFmtId="168" xfId="0" applyAlignment="1" applyBorder="1" applyFont="1" applyNumberFormat="1">
      <alignment horizontal="center" vertical="center"/>
    </xf>
    <xf borderId="21" fillId="3" fontId="10" numFmtId="168" xfId="0" applyAlignment="1" applyBorder="1" applyFill="1" applyFont="1" applyNumberFormat="1">
      <alignment horizontal="center" vertical="center"/>
    </xf>
    <xf borderId="1" fillId="0" fontId="10" numFmtId="167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10" numFmtId="168" xfId="0" applyAlignment="1" applyBorder="1" applyFont="1" applyNumberFormat="1">
      <alignment horizontal="center" vertical="center"/>
    </xf>
    <xf borderId="22" fillId="3" fontId="10" numFmtId="168" xfId="0" applyAlignment="1" applyBorder="1" applyFill="1" applyFont="1" applyNumberFormat="1">
      <alignment horizontal="center" vertical="center"/>
    </xf>
    <xf borderId="6" fillId="0" fontId="10" numFmtId="167" xfId="0" applyAlignment="1" applyBorder="1" applyFont="1" applyNumberFormat="1">
      <alignment horizontal="center" vertical="center"/>
    </xf>
    <xf borderId="5" fillId="0" fontId="10" numFmtId="167" xfId="0" applyAlignment="1" applyBorder="1" applyFont="1" applyNumberFormat="1">
      <alignment vertical="center"/>
    </xf>
    <xf borderId="1" fillId="0" fontId="1" numFmtId="0" xfId="0" applyAlignment="1" applyBorder="1" applyFont="1">
      <alignment vertical="top"/>
    </xf>
    <xf borderId="5" fillId="3" fontId="1" numFmtId="0" xfId="0" applyAlignment="1" applyBorder="1" applyFill="1" applyFont="1">
      <alignment vertical="center"/>
    </xf>
    <xf borderId="5" fillId="7" fontId="1" numFmtId="0" xfId="0" applyAlignment="1" applyBorder="1" applyFill="1" applyFont="1">
      <alignment horizontal="center" vertical="center"/>
    </xf>
    <xf borderId="5" fillId="7" fontId="1" numFmtId="0" xfId="0" applyAlignment="1" applyBorder="1" applyFill="1" applyFont="1">
      <alignment vertical="center"/>
    </xf>
    <xf borderId="5" fillId="7" fontId="1" numFmtId="168" xfId="0" applyAlignment="1" applyBorder="1" applyFill="1" applyFont="1" applyNumberFormat="1">
      <alignment horizontal="center" vertical="center"/>
    </xf>
    <xf borderId="20" fillId="7" fontId="10" numFmtId="168" xfId="0" applyAlignment="1" applyBorder="1" applyFill="1" applyFont="1" applyNumberFormat="1">
      <alignment horizontal="center" shrinkToFit="0" vertical="center" wrapText="1"/>
    </xf>
    <xf borderId="5" fillId="7" fontId="10" numFmtId="168" xfId="0" applyAlignment="1" applyBorder="1" applyFill="1" applyFont="1" applyNumberFormat="1">
      <alignment horizontal="center" vertical="center"/>
    </xf>
    <xf borderId="20" fillId="7" fontId="1" numFmtId="168" xfId="0" applyAlignment="1" applyBorder="1" applyFill="1" applyFont="1" applyNumberFormat="1">
      <alignment horizontal="center" vertical="center"/>
    </xf>
    <xf borderId="20" fillId="7" fontId="10" numFmtId="168" xfId="0" applyAlignment="1" applyBorder="1" applyFill="1" applyFont="1" applyNumberFormat="1">
      <alignment horizontal="center" vertical="center"/>
    </xf>
    <xf borderId="5" fillId="7" fontId="10" numFmtId="167" xfId="0" applyAlignment="1" applyBorder="1" applyFill="1" applyFont="1" applyNumberFormat="1">
      <alignment vertical="center"/>
    </xf>
    <xf borderId="5" fillId="7" fontId="10" numFmtId="167" xfId="0" applyAlignment="1" applyBorder="1" applyFill="1" applyFont="1" applyNumberFormat="1">
      <alignment horizontal="center" vertical="center"/>
    </xf>
    <xf borderId="0" fillId="0" fontId="10" numFmtId="168" xfId="0" applyAlignment="1" applyFont="1" applyNumberFormat="1">
      <alignment horizontal="center" vertical="center"/>
    </xf>
    <xf borderId="19" fillId="7" fontId="13" numFmtId="0" xfId="0" applyAlignment="1" applyBorder="1" applyFill="1" applyFont="1">
      <alignment vertical="center"/>
    </xf>
    <xf borderId="0" fillId="0" fontId="1" numFmtId="168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" numFmtId="167" xfId="0" applyAlignment="1" applyFont="1" applyNumberFormat="1">
      <alignment vertical="center"/>
    </xf>
    <xf borderId="0" fillId="0" fontId="10" numFmtId="9" xfId="0" applyAlignment="1" applyFont="1" applyNumberFormat="1">
      <alignment horizontal="center" vertical="center"/>
    </xf>
    <xf borderId="23" fillId="5" fontId="10" numFmtId="0" xfId="0" applyAlignment="1" applyBorder="1" applyFill="1" applyFont="1">
      <alignment vertical="top"/>
    </xf>
    <xf borderId="5" fillId="8" fontId="1" numFmtId="0" xfId="0" applyAlignment="1" applyBorder="1" applyFill="1" applyFont="1">
      <alignment vertical="center"/>
    </xf>
    <xf borderId="22" fillId="6" fontId="1" numFmtId="0" xfId="0" applyAlignment="1" applyBorder="1" applyFill="1" applyFont="1">
      <alignment horizontal="left" shrinkToFit="0" vertical="top" wrapText="1"/>
    </xf>
    <xf borderId="18" fillId="5" fontId="10" numFmtId="9" xfId="0" applyAlignment="1" applyBorder="1" applyFill="1" applyFont="1" applyNumberFormat="1">
      <alignment horizontal="center" shrinkToFit="0" vertical="center" wrapText="1"/>
    </xf>
    <xf borderId="5" fillId="6" fontId="10" numFmtId="167" xfId="0" applyAlignment="1" applyBorder="1" applyFill="1" applyFont="1" applyNumberFormat="1">
      <alignment vertical="center"/>
    </xf>
    <xf borderId="18" fillId="5" fontId="10" numFmtId="0" xfId="0" applyAlignment="1" applyBorder="1" applyFill="1" applyFont="1">
      <alignment vertical="center"/>
    </xf>
    <xf borderId="1" fillId="0" fontId="1" numFmtId="0" xfId="0" applyAlignment="1" applyBorder="1" applyFont="1">
      <alignment horizontal="center" vertical="center"/>
    </xf>
    <xf borderId="7" fillId="0" fontId="12" numFmtId="168" xfId="0" applyAlignment="1" applyBorder="1" applyFont="1" applyNumberFormat="1">
      <alignment horizontal="center" shrinkToFit="0" vertical="center" wrapText="1"/>
    </xf>
    <xf borderId="7" fillId="0" fontId="12" numFmtId="168" xfId="0" applyAlignment="1" applyBorder="1" applyFont="1" applyNumberFormat="1">
      <alignment horizontal="center" vertical="center"/>
    </xf>
    <xf borderId="22" fillId="10" fontId="1" numFmtId="0" xfId="0" applyAlignment="1" applyBorder="1" applyFill="1" applyFont="1">
      <alignment horizontal="left" vertical="top"/>
    </xf>
    <xf borderId="5" fillId="10" fontId="1" numFmtId="0" xfId="0" applyAlignment="1" applyBorder="1" applyFill="1" applyFont="1">
      <alignment vertical="center"/>
    </xf>
    <xf borderId="5" fillId="10" fontId="10" numFmtId="0" xfId="0" applyAlignment="1" applyBorder="1" applyFill="1" applyFont="1">
      <alignment horizontal="center" vertical="center"/>
    </xf>
    <xf borderId="5" fillId="0" fontId="12" numFmtId="168" xfId="0" applyAlignment="1" applyBorder="1" applyFont="1" applyNumberFormat="1">
      <alignment horizontal="center" shrinkToFit="0" vertical="center" wrapText="1"/>
    </xf>
    <xf borderId="5" fillId="0" fontId="12" numFmtId="168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left" shrinkToFit="0" vertical="top" wrapText="1"/>
    </xf>
    <xf borderId="5" fillId="3" fontId="10" numFmtId="168" xfId="0" applyAlignment="1" applyBorder="1" applyFill="1" applyFont="1" applyNumberFormat="1">
      <alignment horizontal="center" vertical="center"/>
    </xf>
    <xf borderId="5" fillId="3" fontId="10" numFmtId="0" xfId="0" applyAlignment="1" applyBorder="1" applyFill="1" applyFont="1">
      <alignment horizontal="center" shrinkToFit="0" vertical="center" wrapText="1"/>
    </xf>
    <xf borderId="5" fillId="3" fontId="10" numFmtId="3" xfId="0" applyAlignment="1" applyBorder="1" applyFill="1" applyFont="1" applyNumberFormat="1">
      <alignment horizontal="center" vertical="center"/>
    </xf>
    <xf borderId="1" fillId="0" fontId="12" numFmtId="168" xfId="0" applyAlignment="1" applyBorder="1" applyFont="1" applyNumberFormat="1">
      <alignment horizontal="center" shrinkToFit="0" vertical="center" wrapText="1"/>
    </xf>
    <xf borderId="1" fillId="0" fontId="12" numFmtId="168" xfId="0" applyAlignment="1" applyBorder="1" applyFont="1" applyNumberFormat="1">
      <alignment horizontal="center" vertical="center"/>
    </xf>
    <xf borderId="6" fillId="0" fontId="12" numFmtId="168" xfId="0" applyAlignment="1" applyBorder="1" applyFont="1" applyNumberFormat="1">
      <alignment horizontal="center" vertical="center"/>
    </xf>
    <xf borderId="19" fillId="3" fontId="10" numFmtId="9" xfId="0" applyAlignment="1" applyBorder="1" applyFill="1" applyFont="1" applyNumberFormat="1">
      <alignment horizontal="center" vertical="center"/>
    </xf>
    <xf borderId="5" fillId="0" fontId="10" numFmtId="3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top"/>
    </xf>
    <xf borderId="5" fillId="3" fontId="1" numFmtId="0" xfId="0" applyAlignment="1" applyBorder="1" applyFill="1" applyFont="1">
      <alignment horizontal="left" vertical="center"/>
    </xf>
    <xf borderId="6" fillId="0" fontId="12" numFmtId="168" xfId="0" applyAlignment="1" applyBorder="1" applyFont="1" applyNumberFormat="1">
      <alignment horizontal="center" shrinkToFit="0" vertical="center" wrapText="1"/>
    </xf>
    <xf borderId="7" fillId="0" fontId="13" numFmtId="168" xfId="0" applyAlignment="1" applyBorder="1" applyFont="1" applyNumberFormat="1">
      <alignment vertical="center"/>
    </xf>
    <xf borderId="7" fillId="0" fontId="13" numFmtId="168" xfId="0" applyAlignment="1" applyBorder="1" applyFont="1" applyNumberFormat="1">
      <alignment horizontal="center" vertical="center"/>
    </xf>
    <xf borderId="19" fillId="3" fontId="10" numFmtId="0" xfId="0" applyAlignment="1" applyBorder="1" applyFill="1" applyFont="1">
      <alignment horizontal="center" vertical="center"/>
    </xf>
    <xf borderId="7" fillId="0" fontId="1" numFmtId="168" xfId="0" applyAlignment="1" applyBorder="1" applyFont="1" applyNumberFormat="1">
      <alignment vertical="center"/>
    </xf>
    <xf borderId="7" fillId="0" fontId="10" numFmtId="3" xfId="0" applyAlignment="1" applyBorder="1" applyFont="1" applyNumberFormat="1">
      <alignment horizontal="center" vertical="center"/>
    </xf>
    <xf borderId="20" fillId="3" fontId="10" numFmtId="3" xfId="0" applyAlignment="1" applyBorder="1" applyFill="1" applyFont="1" applyNumberFormat="1">
      <alignment horizontal="center" vertical="center"/>
    </xf>
    <xf borderId="5" fillId="0" fontId="13" numFmtId="168" xfId="0" applyAlignment="1" applyBorder="1" applyFont="1" applyNumberFormat="1">
      <alignment vertical="center"/>
    </xf>
    <xf borderId="5" fillId="0" fontId="13" numFmtId="168" xfId="0" applyAlignment="1" applyBorder="1" applyFont="1" applyNumberFormat="1">
      <alignment horizontal="center" vertical="center"/>
    </xf>
    <xf borderId="5" fillId="0" fontId="1" numFmtId="168" xfId="0" applyAlignment="1" applyBorder="1" applyFont="1" applyNumberFormat="1">
      <alignment vertical="center"/>
    </xf>
    <xf borderId="1" fillId="0" fontId="13" numFmtId="168" xfId="0" applyAlignment="1" applyBorder="1" applyFont="1" applyNumberFormat="1">
      <alignment vertical="center"/>
    </xf>
    <xf borderId="1" fillId="0" fontId="13" numFmtId="168" xfId="0" applyAlignment="1" applyBorder="1" applyFont="1" applyNumberForma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1" fillId="0" fontId="1" numFmtId="0" xfId="0" applyAlignment="1" applyBorder="1" applyFont="1">
      <alignment horizontal="left" shrinkToFit="0" vertical="top" wrapText="1"/>
    </xf>
    <xf borderId="5" fillId="11" fontId="1" numFmtId="0" xfId="0" applyAlignment="1" applyBorder="1" applyFill="1" applyFont="1">
      <alignment vertical="center"/>
    </xf>
    <xf borderId="19" fillId="3" fontId="10" numFmtId="168" xfId="0" applyAlignment="1" applyBorder="1" applyFill="1" applyFont="1" applyNumberFormat="1">
      <alignment horizontal="center" vertical="center"/>
    </xf>
    <xf borderId="0" fillId="0" fontId="10" numFmtId="169" xfId="0" applyAlignment="1" applyFont="1" applyNumberFormat="1">
      <alignment vertical="center"/>
    </xf>
    <xf borderId="0" fillId="0" fontId="10" numFmtId="167" xfId="0" applyAlignment="1" applyFont="1" applyNumberFormat="1">
      <alignment vertical="center"/>
    </xf>
    <xf borderId="0" fillId="0" fontId="10" numFmtId="167" xfId="0" applyAlignment="1" applyFont="1" applyNumberFormat="1">
      <alignment horizontal="center" vertical="center"/>
    </xf>
    <xf borderId="18" fillId="5" fontId="10" numFmtId="164" xfId="0" applyAlignment="1" applyBorder="1" applyFill="1" applyFont="1" applyNumberForma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left" vertical="center"/>
    </xf>
    <xf borderId="32" fillId="0" fontId="10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shrinkToFit="0" vertical="center" wrapText="1"/>
    </xf>
    <xf borderId="33" fillId="0" fontId="10" numFmtId="0" xfId="0" applyAlignment="1" applyBorder="1" applyFont="1">
      <alignment horizontal="center" shrinkToFit="0" vertical="center" wrapText="1"/>
    </xf>
    <xf borderId="32" fillId="0" fontId="12" numFmtId="164" xfId="0" applyAlignment="1" applyBorder="1" applyFont="1" applyNumberFormat="1">
      <alignment vertical="top"/>
    </xf>
    <xf borderId="32" fillId="0" fontId="10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5" fillId="0" fontId="12" numFmtId="164" xfId="0" applyAlignment="1" applyBorder="1" applyFont="1" applyNumberFormat="1">
      <alignment vertical="top"/>
    </xf>
    <xf borderId="7" fillId="0" fontId="1" numFmtId="0" xfId="0" applyAlignment="1" applyBorder="1" applyFont="1">
      <alignment vertical="top"/>
    </xf>
    <xf borderId="5" fillId="0" fontId="1" numFmtId="0" xfId="0" applyAlignment="1" applyBorder="1" applyFont="1">
      <alignment vertical="top"/>
    </xf>
    <xf borderId="5" fillId="12" fontId="1" numFmtId="0" xfId="0" applyAlignment="1" applyBorder="1" applyFill="1" applyFont="1">
      <alignment horizontal="center" vertical="center"/>
    </xf>
    <xf borderId="7" fillId="0" fontId="1" numFmtId="0" xfId="0" applyAlignment="1" applyBorder="1" applyFont="1">
      <alignment horizontal="center" shrinkToFit="0" vertical="center" wrapText="1"/>
    </xf>
    <xf borderId="5" fillId="13" fontId="1" numFmtId="0" xfId="0" applyAlignment="1" applyBorder="1" applyFill="1" applyFont="1">
      <alignment horizontal="center" vertical="center"/>
    </xf>
    <xf borderId="0" fillId="0" fontId="15" numFmtId="38" xfId="0" applyAlignment="1" applyFont="1" applyNumberFormat="1">
      <alignment horizontal="center" vertical="center"/>
    </xf>
    <xf borderId="5" fillId="0" fontId="1" numFmtId="0" xfId="0" applyAlignment="1" applyBorder="1" applyFont="1">
      <alignment shrinkToFit="0" vertical="top" wrapText="1"/>
    </xf>
    <xf borderId="5" fillId="14" fontId="1" numFmtId="0" xfId="0" applyAlignment="1" applyBorder="1" applyFill="1" applyFont="1">
      <alignment horizontal="center" vertical="center"/>
    </xf>
    <xf borderId="5" fillId="15" fontId="1" numFmtId="0" xfId="0" applyAlignment="1" applyBorder="1" applyFill="1" applyFont="1">
      <alignment horizontal="center" vertical="center"/>
    </xf>
    <xf borderId="5" fillId="16" fontId="1" numFmtId="0" xfId="0" applyAlignment="1" applyBorder="1" applyFill="1" applyFont="1">
      <alignment horizontal="center" vertical="center"/>
    </xf>
    <xf borderId="5" fillId="17" fontId="1" numFmtId="0" xfId="0" applyAlignment="1" applyBorder="1" applyFill="1" applyFont="1">
      <alignment horizontal="center" vertical="center"/>
    </xf>
    <xf borderId="5" fillId="10" fontId="1" numFmtId="0" xfId="0" applyAlignment="1" applyBorder="1" applyFill="1" applyFont="1">
      <alignment horizontal="center" vertical="center"/>
    </xf>
    <xf borderId="5" fillId="18" fontId="1" numFmtId="0" xfId="0" applyAlignment="1" applyBorder="1" applyFill="1" applyFont="1">
      <alignment horizontal="center" vertical="center"/>
    </xf>
    <xf borderId="5" fillId="19" fontId="1" numFmtId="0" xfId="0" applyAlignment="1" applyBorder="1" applyFill="1" applyFont="1">
      <alignment horizontal="center" vertical="center"/>
    </xf>
    <xf borderId="7" fillId="0" fontId="1" numFmtId="0" xfId="0" applyAlignment="1" applyBorder="1" applyFont="1">
      <alignment horizontal="left" shrinkToFit="0" vertical="top" wrapText="1"/>
    </xf>
    <xf borderId="5" fillId="3" fontId="10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vertical="center"/>
    </xf>
    <xf borderId="0" fillId="0" fontId="13" numFmtId="164" xfId="0" applyAlignment="1" applyFont="1" applyNumberFormat="1">
      <alignment vertical="top"/>
    </xf>
    <xf borderId="0" fillId="0" fontId="1" numFmtId="9" xfId="0" applyAlignment="1" applyFont="1" applyNumberFormat="1">
      <alignment vertical="center"/>
    </xf>
    <xf borderId="9" fillId="2" fontId="12" numFmtId="164" xfId="0" applyAlignment="1" applyBorder="1" applyFill="1" applyFont="1" applyNumberFormat="1">
      <alignment horizontal="center" vertical="center"/>
    </xf>
    <xf borderId="8" fillId="2" fontId="10" numFmtId="9" xfId="0" applyAlignment="1" applyBorder="1" applyFill="1" applyFont="1" applyNumberFormat="1">
      <alignment horizontal="center" shrinkToFit="0" vertical="center" wrapText="1"/>
    </xf>
    <xf borderId="0" fillId="0" fontId="15" numFmtId="167" xfId="0" applyAlignment="1" applyFont="1" applyNumberFormat="1">
      <alignment vertical="center"/>
    </xf>
    <xf borderId="34" fillId="0" fontId="10" numFmtId="0" xfId="0" applyAlignment="1" applyBorder="1" applyFont="1">
      <alignment horizontal="center" vertical="center"/>
    </xf>
    <xf borderId="5" fillId="0" fontId="10" numFmtId="16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5" fillId="0" fontId="13" numFmtId="164" xfId="0" applyAlignment="1" applyBorder="1" applyFont="1" applyNumberFormat="1">
      <alignment vertical="top"/>
    </xf>
    <xf borderId="5" fillId="0" fontId="10" numFmtId="9" xfId="0" applyAlignment="1" applyBorder="1" applyFont="1" applyNumberFormat="1">
      <alignment horizontal="center" shrinkToFit="0" vertical="center" wrapText="1"/>
    </xf>
    <xf borderId="7" fillId="0" fontId="13" numFmtId="164" xfId="0" applyAlignment="1" applyBorder="1" applyFont="1" applyNumberFormat="1">
      <alignment vertical="top"/>
    </xf>
    <xf borderId="7" fillId="0" fontId="10" numFmtId="9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vertical="center"/>
    </xf>
    <xf borderId="5" fillId="3" fontId="1" numFmtId="0" xfId="0" applyAlignment="1" applyBorder="1" applyFill="1" applyFont="1">
      <alignment horizontal="center" vertical="center"/>
    </xf>
    <xf borderId="19" fillId="3" fontId="1" numFmtId="0" xfId="0" applyAlignment="1" applyBorder="1" applyFill="1" applyFont="1">
      <alignment vertical="center"/>
    </xf>
    <xf borderId="35" fillId="0" fontId="1" numFmtId="0" xfId="0" applyAlignment="1" applyBorder="1" applyFont="1">
      <alignment horizontal="center" vertical="center"/>
    </xf>
    <xf borderId="35" fillId="0" fontId="7" numFmtId="0" xfId="0" applyAlignment="1" applyBorder="1" applyFont="1">
      <alignment vertical="center"/>
    </xf>
    <xf borderId="8" fillId="2" fontId="10" numFmtId="166" xfId="0" applyAlignment="1" applyBorder="1" applyFill="1" applyFont="1" applyNumberFormat="1">
      <alignment horizontal="center" vertical="center"/>
    </xf>
    <xf borderId="9" fillId="2" fontId="10" numFmtId="166" xfId="0" applyAlignment="1" applyBorder="1" applyFill="1" applyFont="1" applyNumberFormat="1">
      <alignment horizontal="center" vertical="center"/>
    </xf>
    <xf borderId="23" fillId="5" fontId="10" numFmtId="168" xfId="0" applyAlignment="1" applyBorder="1" applyFill="1" applyFont="1" applyNumberFormat="1">
      <alignment horizontal="center" shrinkToFit="0" vertical="center" wrapText="1"/>
    </xf>
    <xf borderId="18" fillId="5" fontId="10" numFmtId="166" xfId="0" applyAlignment="1" applyBorder="1" applyFill="1" applyFont="1" applyNumberFormat="1">
      <alignment horizontal="center" vertical="center"/>
    </xf>
    <xf borderId="7" fillId="0" fontId="10" numFmtId="166" xfId="0" applyAlignment="1" applyBorder="1" applyFont="1" applyNumberFormat="1">
      <alignment horizontal="center" vertical="center"/>
    </xf>
    <xf borderId="5" fillId="0" fontId="10" numFmtId="166" xfId="0" applyAlignment="1" applyBorder="1" applyFont="1" applyNumberFormat="1">
      <alignment horizontal="center" vertical="center"/>
    </xf>
    <xf borderId="7" fillId="0" fontId="1" numFmtId="166" xfId="0" applyAlignment="1" applyBorder="1" applyFont="1" applyNumberFormat="1">
      <alignment vertical="center"/>
    </xf>
    <xf borderId="5" fillId="0" fontId="1" numFmtId="166" xfId="0" applyAlignment="1" applyBorder="1" applyFont="1" applyNumberFormat="1">
      <alignment vertical="center"/>
    </xf>
    <xf borderId="1" fillId="0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5" fillId="0" fontId="10" numFmtId="0" xfId="0" applyAlignment="1" applyBorder="1" applyFont="1">
      <alignment shrinkToFit="0" vertical="center" wrapText="1"/>
    </xf>
    <xf borderId="5" fillId="3" fontId="10" numFmtId="0" xfId="0" applyAlignment="1" applyBorder="1" applyFill="1" applyFont="1">
      <alignment vertical="center"/>
    </xf>
    <xf borderId="5" fillId="0" fontId="12" numFmtId="0" xfId="0" applyAlignment="1" applyBorder="1" applyFont="1">
      <alignment horizontal="center" vertical="center"/>
    </xf>
    <xf borderId="5" fillId="20" fontId="12" numFmtId="0" xfId="0" applyAlignment="1" applyBorder="1" applyFill="1" applyFont="1">
      <alignment vertical="center"/>
    </xf>
    <xf borderId="5" fillId="0" fontId="13" numFmtId="168" xfId="0" applyAlignment="1" applyBorder="1" applyFont="1" applyNumberFormat="1">
      <alignment horizontal="right" vertical="center"/>
    </xf>
    <xf borderId="5" fillId="0" fontId="1" numFmtId="9" xfId="0" applyAlignment="1" applyBorder="1" applyFont="1" applyNumberFormat="1">
      <alignment vertical="center"/>
    </xf>
    <xf borderId="5" fillId="0" fontId="1" numFmtId="1" xfId="0" applyAlignment="1" applyBorder="1" applyFont="1" applyNumberFormat="1">
      <alignment vertical="center"/>
    </xf>
    <xf borderId="5" fillId="3" fontId="1" numFmtId="9" xfId="0" applyAlignment="1" applyBorder="1" applyFill="1" applyFont="1" applyNumberFormat="1">
      <alignment vertical="center"/>
    </xf>
    <xf borderId="0" fillId="0" fontId="1" numFmtId="1" xfId="0" applyAlignment="1" applyFont="1" applyNumberFormat="1">
      <alignment vertical="center"/>
    </xf>
    <xf borderId="5" fillId="0" fontId="15" numFmtId="0" xfId="0" applyAlignment="1" applyBorder="1" applyFont="1">
      <alignment vertical="center"/>
    </xf>
    <xf borderId="5" fillId="0" fontId="15" numFmtId="9" xfId="0" applyAlignment="1" applyBorder="1" applyFont="1" applyNumberFormat="1">
      <alignment vertical="center"/>
    </xf>
    <xf borderId="5" fillId="0" fontId="15" numFmtId="1" xfId="0" applyAlignment="1" applyBorder="1" applyFont="1" applyNumberFormat="1">
      <alignment vertical="center"/>
    </xf>
    <xf borderId="5" fillId="0" fontId="13" numFmtId="0" xfId="0" applyAlignment="1" applyBorder="1" applyFont="1">
      <alignment vertical="center"/>
    </xf>
    <xf borderId="5" fillId="21" fontId="10" numFmtId="0" xfId="0" applyAlignment="1" applyBorder="1" applyFill="1" applyFont="1">
      <alignment vertical="center"/>
    </xf>
    <xf borderId="5" fillId="21" fontId="10" numFmtId="168" xfId="0" applyAlignment="1" applyBorder="1" applyFill="1" applyFont="1" applyNumberFormat="1">
      <alignment vertical="center"/>
    </xf>
    <xf borderId="5" fillId="21" fontId="10" numFmtId="9" xfId="0" applyAlignment="1" applyBorder="1" applyFill="1" applyFont="1" applyNumberFormat="1">
      <alignment vertical="center"/>
    </xf>
    <xf borderId="5" fillId="21" fontId="10" numFmtId="1" xfId="0" applyAlignment="1" applyBorder="1" applyFill="1" applyFont="1" applyNumberFormat="1">
      <alignment vertical="center"/>
    </xf>
    <xf borderId="0" fillId="0" fontId="1" numFmtId="10" xfId="0" applyAlignment="1" applyFont="1" applyNumberFormat="1">
      <alignment vertical="center"/>
    </xf>
    <xf borderId="0" fillId="0" fontId="12" numFmtId="0" xfId="0" applyAlignment="1" applyFont="1">
      <alignment vertical="center"/>
    </xf>
    <xf borderId="1" fillId="0" fontId="12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vertical="center"/>
    </xf>
    <xf borderId="5" fillId="20" fontId="12" numFmtId="0" xfId="0" applyAlignment="1" applyBorder="1" applyFill="1" applyFont="1">
      <alignment horizontal="center" vertical="center"/>
    </xf>
    <xf borderId="5" fillId="0" fontId="13" numFmtId="167" xfId="0" applyAlignment="1" applyBorder="1" applyFont="1" applyNumberFormat="1">
      <alignment vertical="center"/>
    </xf>
    <xf borderId="5" fillId="0" fontId="13" numFmtId="3" xfId="0" applyAlignment="1" applyBorder="1" applyFont="1" applyNumberFormat="1">
      <alignment vertical="center"/>
    </xf>
    <xf borderId="5" fillId="21" fontId="12" numFmtId="0" xfId="0" applyAlignment="1" applyBorder="1" applyFill="1" applyFont="1">
      <alignment vertical="center"/>
    </xf>
    <xf borderId="5" fillId="21" fontId="12" numFmtId="3" xfId="0" applyAlignment="1" applyBorder="1" applyFill="1" applyFont="1" applyNumberFormat="1">
      <alignment vertical="center"/>
    </xf>
    <xf borderId="0" fillId="0" fontId="10" numFmtId="0" xfId="0" applyAlignment="1" applyFont="1">
      <alignment shrinkToFit="0" vertical="center" wrapText="1"/>
    </xf>
    <xf borderId="19" fillId="20" fontId="10" numFmtId="0" xfId="0" applyAlignment="1" applyBorder="1" applyFill="1" applyFont="1">
      <alignment vertical="center"/>
    </xf>
    <xf borderId="19" fillId="3" fontId="1" numFmtId="9" xfId="0" applyAlignment="1" applyBorder="1" applyFill="1" applyFont="1" applyNumberFormat="1">
      <alignment vertical="center"/>
    </xf>
    <xf borderId="0" fillId="0" fontId="15" numFmtId="0" xfId="0" applyAlignment="1" applyFont="1">
      <alignment vertical="center"/>
    </xf>
    <xf borderId="0" fillId="0" fontId="15" numFmtId="1" xfId="0" applyAlignment="1" applyFont="1" applyNumberFormat="1">
      <alignment vertical="center"/>
    </xf>
    <xf borderId="0" fillId="0" fontId="15" numFmtId="9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19" fillId="21" fontId="10" numFmtId="0" xfId="0" applyAlignment="1" applyBorder="1" applyFill="1" applyFont="1">
      <alignment vertical="center"/>
    </xf>
    <xf borderId="19" fillId="21" fontId="10" numFmtId="1" xfId="0" applyAlignment="1" applyBorder="1" applyFill="1" applyFont="1" applyNumberFormat="1">
      <alignment vertical="center"/>
    </xf>
    <xf borderId="19" fillId="21" fontId="10" numFmtId="9" xfId="0" applyAlignment="1" applyBorder="1" applyFill="1" applyFont="1" applyNumberFormat="1">
      <alignment vertical="center"/>
    </xf>
    <xf borderId="19" fillId="21" fontId="1" numFmtId="1" xfId="0" applyAlignment="1" applyBorder="1" applyFill="1" applyFont="1" applyNumberFormat="1">
      <alignment vertical="center"/>
    </xf>
    <xf borderId="0" fillId="0" fontId="10" numFmtId="0" xfId="0" applyAlignment="1" applyFont="1">
      <alignment horizontal="left" vertical="center"/>
    </xf>
    <xf borderId="0" fillId="0" fontId="13" numFmtId="3" xfId="0" applyAlignment="1" applyFont="1" applyNumberFormat="1">
      <alignment horizontal="right" vertical="center"/>
    </xf>
    <xf borderId="0" fillId="0" fontId="1" numFmtId="3" xfId="0" applyAlignment="1" applyFont="1" applyNumberFormat="1">
      <alignment vertical="center"/>
    </xf>
    <xf borderId="0" fillId="0" fontId="10" numFmtId="9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right" vertical="center"/>
    </xf>
    <xf borderId="36" fillId="0" fontId="10" numFmtId="0" xfId="0" applyAlignment="1" applyBorder="1" applyFont="1">
      <alignment horizontal="center" vertical="center"/>
    </xf>
    <xf borderId="37" fillId="0" fontId="10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38" fillId="0" fontId="10" numFmtId="0" xfId="0" applyAlignment="1" applyBorder="1" applyFont="1">
      <alignment horizontal="center" shrinkToFit="0" vertical="center" wrapText="1"/>
    </xf>
    <xf borderId="37" fillId="0" fontId="10" numFmtId="0" xfId="0" applyAlignment="1" applyBorder="1" applyFont="1">
      <alignment horizontal="center" vertical="center"/>
    </xf>
    <xf borderId="38" fillId="0" fontId="7" numFmtId="0" xfId="0" applyAlignment="1" applyBorder="1" applyFont="1">
      <alignment vertical="center"/>
    </xf>
    <xf borderId="37" fillId="0" fontId="7" numFmtId="0" xfId="0" applyAlignment="1" applyBorder="1" applyFont="1">
      <alignment vertical="center"/>
    </xf>
    <xf borderId="1" fillId="22" fontId="16" numFmtId="0" xfId="0" applyAlignment="1" applyBorder="1" applyFill="1" applyFont="1">
      <alignment horizontal="center" vertical="center"/>
    </xf>
    <xf borderId="34" fillId="0" fontId="7" numFmtId="0" xfId="0" applyAlignment="1" applyBorder="1" applyFont="1">
      <alignment vertical="center"/>
    </xf>
    <xf borderId="39" fillId="0" fontId="7" numFmtId="0" xfId="0" applyAlignment="1" applyBorder="1" applyFont="1">
      <alignment vertical="center"/>
    </xf>
    <xf borderId="40" fillId="0" fontId="7" numFmtId="0" xfId="0" applyAlignment="1" applyBorder="1" applyFont="1">
      <alignment vertical="center"/>
    </xf>
    <xf borderId="2" fillId="22" fontId="16" numFmtId="0" xfId="0" applyAlignment="1" applyBorder="1" applyFill="1" applyFont="1">
      <alignment horizontal="center" vertical="center"/>
    </xf>
    <xf borderId="39" fillId="0" fontId="10" numFmtId="0" xfId="0" applyAlignment="1" applyBorder="1" applyFont="1">
      <alignment horizontal="center" vertical="center"/>
    </xf>
    <xf borderId="34" fillId="0" fontId="10" numFmtId="0" xfId="0" applyAlignment="1" applyBorder="1" applyFont="1">
      <alignment horizontal="center" shrinkToFit="0" vertical="center" wrapText="1"/>
    </xf>
    <xf borderId="39" fillId="0" fontId="10" numFmtId="0" xfId="0" applyAlignment="1" applyBorder="1" applyFont="1">
      <alignment horizontal="center" shrinkToFit="0" vertical="center" wrapText="1"/>
    </xf>
    <xf borderId="40" fillId="0" fontId="10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vertical="center"/>
    </xf>
    <xf borderId="37" fillId="0" fontId="1" numFmtId="3" xfId="0" applyAlignment="1" applyBorder="1" applyFont="1" applyNumberFormat="1">
      <alignment horizontal="right" vertical="center"/>
    </xf>
    <xf borderId="41" fillId="0" fontId="13" numFmtId="3" xfId="0" applyAlignment="1" applyBorder="1" applyFont="1" applyNumberFormat="1">
      <alignment vertical="center"/>
    </xf>
    <xf borderId="37" fillId="0" fontId="1" numFmtId="0" xfId="0" applyAlignment="1" applyBorder="1" applyFont="1">
      <alignment vertical="center"/>
    </xf>
    <xf borderId="5" fillId="22" fontId="16" numFmtId="0" xfId="0" applyAlignment="1" applyBorder="1" applyFill="1" applyFont="1">
      <alignment horizontal="center" vertical="center"/>
    </xf>
    <xf borderId="5" fillId="7" fontId="8" numFmtId="0" xfId="0" applyAlignment="1" applyBorder="1" applyFill="1" applyFont="1">
      <alignment vertical="center"/>
    </xf>
    <xf borderId="38" fillId="0" fontId="1" numFmtId="0" xfId="0" applyAlignment="1" applyBorder="1" applyFont="1">
      <alignment vertical="center"/>
    </xf>
    <xf borderId="5" fillId="7" fontId="8" numFmtId="0" xfId="0" applyAlignment="1" applyBorder="1" applyFill="1" applyFont="1">
      <alignment horizontal="center" vertical="center"/>
    </xf>
    <xf borderId="37" fillId="0" fontId="1" numFmtId="3" xfId="0" applyAlignment="1" applyBorder="1" applyFont="1" applyNumberFormat="1">
      <alignment vertical="center"/>
    </xf>
    <xf borderId="35" fillId="0" fontId="1" numFmtId="0" xfId="0" applyAlignment="1" applyBorder="1" applyFont="1">
      <alignment vertical="center"/>
    </xf>
    <xf borderId="0" fillId="0" fontId="1" numFmtId="3" xfId="0" applyAlignment="1" applyFont="1" applyNumberFormat="1">
      <alignment horizontal="right" vertical="center"/>
    </xf>
    <xf borderId="41" fillId="0" fontId="1" numFmtId="0" xfId="0" applyAlignment="1" applyBorder="1" applyFont="1">
      <alignment vertical="center"/>
    </xf>
    <xf borderId="41" fillId="0" fontId="1" numFmtId="3" xfId="0" applyAlignment="1" applyBorder="1" applyFont="1" applyNumberFormat="1">
      <alignment vertical="center"/>
    </xf>
    <xf borderId="20" fillId="7" fontId="8" numFmtId="0" xfId="0" applyAlignment="1" applyBorder="1" applyFill="1" applyFont="1">
      <alignment horizontal="center" vertical="center"/>
    </xf>
    <xf borderId="20" fillId="22" fontId="16" numFmtId="0" xfId="0" applyAlignment="1" applyBorder="1" applyFill="1" applyFont="1">
      <alignment horizontal="center" vertical="center"/>
    </xf>
    <xf borderId="0" fillId="0" fontId="17" numFmtId="3" xfId="0" applyAlignment="1" applyFont="1" applyNumberFormat="1">
      <alignment horizontal="right" vertical="center"/>
    </xf>
    <xf borderId="34" fillId="0" fontId="1" numFmtId="0" xfId="0" applyAlignment="1" applyBorder="1" applyFont="1">
      <alignment vertical="center"/>
    </xf>
    <xf borderId="39" fillId="0" fontId="1" numFmtId="3" xfId="0" applyAlignment="1" applyBorder="1" applyFont="1" applyNumberFormat="1">
      <alignment horizontal="right" vertical="center"/>
    </xf>
    <xf borderId="0" fillId="0" fontId="1" numFmtId="9" xfId="0" applyAlignment="1" applyFont="1" applyNumberFormat="1">
      <alignment vertical="top"/>
    </xf>
    <xf borderId="40" fillId="0" fontId="13" numFmtId="3" xfId="0" applyAlignment="1" applyBorder="1" applyFont="1" applyNumberFormat="1">
      <alignment vertical="center"/>
    </xf>
    <xf borderId="39" fillId="0" fontId="13" numFmtId="0" xfId="0" applyAlignment="1" applyBorder="1" applyFont="1">
      <alignment vertical="center"/>
    </xf>
    <xf borderId="39" fillId="0" fontId="1" numFmtId="0" xfId="0" applyAlignment="1" applyBorder="1" applyFont="1">
      <alignment vertical="center"/>
    </xf>
    <xf borderId="40" fillId="0" fontId="1" numFmtId="0" xfId="0" applyAlignment="1" applyBorder="1" applyFont="1">
      <alignment vertical="center"/>
    </xf>
    <xf borderId="39" fillId="0" fontId="1" numFmtId="3" xfId="0" applyAlignment="1" applyBorder="1" applyFont="1" applyNumberFormat="1">
      <alignment vertical="center"/>
    </xf>
    <xf borderId="1" fillId="22" fontId="3" numFmtId="0" xfId="0" applyAlignment="1" applyBorder="1" applyFill="1" applyFont="1">
      <alignment horizontal="center" vertical="center"/>
    </xf>
    <xf quotePrefix="1" borderId="2" fillId="22" fontId="3" numFmtId="17" xfId="0" applyAlignment="1" applyBorder="1" applyFill="1" applyFont="1" applyNumberFormat="1">
      <alignment horizontal="center" vertical="center"/>
    </xf>
    <xf borderId="2" fillId="23" fontId="10" numFmtId="0" xfId="0" applyAlignment="1" applyBorder="1" applyFill="1" applyFont="1">
      <alignment horizontal="center" vertical="center"/>
    </xf>
    <xf borderId="5" fillId="22" fontId="3" numFmtId="0" xfId="0" applyAlignment="1" applyBorder="1" applyFill="1" applyFont="1">
      <alignment horizontal="center" vertical="center"/>
    </xf>
    <xf borderId="5" fillId="23" fontId="10" numFmtId="0" xfId="0" applyAlignment="1" applyBorder="1" applyFill="1" applyFont="1">
      <alignment horizontal="center" vertical="center"/>
    </xf>
    <xf borderId="5" fillId="0" fontId="8" numFmtId="166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right" vertical="center"/>
    </xf>
    <xf borderId="19" fillId="7" fontId="8" numFmtId="0" xfId="0" applyAlignment="1" applyBorder="1" applyFill="1" applyFont="1">
      <alignment vertical="center"/>
    </xf>
    <xf borderId="19" fillId="7" fontId="1" numFmtId="0" xfId="0" applyAlignment="1" applyBorder="1" applyFill="1" applyFont="1">
      <alignment vertical="center"/>
    </xf>
    <xf borderId="19" fillId="7" fontId="1" numFmtId="0" xfId="0" applyAlignment="1" applyBorder="1" applyFill="1" applyFont="1">
      <alignment horizontal="right" vertical="center"/>
    </xf>
    <xf borderId="0" fillId="0" fontId="1" numFmtId="170" xfId="0" applyAlignment="1" applyFont="1" applyNumberFormat="1">
      <alignment vertical="center"/>
    </xf>
    <xf borderId="5" fillId="0" fontId="8" numFmtId="166" xfId="0" applyAlignment="1" applyBorder="1" applyFont="1" applyNumberFormat="1">
      <alignment horizontal="right" vertical="center"/>
    </xf>
    <xf quotePrefix="1" borderId="5" fillId="7" fontId="8" numFmtId="0" xfId="0" applyAlignment="1" applyBorder="1" applyFill="1" applyFont="1">
      <alignment vertical="center"/>
    </xf>
    <xf borderId="5" fillId="22" fontId="3" numFmtId="166" xfId="0" applyAlignment="1" applyBorder="1" applyFill="1" applyFont="1" applyNumberFormat="1">
      <alignment horizontal="center" vertical="center"/>
    </xf>
    <xf borderId="0" fillId="0" fontId="1" numFmtId="171" xfId="0" applyAlignment="1" applyFont="1" applyNumberFormat="1">
      <alignment vertical="top"/>
    </xf>
    <xf borderId="0" fillId="0" fontId="12" numFmtId="9" xfId="0" applyAlignment="1" applyFont="1" applyNumberFormat="1">
      <alignment horizontal="right" vertical="center"/>
    </xf>
    <xf borderId="5" fillId="7" fontId="8" numFmtId="166" xfId="0" applyAlignment="1" applyBorder="1" applyFill="1" applyFont="1" applyNumberFormat="1">
      <alignment horizontal="center" vertical="center"/>
    </xf>
    <xf borderId="0" fillId="0" fontId="8" numFmtId="9" xfId="0" applyAlignment="1" applyFont="1" applyNumberFormat="1">
      <alignment vertical="center"/>
    </xf>
    <xf borderId="19" fillId="24" fontId="1" numFmtId="0" xfId="0" applyAlignment="1" applyBorder="1" applyFill="1" applyFont="1">
      <alignment vertical="bottom"/>
    </xf>
    <xf borderId="0" fillId="0" fontId="18" numFmtId="0" xfId="0" applyAlignment="1" applyFont="1">
      <alignment vertical="bottom"/>
    </xf>
    <xf borderId="0" fillId="0" fontId="18" numFmtId="0" xfId="0" applyAlignment="1" applyFont="1">
      <alignment horizontal="center" vertical="bottom"/>
    </xf>
    <xf borderId="0" fillId="0" fontId="18" numFmtId="165" xfId="0" applyAlignment="1" applyFont="1" applyNumberFormat="1">
      <alignment horizontal="right" vertical="bottom"/>
    </xf>
    <xf borderId="0" fillId="0" fontId="18" numFmtId="165" xfId="0" applyAlignment="1" applyFont="1" applyNumberFormat="1">
      <alignment horizontal="center" vertical="bottom"/>
    </xf>
    <xf borderId="0" fillId="0" fontId="18" numFmtId="0" xfId="0" applyAlignment="1" applyFont="1">
      <alignment horizontal="left" vertical="bottom"/>
    </xf>
    <xf borderId="0" fillId="0" fontId="19" numFmtId="0" xfId="0" applyAlignment="1" applyFont="1">
      <alignment vertical="bottom"/>
    </xf>
    <xf borderId="19" fillId="2" fontId="10" numFmtId="0" xfId="0" applyAlignment="1" applyBorder="1" applyFill="1" applyFont="1">
      <alignment vertical="center"/>
    </xf>
    <xf borderId="19" fillId="3" fontId="12" numFmtId="164" xfId="0" applyAlignment="1" applyBorder="1" applyFill="1" applyFont="1" applyNumberFormat="1">
      <alignment vertical="top"/>
    </xf>
    <xf borderId="0" fillId="0" fontId="20" numFmtId="0" xfId="0" applyAlignment="1" applyFont="1">
      <alignment horizontal="left" vertical="bottom"/>
    </xf>
    <xf borderId="19" fillId="3" fontId="1" numFmtId="0" xfId="0" applyAlignment="1" applyBorder="1" applyFill="1" applyFont="1">
      <alignment vertical="bottom"/>
    </xf>
    <xf borderId="19" fillId="3" fontId="18" numFmtId="165" xfId="0" applyAlignment="1" applyBorder="1" applyFill="1" applyFont="1" applyNumberFormat="1">
      <alignment horizontal="right" vertical="bottom"/>
    </xf>
    <xf borderId="19" fillId="3" fontId="18" numFmtId="165" xfId="0" applyAlignment="1" applyBorder="1" applyFill="1" applyFont="1" applyNumberFormat="1">
      <alignment horizontal="center" vertical="bottom"/>
    </xf>
    <xf borderId="19" fillId="3" fontId="18" numFmtId="0" xfId="0" applyAlignment="1" applyBorder="1" applyFill="1" applyFont="1">
      <alignment horizontal="left" vertical="bottom"/>
    </xf>
    <xf borderId="19" fillId="3" fontId="18" numFmtId="0" xfId="0" applyAlignment="1" applyBorder="1" applyFill="1" applyFont="1">
      <alignment horizontal="center" vertical="bottom"/>
    </xf>
    <xf borderId="19" fillId="3" fontId="18" numFmtId="0" xfId="0" applyAlignment="1" applyBorder="1" applyFill="1" applyFont="1">
      <alignment vertical="bottom"/>
    </xf>
    <xf borderId="19" fillId="3" fontId="19" numFmtId="0" xfId="0" applyAlignment="1" applyBorder="1" applyFill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8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 outlineLevelCol="1"/>
  <cols>
    <col customWidth="1" min="1" max="1" width="8.86"/>
    <col customWidth="1" min="2" max="2" width="4.57"/>
    <col customWidth="1" min="3" max="3" width="29.0"/>
    <col customWidth="1" min="4" max="4" width="34.14"/>
    <col customWidth="1" min="5" max="5" width="23.43"/>
    <col customWidth="1" min="6" max="6" width="16.14"/>
    <col customWidth="1" min="7" max="7" width="16.86"/>
    <col customWidth="1" min="8" max="8" width="13.57"/>
    <col customWidth="1" min="9" max="9" width="8.43"/>
    <col customWidth="1" min="10" max="10" width="8.86"/>
    <col customWidth="1" min="11" max="11" width="17.86"/>
    <col customWidth="1" min="12" max="26" width="8.86"/>
  </cols>
  <sheetData>
    <row r="1" ht="15.75" customHeight="1">
      <c r="A1" s="3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3" t="s">
        <v>2</v>
      </c>
      <c r="B2" s="5"/>
      <c r="C2" s="5"/>
      <c r="D2" s="5"/>
      <c r="E2" s="5"/>
      <c r="F2" s="5"/>
      <c r="G2" s="5"/>
      <c r="H2" s="6" t="s">
        <v>3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5"/>
      <c r="B3" s="5"/>
      <c r="C3" s="3">
        <f>SUBTOTAL(103,C6:C495)</f>
        <v>17</v>
      </c>
      <c r="D3" s="5"/>
      <c r="E3" s="5"/>
      <c r="F3" s="5"/>
      <c r="G3" s="5"/>
      <c r="H3" s="3">
        <f>A3+G3</f>
        <v>0</v>
      </c>
      <c r="I3" s="3">
        <f>SUBTOTAL(109,I6:I251)</f>
        <v>0</v>
      </c>
      <c r="J3" s="5"/>
      <c r="K3" s="12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3" t="s">
        <v>18</v>
      </c>
      <c r="B4" s="14" t="s">
        <v>21</v>
      </c>
      <c r="C4" s="14" t="s">
        <v>22</v>
      </c>
      <c r="D4" s="14" t="s">
        <v>23</v>
      </c>
      <c r="E4" s="14" t="s">
        <v>25</v>
      </c>
      <c r="F4" s="14" t="s">
        <v>26</v>
      </c>
      <c r="G4" s="14" t="s">
        <v>28</v>
      </c>
      <c r="H4" s="14" t="s">
        <v>30</v>
      </c>
      <c r="I4" s="16" t="s">
        <v>31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3"/>
      <c r="B5" s="14"/>
      <c r="C5" s="14"/>
      <c r="D5" s="14"/>
      <c r="E5" s="14"/>
      <c r="F5" s="14"/>
      <c r="G5" s="14"/>
      <c r="H5" s="17"/>
      <c r="I5" s="1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hidden="1" customHeight="1">
      <c r="A6" s="17" t="s">
        <v>38</v>
      </c>
      <c r="B6" s="18">
        <v>1.0</v>
      </c>
      <c r="C6" s="17" t="s">
        <v>39</v>
      </c>
      <c r="D6" s="17" t="s">
        <v>40</v>
      </c>
      <c r="E6" s="17" t="s">
        <v>41</v>
      </c>
      <c r="F6" s="17" t="s">
        <v>42</v>
      </c>
      <c r="G6" s="17" t="s">
        <v>43</v>
      </c>
      <c r="H6" s="17" t="s">
        <v>44</v>
      </c>
      <c r="I6" s="19"/>
      <c r="J6" s="5"/>
      <c r="K6" s="20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hidden="1" customHeight="1">
      <c r="A7" s="17" t="s">
        <v>38</v>
      </c>
      <c r="B7" s="18">
        <v>2.0</v>
      </c>
      <c r="C7" s="21" t="s">
        <v>47</v>
      </c>
      <c r="D7" s="21" t="s">
        <v>48</v>
      </c>
      <c r="E7" s="21" t="s">
        <v>41</v>
      </c>
      <c r="F7" s="21" t="s">
        <v>42</v>
      </c>
      <c r="G7" s="21" t="s">
        <v>48</v>
      </c>
      <c r="H7" s="17" t="s">
        <v>44</v>
      </c>
      <c r="I7" s="19"/>
      <c r="J7" s="5"/>
      <c r="K7" s="20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hidden="1" customHeight="1">
      <c r="A8" s="17" t="s">
        <v>38</v>
      </c>
      <c r="B8" s="18">
        <v>3.0</v>
      </c>
      <c r="C8" s="21" t="s">
        <v>51</v>
      </c>
      <c r="D8" s="21" t="s">
        <v>52</v>
      </c>
      <c r="E8" s="21" t="s">
        <v>54</v>
      </c>
      <c r="F8" s="21" t="s">
        <v>55</v>
      </c>
      <c r="G8" s="21" t="s">
        <v>56</v>
      </c>
      <c r="H8" s="17" t="s">
        <v>44</v>
      </c>
      <c r="I8" s="19"/>
      <c r="J8" s="5"/>
      <c r="K8" s="20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hidden="1" customHeight="1">
      <c r="A9" s="17" t="s">
        <v>38</v>
      </c>
      <c r="B9" s="18">
        <v>4.0</v>
      </c>
      <c r="C9" s="21" t="s">
        <v>59</v>
      </c>
      <c r="D9" s="21" t="s">
        <v>60</v>
      </c>
      <c r="E9" s="21" t="s">
        <v>41</v>
      </c>
      <c r="F9" s="21" t="s">
        <v>55</v>
      </c>
      <c r="G9" s="21" t="s">
        <v>60</v>
      </c>
      <c r="H9" s="17" t="s">
        <v>44</v>
      </c>
      <c r="I9" s="19"/>
      <c r="J9" s="5"/>
      <c r="K9" s="20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hidden="1" customHeight="1">
      <c r="A10" s="17" t="s">
        <v>38</v>
      </c>
      <c r="B10" s="18">
        <v>5.0</v>
      </c>
      <c r="C10" s="21" t="s">
        <v>61</v>
      </c>
      <c r="D10" s="21" t="s">
        <v>62</v>
      </c>
      <c r="E10" s="21" t="s">
        <v>63</v>
      </c>
      <c r="F10" s="21" t="s">
        <v>64</v>
      </c>
      <c r="G10" s="21" t="s">
        <v>65</v>
      </c>
      <c r="H10" s="17" t="s">
        <v>44</v>
      </c>
      <c r="I10" s="19"/>
      <c r="J10" s="5"/>
      <c r="K10" s="2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hidden="1" customHeight="1">
      <c r="A11" s="17" t="s">
        <v>38</v>
      </c>
      <c r="B11" s="18">
        <v>6.0</v>
      </c>
      <c r="C11" s="21" t="s">
        <v>68</v>
      </c>
      <c r="D11" s="21" t="s">
        <v>62</v>
      </c>
      <c r="E11" s="21" t="s">
        <v>63</v>
      </c>
      <c r="F11" s="21" t="s">
        <v>64</v>
      </c>
      <c r="G11" s="21" t="s">
        <v>65</v>
      </c>
      <c r="H11" s="17" t="s">
        <v>44</v>
      </c>
      <c r="I11" s="19"/>
      <c r="J11" s="5"/>
      <c r="K11" s="2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hidden="1" customHeight="1">
      <c r="A12" s="17" t="s">
        <v>38</v>
      </c>
      <c r="B12" s="18">
        <v>7.0</v>
      </c>
      <c r="C12" s="21" t="s">
        <v>72</v>
      </c>
      <c r="D12" s="21" t="s">
        <v>73</v>
      </c>
      <c r="E12" s="21" t="s">
        <v>41</v>
      </c>
      <c r="F12" s="21" t="s">
        <v>64</v>
      </c>
      <c r="G12" s="21" t="s">
        <v>74</v>
      </c>
      <c r="H12" s="17" t="s">
        <v>44</v>
      </c>
      <c r="I12" s="19"/>
      <c r="J12" s="5"/>
      <c r="K12" s="20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hidden="1" customHeight="1">
      <c r="A13" s="17" t="s">
        <v>38</v>
      </c>
      <c r="B13" s="18">
        <v>8.0</v>
      </c>
      <c r="C13" s="21" t="s">
        <v>76</v>
      </c>
      <c r="D13" s="21" t="s">
        <v>78</v>
      </c>
      <c r="E13" s="21" t="s">
        <v>41</v>
      </c>
      <c r="F13" s="21" t="s">
        <v>64</v>
      </c>
      <c r="G13" s="21" t="s">
        <v>65</v>
      </c>
      <c r="H13" s="17" t="s">
        <v>44</v>
      </c>
      <c r="I13" s="19"/>
      <c r="J13" s="5"/>
      <c r="K13" s="20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hidden="1" customHeight="1">
      <c r="A14" s="17" t="s">
        <v>38</v>
      </c>
      <c r="B14" s="18">
        <v>9.0</v>
      </c>
      <c r="C14" s="21" t="s">
        <v>79</v>
      </c>
      <c r="D14" s="21" t="s">
        <v>78</v>
      </c>
      <c r="E14" s="21" t="s">
        <v>41</v>
      </c>
      <c r="F14" s="21" t="s">
        <v>64</v>
      </c>
      <c r="G14" s="21" t="s">
        <v>65</v>
      </c>
      <c r="H14" s="17" t="s">
        <v>44</v>
      </c>
      <c r="I14" s="19"/>
      <c r="J14" s="5"/>
      <c r="K14" s="20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hidden="1" customHeight="1">
      <c r="A15" s="17" t="s">
        <v>38</v>
      </c>
      <c r="B15" s="18">
        <v>10.0</v>
      </c>
      <c r="C15" s="21" t="s">
        <v>80</v>
      </c>
      <c r="D15" s="21" t="s">
        <v>78</v>
      </c>
      <c r="E15" s="21" t="s">
        <v>41</v>
      </c>
      <c r="F15" s="21" t="s">
        <v>64</v>
      </c>
      <c r="G15" s="21" t="s">
        <v>65</v>
      </c>
      <c r="H15" s="17" t="s">
        <v>44</v>
      </c>
      <c r="I15" s="19"/>
      <c r="J15" s="5"/>
      <c r="K15" s="2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hidden="1" customHeight="1">
      <c r="A16" s="17" t="s">
        <v>38</v>
      </c>
      <c r="B16" s="18">
        <v>11.0</v>
      </c>
      <c r="C16" s="21" t="s">
        <v>82</v>
      </c>
      <c r="D16" s="21" t="s">
        <v>83</v>
      </c>
      <c r="E16" s="21" t="s">
        <v>41</v>
      </c>
      <c r="F16" s="21" t="s">
        <v>85</v>
      </c>
      <c r="G16" s="21" t="s">
        <v>83</v>
      </c>
      <c r="H16" s="17" t="s">
        <v>44</v>
      </c>
      <c r="I16" s="19"/>
      <c r="J16" s="5"/>
      <c r="K16" s="20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hidden="1" customHeight="1">
      <c r="A17" s="17" t="s">
        <v>38</v>
      </c>
      <c r="B17" s="18">
        <v>12.0</v>
      </c>
      <c r="C17" s="21" t="s">
        <v>87</v>
      </c>
      <c r="D17" s="21" t="s">
        <v>83</v>
      </c>
      <c r="E17" s="21" t="s">
        <v>41</v>
      </c>
      <c r="F17" s="21" t="s">
        <v>85</v>
      </c>
      <c r="G17" s="21" t="s">
        <v>83</v>
      </c>
      <c r="H17" s="17" t="s">
        <v>44</v>
      </c>
      <c r="I17" s="19"/>
      <c r="J17" s="5"/>
      <c r="K17" s="20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hidden="1" customHeight="1">
      <c r="A18" s="17" t="s">
        <v>38</v>
      </c>
      <c r="B18" s="18">
        <v>13.0</v>
      </c>
      <c r="C18" s="21" t="s">
        <v>88</v>
      </c>
      <c r="D18" s="21" t="s">
        <v>83</v>
      </c>
      <c r="E18" s="21" t="s">
        <v>41</v>
      </c>
      <c r="F18" s="21" t="s">
        <v>85</v>
      </c>
      <c r="G18" s="21" t="s">
        <v>83</v>
      </c>
      <c r="H18" s="17" t="s">
        <v>44</v>
      </c>
      <c r="I18" s="19"/>
      <c r="J18" s="5"/>
      <c r="K18" s="20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hidden="1" customHeight="1">
      <c r="A19" s="17" t="s">
        <v>38</v>
      </c>
      <c r="B19" s="18">
        <v>14.0</v>
      </c>
      <c r="C19" s="21" t="s">
        <v>89</v>
      </c>
      <c r="D19" s="21" t="s">
        <v>90</v>
      </c>
      <c r="E19" s="21" t="s">
        <v>63</v>
      </c>
      <c r="F19" s="21" t="s">
        <v>85</v>
      </c>
      <c r="G19" s="21" t="s">
        <v>91</v>
      </c>
      <c r="H19" s="17" t="s">
        <v>44</v>
      </c>
      <c r="I19" s="19"/>
      <c r="J19" s="5"/>
      <c r="K19" s="20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hidden="1" customHeight="1">
      <c r="A20" s="17" t="s">
        <v>38</v>
      </c>
      <c r="B20" s="18">
        <v>15.0</v>
      </c>
      <c r="C20" s="21" t="s">
        <v>92</v>
      </c>
      <c r="D20" s="21" t="s">
        <v>93</v>
      </c>
      <c r="E20" s="21" t="s">
        <v>54</v>
      </c>
      <c r="F20" s="21" t="s">
        <v>85</v>
      </c>
      <c r="G20" s="21" t="s">
        <v>95</v>
      </c>
      <c r="H20" s="17" t="s">
        <v>44</v>
      </c>
      <c r="I20" s="19"/>
      <c r="J20" s="5"/>
      <c r="K20" s="20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hidden="1" customHeight="1">
      <c r="A21" s="17" t="s">
        <v>38</v>
      </c>
      <c r="B21" s="18">
        <v>16.0</v>
      </c>
      <c r="C21" s="21" t="s">
        <v>97</v>
      </c>
      <c r="D21" s="21" t="s">
        <v>98</v>
      </c>
      <c r="E21" s="21" t="s">
        <v>41</v>
      </c>
      <c r="F21" s="21" t="s">
        <v>85</v>
      </c>
      <c r="G21" s="21" t="s">
        <v>99</v>
      </c>
      <c r="H21" s="17" t="s">
        <v>44</v>
      </c>
      <c r="I21" s="19"/>
      <c r="J21" s="5"/>
      <c r="K21" s="20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hidden="1" customHeight="1">
      <c r="A22" s="17" t="s">
        <v>38</v>
      </c>
      <c r="B22" s="18">
        <v>17.0</v>
      </c>
      <c r="C22" s="21" t="s">
        <v>100</v>
      </c>
      <c r="D22" s="21" t="s">
        <v>98</v>
      </c>
      <c r="E22" s="21" t="s">
        <v>41</v>
      </c>
      <c r="F22" s="21" t="s">
        <v>85</v>
      </c>
      <c r="G22" s="21" t="s">
        <v>99</v>
      </c>
      <c r="H22" s="17" t="s">
        <v>44</v>
      </c>
      <c r="I22" s="19"/>
      <c r="J22" s="5"/>
      <c r="K22" s="20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hidden="1" customHeight="1">
      <c r="A23" s="17" t="s">
        <v>38</v>
      </c>
      <c r="B23" s="18">
        <v>18.0</v>
      </c>
      <c r="C23" s="21" t="s">
        <v>102</v>
      </c>
      <c r="D23" s="21" t="s">
        <v>98</v>
      </c>
      <c r="E23" s="21" t="s">
        <v>41</v>
      </c>
      <c r="F23" s="21" t="s">
        <v>85</v>
      </c>
      <c r="G23" s="21" t="s">
        <v>99</v>
      </c>
      <c r="H23" s="17" t="s">
        <v>44</v>
      </c>
      <c r="I23" s="19"/>
      <c r="J23" s="5"/>
      <c r="K23" s="20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hidden="1" customHeight="1">
      <c r="A24" s="17" t="s">
        <v>38</v>
      </c>
      <c r="B24" s="18">
        <v>19.0</v>
      </c>
      <c r="C24" s="21" t="s">
        <v>104</v>
      </c>
      <c r="D24" s="21" t="s">
        <v>106</v>
      </c>
      <c r="E24" s="21" t="s">
        <v>41</v>
      </c>
      <c r="F24" s="21" t="s">
        <v>85</v>
      </c>
      <c r="G24" s="21" t="s">
        <v>91</v>
      </c>
      <c r="H24" s="17" t="s">
        <v>44</v>
      </c>
      <c r="I24" s="19"/>
      <c r="J24" s="5"/>
      <c r="K24" s="20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hidden="1" customHeight="1">
      <c r="A25" s="17" t="s">
        <v>38</v>
      </c>
      <c r="B25" s="18">
        <v>20.0</v>
      </c>
      <c r="C25" s="21" t="s">
        <v>107</v>
      </c>
      <c r="D25" s="21" t="s">
        <v>106</v>
      </c>
      <c r="E25" s="21" t="s">
        <v>41</v>
      </c>
      <c r="F25" s="21" t="s">
        <v>85</v>
      </c>
      <c r="G25" s="21" t="s">
        <v>91</v>
      </c>
      <c r="H25" s="17" t="s">
        <v>44</v>
      </c>
      <c r="I25" s="19"/>
      <c r="J25" s="5"/>
      <c r="K25" s="20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hidden="1" customHeight="1">
      <c r="A26" s="17" t="s">
        <v>38</v>
      </c>
      <c r="B26" s="18">
        <v>21.0</v>
      </c>
      <c r="C26" s="21" t="s">
        <v>108</v>
      </c>
      <c r="D26" s="21" t="s">
        <v>106</v>
      </c>
      <c r="E26" s="21" t="s">
        <v>41</v>
      </c>
      <c r="F26" s="21" t="s">
        <v>85</v>
      </c>
      <c r="G26" s="21" t="s">
        <v>91</v>
      </c>
      <c r="H26" s="17" t="s">
        <v>44</v>
      </c>
      <c r="I26" s="19"/>
      <c r="J26" s="5"/>
      <c r="K26" s="20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hidden="1" customHeight="1">
      <c r="A27" s="17" t="s">
        <v>38</v>
      </c>
      <c r="B27" s="18">
        <v>22.0</v>
      </c>
      <c r="C27" s="21" t="s">
        <v>110</v>
      </c>
      <c r="D27" s="21" t="s">
        <v>106</v>
      </c>
      <c r="E27" s="21" t="s">
        <v>41</v>
      </c>
      <c r="F27" s="21" t="s">
        <v>85</v>
      </c>
      <c r="G27" s="21" t="s">
        <v>91</v>
      </c>
      <c r="H27" s="17" t="s">
        <v>44</v>
      </c>
      <c r="I27" s="19"/>
      <c r="J27" s="5"/>
      <c r="K27" s="20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hidden="1" customHeight="1">
      <c r="A28" s="17" t="s">
        <v>38</v>
      </c>
      <c r="B28" s="18">
        <v>23.0</v>
      </c>
      <c r="C28" s="21" t="s">
        <v>111</v>
      </c>
      <c r="D28" s="21" t="s">
        <v>113</v>
      </c>
      <c r="E28" s="21" t="s">
        <v>41</v>
      </c>
      <c r="F28" s="21" t="s">
        <v>85</v>
      </c>
      <c r="G28" s="21" t="s">
        <v>95</v>
      </c>
      <c r="H28" s="17" t="s">
        <v>44</v>
      </c>
      <c r="I28" s="19"/>
      <c r="J28" s="5"/>
      <c r="K28" s="20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hidden="1" customHeight="1">
      <c r="A29" s="17" t="s">
        <v>38</v>
      </c>
      <c r="B29" s="18">
        <v>24.0</v>
      </c>
      <c r="C29" s="21" t="s">
        <v>114</v>
      </c>
      <c r="D29" s="21" t="s">
        <v>115</v>
      </c>
      <c r="E29" s="21" t="s">
        <v>54</v>
      </c>
      <c r="F29" s="21" t="s">
        <v>85</v>
      </c>
      <c r="G29" s="21" t="s">
        <v>91</v>
      </c>
      <c r="H29" s="17" t="s">
        <v>44</v>
      </c>
      <c r="I29" s="19"/>
      <c r="J29" s="5"/>
      <c r="K29" s="20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hidden="1" customHeight="1">
      <c r="A30" s="17" t="s">
        <v>38</v>
      </c>
      <c r="B30" s="18">
        <v>25.0</v>
      </c>
      <c r="C30" s="21" t="s">
        <v>117</v>
      </c>
      <c r="D30" s="21" t="s">
        <v>118</v>
      </c>
      <c r="E30" s="21" t="s">
        <v>54</v>
      </c>
      <c r="F30" s="21" t="s">
        <v>119</v>
      </c>
      <c r="G30" s="21" t="s">
        <v>120</v>
      </c>
      <c r="H30" s="17" t="s">
        <v>44</v>
      </c>
      <c r="I30" s="19"/>
      <c r="J30" s="5"/>
      <c r="K30" s="20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hidden="1" customHeight="1">
      <c r="A31" s="17" t="s">
        <v>38</v>
      </c>
      <c r="B31" s="18">
        <v>26.0</v>
      </c>
      <c r="C31" s="21" t="s">
        <v>121</v>
      </c>
      <c r="D31" s="21" t="s">
        <v>122</v>
      </c>
      <c r="E31" s="21" t="s">
        <v>54</v>
      </c>
      <c r="F31" s="21" t="s">
        <v>119</v>
      </c>
      <c r="G31" s="21" t="s">
        <v>124</v>
      </c>
      <c r="H31" s="17" t="s">
        <v>44</v>
      </c>
      <c r="I31" s="19"/>
      <c r="J31" s="5"/>
      <c r="K31" s="20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hidden="1" customHeight="1">
      <c r="A32" s="17" t="s">
        <v>38</v>
      </c>
      <c r="B32" s="18">
        <v>27.0</v>
      </c>
      <c r="C32" s="21" t="s">
        <v>125</v>
      </c>
      <c r="D32" s="21" t="s">
        <v>124</v>
      </c>
      <c r="E32" s="21" t="s">
        <v>41</v>
      </c>
      <c r="F32" s="21" t="s">
        <v>119</v>
      </c>
      <c r="G32" s="21" t="s">
        <v>124</v>
      </c>
      <c r="H32" s="17" t="s">
        <v>44</v>
      </c>
      <c r="I32" s="19"/>
      <c r="J32" s="5"/>
      <c r="K32" s="20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hidden="1" customHeight="1">
      <c r="A33" s="17" t="s">
        <v>38</v>
      </c>
      <c r="B33" s="18">
        <v>28.0</v>
      </c>
      <c r="C33" s="21" t="s">
        <v>126</v>
      </c>
      <c r="D33" s="21" t="s">
        <v>124</v>
      </c>
      <c r="E33" s="21" t="s">
        <v>41</v>
      </c>
      <c r="F33" s="21" t="s">
        <v>119</v>
      </c>
      <c r="G33" s="21" t="s">
        <v>124</v>
      </c>
      <c r="H33" s="17" t="s">
        <v>44</v>
      </c>
      <c r="I33" s="19"/>
      <c r="J33" s="5"/>
      <c r="K33" s="20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hidden="1" customHeight="1">
      <c r="A34" s="17" t="s">
        <v>38</v>
      </c>
      <c r="B34" s="18">
        <v>29.0</v>
      </c>
      <c r="C34" s="21" t="s">
        <v>127</v>
      </c>
      <c r="D34" s="21" t="s">
        <v>124</v>
      </c>
      <c r="E34" s="21" t="s">
        <v>41</v>
      </c>
      <c r="F34" s="21" t="s">
        <v>119</v>
      </c>
      <c r="G34" s="21" t="s">
        <v>124</v>
      </c>
      <c r="H34" s="17" t="s">
        <v>44</v>
      </c>
      <c r="I34" s="19"/>
      <c r="J34" s="5"/>
      <c r="K34" s="20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hidden="1" customHeight="1">
      <c r="A35" s="17" t="s">
        <v>38</v>
      </c>
      <c r="B35" s="18">
        <v>30.0</v>
      </c>
      <c r="C35" s="21" t="s">
        <v>128</v>
      </c>
      <c r="D35" s="21" t="s">
        <v>124</v>
      </c>
      <c r="E35" s="21" t="s">
        <v>41</v>
      </c>
      <c r="F35" s="21" t="s">
        <v>119</v>
      </c>
      <c r="G35" s="21" t="s">
        <v>124</v>
      </c>
      <c r="H35" s="17" t="s">
        <v>44</v>
      </c>
      <c r="I35" s="19"/>
      <c r="J35" s="5"/>
      <c r="K35" s="20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hidden="1" customHeight="1">
      <c r="A36" s="17" t="s">
        <v>38</v>
      </c>
      <c r="B36" s="18">
        <v>31.0</v>
      </c>
      <c r="C36" s="21" t="s">
        <v>130</v>
      </c>
      <c r="D36" s="21" t="s">
        <v>131</v>
      </c>
      <c r="E36" s="21" t="s">
        <v>63</v>
      </c>
      <c r="F36" s="21" t="s">
        <v>119</v>
      </c>
      <c r="G36" s="21" t="s">
        <v>124</v>
      </c>
      <c r="H36" s="17" t="s">
        <v>44</v>
      </c>
      <c r="I36" s="19"/>
      <c r="J36" s="5"/>
      <c r="K36" s="20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hidden="1" customHeight="1">
      <c r="A37" s="17" t="s">
        <v>38</v>
      </c>
      <c r="B37" s="18">
        <v>32.0</v>
      </c>
      <c r="C37" s="21" t="s">
        <v>132</v>
      </c>
      <c r="D37" s="21" t="s">
        <v>133</v>
      </c>
      <c r="E37" s="21" t="s">
        <v>134</v>
      </c>
      <c r="F37" s="21" t="s">
        <v>134</v>
      </c>
      <c r="G37" s="21" t="s">
        <v>134</v>
      </c>
      <c r="H37" s="17" t="s">
        <v>135</v>
      </c>
      <c r="I37" s="19"/>
      <c r="J37" s="5"/>
      <c r="K37" s="20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hidden="1" customHeight="1">
      <c r="A38" s="17" t="s">
        <v>38</v>
      </c>
      <c r="B38" s="18">
        <v>33.0</v>
      </c>
      <c r="C38" s="21" t="s">
        <v>136</v>
      </c>
      <c r="D38" s="21" t="s">
        <v>137</v>
      </c>
      <c r="E38" s="21" t="s">
        <v>138</v>
      </c>
      <c r="F38" s="21" t="s">
        <v>139</v>
      </c>
      <c r="G38" s="21" t="s">
        <v>141</v>
      </c>
      <c r="H38" s="17" t="s">
        <v>135</v>
      </c>
      <c r="I38" s="19"/>
      <c r="J38" s="5"/>
      <c r="K38" s="20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hidden="1" customHeight="1">
      <c r="A39" s="17" t="s">
        <v>38</v>
      </c>
      <c r="B39" s="18">
        <v>34.0</v>
      </c>
      <c r="C39" s="21" t="s">
        <v>142</v>
      </c>
      <c r="D39" s="21" t="s">
        <v>143</v>
      </c>
      <c r="E39" s="21" t="s">
        <v>138</v>
      </c>
      <c r="F39" s="21" t="s">
        <v>139</v>
      </c>
      <c r="G39" s="21" t="s">
        <v>144</v>
      </c>
      <c r="H39" s="17" t="s">
        <v>135</v>
      </c>
      <c r="I39" s="19"/>
      <c r="J39" s="5"/>
      <c r="K39" s="20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hidden="1" customHeight="1">
      <c r="A40" s="17" t="s">
        <v>38</v>
      </c>
      <c r="B40" s="18">
        <v>35.0</v>
      </c>
      <c r="C40" s="21" t="s">
        <v>145</v>
      </c>
      <c r="D40" s="21" t="s">
        <v>146</v>
      </c>
      <c r="E40" s="21" t="s">
        <v>41</v>
      </c>
      <c r="F40" s="21" t="s">
        <v>147</v>
      </c>
      <c r="G40" s="21" t="s">
        <v>147</v>
      </c>
      <c r="H40" s="17" t="s">
        <v>148</v>
      </c>
      <c r="I40" s="19"/>
      <c r="J40" s="5"/>
      <c r="K40" s="20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hidden="1" customHeight="1">
      <c r="A41" s="17" t="s">
        <v>38</v>
      </c>
      <c r="B41" s="18">
        <v>36.0</v>
      </c>
      <c r="C41" s="21" t="s">
        <v>149</v>
      </c>
      <c r="D41" s="21" t="s">
        <v>150</v>
      </c>
      <c r="E41" s="21" t="s">
        <v>54</v>
      </c>
      <c r="F41" s="21" t="s">
        <v>151</v>
      </c>
      <c r="G41" s="21" t="s">
        <v>151</v>
      </c>
      <c r="H41" s="17" t="s">
        <v>135</v>
      </c>
      <c r="I41" s="19"/>
      <c r="J41" s="5"/>
      <c r="K41" s="20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hidden="1" customHeight="1">
      <c r="A42" s="17" t="s">
        <v>38</v>
      </c>
      <c r="B42" s="18">
        <v>37.0</v>
      </c>
      <c r="C42" s="21" t="s">
        <v>152</v>
      </c>
      <c r="D42" s="21" t="s">
        <v>83</v>
      </c>
      <c r="E42" s="21" t="s">
        <v>41</v>
      </c>
      <c r="F42" s="21" t="s">
        <v>85</v>
      </c>
      <c r="G42" s="21" t="s">
        <v>83</v>
      </c>
      <c r="H42" s="17" t="s">
        <v>153</v>
      </c>
      <c r="I42" s="19"/>
      <c r="J42" s="5"/>
      <c r="K42" s="20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hidden="1" customHeight="1">
      <c r="A43" s="17" t="s">
        <v>38</v>
      </c>
      <c r="B43" s="18">
        <v>38.0</v>
      </c>
      <c r="C43" s="21" t="s">
        <v>154</v>
      </c>
      <c r="D43" s="21" t="s">
        <v>83</v>
      </c>
      <c r="E43" s="21" t="s">
        <v>41</v>
      </c>
      <c r="F43" s="21" t="s">
        <v>85</v>
      </c>
      <c r="G43" s="21" t="s">
        <v>83</v>
      </c>
      <c r="H43" s="17" t="s">
        <v>153</v>
      </c>
      <c r="I43" s="19"/>
      <c r="J43" s="5"/>
      <c r="K43" s="20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hidden="1" customHeight="1">
      <c r="A44" s="17" t="s">
        <v>38</v>
      </c>
      <c r="B44" s="18">
        <v>39.0</v>
      </c>
      <c r="C44" s="21" t="s">
        <v>155</v>
      </c>
      <c r="D44" s="21" t="s">
        <v>156</v>
      </c>
      <c r="E44" s="21" t="s">
        <v>54</v>
      </c>
      <c r="F44" s="21" t="s">
        <v>85</v>
      </c>
      <c r="G44" s="21" t="s">
        <v>83</v>
      </c>
      <c r="H44" s="17" t="s">
        <v>153</v>
      </c>
      <c r="I44" s="19"/>
      <c r="J44" s="5"/>
      <c r="K44" s="2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hidden="1" customHeight="1">
      <c r="A45" s="17" t="s">
        <v>38</v>
      </c>
      <c r="B45" s="18">
        <v>40.0</v>
      </c>
      <c r="C45" s="21" t="s">
        <v>157</v>
      </c>
      <c r="D45" s="21" t="s">
        <v>98</v>
      </c>
      <c r="E45" s="21" t="s">
        <v>41</v>
      </c>
      <c r="F45" s="21" t="s">
        <v>85</v>
      </c>
      <c r="G45" s="21" t="s">
        <v>99</v>
      </c>
      <c r="H45" s="17" t="s">
        <v>158</v>
      </c>
      <c r="I45" s="19"/>
      <c r="J45" s="5"/>
      <c r="K45" s="20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hidden="1" customHeight="1">
      <c r="A46" s="17" t="s">
        <v>38</v>
      </c>
      <c r="B46" s="18">
        <v>41.0</v>
      </c>
      <c r="C46" s="21" t="s">
        <v>159</v>
      </c>
      <c r="D46" s="21" t="s">
        <v>106</v>
      </c>
      <c r="E46" s="21" t="s">
        <v>41</v>
      </c>
      <c r="F46" s="21" t="s">
        <v>85</v>
      </c>
      <c r="G46" s="21" t="s">
        <v>91</v>
      </c>
      <c r="H46" s="17" t="s">
        <v>153</v>
      </c>
      <c r="I46" s="19"/>
      <c r="J46" s="5"/>
      <c r="K46" s="20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hidden="1" customHeight="1">
      <c r="A47" s="17" t="s">
        <v>160</v>
      </c>
      <c r="B47" s="18">
        <v>42.0</v>
      </c>
      <c r="C47" s="21" t="s">
        <v>161</v>
      </c>
      <c r="D47" s="21" t="s">
        <v>162</v>
      </c>
      <c r="E47" s="21" t="s">
        <v>41</v>
      </c>
      <c r="F47" s="21" t="s">
        <v>42</v>
      </c>
      <c r="G47" s="21" t="s">
        <v>48</v>
      </c>
      <c r="H47" s="17" t="s">
        <v>44</v>
      </c>
      <c r="I47" s="19"/>
      <c r="J47" s="5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hidden="1" customHeight="1">
      <c r="A48" s="17" t="s">
        <v>160</v>
      </c>
      <c r="B48" s="18">
        <v>43.0</v>
      </c>
      <c r="C48" s="21" t="s">
        <v>163</v>
      </c>
      <c r="D48" s="21" t="s">
        <v>164</v>
      </c>
      <c r="E48" s="21" t="s">
        <v>41</v>
      </c>
      <c r="F48" s="21" t="s">
        <v>42</v>
      </c>
      <c r="G48" s="21" t="s">
        <v>165</v>
      </c>
      <c r="H48" s="17" t="s">
        <v>44</v>
      </c>
      <c r="I48" s="19"/>
      <c r="J48" s="5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hidden="1" customHeight="1">
      <c r="A49" s="17" t="s">
        <v>160</v>
      </c>
      <c r="B49" s="18">
        <v>44.0</v>
      </c>
      <c r="C49" s="21" t="s">
        <v>167</v>
      </c>
      <c r="D49" s="21" t="s">
        <v>60</v>
      </c>
      <c r="E49" s="21" t="s">
        <v>41</v>
      </c>
      <c r="F49" s="21" t="s">
        <v>55</v>
      </c>
      <c r="G49" s="21" t="s">
        <v>60</v>
      </c>
      <c r="H49" s="17" t="s">
        <v>44</v>
      </c>
      <c r="I49" s="19"/>
      <c r="J49" s="5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hidden="1" customHeight="1">
      <c r="A50" s="17" t="s">
        <v>160</v>
      </c>
      <c r="B50" s="18">
        <v>45.0</v>
      </c>
      <c r="C50" s="21" t="s">
        <v>168</v>
      </c>
      <c r="D50" s="21" t="s">
        <v>169</v>
      </c>
      <c r="E50" s="21" t="s">
        <v>41</v>
      </c>
      <c r="F50" s="21" t="s">
        <v>151</v>
      </c>
      <c r="G50" s="21" t="s">
        <v>151</v>
      </c>
      <c r="H50" s="17" t="s">
        <v>44</v>
      </c>
      <c r="I50" s="19"/>
      <c r="J50" s="5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hidden="1" customHeight="1">
      <c r="A51" s="17" t="s">
        <v>160</v>
      </c>
      <c r="B51" s="18">
        <v>46.0</v>
      </c>
      <c r="C51" s="21" t="s">
        <v>170</v>
      </c>
      <c r="D51" s="21" t="s">
        <v>65</v>
      </c>
      <c r="E51" s="21" t="s">
        <v>41</v>
      </c>
      <c r="F51" s="21" t="s">
        <v>64</v>
      </c>
      <c r="G51" s="21" t="s">
        <v>65</v>
      </c>
      <c r="H51" s="17" t="s">
        <v>44</v>
      </c>
      <c r="I51" s="19"/>
      <c r="J51" s="5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hidden="1" customHeight="1">
      <c r="A52" s="17" t="s">
        <v>160</v>
      </c>
      <c r="B52" s="18">
        <v>47.0</v>
      </c>
      <c r="C52" s="21" t="s">
        <v>173</v>
      </c>
      <c r="D52" s="21" t="s">
        <v>83</v>
      </c>
      <c r="E52" s="21" t="s">
        <v>41</v>
      </c>
      <c r="F52" s="21" t="s">
        <v>85</v>
      </c>
      <c r="G52" s="21" t="s">
        <v>83</v>
      </c>
      <c r="H52" s="17" t="s">
        <v>44</v>
      </c>
      <c r="I52" s="19"/>
      <c r="J52" s="5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hidden="1" customHeight="1">
      <c r="A53" s="17" t="s">
        <v>160</v>
      </c>
      <c r="B53" s="18">
        <v>48.0</v>
      </c>
      <c r="C53" s="21" t="s">
        <v>174</v>
      </c>
      <c r="D53" s="21" t="s">
        <v>175</v>
      </c>
      <c r="E53" s="21" t="s">
        <v>41</v>
      </c>
      <c r="F53" s="21" t="s">
        <v>85</v>
      </c>
      <c r="G53" s="21" t="s">
        <v>91</v>
      </c>
      <c r="H53" s="17" t="s">
        <v>44</v>
      </c>
      <c r="I53" s="19"/>
      <c r="J53" s="5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hidden="1" customHeight="1">
      <c r="A54" s="17" t="s">
        <v>160</v>
      </c>
      <c r="B54" s="18">
        <v>49.0</v>
      </c>
      <c r="C54" s="21" t="s">
        <v>177</v>
      </c>
      <c r="D54" s="21" t="s">
        <v>98</v>
      </c>
      <c r="E54" s="21" t="s">
        <v>41</v>
      </c>
      <c r="F54" s="21" t="s">
        <v>85</v>
      </c>
      <c r="G54" s="21" t="s">
        <v>99</v>
      </c>
      <c r="H54" s="17" t="s">
        <v>44</v>
      </c>
      <c r="I54" s="19"/>
      <c r="J54" s="5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hidden="1" customHeight="1">
      <c r="A55" s="17" t="s">
        <v>160</v>
      </c>
      <c r="B55" s="18">
        <v>50.0</v>
      </c>
      <c r="C55" s="21" t="s">
        <v>178</v>
      </c>
      <c r="D55" s="21" t="s">
        <v>106</v>
      </c>
      <c r="E55" s="21" t="s">
        <v>41</v>
      </c>
      <c r="F55" s="21" t="s">
        <v>85</v>
      </c>
      <c r="G55" s="21" t="s">
        <v>91</v>
      </c>
      <c r="H55" s="17" t="s">
        <v>44</v>
      </c>
      <c r="I55" s="19"/>
      <c r="J55" s="5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hidden="1" customHeight="1">
      <c r="A56" s="17" t="s">
        <v>160</v>
      </c>
      <c r="B56" s="18">
        <v>51.0</v>
      </c>
      <c r="C56" s="21" t="s">
        <v>179</v>
      </c>
      <c r="D56" s="21" t="s">
        <v>180</v>
      </c>
      <c r="E56" s="21" t="s">
        <v>41</v>
      </c>
      <c r="F56" s="21" t="s">
        <v>85</v>
      </c>
      <c r="G56" s="21" t="s">
        <v>91</v>
      </c>
      <c r="H56" s="17" t="s">
        <v>44</v>
      </c>
      <c r="I56" s="19"/>
      <c r="J56" s="5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hidden="1" customHeight="1">
      <c r="A57" s="17" t="s">
        <v>160</v>
      </c>
      <c r="B57" s="18">
        <v>52.0</v>
      </c>
      <c r="C57" s="21" t="s">
        <v>181</v>
      </c>
      <c r="D57" s="21" t="s">
        <v>124</v>
      </c>
      <c r="E57" s="21" t="s">
        <v>41</v>
      </c>
      <c r="F57" s="21" t="s">
        <v>119</v>
      </c>
      <c r="G57" s="21" t="s">
        <v>124</v>
      </c>
      <c r="H57" s="17" t="s">
        <v>44</v>
      </c>
      <c r="I57" s="19"/>
      <c r="J57" s="5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hidden="1" customHeight="1">
      <c r="A58" s="17" t="s">
        <v>160</v>
      </c>
      <c r="B58" s="18">
        <v>53.0</v>
      </c>
      <c r="C58" s="21" t="s">
        <v>182</v>
      </c>
      <c r="D58" s="21" t="s">
        <v>124</v>
      </c>
      <c r="E58" s="21" t="s">
        <v>41</v>
      </c>
      <c r="F58" s="21" t="s">
        <v>119</v>
      </c>
      <c r="G58" s="21" t="s">
        <v>124</v>
      </c>
      <c r="H58" s="17" t="s">
        <v>44</v>
      </c>
      <c r="I58" s="19"/>
      <c r="J58" s="5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hidden="1" customHeight="1">
      <c r="A59" s="17" t="s">
        <v>160</v>
      </c>
      <c r="B59" s="18">
        <v>54.0</v>
      </c>
      <c r="C59" s="21" t="s">
        <v>183</v>
      </c>
      <c r="D59" s="21" t="s">
        <v>184</v>
      </c>
      <c r="E59" s="21" t="s">
        <v>54</v>
      </c>
      <c r="F59" s="21" t="s">
        <v>119</v>
      </c>
      <c r="G59" s="21" t="s">
        <v>120</v>
      </c>
      <c r="H59" s="17" t="s">
        <v>44</v>
      </c>
      <c r="I59" s="19"/>
      <c r="J59" s="5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hidden="1" customHeight="1">
      <c r="A60" s="17" t="s">
        <v>160</v>
      </c>
      <c r="B60" s="18">
        <v>55.0</v>
      </c>
      <c r="C60" s="21" t="s">
        <v>185</v>
      </c>
      <c r="D60" s="21" t="s">
        <v>186</v>
      </c>
      <c r="E60" s="21" t="s">
        <v>134</v>
      </c>
      <c r="F60" s="21" t="s">
        <v>134</v>
      </c>
      <c r="G60" s="21" t="s">
        <v>134</v>
      </c>
      <c r="H60" s="17" t="s">
        <v>135</v>
      </c>
      <c r="I60" s="19"/>
      <c r="J60" s="5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hidden="1" customHeight="1">
      <c r="A61" s="17" t="s">
        <v>187</v>
      </c>
      <c r="B61" s="18">
        <v>56.0</v>
      </c>
      <c r="C61" s="21" t="s">
        <v>188</v>
      </c>
      <c r="D61" s="21" t="s">
        <v>189</v>
      </c>
      <c r="E61" s="21" t="s">
        <v>63</v>
      </c>
      <c r="F61" s="21" t="s">
        <v>42</v>
      </c>
      <c r="G61" s="21" t="s">
        <v>43</v>
      </c>
      <c r="H61" s="17" t="s">
        <v>44</v>
      </c>
      <c r="I61" s="19"/>
      <c r="J61" s="5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hidden="1" customHeight="1">
      <c r="A62" s="17" t="s">
        <v>187</v>
      </c>
      <c r="B62" s="18">
        <v>57.0</v>
      </c>
      <c r="C62" s="21" t="s">
        <v>190</v>
      </c>
      <c r="D62" s="21" t="s">
        <v>164</v>
      </c>
      <c r="E62" s="21" t="s">
        <v>41</v>
      </c>
      <c r="F62" s="21" t="s">
        <v>42</v>
      </c>
      <c r="G62" s="21" t="s">
        <v>165</v>
      </c>
      <c r="H62" s="17" t="s">
        <v>44</v>
      </c>
      <c r="I62" s="19"/>
      <c r="J62" s="5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hidden="1" customHeight="1">
      <c r="A63" s="17" t="s">
        <v>187</v>
      </c>
      <c r="B63" s="18">
        <v>58.0</v>
      </c>
      <c r="C63" s="21" t="s">
        <v>191</v>
      </c>
      <c r="D63" s="21" t="s">
        <v>192</v>
      </c>
      <c r="E63" s="21" t="s">
        <v>54</v>
      </c>
      <c r="F63" s="21" t="s">
        <v>64</v>
      </c>
      <c r="G63" s="21" t="s">
        <v>65</v>
      </c>
      <c r="H63" s="17" t="s">
        <v>44</v>
      </c>
      <c r="I63" s="19"/>
      <c r="J63" s="5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hidden="1" customHeight="1">
      <c r="A64" s="17" t="s">
        <v>187</v>
      </c>
      <c r="B64" s="18">
        <v>59.0</v>
      </c>
      <c r="C64" s="21" t="s">
        <v>193</v>
      </c>
      <c r="D64" s="21" t="s">
        <v>194</v>
      </c>
      <c r="E64" s="21" t="s">
        <v>41</v>
      </c>
      <c r="F64" s="21" t="s">
        <v>64</v>
      </c>
      <c r="G64" s="21" t="s">
        <v>74</v>
      </c>
      <c r="H64" s="17" t="s">
        <v>44</v>
      </c>
      <c r="I64" s="19"/>
      <c r="J64" s="5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hidden="1" customHeight="1">
      <c r="A65" s="17" t="s">
        <v>187</v>
      </c>
      <c r="B65" s="18">
        <v>60.0</v>
      </c>
      <c r="C65" s="21" t="s">
        <v>195</v>
      </c>
      <c r="D65" s="21" t="s">
        <v>196</v>
      </c>
      <c r="E65" s="21" t="s">
        <v>54</v>
      </c>
      <c r="F65" s="21" t="s">
        <v>85</v>
      </c>
      <c r="G65" s="21" t="s">
        <v>91</v>
      </c>
      <c r="H65" s="17" t="s">
        <v>44</v>
      </c>
      <c r="I65" s="19"/>
      <c r="J65" s="5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hidden="1" customHeight="1">
      <c r="A66" s="17" t="s">
        <v>187</v>
      </c>
      <c r="B66" s="18">
        <v>61.0</v>
      </c>
      <c r="C66" s="21" t="s">
        <v>197</v>
      </c>
      <c r="D66" s="21" t="s">
        <v>93</v>
      </c>
      <c r="E66" s="21" t="s">
        <v>54</v>
      </c>
      <c r="F66" s="21" t="s">
        <v>85</v>
      </c>
      <c r="G66" s="21" t="s">
        <v>95</v>
      </c>
      <c r="H66" s="17" t="s">
        <v>44</v>
      </c>
      <c r="I66" s="19"/>
      <c r="J66" s="5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hidden="1" customHeight="1">
      <c r="A67" s="17" t="s">
        <v>187</v>
      </c>
      <c r="B67" s="18">
        <v>62.0</v>
      </c>
      <c r="C67" s="21" t="s">
        <v>198</v>
      </c>
      <c r="D67" s="21" t="s">
        <v>98</v>
      </c>
      <c r="E67" s="21" t="s">
        <v>41</v>
      </c>
      <c r="F67" s="21" t="s">
        <v>85</v>
      </c>
      <c r="G67" s="21" t="s">
        <v>99</v>
      </c>
      <c r="H67" s="17" t="s">
        <v>44</v>
      </c>
      <c r="I67" s="19"/>
      <c r="J67" s="5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hidden="1" customHeight="1">
      <c r="A68" s="17" t="s">
        <v>187</v>
      </c>
      <c r="B68" s="18">
        <v>63.0</v>
      </c>
      <c r="C68" s="21" t="s">
        <v>202</v>
      </c>
      <c r="D68" s="21" t="s">
        <v>180</v>
      </c>
      <c r="E68" s="21" t="s">
        <v>41</v>
      </c>
      <c r="F68" s="21" t="s">
        <v>85</v>
      </c>
      <c r="G68" s="21" t="s">
        <v>91</v>
      </c>
      <c r="H68" s="17" t="s">
        <v>44</v>
      </c>
      <c r="I68" s="19"/>
      <c r="J68" s="5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hidden="1" customHeight="1">
      <c r="A69" s="17" t="s">
        <v>187</v>
      </c>
      <c r="B69" s="18">
        <v>64.0</v>
      </c>
      <c r="C69" s="21" t="s">
        <v>205</v>
      </c>
      <c r="D69" s="21" t="s">
        <v>180</v>
      </c>
      <c r="E69" s="21" t="s">
        <v>41</v>
      </c>
      <c r="F69" s="21" t="s">
        <v>85</v>
      </c>
      <c r="G69" s="21" t="s">
        <v>91</v>
      </c>
      <c r="H69" s="17" t="s">
        <v>44</v>
      </c>
      <c r="I69" s="19"/>
      <c r="J69" s="5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hidden="1" customHeight="1">
      <c r="A70" s="17" t="s">
        <v>187</v>
      </c>
      <c r="B70" s="18">
        <v>65.0</v>
      </c>
      <c r="C70" s="21" t="s">
        <v>206</v>
      </c>
      <c r="D70" s="21" t="s">
        <v>113</v>
      </c>
      <c r="E70" s="21" t="s">
        <v>41</v>
      </c>
      <c r="F70" s="21" t="s">
        <v>85</v>
      </c>
      <c r="G70" s="21" t="s">
        <v>95</v>
      </c>
      <c r="H70" s="17" t="s">
        <v>44</v>
      </c>
      <c r="I70" s="19"/>
      <c r="J70" s="5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hidden="1" customHeight="1">
      <c r="A71" s="17" t="s">
        <v>187</v>
      </c>
      <c r="B71" s="18">
        <v>66.0</v>
      </c>
      <c r="C71" s="21" t="s">
        <v>208</v>
      </c>
      <c r="D71" s="21" t="s">
        <v>122</v>
      </c>
      <c r="E71" s="21" t="s">
        <v>54</v>
      </c>
      <c r="F71" s="21" t="s">
        <v>119</v>
      </c>
      <c r="G71" s="21" t="s">
        <v>124</v>
      </c>
      <c r="H71" s="17" t="s">
        <v>44</v>
      </c>
      <c r="I71" s="19"/>
      <c r="J71" s="5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hidden="1" customHeight="1">
      <c r="A72" s="17" t="s">
        <v>187</v>
      </c>
      <c r="B72" s="18">
        <v>67.0</v>
      </c>
      <c r="C72" s="21" t="s">
        <v>209</v>
      </c>
      <c r="D72" s="21" t="s">
        <v>83</v>
      </c>
      <c r="E72" s="21" t="s">
        <v>41</v>
      </c>
      <c r="F72" s="21" t="s">
        <v>85</v>
      </c>
      <c r="G72" s="21" t="s">
        <v>83</v>
      </c>
      <c r="H72" s="17" t="s">
        <v>210</v>
      </c>
      <c r="I72" s="19"/>
      <c r="J72" s="5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hidden="1" customHeight="1">
      <c r="A73" s="17" t="s">
        <v>187</v>
      </c>
      <c r="B73" s="18">
        <v>68.0</v>
      </c>
      <c r="C73" s="21" t="s">
        <v>211</v>
      </c>
      <c r="D73" s="21" t="s">
        <v>156</v>
      </c>
      <c r="E73" s="21" t="s">
        <v>54</v>
      </c>
      <c r="F73" s="21" t="s">
        <v>85</v>
      </c>
      <c r="G73" s="21" t="s">
        <v>83</v>
      </c>
      <c r="H73" s="17" t="s">
        <v>135</v>
      </c>
      <c r="I73" s="19"/>
      <c r="J73" s="5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hidden="1" customHeight="1">
      <c r="A74" s="17" t="s">
        <v>187</v>
      </c>
      <c r="B74" s="18">
        <v>69.0</v>
      </c>
      <c r="C74" s="21" t="s">
        <v>212</v>
      </c>
      <c r="D74" s="21" t="s">
        <v>124</v>
      </c>
      <c r="E74" s="21" t="s">
        <v>41</v>
      </c>
      <c r="F74" s="21" t="s">
        <v>119</v>
      </c>
      <c r="G74" s="21" t="s">
        <v>124</v>
      </c>
      <c r="H74" s="17" t="s">
        <v>135</v>
      </c>
      <c r="I74" s="19"/>
      <c r="J74" s="5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hidden="1" customHeight="1">
      <c r="A75" s="17" t="s">
        <v>213</v>
      </c>
      <c r="B75" s="18">
        <v>70.0</v>
      </c>
      <c r="C75" s="21" t="s">
        <v>214</v>
      </c>
      <c r="D75" s="21" t="s">
        <v>215</v>
      </c>
      <c r="E75" s="21" t="s">
        <v>63</v>
      </c>
      <c r="F75" s="21" t="s">
        <v>85</v>
      </c>
      <c r="G75" s="21" t="s">
        <v>91</v>
      </c>
      <c r="H75" s="17" t="s">
        <v>44</v>
      </c>
      <c r="I75" s="19"/>
      <c r="J75" s="5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hidden="1" customHeight="1">
      <c r="A76" s="17" t="s">
        <v>213</v>
      </c>
      <c r="B76" s="18">
        <v>71.0</v>
      </c>
      <c r="C76" s="21" t="s">
        <v>216</v>
      </c>
      <c r="D76" s="21" t="s">
        <v>217</v>
      </c>
      <c r="E76" s="21" t="s">
        <v>54</v>
      </c>
      <c r="F76" s="21" t="s">
        <v>85</v>
      </c>
      <c r="G76" s="21" t="s">
        <v>91</v>
      </c>
      <c r="H76" s="17" t="s">
        <v>44</v>
      </c>
      <c r="I76" s="19"/>
      <c r="J76" s="5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hidden="1" customHeight="1">
      <c r="A77" s="17" t="s">
        <v>213</v>
      </c>
      <c r="B77" s="18">
        <v>72.0</v>
      </c>
      <c r="C77" s="21" t="s">
        <v>219</v>
      </c>
      <c r="D77" s="21" t="s">
        <v>106</v>
      </c>
      <c r="E77" s="21" t="s">
        <v>41</v>
      </c>
      <c r="F77" s="21" t="s">
        <v>85</v>
      </c>
      <c r="G77" s="21" t="s">
        <v>91</v>
      </c>
      <c r="H77" s="17" t="s">
        <v>44</v>
      </c>
      <c r="I77" s="19"/>
      <c r="J77" s="5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hidden="1" customHeight="1">
      <c r="A78" s="17" t="s">
        <v>213</v>
      </c>
      <c r="B78" s="18">
        <v>73.0</v>
      </c>
      <c r="C78" s="21" t="s">
        <v>220</v>
      </c>
      <c r="D78" s="21" t="s">
        <v>106</v>
      </c>
      <c r="E78" s="21" t="s">
        <v>41</v>
      </c>
      <c r="F78" s="21" t="s">
        <v>85</v>
      </c>
      <c r="G78" s="21" t="s">
        <v>91</v>
      </c>
      <c r="H78" s="17" t="s">
        <v>44</v>
      </c>
      <c r="I78" s="19"/>
      <c r="J78" s="5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hidden="1" customHeight="1">
      <c r="A79" s="17" t="s">
        <v>213</v>
      </c>
      <c r="B79" s="18">
        <v>74.0</v>
      </c>
      <c r="C79" s="21" t="s">
        <v>221</v>
      </c>
      <c r="D79" s="21" t="s">
        <v>106</v>
      </c>
      <c r="E79" s="21" t="s">
        <v>41</v>
      </c>
      <c r="F79" s="21" t="s">
        <v>85</v>
      </c>
      <c r="G79" s="21" t="s">
        <v>91</v>
      </c>
      <c r="H79" s="17" t="s">
        <v>44</v>
      </c>
      <c r="I79" s="19"/>
      <c r="J79" s="5"/>
      <c r="K79" s="20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hidden="1" customHeight="1">
      <c r="A80" s="17" t="s">
        <v>213</v>
      </c>
      <c r="B80" s="18">
        <v>75.0</v>
      </c>
      <c r="C80" s="21" t="s">
        <v>222</v>
      </c>
      <c r="D80" s="21" t="s">
        <v>106</v>
      </c>
      <c r="E80" s="21" t="s">
        <v>41</v>
      </c>
      <c r="F80" s="21" t="s">
        <v>85</v>
      </c>
      <c r="G80" s="21" t="s">
        <v>91</v>
      </c>
      <c r="H80" s="17" t="s">
        <v>44</v>
      </c>
      <c r="I80" s="19"/>
      <c r="J80" s="5"/>
      <c r="K80" s="20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hidden="1" customHeight="1">
      <c r="A81" s="17" t="s">
        <v>213</v>
      </c>
      <c r="B81" s="18">
        <v>76.0</v>
      </c>
      <c r="C81" s="21" t="s">
        <v>223</v>
      </c>
      <c r="D81" s="21" t="s">
        <v>118</v>
      </c>
      <c r="E81" s="21" t="s">
        <v>54</v>
      </c>
      <c r="F81" s="21" t="s">
        <v>119</v>
      </c>
      <c r="G81" s="21" t="s">
        <v>120</v>
      </c>
      <c r="H81" s="17" t="s">
        <v>44</v>
      </c>
      <c r="I81" s="19"/>
      <c r="J81" s="5"/>
      <c r="K81" s="20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hidden="1" customHeight="1">
      <c r="A82" s="17" t="s">
        <v>213</v>
      </c>
      <c r="B82" s="18">
        <v>77.0</v>
      </c>
      <c r="C82" s="21" t="s">
        <v>72</v>
      </c>
      <c r="D82" s="21" t="s">
        <v>224</v>
      </c>
      <c r="E82" s="21" t="s">
        <v>54</v>
      </c>
      <c r="F82" s="21" t="s">
        <v>119</v>
      </c>
      <c r="G82" s="21" t="s">
        <v>124</v>
      </c>
      <c r="H82" s="17" t="s">
        <v>44</v>
      </c>
      <c r="I82" s="19"/>
      <c r="J82" s="5"/>
      <c r="K82" s="20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hidden="1" customHeight="1">
      <c r="A83" s="17" t="s">
        <v>213</v>
      </c>
      <c r="B83" s="18">
        <v>78.0</v>
      </c>
      <c r="C83" s="21" t="s">
        <v>225</v>
      </c>
      <c r="D83" s="21" t="s">
        <v>124</v>
      </c>
      <c r="E83" s="21" t="s">
        <v>41</v>
      </c>
      <c r="F83" s="21" t="s">
        <v>119</v>
      </c>
      <c r="G83" s="21" t="s">
        <v>124</v>
      </c>
      <c r="H83" s="17" t="s">
        <v>44</v>
      </c>
      <c r="I83" s="19"/>
      <c r="J83" s="5"/>
      <c r="K83" s="20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hidden="1" customHeight="1">
      <c r="A84" s="17" t="s">
        <v>213</v>
      </c>
      <c r="B84" s="18">
        <v>79.0</v>
      </c>
      <c r="C84" s="21" t="s">
        <v>226</v>
      </c>
      <c r="D84" s="21" t="s">
        <v>227</v>
      </c>
      <c r="E84" s="21" t="s">
        <v>41</v>
      </c>
      <c r="F84" s="21" t="s">
        <v>64</v>
      </c>
      <c r="G84" s="21" t="s">
        <v>65</v>
      </c>
      <c r="H84" s="17" t="s">
        <v>210</v>
      </c>
      <c r="I84" s="19"/>
      <c r="J84" s="5"/>
      <c r="K84" s="20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hidden="1" customHeight="1">
      <c r="A85" s="17" t="s">
        <v>213</v>
      </c>
      <c r="B85" s="18">
        <v>80.0</v>
      </c>
      <c r="C85" s="21" t="s">
        <v>228</v>
      </c>
      <c r="D85" s="21" t="s">
        <v>65</v>
      </c>
      <c r="E85" s="21" t="s">
        <v>41</v>
      </c>
      <c r="F85" s="21" t="s">
        <v>64</v>
      </c>
      <c r="G85" s="21" t="s">
        <v>65</v>
      </c>
      <c r="H85" s="17" t="s">
        <v>148</v>
      </c>
      <c r="I85" s="19"/>
      <c r="J85" s="5"/>
      <c r="K85" s="20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hidden="1" customHeight="1">
      <c r="A86" s="17" t="s">
        <v>229</v>
      </c>
      <c r="B86" s="18">
        <v>81.0</v>
      </c>
      <c r="C86" s="21" t="s">
        <v>230</v>
      </c>
      <c r="D86" s="21" t="s">
        <v>231</v>
      </c>
      <c r="E86" s="21" t="s">
        <v>54</v>
      </c>
      <c r="F86" s="21" t="s">
        <v>42</v>
      </c>
      <c r="G86" s="21" t="s">
        <v>43</v>
      </c>
      <c r="H86" s="17" t="s">
        <v>44</v>
      </c>
      <c r="I86" s="19"/>
      <c r="J86" s="5"/>
      <c r="K86" s="20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hidden="1" customHeight="1">
      <c r="A87" s="17" t="s">
        <v>229</v>
      </c>
      <c r="B87" s="18">
        <v>82.0</v>
      </c>
      <c r="C87" s="21" t="s">
        <v>232</v>
      </c>
      <c r="D87" s="21" t="s">
        <v>83</v>
      </c>
      <c r="E87" s="21" t="s">
        <v>41</v>
      </c>
      <c r="F87" s="21" t="s">
        <v>85</v>
      </c>
      <c r="G87" s="21" t="s">
        <v>83</v>
      </c>
      <c r="H87" s="17" t="s">
        <v>44</v>
      </c>
      <c r="I87" s="19"/>
      <c r="J87" s="5"/>
      <c r="K87" s="20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hidden="1" customHeight="1">
      <c r="A88" s="17" t="s">
        <v>229</v>
      </c>
      <c r="B88" s="18">
        <v>83.0</v>
      </c>
      <c r="C88" s="21" t="s">
        <v>233</v>
      </c>
      <c r="D88" s="21" t="s">
        <v>83</v>
      </c>
      <c r="E88" s="21" t="s">
        <v>41</v>
      </c>
      <c r="F88" s="21" t="s">
        <v>85</v>
      </c>
      <c r="G88" s="21" t="s">
        <v>83</v>
      </c>
      <c r="H88" s="17" t="s">
        <v>44</v>
      </c>
      <c r="I88" s="19"/>
      <c r="J88" s="5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hidden="1" customHeight="1">
      <c r="A89" s="17" t="s">
        <v>229</v>
      </c>
      <c r="B89" s="18">
        <v>84.0</v>
      </c>
      <c r="C89" s="21" t="s">
        <v>234</v>
      </c>
      <c r="D89" s="21" t="s">
        <v>83</v>
      </c>
      <c r="E89" s="21" t="s">
        <v>41</v>
      </c>
      <c r="F89" s="21" t="s">
        <v>85</v>
      </c>
      <c r="G89" s="21" t="s">
        <v>83</v>
      </c>
      <c r="H89" s="17" t="s">
        <v>44</v>
      </c>
      <c r="I89" s="19"/>
      <c r="J89" s="5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hidden="1" customHeight="1">
      <c r="A90" s="17" t="s">
        <v>229</v>
      </c>
      <c r="B90" s="18">
        <v>85.0</v>
      </c>
      <c r="C90" s="21" t="s">
        <v>235</v>
      </c>
      <c r="D90" s="21" t="s">
        <v>236</v>
      </c>
      <c r="E90" s="21" t="s">
        <v>63</v>
      </c>
      <c r="F90" s="21" t="s">
        <v>85</v>
      </c>
      <c r="G90" s="21" t="s">
        <v>91</v>
      </c>
      <c r="H90" s="17" t="s">
        <v>44</v>
      </c>
      <c r="I90" s="19"/>
      <c r="J90" s="5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hidden="1" customHeight="1">
      <c r="A91" s="17" t="s">
        <v>229</v>
      </c>
      <c r="B91" s="18">
        <v>86.0</v>
      </c>
      <c r="C91" s="21" t="s">
        <v>237</v>
      </c>
      <c r="D91" s="21" t="s">
        <v>156</v>
      </c>
      <c r="E91" s="21" t="s">
        <v>54</v>
      </c>
      <c r="F91" s="21" t="s">
        <v>85</v>
      </c>
      <c r="G91" s="21" t="s">
        <v>83</v>
      </c>
      <c r="H91" s="17" t="s">
        <v>44</v>
      </c>
      <c r="I91" s="19"/>
      <c r="J91" s="5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hidden="1" customHeight="1">
      <c r="A92" s="17" t="s">
        <v>229</v>
      </c>
      <c r="B92" s="18">
        <v>87.0</v>
      </c>
      <c r="C92" s="21" t="s">
        <v>238</v>
      </c>
      <c r="D92" s="21" t="s">
        <v>175</v>
      </c>
      <c r="E92" s="21" t="s">
        <v>41</v>
      </c>
      <c r="F92" s="21" t="s">
        <v>85</v>
      </c>
      <c r="G92" s="21" t="s">
        <v>91</v>
      </c>
      <c r="H92" s="17" t="s">
        <v>44</v>
      </c>
      <c r="I92" s="19"/>
      <c r="J92" s="5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hidden="1" customHeight="1">
      <c r="A93" s="17" t="s">
        <v>229</v>
      </c>
      <c r="B93" s="18">
        <v>88.0</v>
      </c>
      <c r="C93" s="21" t="s">
        <v>239</v>
      </c>
      <c r="D93" s="21" t="s">
        <v>175</v>
      </c>
      <c r="E93" s="21" t="s">
        <v>41</v>
      </c>
      <c r="F93" s="21" t="s">
        <v>85</v>
      </c>
      <c r="G93" s="21" t="s">
        <v>91</v>
      </c>
      <c r="H93" s="17" t="s">
        <v>44</v>
      </c>
      <c r="I93" s="19"/>
      <c r="J93" s="5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hidden="1" customHeight="1">
      <c r="A94" s="17" t="s">
        <v>229</v>
      </c>
      <c r="B94" s="18">
        <v>89.0</v>
      </c>
      <c r="C94" s="17" t="s">
        <v>240</v>
      </c>
      <c r="D94" s="17" t="s">
        <v>98</v>
      </c>
      <c r="E94" s="17" t="s">
        <v>41</v>
      </c>
      <c r="F94" s="17" t="s">
        <v>85</v>
      </c>
      <c r="G94" s="17" t="s">
        <v>99</v>
      </c>
      <c r="H94" s="17" t="s">
        <v>44</v>
      </c>
      <c r="I94" s="19"/>
      <c r="J94" s="5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hidden="1" customHeight="1">
      <c r="A95" s="17" t="s">
        <v>229</v>
      </c>
      <c r="B95" s="18">
        <v>90.0</v>
      </c>
      <c r="C95" s="17" t="s">
        <v>241</v>
      </c>
      <c r="D95" s="17" t="s">
        <v>242</v>
      </c>
      <c r="E95" s="17" t="s">
        <v>41</v>
      </c>
      <c r="F95" s="17" t="s">
        <v>85</v>
      </c>
      <c r="G95" s="17" t="s">
        <v>95</v>
      </c>
      <c r="H95" s="17" t="s">
        <v>44</v>
      </c>
      <c r="I95" s="19"/>
      <c r="J95" s="5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hidden="1" customHeight="1">
      <c r="A96" s="17" t="s">
        <v>229</v>
      </c>
      <c r="B96" s="18">
        <v>91.0</v>
      </c>
      <c r="C96" s="21" t="s">
        <v>243</v>
      </c>
      <c r="D96" s="21" t="s">
        <v>192</v>
      </c>
      <c r="E96" s="21" t="s">
        <v>54</v>
      </c>
      <c r="F96" s="21" t="s">
        <v>64</v>
      </c>
      <c r="G96" s="21" t="s">
        <v>65</v>
      </c>
      <c r="H96" s="17" t="s">
        <v>135</v>
      </c>
      <c r="I96" s="19"/>
      <c r="J96" s="5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hidden="1" customHeight="1">
      <c r="A97" s="17" t="s">
        <v>244</v>
      </c>
      <c r="B97" s="18">
        <v>92.0</v>
      </c>
      <c r="C97" s="21" t="s">
        <v>245</v>
      </c>
      <c r="D97" s="21" t="s">
        <v>246</v>
      </c>
      <c r="E97" s="21" t="s">
        <v>41</v>
      </c>
      <c r="F97" s="21" t="s">
        <v>42</v>
      </c>
      <c r="G97" s="21" t="s">
        <v>246</v>
      </c>
      <c r="H97" s="17" t="s">
        <v>44</v>
      </c>
      <c r="I97" s="19"/>
      <c r="J97" s="5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hidden="1" customHeight="1">
      <c r="A98" s="17" t="s">
        <v>244</v>
      </c>
      <c r="B98" s="18">
        <v>93.0</v>
      </c>
      <c r="C98" s="21" t="s">
        <v>247</v>
      </c>
      <c r="D98" s="21" t="s">
        <v>48</v>
      </c>
      <c r="E98" s="21" t="s">
        <v>41</v>
      </c>
      <c r="F98" s="21" t="s">
        <v>42</v>
      </c>
      <c r="G98" s="21" t="s">
        <v>48</v>
      </c>
      <c r="H98" s="17" t="s">
        <v>44</v>
      </c>
      <c r="I98" s="19"/>
      <c r="J98" s="5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hidden="1" customHeight="1">
      <c r="A99" s="17" t="s">
        <v>244</v>
      </c>
      <c r="B99" s="18">
        <v>94.0</v>
      </c>
      <c r="C99" s="21" t="s">
        <v>248</v>
      </c>
      <c r="D99" s="21" t="s">
        <v>249</v>
      </c>
      <c r="E99" s="21" t="s">
        <v>54</v>
      </c>
      <c r="F99" s="21" t="s">
        <v>55</v>
      </c>
      <c r="G99" s="21" t="s">
        <v>60</v>
      </c>
      <c r="H99" s="17" t="s">
        <v>44</v>
      </c>
      <c r="I99" s="19"/>
      <c r="J99" s="5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hidden="1" customHeight="1">
      <c r="A100" s="17" t="s">
        <v>244</v>
      </c>
      <c r="B100" s="18">
        <v>95.0</v>
      </c>
      <c r="C100" s="21" t="s">
        <v>250</v>
      </c>
      <c r="D100" s="21" t="s">
        <v>251</v>
      </c>
      <c r="E100" s="21" t="s">
        <v>41</v>
      </c>
      <c r="F100" s="21" t="s">
        <v>55</v>
      </c>
      <c r="G100" s="21" t="s">
        <v>56</v>
      </c>
      <c r="H100" s="17" t="s">
        <v>44</v>
      </c>
      <c r="I100" s="19"/>
      <c r="J100" s="5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hidden="1" customHeight="1">
      <c r="A101" s="17" t="s">
        <v>244</v>
      </c>
      <c r="B101" s="18">
        <v>96.0</v>
      </c>
      <c r="C101" s="21" t="s">
        <v>252</v>
      </c>
      <c r="D101" s="21" t="s">
        <v>60</v>
      </c>
      <c r="E101" s="21" t="s">
        <v>41</v>
      </c>
      <c r="F101" s="21" t="s">
        <v>55</v>
      </c>
      <c r="G101" s="21" t="s">
        <v>60</v>
      </c>
      <c r="H101" s="17" t="s">
        <v>44</v>
      </c>
      <c r="I101" s="19"/>
      <c r="J101" s="5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hidden="1" customHeight="1">
      <c r="A102" s="17" t="s">
        <v>244</v>
      </c>
      <c r="B102" s="18">
        <v>97.0</v>
      </c>
      <c r="C102" s="21" t="s">
        <v>253</v>
      </c>
      <c r="D102" s="21" t="s">
        <v>60</v>
      </c>
      <c r="E102" s="21" t="s">
        <v>41</v>
      </c>
      <c r="F102" s="21" t="s">
        <v>55</v>
      </c>
      <c r="G102" s="21" t="s">
        <v>60</v>
      </c>
      <c r="H102" s="17" t="s">
        <v>44</v>
      </c>
      <c r="I102" s="19"/>
      <c r="J102" s="5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hidden="1" customHeight="1">
      <c r="A103" s="17" t="s">
        <v>244</v>
      </c>
      <c r="B103" s="18">
        <v>98.0</v>
      </c>
      <c r="C103" s="21" t="s">
        <v>254</v>
      </c>
      <c r="D103" s="21" t="s">
        <v>255</v>
      </c>
      <c r="E103" s="21" t="s">
        <v>54</v>
      </c>
      <c r="F103" s="21" t="s">
        <v>256</v>
      </c>
      <c r="G103" s="21" t="s">
        <v>257</v>
      </c>
      <c r="H103" s="17" t="s">
        <v>44</v>
      </c>
      <c r="I103" s="19"/>
      <c r="J103" s="5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hidden="1" customHeight="1">
      <c r="A104" s="17" t="s">
        <v>244</v>
      </c>
      <c r="B104" s="18">
        <v>99.0</v>
      </c>
      <c r="C104" s="21" t="s">
        <v>258</v>
      </c>
      <c r="D104" s="21" t="s">
        <v>259</v>
      </c>
      <c r="E104" s="21" t="s">
        <v>41</v>
      </c>
      <c r="F104" s="21" t="s">
        <v>256</v>
      </c>
      <c r="G104" s="21" t="s">
        <v>257</v>
      </c>
      <c r="H104" s="17" t="s">
        <v>44</v>
      </c>
      <c r="I104" s="19"/>
      <c r="J104" s="5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hidden="1" customHeight="1">
      <c r="A105" s="17" t="s">
        <v>244</v>
      </c>
      <c r="B105" s="18">
        <v>100.0</v>
      </c>
      <c r="C105" s="21" t="s">
        <v>260</v>
      </c>
      <c r="D105" s="21" t="s">
        <v>143</v>
      </c>
      <c r="E105" s="21" t="s">
        <v>138</v>
      </c>
      <c r="F105" s="21" t="s">
        <v>139</v>
      </c>
      <c r="G105" s="21" t="s">
        <v>144</v>
      </c>
      <c r="H105" s="17" t="s">
        <v>44</v>
      </c>
      <c r="I105" s="19"/>
      <c r="J105" s="5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hidden="1" customHeight="1">
      <c r="A106" s="17" t="s">
        <v>244</v>
      </c>
      <c r="B106" s="18">
        <v>101.0</v>
      </c>
      <c r="C106" s="21" t="s">
        <v>261</v>
      </c>
      <c r="D106" s="55" t="s">
        <v>262</v>
      </c>
      <c r="E106" s="21" t="s">
        <v>41</v>
      </c>
      <c r="F106" s="21" t="s">
        <v>147</v>
      </c>
      <c r="G106" s="21" t="s">
        <v>147</v>
      </c>
      <c r="H106" s="17" t="s">
        <v>44</v>
      </c>
      <c r="I106" s="19">
        <v>1.0</v>
      </c>
      <c r="J106" s="5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hidden="1" customHeight="1">
      <c r="A107" s="17" t="s">
        <v>244</v>
      </c>
      <c r="B107" s="18">
        <v>102.0</v>
      </c>
      <c r="C107" s="21" t="s">
        <v>263</v>
      </c>
      <c r="D107" s="55" t="s">
        <v>262</v>
      </c>
      <c r="E107" s="21" t="s">
        <v>41</v>
      </c>
      <c r="F107" s="21" t="s">
        <v>147</v>
      </c>
      <c r="G107" s="21" t="s">
        <v>147</v>
      </c>
      <c r="H107" s="17" t="s">
        <v>44</v>
      </c>
      <c r="I107" s="19"/>
      <c r="J107" s="5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hidden="1" customHeight="1">
      <c r="A108" s="17" t="s">
        <v>244</v>
      </c>
      <c r="B108" s="18">
        <v>103.0</v>
      </c>
      <c r="C108" s="21" t="s">
        <v>265</v>
      </c>
      <c r="D108" s="55" t="s">
        <v>266</v>
      </c>
      <c r="E108" s="21" t="s">
        <v>41</v>
      </c>
      <c r="F108" s="21" t="s">
        <v>147</v>
      </c>
      <c r="G108" s="21" t="s">
        <v>267</v>
      </c>
      <c r="H108" s="17" t="s">
        <v>44</v>
      </c>
      <c r="I108" s="19">
        <v>1.0</v>
      </c>
      <c r="J108" s="5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hidden="1" customHeight="1">
      <c r="A109" s="17" t="s">
        <v>244</v>
      </c>
      <c r="B109" s="18">
        <v>104.0</v>
      </c>
      <c r="C109" s="21" t="s">
        <v>268</v>
      </c>
      <c r="D109" s="21" t="s">
        <v>269</v>
      </c>
      <c r="E109" s="21" t="s">
        <v>63</v>
      </c>
      <c r="F109" s="21" t="s">
        <v>147</v>
      </c>
      <c r="G109" s="21" t="s">
        <v>147</v>
      </c>
      <c r="H109" s="17" t="s">
        <v>44</v>
      </c>
      <c r="I109" s="19"/>
      <c r="J109" s="5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hidden="1" customHeight="1">
      <c r="A110" s="17" t="s">
        <v>244</v>
      </c>
      <c r="B110" s="18">
        <v>105.0</v>
      </c>
      <c r="C110" s="17" t="s">
        <v>270</v>
      </c>
      <c r="D110" s="17" t="s">
        <v>146</v>
      </c>
      <c r="E110" s="17" t="s">
        <v>41</v>
      </c>
      <c r="F110" s="17" t="s">
        <v>147</v>
      </c>
      <c r="G110" s="17" t="s">
        <v>147</v>
      </c>
      <c r="H110" s="17" t="s">
        <v>44</v>
      </c>
      <c r="I110" s="19"/>
      <c r="J110" s="5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hidden="1" customHeight="1">
      <c r="A111" s="17" t="s">
        <v>244</v>
      </c>
      <c r="B111" s="18">
        <v>106.0</v>
      </c>
      <c r="C111" s="21" t="s">
        <v>271</v>
      </c>
      <c r="D111" s="21" t="s">
        <v>146</v>
      </c>
      <c r="E111" s="21" t="s">
        <v>41</v>
      </c>
      <c r="F111" s="21" t="s">
        <v>147</v>
      </c>
      <c r="G111" s="21" t="s">
        <v>147</v>
      </c>
      <c r="H111" s="17" t="s">
        <v>44</v>
      </c>
      <c r="I111" s="19"/>
      <c r="J111" s="5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hidden="1" customHeight="1">
      <c r="A112" s="17" t="s">
        <v>244</v>
      </c>
      <c r="B112" s="18">
        <v>107.0</v>
      </c>
      <c r="C112" s="21" t="s">
        <v>272</v>
      </c>
      <c r="D112" s="21" t="s">
        <v>146</v>
      </c>
      <c r="E112" s="21" t="s">
        <v>41</v>
      </c>
      <c r="F112" s="21" t="s">
        <v>147</v>
      </c>
      <c r="G112" s="21" t="s">
        <v>147</v>
      </c>
      <c r="H112" s="17" t="s">
        <v>44</v>
      </c>
      <c r="I112" s="19"/>
      <c r="J112" s="5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hidden="1" customHeight="1">
      <c r="A113" s="17" t="s">
        <v>244</v>
      </c>
      <c r="B113" s="18">
        <v>108.0</v>
      </c>
      <c r="C113" s="21" t="s">
        <v>273</v>
      </c>
      <c r="D113" s="21" t="s">
        <v>146</v>
      </c>
      <c r="E113" s="21" t="s">
        <v>41</v>
      </c>
      <c r="F113" s="21" t="s">
        <v>147</v>
      </c>
      <c r="G113" s="21" t="s">
        <v>147</v>
      </c>
      <c r="H113" s="17" t="s">
        <v>44</v>
      </c>
      <c r="I113" s="19">
        <v>1.0</v>
      </c>
      <c r="J113" s="5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hidden="1" customHeight="1">
      <c r="A114" s="17" t="s">
        <v>244</v>
      </c>
      <c r="B114" s="18">
        <v>109.0</v>
      </c>
      <c r="C114" s="21" t="s">
        <v>274</v>
      </c>
      <c r="D114" s="21" t="s">
        <v>146</v>
      </c>
      <c r="E114" s="21" t="s">
        <v>41</v>
      </c>
      <c r="F114" s="21" t="s">
        <v>147</v>
      </c>
      <c r="G114" s="21" t="s">
        <v>147</v>
      </c>
      <c r="H114" s="17" t="s">
        <v>44</v>
      </c>
      <c r="I114" s="19"/>
      <c r="J114" s="5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hidden="1" customHeight="1">
      <c r="A115" s="17" t="s">
        <v>244</v>
      </c>
      <c r="B115" s="18">
        <v>110.0</v>
      </c>
      <c r="C115" s="21" t="s">
        <v>275</v>
      </c>
      <c r="D115" s="21" t="s">
        <v>146</v>
      </c>
      <c r="E115" s="21" t="s">
        <v>41</v>
      </c>
      <c r="F115" s="21" t="s">
        <v>147</v>
      </c>
      <c r="G115" s="21" t="s">
        <v>147</v>
      </c>
      <c r="H115" s="17" t="s">
        <v>44</v>
      </c>
      <c r="I115" s="19"/>
      <c r="J115" s="5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hidden="1" customHeight="1">
      <c r="A116" s="17" t="s">
        <v>244</v>
      </c>
      <c r="B116" s="18">
        <v>111.0</v>
      </c>
      <c r="C116" s="21" t="s">
        <v>276</v>
      </c>
      <c r="D116" s="21" t="s">
        <v>146</v>
      </c>
      <c r="E116" s="21" t="s">
        <v>41</v>
      </c>
      <c r="F116" s="21" t="s">
        <v>147</v>
      </c>
      <c r="G116" s="21" t="s">
        <v>147</v>
      </c>
      <c r="H116" s="17" t="s">
        <v>44</v>
      </c>
      <c r="I116" s="19"/>
      <c r="J116" s="5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hidden="1" customHeight="1">
      <c r="A117" s="17" t="s">
        <v>244</v>
      </c>
      <c r="B117" s="18">
        <v>112.0</v>
      </c>
      <c r="C117" s="21" t="s">
        <v>277</v>
      </c>
      <c r="D117" s="21" t="s">
        <v>146</v>
      </c>
      <c r="E117" s="21" t="s">
        <v>41</v>
      </c>
      <c r="F117" s="21" t="s">
        <v>147</v>
      </c>
      <c r="G117" s="21" t="s">
        <v>147</v>
      </c>
      <c r="H117" s="17" t="s">
        <v>44</v>
      </c>
      <c r="I117" s="19"/>
      <c r="J117" s="5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hidden="1" customHeight="1">
      <c r="A118" s="17" t="s">
        <v>244</v>
      </c>
      <c r="B118" s="18">
        <v>113.0</v>
      </c>
      <c r="C118" s="21" t="s">
        <v>278</v>
      </c>
      <c r="D118" s="21" t="s">
        <v>279</v>
      </c>
      <c r="E118" s="21" t="s">
        <v>41</v>
      </c>
      <c r="F118" s="21" t="s">
        <v>151</v>
      </c>
      <c r="G118" s="21" t="s">
        <v>151</v>
      </c>
      <c r="H118" s="17" t="s">
        <v>44</v>
      </c>
      <c r="I118" s="19"/>
      <c r="J118" s="5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hidden="1" customHeight="1">
      <c r="A119" s="17" t="s">
        <v>244</v>
      </c>
      <c r="B119" s="18">
        <v>114.0</v>
      </c>
      <c r="C119" s="21" t="s">
        <v>280</v>
      </c>
      <c r="D119" s="21" t="s">
        <v>279</v>
      </c>
      <c r="E119" s="21" t="s">
        <v>41</v>
      </c>
      <c r="F119" s="21" t="s">
        <v>151</v>
      </c>
      <c r="G119" s="21" t="s">
        <v>151</v>
      </c>
      <c r="H119" s="17" t="s">
        <v>44</v>
      </c>
      <c r="I119" s="19"/>
      <c r="J119" s="5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hidden="1" customHeight="1">
      <c r="A120" s="17" t="s">
        <v>244</v>
      </c>
      <c r="B120" s="18">
        <v>115.0</v>
      </c>
      <c r="C120" s="21" t="s">
        <v>281</v>
      </c>
      <c r="D120" s="21" t="s">
        <v>282</v>
      </c>
      <c r="E120" s="21" t="s">
        <v>41</v>
      </c>
      <c r="F120" s="21" t="s">
        <v>64</v>
      </c>
      <c r="G120" s="21" t="s">
        <v>65</v>
      </c>
      <c r="H120" s="17" t="s">
        <v>44</v>
      </c>
      <c r="I120" s="19"/>
      <c r="J120" s="5"/>
      <c r="K120" s="20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hidden="1" customHeight="1">
      <c r="A121" s="17" t="s">
        <v>244</v>
      </c>
      <c r="B121" s="18">
        <v>116.0</v>
      </c>
      <c r="C121" s="21" t="s">
        <v>283</v>
      </c>
      <c r="D121" s="21" t="s">
        <v>62</v>
      </c>
      <c r="E121" s="21" t="s">
        <v>63</v>
      </c>
      <c r="F121" s="21" t="s">
        <v>64</v>
      </c>
      <c r="G121" s="21" t="s">
        <v>65</v>
      </c>
      <c r="H121" s="17" t="s">
        <v>44</v>
      </c>
      <c r="I121" s="19"/>
      <c r="J121" s="5"/>
      <c r="K121" s="20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hidden="1" customHeight="1">
      <c r="A122" s="17" t="s">
        <v>244</v>
      </c>
      <c r="B122" s="18">
        <v>117.0</v>
      </c>
      <c r="C122" s="21" t="s">
        <v>284</v>
      </c>
      <c r="D122" s="21" t="s">
        <v>285</v>
      </c>
      <c r="E122" s="21" t="s">
        <v>54</v>
      </c>
      <c r="F122" s="21" t="s">
        <v>64</v>
      </c>
      <c r="G122" s="21" t="s">
        <v>286</v>
      </c>
      <c r="H122" s="17" t="s">
        <v>44</v>
      </c>
      <c r="I122" s="19"/>
      <c r="J122" s="5"/>
      <c r="K122" s="20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hidden="1" customHeight="1">
      <c r="A123" s="17" t="s">
        <v>244</v>
      </c>
      <c r="B123" s="18">
        <v>118.0</v>
      </c>
      <c r="C123" s="21" t="s">
        <v>287</v>
      </c>
      <c r="D123" s="21" t="s">
        <v>288</v>
      </c>
      <c r="E123" s="21" t="s">
        <v>41</v>
      </c>
      <c r="F123" s="21" t="s">
        <v>64</v>
      </c>
      <c r="G123" s="21" t="s">
        <v>286</v>
      </c>
      <c r="H123" s="17" t="s">
        <v>44</v>
      </c>
      <c r="I123" s="19"/>
      <c r="J123" s="5"/>
      <c r="K123" s="20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hidden="1" customHeight="1">
      <c r="A124" s="17" t="s">
        <v>244</v>
      </c>
      <c r="B124" s="18">
        <v>119.0</v>
      </c>
      <c r="C124" s="21" t="s">
        <v>290</v>
      </c>
      <c r="D124" s="21" t="s">
        <v>288</v>
      </c>
      <c r="E124" s="21" t="s">
        <v>41</v>
      </c>
      <c r="F124" s="21" t="s">
        <v>64</v>
      </c>
      <c r="G124" s="21" t="s">
        <v>286</v>
      </c>
      <c r="H124" s="17" t="s">
        <v>44</v>
      </c>
      <c r="I124" s="19"/>
      <c r="J124" s="5"/>
      <c r="K124" s="20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hidden="1" customHeight="1">
      <c r="A125" s="17" t="s">
        <v>244</v>
      </c>
      <c r="B125" s="18">
        <v>120.0</v>
      </c>
      <c r="C125" s="21" t="s">
        <v>291</v>
      </c>
      <c r="D125" s="21" t="s">
        <v>73</v>
      </c>
      <c r="E125" s="21" t="s">
        <v>41</v>
      </c>
      <c r="F125" s="21" t="s">
        <v>64</v>
      </c>
      <c r="G125" s="21" t="s">
        <v>65</v>
      </c>
      <c r="H125" s="17" t="s">
        <v>44</v>
      </c>
      <c r="I125" s="19"/>
      <c r="J125" s="5"/>
      <c r="K125" s="20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hidden="1" customHeight="1">
      <c r="A126" s="17" t="s">
        <v>244</v>
      </c>
      <c r="B126" s="18">
        <v>121.0</v>
      </c>
      <c r="C126" s="21" t="s">
        <v>292</v>
      </c>
      <c r="D126" s="21" t="s">
        <v>73</v>
      </c>
      <c r="E126" s="21" t="s">
        <v>41</v>
      </c>
      <c r="F126" s="21" t="s">
        <v>64</v>
      </c>
      <c r="G126" s="21" t="s">
        <v>65</v>
      </c>
      <c r="H126" s="17" t="s">
        <v>44</v>
      </c>
      <c r="I126" s="19"/>
      <c r="J126" s="5"/>
      <c r="K126" s="20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hidden="1" customHeight="1">
      <c r="A127" s="17" t="s">
        <v>244</v>
      </c>
      <c r="B127" s="18">
        <v>122.0</v>
      </c>
      <c r="C127" s="21" t="s">
        <v>293</v>
      </c>
      <c r="D127" s="21" t="s">
        <v>294</v>
      </c>
      <c r="E127" s="21" t="s">
        <v>41</v>
      </c>
      <c r="F127" s="21" t="s">
        <v>64</v>
      </c>
      <c r="G127" s="21" t="s">
        <v>65</v>
      </c>
      <c r="H127" s="17" t="s">
        <v>44</v>
      </c>
      <c r="I127" s="19"/>
      <c r="J127" s="5"/>
      <c r="K127" s="20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hidden="1" customHeight="1">
      <c r="A128" s="17" t="s">
        <v>244</v>
      </c>
      <c r="B128" s="18">
        <v>123.0</v>
      </c>
      <c r="C128" s="21" t="s">
        <v>295</v>
      </c>
      <c r="D128" s="21" t="s">
        <v>294</v>
      </c>
      <c r="E128" s="21" t="s">
        <v>41</v>
      </c>
      <c r="F128" s="21" t="s">
        <v>64</v>
      </c>
      <c r="G128" s="21" t="s">
        <v>65</v>
      </c>
      <c r="H128" s="17" t="s">
        <v>44</v>
      </c>
      <c r="I128" s="19"/>
      <c r="J128" s="5"/>
      <c r="K128" s="20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hidden="1" customHeight="1">
      <c r="A129" s="17" t="s">
        <v>244</v>
      </c>
      <c r="B129" s="18">
        <v>124.0</v>
      </c>
      <c r="C129" s="21" t="s">
        <v>296</v>
      </c>
      <c r="D129" s="21" t="s">
        <v>297</v>
      </c>
      <c r="E129" s="21" t="s">
        <v>41</v>
      </c>
      <c r="F129" s="21" t="s">
        <v>64</v>
      </c>
      <c r="G129" s="21" t="s">
        <v>65</v>
      </c>
      <c r="H129" s="17" t="s">
        <v>44</v>
      </c>
      <c r="I129" s="19"/>
      <c r="J129" s="5"/>
      <c r="K129" s="20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hidden="1" customHeight="1">
      <c r="A130" s="17" t="s">
        <v>244</v>
      </c>
      <c r="B130" s="18">
        <v>125.0</v>
      </c>
      <c r="C130" s="21" t="s">
        <v>298</v>
      </c>
      <c r="D130" s="21" t="s">
        <v>297</v>
      </c>
      <c r="E130" s="21" t="s">
        <v>41</v>
      </c>
      <c r="F130" s="21" t="s">
        <v>64</v>
      </c>
      <c r="G130" s="21" t="s">
        <v>65</v>
      </c>
      <c r="H130" s="17" t="s">
        <v>44</v>
      </c>
      <c r="I130" s="19"/>
      <c r="J130" s="5"/>
      <c r="K130" s="20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hidden="1" customHeight="1">
      <c r="A131" s="17" t="s">
        <v>244</v>
      </c>
      <c r="B131" s="18">
        <v>126.0</v>
      </c>
      <c r="C131" s="21" t="s">
        <v>299</v>
      </c>
      <c r="D131" s="21" t="s">
        <v>297</v>
      </c>
      <c r="E131" s="21" t="s">
        <v>41</v>
      </c>
      <c r="F131" s="21" t="s">
        <v>64</v>
      </c>
      <c r="G131" s="21" t="s">
        <v>65</v>
      </c>
      <c r="H131" s="17" t="s">
        <v>44</v>
      </c>
      <c r="I131" s="19"/>
      <c r="J131" s="5"/>
      <c r="K131" s="20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hidden="1" customHeight="1">
      <c r="A132" s="17" t="s">
        <v>244</v>
      </c>
      <c r="B132" s="18">
        <v>127.0</v>
      </c>
      <c r="C132" s="21" t="s">
        <v>301</v>
      </c>
      <c r="D132" s="21" t="s">
        <v>302</v>
      </c>
      <c r="E132" s="21" t="s">
        <v>54</v>
      </c>
      <c r="F132" s="21" t="s">
        <v>64</v>
      </c>
      <c r="G132" s="21" t="s">
        <v>74</v>
      </c>
      <c r="H132" s="17" t="s">
        <v>44</v>
      </c>
      <c r="I132" s="19"/>
      <c r="J132" s="5"/>
      <c r="K132" s="20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hidden="1" customHeight="1">
      <c r="A133" s="17" t="s">
        <v>244</v>
      </c>
      <c r="B133" s="18">
        <v>128.0</v>
      </c>
      <c r="C133" s="21" t="s">
        <v>303</v>
      </c>
      <c r="D133" s="21" t="s">
        <v>304</v>
      </c>
      <c r="E133" s="21" t="s">
        <v>54</v>
      </c>
      <c r="F133" s="21" t="s">
        <v>64</v>
      </c>
      <c r="G133" s="21" t="s">
        <v>286</v>
      </c>
      <c r="H133" s="17" t="s">
        <v>44</v>
      </c>
      <c r="I133" s="19"/>
      <c r="J133" s="5"/>
      <c r="K133" s="20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7" t="s">
        <v>244</v>
      </c>
      <c r="B134" s="18">
        <v>129.0</v>
      </c>
      <c r="C134" s="21" t="s">
        <v>305</v>
      </c>
      <c r="D134" s="21" t="s">
        <v>83</v>
      </c>
      <c r="E134" s="21" t="s">
        <v>41</v>
      </c>
      <c r="F134" s="21" t="s">
        <v>85</v>
      </c>
      <c r="G134" s="21" t="s">
        <v>83</v>
      </c>
      <c r="H134" s="17" t="s">
        <v>44</v>
      </c>
      <c r="I134" s="19"/>
      <c r="J134" s="5"/>
      <c r="K134" s="20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7" t="s">
        <v>244</v>
      </c>
      <c r="B135" s="18">
        <v>130.0</v>
      </c>
      <c r="C135" s="21" t="s">
        <v>306</v>
      </c>
      <c r="D135" s="21" t="s">
        <v>83</v>
      </c>
      <c r="E135" s="21" t="s">
        <v>41</v>
      </c>
      <c r="F135" s="21" t="s">
        <v>85</v>
      </c>
      <c r="G135" s="21" t="s">
        <v>83</v>
      </c>
      <c r="H135" s="17" t="s">
        <v>44</v>
      </c>
      <c r="I135" s="19"/>
      <c r="J135" s="5"/>
      <c r="K135" s="20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7" t="s">
        <v>244</v>
      </c>
      <c r="B136" s="18">
        <v>131.0</v>
      </c>
      <c r="C136" s="17" t="s">
        <v>307</v>
      </c>
      <c r="D136" s="17" t="s">
        <v>83</v>
      </c>
      <c r="E136" s="17" t="s">
        <v>41</v>
      </c>
      <c r="F136" s="17" t="s">
        <v>85</v>
      </c>
      <c r="G136" s="17" t="s">
        <v>83</v>
      </c>
      <c r="H136" s="17" t="s">
        <v>44</v>
      </c>
      <c r="I136" s="19"/>
      <c r="J136" s="5"/>
      <c r="K136" s="20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7" t="s">
        <v>244</v>
      </c>
      <c r="B137" s="18">
        <v>132.0</v>
      </c>
      <c r="C137" s="21" t="s">
        <v>308</v>
      </c>
      <c r="D137" s="21" t="s">
        <v>83</v>
      </c>
      <c r="E137" s="21" t="s">
        <v>41</v>
      </c>
      <c r="F137" s="21" t="s">
        <v>85</v>
      </c>
      <c r="G137" s="21" t="s">
        <v>83</v>
      </c>
      <c r="H137" s="17" t="s">
        <v>44</v>
      </c>
      <c r="I137" s="19"/>
      <c r="J137" s="5"/>
      <c r="K137" s="20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7" t="s">
        <v>244</v>
      </c>
      <c r="B138" s="18">
        <v>133.0</v>
      </c>
      <c r="C138" s="21" t="s">
        <v>309</v>
      </c>
      <c r="D138" s="21" t="s">
        <v>83</v>
      </c>
      <c r="E138" s="21" t="s">
        <v>41</v>
      </c>
      <c r="F138" s="21" t="s">
        <v>85</v>
      </c>
      <c r="G138" s="21" t="s">
        <v>83</v>
      </c>
      <c r="H138" s="17" t="s">
        <v>44</v>
      </c>
      <c r="I138" s="19"/>
      <c r="J138" s="5"/>
      <c r="K138" s="20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7" t="s">
        <v>244</v>
      </c>
      <c r="B139" s="18">
        <v>134.0</v>
      </c>
      <c r="C139" s="21" t="s">
        <v>310</v>
      </c>
      <c r="D139" s="21" t="s">
        <v>83</v>
      </c>
      <c r="E139" s="21" t="s">
        <v>41</v>
      </c>
      <c r="F139" s="21" t="s">
        <v>85</v>
      </c>
      <c r="G139" s="21" t="s">
        <v>83</v>
      </c>
      <c r="H139" s="17" t="s">
        <v>44</v>
      </c>
      <c r="I139" s="19"/>
      <c r="J139" s="5"/>
      <c r="K139" s="20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7" t="s">
        <v>244</v>
      </c>
      <c r="B140" s="18">
        <v>135.0</v>
      </c>
      <c r="C140" s="21" t="s">
        <v>311</v>
      </c>
      <c r="D140" s="21" t="s">
        <v>83</v>
      </c>
      <c r="E140" s="21" t="s">
        <v>41</v>
      </c>
      <c r="F140" s="21" t="s">
        <v>85</v>
      </c>
      <c r="G140" s="21" t="s">
        <v>83</v>
      </c>
      <c r="H140" s="17" t="s">
        <v>44</v>
      </c>
      <c r="I140" s="19"/>
      <c r="J140" s="5"/>
      <c r="K140" s="20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7" t="s">
        <v>244</v>
      </c>
      <c r="B141" s="18">
        <v>136.0</v>
      </c>
      <c r="C141" s="21" t="s">
        <v>312</v>
      </c>
      <c r="D141" s="21" t="s">
        <v>83</v>
      </c>
      <c r="E141" s="21" t="s">
        <v>41</v>
      </c>
      <c r="F141" s="21" t="s">
        <v>85</v>
      </c>
      <c r="G141" s="21" t="s">
        <v>83</v>
      </c>
      <c r="H141" s="17" t="s">
        <v>44</v>
      </c>
      <c r="I141" s="19"/>
      <c r="J141" s="5"/>
      <c r="K141" s="20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7" t="s">
        <v>244</v>
      </c>
      <c r="B142" s="18">
        <v>137.0</v>
      </c>
      <c r="C142" s="21" t="s">
        <v>313</v>
      </c>
      <c r="D142" s="21" t="s">
        <v>83</v>
      </c>
      <c r="E142" s="21" t="s">
        <v>41</v>
      </c>
      <c r="F142" s="21" t="s">
        <v>85</v>
      </c>
      <c r="G142" s="21" t="s">
        <v>83</v>
      </c>
      <c r="H142" s="17" t="s">
        <v>44</v>
      </c>
      <c r="I142" s="19"/>
      <c r="J142" s="5"/>
      <c r="K142" s="20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7" t="s">
        <v>244</v>
      </c>
      <c r="B143" s="18">
        <v>138.0</v>
      </c>
      <c r="C143" s="21" t="s">
        <v>225</v>
      </c>
      <c r="D143" s="21" t="s">
        <v>83</v>
      </c>
      <c r="E143" s="21" t="s">
        <v>41</v>
      </c>
      <c r="F143" s="21" t="s">
        <v>85</v>
      </c>
      <c r="G143" s="21" t="s">
        <v>83</v>
      </c>
      <c r="H143" s="17" t="s">
        <v>44</v>
      </c>
      <c r="I143" s="19"/>
      <c r="J143" s="5"/>
      <c r="K143" s="20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7" t="s">
        <v>244</v>
      </c>
      <c r="B144" s="18">
        <v>139.0</v>
      </c>
      <c r="C144" s="21" t="s">
        <v>315</v>
      </c>
      <c r="D144" s="21" t="s">
        <v>83</v>
      </c>
      <c r="E144" s="21" t="s">
        <v>41</v>
      </c>
      <c r="F144" s="21" t="s">
        <v>85</v>
      </c>
      <c r="G144" s="21" t="s">
        <v>83</v>
      </c>
      <c r="H144" s="17" t="s">
        <v>44</v>
      </c>
      <c r="I144" s="19"/>
      <c r="J144" s="5"/>
      <c r="K144" s="20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7" t="s">
        <v>244</v>
      </c>
      <c r="B145" s="18">
        <v>140.0</v>
      </c>
      <c r="C145" s="21" t="s">
        <v>317</v>
      </c>
      <c r="D145" s="21" t="s">
        <v>83</v>
      </c>
      <c r="E145" s="21" t="s">
        <v>41</v>
      </c>
      <c r="F145" s="21" t="s">
        <v>85</v>
      </c>
      <c r="G145" s="21" t="s">
        <v>83</v>
      </c>
      <c r="H145" s="17" t="s">
        <v>44</v>
      </c>
      <c r="I145" s="19"/>
      <c r="J145" s="5"/>
      <c r="K145" s="20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7" t="s">
        <v>244</v>
      </c>
      <c r="B146" s="18">
        <v>141.0</v>
      </c>
      <c r="C146" s="21" t="s">
        <v>318</v>
      </c>
      <c r="D146" s="21" t="s">
        <v>83</v>
      </c>
      <c r="E146" s="21" t="s">
        <v>41</v>
      </c>
      <c r="F146" s="21" t="s">
        <v>85</v>
      </c>
      <c r="G146" s="21" t="s">
        <v>83</v>
      </c>
      <c r="H146" s="17" t="s">
        <v>44</v>
      </c>
      <c r="I146" s="19"/>
      <c r="J146" s="5"/>
      <c r="K146" s="20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7" t="s">
        <v>244</v>
      </c>
      <c r="B147" s="18">
        <v>142.0</v>
      </c>
      <c r="C147" s="21" t="s">
        <v>319</v>
      </c>
      <c r="D147" s="21" t="s">
        <v>83</v>
      </c>
      <c r="E147" s="21" t="s">
        <v>41</v>
      </c>
      <c r="F147" s="21" t="s">
        <v>85</v>
      </c>
      <c r="G147" s="21" t="s">
        <v>83</v>
      </c>
      <c r="H147" s="17" t="s">
        <v>44</v>
      </c>
      <c r="I147" s="19"/>
      <c r="J147" s="5"/>
      <c r="K147" s="20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7" t="s">
        <v>244</v>
      </c>
      <c r="B148" s="18">
        <v>143.0</v>
      </c>
      <c r="C148" s="21" t="s">
        <v>320</v>
      </c>
      <c r="D148" s="21" t="s">
        <v>83</v>
      </c>
      <c r="E148" s="21" t="s">
        <v>41</v>
      </c>
      <c r="F148" s="21" t="s">
        <v>85</v>
      </c>
      <c r="G148" s="21" t="s">
        <v>83</v>
      </c>
      <c r="H148" s="17" t="s">
        <v>44</v>
      </c>
      <c r="I148" s="19"/>
      <c r="J148" s="5"/>
      <c r="K148" s="20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7" t="s">
        <v>244</v>
      </c>
      <c r="B149" s="18">
        <v>144.0</v>
      </c>
      <c r="C149" s="21" t="s">
        <v>321</v>
      </c>
      <c r="D149" s="21" t="s">
        <v>83</v>
      </c>
      <c r="E149" s="21" t="s">
        <v>41</v>
      </c>
      <c r="F149" s="21" t="s">
        <v>85</v>
      </c>
      <c r="G149" s="21" t="s">
        <v>83</v>
      </c>
      <c r="H149" s="17" t="s">
        <v>44</v>
      </c>
      <c r="I149" s="19"/>
      <c r="J149" s="5"/>
      <c r="K149" s="20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hidden="1" customHeight="1">
      <c r="A150" s="17" t="s">
        <v>244</v>
      </c>
      <c r="B150" s="18">
        <v>145.0</v>
      </c>
      <c r="C150" s="21" t="s">
        <v>322</v>
      </c>
      <c r="D150" s="21" t="s">
        <v>196</v>
      </c>
      <c r="E150" s="21" t="s">
        <v>54</v>
      </c>
      <c r="F150" s="21" t="s">
        <v>85</v>
      </c>
      <c r="G150" s="21" t="s">
        <v>91</v>
      </c>
      <c r="H150" s="17" t="s">
        <v>44</v>
      </c>
      <c r="I150" s="19"/>
      <c r="J150" s="5"/>
      <c r="K150" s="20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7" t="s">
        <v>244</v>
      </c>
      <c r="B151" s="18">
        <v>146.0</v>
      </c>
      <c r="C151" s="21" t="s">
        <v>323</v>
      </c>
      <c r="D151" s="21" t="s">
        <v>156</v>
      </c>
      <c r="E151" s="21" t="s">
        <v>54</v>
      </c>
      <c r="F151" s="21" t="s">
        <v>85</v>
      </c>
      <c r="G151" s="21" t="s">
        <v>83</v>
      </c>
      <c r="H151" s="17" t="s">
        <v>44</v>
      </c>
      <c r="I151" s="19"/>
      <c r="J151" s="5"/>
      <c r="K151" s="20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hidden="1" customHeight="1">
      <c r="A152" s="17" t="s">
        <v>244</v>
      </c>
      <c r="B152" s="18">
        <v>147.0</v>
      </c>
      <c r="C152" s="21" t="s">
        <v>324</v>
      </c>
      <c r="D152" s="21" t="s">
        <v>93</v>
      </c>
      <c r="E152" s="21" t="s">
        <v>54</v>
      </c>
      <c r="F152" s="21" t="s">
        <v>85</v>
      </c>
      <c r="G152" s="21" t="s">
        <v>95</v>
      </c>
      <c r="H152" s="17" t="s">
        <v>44</v>
      </c>
      <c r="I152" s="19"/>
      <c r="J152" s="5"/>
      <c r="K152" s="20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hidden="1" customHeight="1">
      <c r="A153" s="17" t="s">
        <v>244</v>
      </c>
      <c r="B153" s="18">
        <v>148.0</v>
      </c>
      <c r="C153" s="21" t="s">
        <v>325</v>
      </c>
      <c r="D153" s="21" t="s">
        <v>326</v>
      </c>
      <c r="E153" s="21" t="s">
        <v>54</v>
      </c>
      <c r="F153" s="21" t="s">
        <v>85</v>
      </c>
      <c r="G153" s="21" t="s">
        <v>99</v>
      </c>
      <c r="H153" s="17" t="s">
        <v>44</v>
      </c>
      <c r="I153" s="19"/>
      <c r="J153" s="5"/>
      <c r="K153" s="20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hidden="1" customHeight="1">
      <c r="A154" s="17" t="s">
        <v>244</v>
      </c>
      <c r="B154" s="18">
        <v>149.0</v>
      </c>
      <c r="C154" s="21" t="s">
        <v>327</v>
      </c>
      <c r="D154" s="21" t="s">
        <v>98</v>
      </c>
      <c r="E154" s="21" t="s">
        <v>41</v>
      </c>
      <c r="F154" s="21" t="s">
        <v>85</v>
      </c>
      <c r="G154" s="21" t="s">
        <v>99</v>
      </c>
      <c r="H154" s="17" t="s">
        <v>44</v>
      </c>
      <c r="I154" s="19"/>
      <c r="J154" s="5"/>
      <c r="K154" s="20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hidden="1" customHeight="1">
      <c r="A155" s="17" t="s">
        <v>244</v>
      </c>
      <c r="B155" s="18">
        <v>150.0</v>
      </c>
      <c r="C155" s="21" t="s">
        <v>328</v>
      </c>
      <c r="D155" s="21" t="s">
        <v>98</v>
      </c>
      <c r="E155" s="21" t="s">
        <v>41</v>
      </c>
      <c r="F155" s="21" t="s">
        <v>85</v>
      </c>
      <c r="G155" s="21" t="s">
        <v>99</v>
      </c>
      <c r="H155" s="17" t="s">
        <v>44</v>
      </c>
      <c r="I155" s="19"/>
      <c r="J155" s="5"/>
      <c r="K155" s="20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hidden="1" customHeight="1">
      <c r="A156" s="17" t="s">
        <v>244</v>
      </c>
      <c r="B156" s="18">
        <v>151.0</v>
      </c>
      <c r="C156" s="21" t="s">
        <v>329</v>
      </c>
      <c r="D156" s="21" t="s">
        <v>98</v>
      </c>
      <c r="E156" s="21" t="s">
        <v>41</v>
      </c>
      <c r="F156" s="21" t="s">
        <v>85</v>
      </c>
      <c r="G156" s="21" t="s">
        <v>99</v>
      </c>
      <c r="H156" s="17" t="s">
        <v>44</v>
      </c>
      <c r="I156" s="19"/>
      <c r="J156" s="5"/>
      <c r="K156" s="20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hidden="1" customHeight="1">
      <c r="A157" s="17" t="s">
        <v>244</v>
      </c>
      <c r="B157" s="18">
        <v>152.0</v>
      </c>
      <c r="C157" s="21" t="s">
        <v>330</v>
      </c>
      <c r="D157" s="21" t="s">
        <v>98</v>
      </c>
      <c r="E157" s="21" t="s">
        <v>41</v>
      </c>
      <c r="F157" s="21" t="s">
        <v>85</v>
      </c>
      <c r="G157" s="21" t="s">
        <v>99</v>
      </c>
      <c r="H157" s="17" t="s">
        <v>44</v>
      </c>
      <c r="I157" s="19"/>
      <c r="J157" s="5"/>
      <c r="K157" s="20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hidden="1" customHeight="1">
      <c r="A158" s="17" t="s">
        <v>244</v>
      </c>
      <c r="B158" s="18">
        <v>153.0</v>
      </c>
      <c r="C158" s="21" t="s">
        <v>332</v>
      </c>
      <c r="D158" s="21" t="s">
        <v>98</v>
      </c>
      <c r="E158" s="21" t="s">
        <v>41</v>
      </c>
      <c r="F158" s="21" t="s">
        <v>85</v>
      </c>
      <c r="G158" s="21" t="s">
        <v>99</v>
      </c>
      <c r="H158" s="17" t="s">
        <v>44</v>
      </c>
      <c r="I158" s="19"/>
      <c r="J158" s="5"/>
      <c r="K158" s="20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hidden="1" customHeight="1">
      <c r="A159" s="17" t="s">
        <v>244</v>
      </c>
      <c r="B159" s="18">
        <v>154.0</v>
      </c>
      <c r="C159" s="21" t="s">
        <v>333</v>
      </c>
      <c r="D159" s="21" t="s">
        <v>98</v>
      </c>
      <c r="E159" s="21" t="s">
        <v>41</v>
      </c>
      <c r="F159" s="21" t="s">
        <v>85</v>
      </c>
      <c r="G159" s="21" t="s">
        <v>99</v>
      </c>
      <c r="H159" s="17" t="s">
        <v>44</v>
      </c>
      <c r="I159" s="19"/>
      <c r="J159" s="5"/>
      <c r="K159" s="20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hidden="1" customHeight="1">
      <c r="A160" s="17" t="s">
        <v>244</v>
      </c>
      <c r="B160" s="18">
        <v>155.0</v>
      </c>
      <c r="C160" s="21" t="s">
        <v>334</v>
      </c>
      <c r="D160" s="21" t="s">
        <v>98</v>
      </c>
      <c r="E160" s="21" t="s">
        <v>41</v>
      </c>
      <c r="F160" s="21" t="s">
        <v>85</v>
      </c>
      <c r="G160" s="21" t="s">
        <v>99</v>
      </c>
      <c r="H160" s="17" t="s">
        <v>44</v>
      </c>
      <c r="I160" s="19"/>
      <c r="J160" s="5"/>
      <c r="K160" s="20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hidden="1" customHeight="1">
      <c r="A161" s="17" t="s">
        <v>244</v>
      </c>
      <c r="B161" s="18">
        <v>156.0</v>
      </c>
      <c r="C161" s="21" t="s">
        <v>335</v>
      </c>
      <c r="D161" s="21" t="s">
        <v>106</v>
      </c>
      <c r="E161" s="21" t="s">
        <v>41</v>
      </c>
      <c r="F161" s="21" t="s">
        <v>85</v>
      </c>
      <c r="G161" s="21" t="s">
        <v>91</v>
      </c>
      <c r="H161" s="17" t="s">
        <v>44</v>
      </c>
      <c r="I161" s="19"/>
      <c r="J161" s="5"/>
      <c r="K161" s="20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hidden="1" customHeight="1">
      <c r="A162" s="17" t="s">
        <v>244</v>
      </c>
      <c r="B162" s="18">
        <v>157.0</v>
      </c>
      <c r="C162" s="21" t="s">
        <v>336</v>
      </c>
      <c r="D162" s="21" t="s">
        <v>106</v>
      </c>
      <c r="E162" s="21" t="s">
        <v>41</v>
      </c>
      <c r="F162" s="21" t="s">
        <v>85</v>
      </c>
      <c r="G162" s="21" t="s">
        <v>91</v>
      </c>
      <c r="H162" s="17" t="s">
        <v>44</v>
      </c>
      <c r="I162" s="19"/>
      <c r="J162" s="5"/>
      <c r="K162" s="20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hidden="1" customHeight="1">
      <c r="A163" s="17" t="s">
        <v>244</v>
      </c>
      <c r="B163" s="18">
        <v>158.0</v>
      </c>
      <c r="C163" s="21" t="s">
        <v>337</v>
      </c>
      <c r="D163" s="21" t="s">
        <v>106</v>
      </c>
      <c r="E163" s="21" t="s">
        <v>41</v>
      </c>
      <c r="F163" s="21" t="s">
        <v>85</v>
      </c>
      <c r="G163" s="21" t="s">
        <v>91</v>
      </c>
      <c r="H163" s="17" t="s">
        <v>44</v>
      </c>
      <c r="I163" s="19"/>
      <c r="J163" s="5"/>
      <c r="K163" s="20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hidden="1" customHeight="1">
      <c r="A164" s="17" t="s">
        <v>244</v>
      </c>
      <c r="B164" s="18">
        <v>159.0</v>
      </c>
      <c r="C164" s="21" t="s">
        <v>338</v>
      </c>
      <c r="D164" s="21" t="s">
        <v>106</v>
      </c>
      <c r="E164" s="21" t="s">
        <v>41</v>
      </c>
      <c r="F164" s="21" t="s">
        <v>85</v>
      </c>
      <c r="G164" s="21" t="s">
        <v>91</v>
      </c>
      <c r="H164" s="17" t="s">
        <v>44</v>
      </c>
      <c r="I164" s="19"/>
      <c r="J164" s="5"/>
      <c r="K164" s="20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hidden="1" customHeight="1">
      <c r="A165" s="17" t="s">
        <v>244</v>
      </c>
      <c r="B165" s="18">
        <v>160.0</v>
      </c>
      <c r="C165" s="21" t="s">
        <v>339</v>
      </c>
      <c r="D165" s="21" t="s">
        <v>106</v>
      </c>
      <c r="E165" s="21" t="s">
        <v>41</v>
      </c>
      <c r="F165" s="21" t="s">
        <v>85</v>
      </c>
      <c r="G165" s="21" t="s">
        <v>91</v>
      </c>
      <c r="H165" s="17" t="s">
        <v>44</v>
      </c>
      <c r="I165" s="19"/>
      <c r="J165" s="5"/>
      <c r="K165" s="20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hidden="1" customHeight="1">
      <c r="A166" s="17" t="s">
        <v>244</v>
      </c>
      <c r="B166" s="18">
        <v>161.0</v>
      </c>
      <c r="C166" s="21" t="s">
        <v>340</v>
      </c>
      <c r="D166" s="21" t="s">
        <v>106</v>
      </c>
      <c r="E166" s="21" t="s">
        <v>41</v>
      </c>
      <c r="F166" s="21" t="s">
        <v>85</v>
      </c>
      <c r="G166" s="21" t="s">
        <v>91</v>
      </c>
      <c r="H166" s="17" t="s">
        <v>44</v>
      </c>
      <c r="I166" s="19"/>
      <c r="J166" s="5"/>
      <c r="K166" s="20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hidden="1" customHeight="1">
      <c r="A167" s="17" t="s">
        <v>244</v>
      </c>
      <c r="B167" s="18">
        <v>162.0</v>
      </c>
      <c r="C167" s="21" t="s">
        <v>342</v>
      </c>
      <c r="D167" s="21" t="s">
        <v>106</v>
      </c>
      <c r="E167" s="21" t="s">
        <v>41</v>
      </c>
      <c r="F167" s="21" t="s">
        <v>85</v>
      </c>
      <c r="G167" s="21" t="s">
        <v>91</v>
      </c>
      <c r="H167" s="17" t="s">
        <v>44</v>
      </c>
      <c r="I167" s="19"/>
      <c r="J167" s="5"/>
      <c r="K167" s="20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hidden="1" customHeight="1">
      <c r="A168" s="17" t="s">
        <v>244</v>
      </c>
      <c r="B168" s="18">
        <v>163.0</v>
      </c>
      <c r="C168" s="21" t="s">
        <v>343</v>
      </c>
      <c r="D168" s="21" t="s">
        <v>106</v>
      </c>
      <c r="E168" s="21" t="s">
        <v>41</v>
      </c>
      <c r="F168" s="21" t="s">
        <v>85</v>
      </c>
      <c r="G168" s="21" t="s">
        <v>91</v>
      </c>
      <c r="H168" s="17" t="s">
        <v>44</v>
      </c>
      <c r="I168" s="19"/>
      <c r="J168" s="5"/>
      <c r="K168" s="20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hidden="1" customHeight="1">
      <c r="A169" s="17" t="s">
        <v>244</v>
      </c>
      <c r="B169" s="18">
        <v>164.0</v>
      </c>
      <c r="C169" s="21" t="s">
        <v>344</v>
      </c>
      <c r="D169" s="21" t="s">
        <v>106</v>
      </c>
      <c r="E169" s="21" t="s">
        <v>41</v>
      </c>
      <c r="F169" s="21" t="s">
        <v>85</v>
      </c>
      <c r="G169" s="21" t="s">
        <v>91</v>
      </c>
      <c r="H169" s="17" t="s">
        <v>44</v>
      </c>
      <c r="I169" s="19"/>
      <c r="J169" s="5"/>
      <c r="K169" s="20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hidden="1" customHeight="1">
      <c r="A170" s="17" t="s">
        <v>244</v>
      </c>
      <c r="B170" s="18">
        <v>165.0</v>
      </c>
      <c r="C170" s="21" t="s">
        <v>345</v>
      </c>
      <c r="D170" s="21" t="s">
        <v>106</v>
      </c>
      <c r="E170" s="21" t="s">
        <v>41</v>
      </c>
      <c r="F170" s="21" t="s">
        <v>85</v>
      </c>
      <c r="G170" s="21" t="s">
        <v>91</v>
      </c>
      <c r="H170" s="17" t="s">
        <v>44</v>
      </c>
      <c r="I170" s="19"/>
      <c r="J170" s="5"/>
      <c r="K170" s="20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hidden="1" customHeight="1">
      <c r="A171" s="17" t="s">
        <v>244</v>
      </c>
      <c r="B171" s="18">
        <v>166.0</v>
      </c>
      <c r="C171" s="21" t="s">
        <v>346</v>
      </c>
      <c r="D171" s="21" t="s">
        <v>106</v>
      </c>
      <c r="E171" s="21" t="s">
        <v>41</v>
      </c>
      <c r="F171" s="21" t="s">
        <v>85</v>
      </c>
      <c r="G171" s="21" t="s">
        <v>91</v>
      </c>
      <c r="H171" s="17" t="s">
        <v>44</v>
      </c>
      <c r="I171" s="19"/>
      <c r="J171" s="5"/>
      <c r="K171" s="20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hidden="1" customHeight="1">
      <c r="A172" s="17" t="s">
        <v>244</v>
      </c>
      <c r="B172" s="18">
        <v>167.0</v>
      </c>
      <c r="C172" s="21" t="s">
        <v>347</v>
      </c>
      <c r="D172" s="21" t="s">
        <v>106</v>
      </c>
      <c r="E172" s="21" t="s">
        <v>41</v>
      </c>
      <c r="F172" s="21" t="s">
        <v>85</v>
      </c>
      <c r="G172" s="21" t="s">
        <v>91</v>
      </c>
      <c r="H172" s="17" t="s">
        <v>44</v>
      </c>
      <c r="I172" s="19"/>
      <c r="J172" s="5"/>
      <c r="K172" s="20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hidden="1" customHeight="1">
      <c r="A173" s="17" t="s">
        <v>244</v>
      </c>
      <c r="B173" s="18">
        <v>168.0</v>
      </c>
      <c r="C173" s="21" t="s">
        <v>348</v>
      </c>
      <c r="D173" s="21" t="s">
        <v>180</v>
      </c>
      <c r="E173" s="21" t="s">
        <v>41</v>
      </c>
      <c r="F173" s="21" t="s">
        <v>85</v>
      </c>
      <c r="G173" s="21" t="s">
        <v>91</v>
      </c>
      <c r="H173" s="17" t="s">
        <v>44</v>
      </c>
      <c r="I173" s="19"/>
      <c r="J173" s="5"/>
      <c r="K173" s="20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hidden="1" customHeight="1">
      <c r="A174" s="17" t="s">
        <v>244</v>
      </c>
      <c r="B174" s="18">
        <v>169.0</v>
      </c>
      <c r="C174" s="21" t="s">
        <v>350</v>
      </c>
      <c r="D174" s="21" t="s">
        <v>180</v>
      </c>
      <c r="E174" s="21" t="s">
        <v>41</v>
      </c>
      <c r="F174" s="21" t="s">
        <v>85</v>
      </c>
      <c r="G174" s="21" t="s">
        <v>91</v>
      </c>
      <c r="H174" s="17" t="s">
        <v>44</v>
      </c>
      <c r="I174" s="19"/>
      <c r="J174" s="5"/>
      <c r="K174" s="20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hidden="1" customHeight="1">
      <c r="A175" s="17" t="s">
        <v>244</v>
      </c>
      <c r="B175" s="18">
        <v>170.0</v>
      </c>
      <c r="C175" s="21" t="s">
        <v>351</v>
      </c>
      <c r="D175" s="21" t="s">
        <v>180</v>
      </c>
      <c r="E175" s="21" t="s">
        <v>41</v>
      </c>
      <c r="F175" s="21" t="s">
        <v>85</v>
      </c>
      <c r="G175" s="21" t="s">
        <v>91</v>
      </c>
      <c r="H175" s="17" t="s">
        <v>44</v>
      </c>
      <c r="I175" s="19"/>
      <c r="J175" s="5"/>
      <c r="K175" s="20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hidden="1" customHeight="1">
      <c r="A176" s="17" t="s">
        <v>244</v>
      </c>
      <c r="B176" s="18">
        <v>171.0</v>
      </c>
      <c r="C176" s="21" t="s">
        <v>352</v>
      </c>
      <c r="D176" s="21" t="s">
        <v>180</v>
      </c>
      <c r="E176" s="21" t="s">
        <v>41</v>
      </c>
      <c r="F176" s="21" t="s">
        <v>85</v>
      </c>
      <c r="G176" s="21" t="s">
        <v>91</v>
      </c>
      <c r="H176" s="17" t="s">
        <v>44</v>
      </c>
      <c r="I176" s="19"/>
      <c r="J176" s="5"/>
      <c r="K176" s="20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hidden="1" customHeight="1">
      <c r="A177" s="17" t="s">
        <v>244</v>
      </c>
      <c r="B177" s="18">
        <v>172.0</v>
      </c>
      <c r="C177" s="21" t="s">
        <v>353</v>
      </c>
      <c r="D177" s="21" t="s">
        <v>113</v>
      </c>
      <c r="E177" s="21" t="s">
        <v>41</v>
      </c>
      <c r="F177" s="21" t="s">
        <v>85</v>
      </c>
      <c r="G177" s="21" t="s">
        <v>95</v>
      </c>
      <c r="H177" s="17" t="s">
        <v>44</v>
      </c>
      <c r="I177" s="19"/>
      <c r="J177" s="5"/>
      <c r="K177" s="20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hidden="1" customHeight="1">
      <c r="A178" s="17" t="s">
        <v>244</v>
      </c>
      <c r="B178" s="18">
        <v>173.0</v>
      </c>
      <c r="C178" s="21" t="s">
        <v>354</v>
      </c>
      <c r="D178" s="21" t="s">
        <v>113</v>
      </c>
      <c r="E178" s="21" t="s">
        <v>41</v>
      </c>
      <c r="F178" s="21" t="s">
        <v>85</v>
      </c>
      <c r="G178" s="21" t="s">
        <v>95</v>
      </c>
      <c r="H178" s="17" t="s">
        <v>44</v>
      </c>
      <c r="I178" s="19"/>
      <c r="J178" s="5"/>
      <c r="K178" s="20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hidden="1" customHeight="1">
      <c r="A179" s="17" t="s">
        <v>244</v>
      </c>
      <c r="B179" s="18">
        <v>174.0</v>
      </c>
      <c r="C179" s="21" t="s">
        <v>355</v>
      </c>
      <c r="D179" s="21" t="s">
        <v>356</v>
      </c>
      <c r="E179" s="21" t="s">
        <v>41</v>
      </c>
      <c r="F179" s="21" t="s">
        <v>85</v>
      </c>
      <c r="G179" s="21" t="s">
        <v>95</v>
      </c>
      <c r="H179" s="17" t="s">
        <v>44</v>
      </c>
      <c r="I179" s="19"/>
      <c r="J179" s="5"/>
      <c r="K179" s="20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hidden="1" customHeight="1">
      <c r="A180" s="17" t="s">
        <v>244</v>
      </c>
      <c r="B180" s="18">
        <v>175.0</v>
      </c>
      <c r="C180" s="21" t="s">
        <v>357</v>
      </c>
      <c r="D180" s="21" t="s">
        <v>356</v>
      </c>
      <c r="E180" s="21" t="s">
        <v>41</v>
      </c>
      <c r="F180" s="21" t="s">
        <v>85</v>
      </c>
      <c r="G180" s="21" t="s">
        <v>95</v>
      </c>
      <c r="H180" s="17" t="s">
        <v>44</v>
      </c>
      <c r="I180" s="19"/>
      <c r="J180" s="5"/>
      <c r="K180" s="20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hidden="1" customHeight="1">
      <c r="A181" s="17" t="s">
        <v>244</v>
      </c>
      <c r="B181" s="18">
        <v>176.0</v>
      </c>
      <c r="C181" s="21" t="s">
        <v>358</v>
      </c>
      <c r="D181" s="21" t="s">
        <v>359</v>
      </c>
      <c r="E181" s="21" t="s">
        <v>54</v>
      </c>
      <c r="F181" s="21" t="s">
        <v>85</v>
      </c>
      <c r="G181" s="21" t="s">
        <v>91</v>
      </c>
      <c r="H181" s="17" t="s">
        <v>44</v>
      </c>
      <c r="I181" s="19"/>
      <c r="J181" s="5"/>
      <c r="K181" s="20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hidden="1" customHeight="1">
      <c r="A182" s="17" t="s">
        <v>244</v>
      </c>
      <c r="B182" s="18">
        <v>177.0</v>
      </c>
      <c r="C182" s="21" t="s">
        <v>361</v>
      </c>
      <c r="D182" s="21" t="s">
        <v>362</v>
      </c>
      <c r="E182" s="21" t="s">
        <v>54</v>
      </c>
      <c r="F182" s="21" t="s">
        <v>85</v>
      </c>
      <c r="G182" s="21" t="s">
        <v>95</v>
      </c>
      <c r="H182" s="17" t="s">
        <v>44</v>
      </c>
      <c r="I182" s="19"/>
      <c r="J182" s="5"/>
      <c r="K182" s="20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hidden="1" customHeight="1">
      <c r="A183" s="17" t="s">
        <v>244</v>
      </c>
      <c r="B183" s="18">
        <v>178.0</v>
      </c>
      <c r="C183" s="21" t="s">
        <v>363</v>
      </c>
      <c r="D183" s="21" t="s">
        <v>364</v>
      </c>
      <c r="E183" s="21" t="s">
        <v>54</v>
      </c>
      <c r="F183" s="21" t="s">
        <v>85</v>
      </c>
      <c r="G183" s="21" t="s">
        <v>99</v>
      </c>
      <c r="H183" s="17" t="s">
        <v>44</v>
      </c>
      <c r="I183" s="19"/>
      <c r="J183" s="5"/>
      <c r="K183" s="20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hidden="1" customHeight="1">
      <c r="A184" s="17" t="s">
        <v>244</v>
      </c>
      <c r="B184" s="18">
        <v>179.0</v>
      </c>
      <c r="C184" s="21" t="s">
        <v>365</v>
      </c>
      <c r="D184" s="21" t="s">
        <v>366</v>
      </c>
      <c r="E184" s="21" t="s">
        <v>41</v>
      </c>
      <c r="F184" s="21" t="s">
        <v>367</v>
      </c>
      <c r="G184" s="21" t="s">
        <v>368</v>
      </c>
      <c r="H184" s="17" t="s">
        <v>44</v>
      </c>
      <c r="I184" s="19"/>
      <c r="J184" s="5"/>
      <c r="K184" s="20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hidden="1" customHeight="1">
      <c r="A185" s="17" t="s">
        <v>244</v>
      </c>
      <c r="B185" s="18">
        <v>180.0</v>
      </c>
      <c r="C185" s="21" t="s">
        <v>369</v>
      </c>
      <c r="D185" s="21" t="s">
        <v>370</v>
      </c>
      <c r="E185" s="21" t="s">
        <v>41</v>
      </c>
      <c r="F185" s="21" t="s">
        <v>119</v>
      </c>
      <c r="G185" s="21" t="s">
        <v>120</v>
      </c>
      <c r="H185" s="17" t="s">
        <v>44</v>
      </c>
      <c r="I185" s="19"/>
      <c r="J185" s="5"/>
      <c r="K185" s="20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hidden="1" customHeight="1">
      <c r="A186" s="17" t="s">
        <v>244</v>
      </c>
      <c r="B186" s="18">
        <v>181.0</v>
      </c>
      <c r="C186" s="21" t="s">
        <v>371</v>
      </c>
      <c r="D186" s="21" t="s">
        <v>370</v>
      </c>
      <c r="E186" s="21" t="s">
        <v>41</v>
      </c>
      <c r="F186" s="21" t="s">
        <v>119</v>
      </c>
      <c r="G186" s="21" t="s">
        <v>120</v>
      </c>
      <c r="H186" s="17" t="s">
        <v>44</v>
      </c>
      <c r="I186" s="19"/>
      <c r="J186" s="5"/>
      <c r="K186" s="20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hidden="1" customHeight="1">
      <c r="A187" s="17" t="s">
        <v>244</v>
      </c>
      <c r="B187" s="18">
        <v>182.0</v>
      </c>
      <c r="C187" s="21" t="s">
        <v>372</v>
      </c>
      <c r="D187" s="21" t="s">
        <v>373</v>
      </c>
      <c r="E187" s="21" t="s">
        <v>41</v>
      </c>
      <c r="F187" s="21" t="s">
        <v>119</v>
      </c>
      <c r="G187" s="21" t="s">
        <v>120</v>
      </c>
      <c r="H187" s="17" t="s">
        <v>44</v>
      </c>
      <c r="I187" s="19"/>
      <c r="J187" s="5"/>
      <c r="K187" s="20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hidden="1" customHeight="1">
      <c r="A188" s="17" t="s">
        <v>244</v>
      </c>
      <c r="B188" s="18">
        <v>183.0</v>
      </c>
      <c r="C188" s="21" t="s">
        <v>374</v>
      </c>
      <c r="D188" s="21" t="s">
        <v>373</v>
      </c>
      <c r="E188" s="21" t="s">
        <v>41</v>
      </c>
      <c r="F188" s="21" t="s">
        <v>119</v>
      </c>
      <c r="G188" s="21" t="s">
        <v>120</v>
      </c>
      <c r="H188" s="17" t="s">
        <v>44</v>
      </c>
      <c r="I188" s="19"/>
      <c r="J188" s="5"/>
      <c r="K188" s="20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hidden="1" customHeight="1">
      <c r="A189" s="17" t="s">
        <v>244</v>
      </c>
      <c r="B189" s="18">
        <v>184.0</v>
      </c>
      <c r="C189" s="21" t="s">
        <v>376</v>
      </c>
      <c r="D189" s="21" t="s">
        <v>373</v>
      </c>
      <c r="E189" s="21" t="s">
        <v>41</v>
      </c>
      <c r="F189" s="21" t="s">
        <v>119</v>
      </c>
      <c r="G189" s="21" t="s">
        <v>120</v>
      </c>
      <c r="H189" s="17" t="s">
        <v>44</v>
      </c>
      <c r="I189" s="19"/>
      <c r="J189" s="5"/>
      <c r="K189" s="20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hidden="1" customHeight="1">
      <c r="A190" s="17" t="s">
        <v>244</v>
      </c>
      <c r="B190" s="18">
        <v>185.0</v>
      </c>
      <c r="C190" s="21" t="s">
        <v>378</v>
      </c>
      <c r="D190" s="21" t="s">
        <v>379</v>
      </c>
      <c r="E190" s="21" t="s">
        <v>63</v>
      </c>
      <c r="F190" s="21" t="s">
        <v>119</v>
      </c>
      <c r="G190" s="21" t="s">
        <v>124</v>
      </c>
      <c r="H190" s="17" t="s">
        <v>44</v>
      </c>
      <c r="I190" s="19"/>
      <c r="J190" s="5"/>
      <c r="K190" s="20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hidden="1" customHeight="1">
      <c r="A191" s="17" t="s">
        <v>244</v>
      </c>
      <c r="B191" s="18">
        <v>186.0</v>
      </c>
      <c r="C191" s="21" t="s">
        <v>381</v>
      </c>
      <c r="D191" s="21" t="s">
        <v>382</v>
      </c>
      <c r="E191" s="21" t="s">
        <v>41</v>
      </c>
      <c r="F191" s="21" t="s">
        <v>119</v>
      </c>
      <c r="G191" s="21" t="s">
        <v>124</v>
      </c>
      <c r="H191" s="17" t="s">
        <v>44</v>
      </c>
      <c r="I191" s="19"/>
      <c r="J191" s="5"/>
      <c r="K191" s="20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hidden="1" customHeight="1">
      <c r="A192" s="17" t="s">
        <v>244</v>
      </c>
      <c r="B192" s="18">
        <v>187.0</v>
      </c>
      <c r="C192" s="21" t="s">
        <v>383</v>
      </c>
      <c r="D192" s="21" t="s">
        <v>382</v>
      </c>
      <c r="E192" s="21" t="s">
        <v>41</v>
      </c>
      <c r="F192" s="21" t="s">
        <v>119</v>
      </c>
      <c r="G192" s="21" t="s">
        <v>124</v>
      </c>
      <c r="H192" s="17" t="s">
        <v>44</v>
      </c>
      <c r="I192" s="19"/>
      <c r="J192" s="5"/>
      <c r="K192" s="20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hidden="1" customHeight="1">
      <c r="A193" s="17" t="s">
        <v>244</v>
      </c>
      <c r="B193" s="18">
        <v>188.0</v>
      </c>
      <c r="C193" s="21" t="s">
        <v>384</v>
      </c>
      <c r="D193" s="21" t="s">
        <v>382</v>
      </c>
      <c r="E193" s="21" t="s">
        <v>41</v>
      </c>
      <c r="F193" s="21" t="s">
        <v>119</v>
      </c>
      <c r="G193" s="21" t="s">
        <v>124</v>
      </c>
      <c r="H193" s="17" t="s">
        <v>44</v>
      </c>
      <c r="I193" s="19"/>
      <c r="J193" s="5"/>
      <c r="K193" s="20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hidden="1" customHeight="1">
      <c r="A194" s="17" t="s">
        <v>244</v>
      </c>
      <c r="B194" s="18">
        <v>189.0</v>
      </c>
      <c r="C194" s="21" t="s">
        <v>385</v>
      </c>
      <c r="D194" s="21" t="s">
        <v>382</v>
      </c>
      <c r="E194" s="21" t="s">
        <v>41</v>
      </c>
      <c r="F194" s="21" t="s">
        <v>119</v>
      </c>
      <c r="G194" s="21" t="s">
        <v>124</v>
      </c>
      <c r="H194" s="17" t="s">
        <v>44</v>
      </c>
      <c r="I194" s="19"/>
      <c r="J194" s="5"/>
      <c r="K194" s="20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hidden="1" customHeight="1">
      <c r="A195" s="17" t="s">
        <v>244</v>
      </c>
      <c r="B195" s="18">
        <v>190.0</v>
      </c>
      <c r="C195" s="21" t="s">
        <v>386</v>
      </c>
      <c r="D195" s="21" t="s">
        <v>382</v>
      </c>
      <c r="E195" s="21" t="s">
        <v>41</v>
      </c>
      <c r="F195" s="21" t="s">
        <v>119</v>
      </c>
      <c r="G195" s="21" t="s">
        <v>124</v>
      </c>
      <c r="H195" s="17" t="s">
        <v>44</v>
      </c>
      <c r="I195" s="19"/>
      <c r="J195" s="5"/>
      <c r="K195" s="20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hidden="1" customHeight="1">
      <c r="A196" s="17" t="s">
        <v>244</v>
      </c>
      <c r="B196" s="18">
        <v>191.0</v>
      </c>
      <c r="C196" s="21" t="s">
        <v>388</v>
      </c>
      <c r="D196" s="21" t="s">
        <v>382</v>
      </c>
      <c r="E196" s="21" t="s">
        <v>41</v>
      </c>
      <c r="F196" s="21" t="s">
        <v>119</v>
      </c>
      <c r="G196" s="21" t="s">
        <v>124</v>
      </c>
      <c r="H196" s="17" t="s">
        <v>44</v>
      </c>
      <c r="I196" s="19"/>
      <c r="J196" s="5"/>
      <c r="K196" s="20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hidden="1" customHeight="1">
      <c r="A197" s="17" t="s">
        <v>244</v>
      </c>
      <c r="B197" s="18">
        <v>192.0</v>
      </c>
      <c r="C197" s="21" t="s">
        <v>389</v>
      </c>
      <c r="D197" s="21" t="s">
        <v>382</v>
      </c>
      <c r="E197" s="21" t="s">
        <v>41</v>
      </c>
      <c r="F197" s="21" t="s">
        <v>119</v>
      </c>
      <c r="G197" s="21" t="s">
        <v>124</v>
      </c>
      <c r="H197" s="17" t="s">
        <v>44</v>
      </c>
      <c r="I197" s="19"/>
      <c r="J197" s="5"/>
      <c r="K197" s="20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hidden="1" customHeight="1">
      <c r="A198" s="17" t="s">
        <v>244</v>
      </c>
      <c r="B198" s="18">
        <v>193.0</v>
      </c>
      <c r="C198" s="21" t="s">
        <v>390</v>
      </c>
      <c r="D198" s="21" t="s">
        <v>131</v>
      </c>
      <c r="E198" s="21" t="s">
        <v>63</v>
      </c>
      <c r="F198" s="21" t="s">
        <v>119</v>
      </c>
      <c r="G198" s="21" t="s">
        <v>120</v>
      </c>
      <c r="H198" s="17" t="s">
        <v>44</v>
      </c>
      <c r="I198" s="19"/>
      <c r="J198" s="5"/>
      <c r="K198" s="20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hidden="1" customHeight="1">
      <c r="A199" s="17" t="s">
        <v>244</v>
      </c>
      <c r="B199" s="18">
        <v>194.0</v>
      </c>
      <c r="C199" s="21" t="s">
        <v>391</v>
      </c>
      <c r="D199" s="55" t="s">
        <v>392</v>
      </c>
      <c r="E199" s="21" t="s">
        <v>63</v>
      </c>
      <c r="F199" s="21" t="s">
        <v>42</v>
      </c>
      <c r="G199" s="21" t="s">
        <v>43</v>
      </c>
      <c r="H199" s="17" t="s">
        <v>135</v>
      </c>
      <c r="I199" s="19"/>
      <c r="J199" s="5"/>
      <c r="K199" s="20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hidden="1" customHeight="1">
      <c r="A200" s="17" t="s">
        <v>244</v>
      </c>
      <c r="B200" s="18">
        <v>195.0</v>
      </c>
      <c r="C200" s="21" t="s">
        <v>393</v>
      </c>
      <c r="D200" s="21" t="s">
        <v>164</v>
      </c>
      <c r="E200" s="21" t="s">
        <v>41</v>
      </c>
      <c r="F200" s="21" t="s">
        <v>42</v>
      </c>
      <c r="G200" s="21" t="s">
        <v>165</v>
      </c>
      <c r="H200" s="17" t="s">
        <v>153</v>
      </c>
      <c r="I200" s="19"/>
      <c r="J200" s="5"/>
      <c r="K200" s="20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hidden="1" customHeight="1">
      <c r="A201" s="17" t="s">
        <v>244</v>
      </c>
      <c r="B201" s="18">
        <v>196.0</v>
      </c>
      <c r="C201" s="21" t="s">
        <v>395</v>
      </c>
      <c r="D201" s="21" t="s">
        <v>48</v>
      </c>
      <c r="E201" s="21" t="s">
        <v>41</v>
      </c>
      <c r="F201" s="21" t="s">
        <v>42</v>
      </c>
      <c r="G201" s="21" t="s">
        <v>48</v>
      </c>
      <c r="H201" s="17" t="s">
        <v>148</v>
      </c>
      <c r="I201" s="19"/>
      <c r="J201" s="5"/>
      <c r="K201" s="20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hidden="1" customHeight="1">
      <c r="A202" s="17" t="s">
        <v>244</v>
      </c>
      <c r="B202" s="18">
        <v>197.0</v>
      </c>
      <c r="C202" s="21" t="s">
        <v>396</v>
      </c>
      <c r="D202" s="55" t="s">
        <v>397</v>
      </c>
      <c r="E202" s="21" t="s">
        <v>41</v>
      </c>
      <c r="F202" s="21" t="s">
        <v>42</v>
      </c>
      <c r="G202" s="21" t="s">
        <v>43</v>
      </c>
      <c r="H202" s="17" t="s">
        <v>153</v>
      </c>
      <c r="I202" s="19">
        <v>1.0</v>
      </c>
      <c r="J202" s="5"/>
      <c r="K202" s="20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hidden="1" customHeight="1">
      <c r="A203" s="17" t="s">
        <v>244</v>
      </c>
      <c r="B203" s="18">
        <v>198.0</v>
      </c>
      <c r="C203" s="21" t="s">
        <v>398</v>
      </c>
      <c r="D203" s="55" t="s">
        <v>397</v>
      </c>
      <c r="E203" s="21" t="s">
        <v>41</v>
      </c>
      <c r="F203" s="21" t="s">
        <v>42</v>
      </c>
      <c r="G203" s="21" t="s">
        <v>43</v>
      </c>
      <c r="H203" s="17" t="s">
        <v>148</v>
      </c>
      <c r="I203" s="19"/>
      <c r="J203" s="5"/>
      <c r="K203" s="20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hidden="1" customHeight="1">
      <c r="A204" s="17" t="s">
        <v>244</v>
      </c>
      <c r="B204" s="18">
        <v>199.0</v>
      </c>
      <c r="C204" s="21" t="s">
        <v>399</v>
      </c>
      <c r="D204" s="21" t="s">
        <v>60</v>
      </c>
      <c r="E204" s="21" t="s">
        <v>41</v>
      </c>
      <c r="F204" s="21" t="s">
        <v>55</v>
      </c>
      <c r="G204" s="21" t="s">
        <v>60</v>
      </c>
      <c r="H204" s="17" t="s">
        <v>135</v>
      </c>
      <c r="I204" s="19"/>
      <c r="J204" s="5"/>
      <c r="K204" s="20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hidden="1" customHeight="1">
      <c r="A205" s="17" t="s">
        <v>244</v>
      </c>
      <c r="B205" s="18">
        <v>200.0</v>
      </c>
      <c r="C205" s="21" t="s">
        <v>400</v>
      </c>
      <c r="D205" s="21" t="s">
        <v>60</v>
      </c>
      <c r="E205" s="21" t="s">
        <v>41</v>
      </c>
      <c r="F205" s="21" t="s">
        <v>55</v>
      </c>
      <c r="G205" s="21" t="s">
        <v>60</v>
      </c>
      <c r="H205" s="17" t="s">
        <v>135</v>
      </c>
      <c r="I205" s="19"/>
      <c r="J205" s="5"/>
      <c r="K205" s="20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hidden="1" customHeight="1">
      <c r="A206" s="17" t="s">
        <v>244</v>
      </c>
      <c r="B206" s="18">
        <v>201.0</v>
      </c>
      <c r="C206" s="21" t="s">
        <v>401</v>
      </c>
      <c r="D206" s="21" t="s">
        <v>137</v>
      </c>
      <c r="E206" s="21" t="s">
        <v>138</v>
      </c>
      <c r="F206" s="21" t="s">
        <v>139</v>
      </c>
      <c r="G206" s="21" t="s">
        <v>402</v>
      </c>
      <c r="H206" s="17" t="s">
        <v>135</v>
      </c>
      <c r="I206" s="19"/>
      <c r="J206" s="5"/>
      <c r="K206" s="20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hidden="1" customHeight="1">
      <c r="A207" s="17" t="s">
        <v>244</v>
      </c>
      <c r="B207" s="18">
        <v>202.0</v>
      </c>
      <c r="C207" s="21" t="s">
        <v>403</v>
      </c>
      <c r="D207" s="21" t="s">
        <v>269</v>
      </c>
      <c r="E207" s="21" t="s">
        <v>63</v>
      </c>
      <c r="F207" s="21" t="s">
        <v>147</v>
      </c>
      <c r="G207" s="21" t="s">
        <v>147</v>
      </c>
      <c r="H207" s="17" t="s">
        <v>135</v>
      </c>
      <c r="I207" s="19"/>
      <c r="J207" s="5"/>
      <c r="K207" s="20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hidden="1" customHeight="1">
      <c r="A208" s="17" t="s">
        <v>244</v>
      </c>
      <c r="B208" s="18">
        <v>203.0</v>
      </c>
      <c r="C208" s="21" t="s">
        <v>404</v>
      </c>
      <c r="D208" s="21" t="s">
        <v>146</v>
      </c>
      <c r="E208" s="21" t="s">
        <v>41</v>
      </c>
      <c r="F208" s="21" t="s">
        <v>147</v>
      </c>
      <c r="G208" s="21" t="s">
        <v>147</v>
      </c>
      <c r="H208" s="17" t="s">
        <v>135</v>
      </c>
      <c r="I208" s="19"/>
      <c r="J208" s="5"/>
      <c r="K208" s="20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hidden="1" customHeight="1">
      <c r="A209" s="17" t="s">
        <v>244</v>
      </c>
      <c r="B209" s="18">
        <v>204.0</v>
      </c>
      <c r="C209" s="21" t="s">
        <v>406</v>
      </c>
      <c r="D209" s="21" t="s">
        <v>146</v>
      </c>
      <c r="E209" s="21" t="s">
        <v>41</v>
      </c>
      <c r="F209" s="21" t="s">
        <v>147</v>
      </c>
      <c r="G209" s="21" t="s">
        <v>147</v>
      </c>
      <c r="H209" s="17" t="s">
        <v>135</v>
      </c>
      <c r="I209" s="19"/>
      <c r="J209" s="5"/>
      <c r="K209" s="20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hidden="1" customHeight="1">
      <c r="A210" s="17" t="s">
        <v>244</v>
      </c>
      <c r="B210" s="18">
        <v>205.0</v>
      </c>
      <c r="C210" s="21" t="s">
        <v>407</v>
      </c>
      <c r="D210" s="21" t="s">
        <v>408</v>
      </c>
      <c r="E210" s="21" t="s">
        <v>41</v>
      </c>
      <c r="F210" s="21" t="s">
        <v>64</v>
      </c>
      <c r="G210" s="21" t="s">
        <v>74</v>
      </c>
      <c r="H210" s="17" t="s">
        <v>210</v>
      </c>
      <c r="I210" s="19"/>
      <c r="J210" s="5"/>
      <c r="K210" s="20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hidden="1" customHeight="1">
      <c r="A211" s="17" t="s">
        <v>244</v>
      </c>
      <c r="B211" s="18">
        <v>206.0</v>
      </c>
      <c r="C211" s="21" t="s">
        <v>409</v>
      </c>
      <c r="D211" s="21" t="s">
        <v>236</v>
      </c>
      <c r="E211" s="21" t="s">
        <v>63</v>
      </c>
      <c r="F211" s="21" t="s">
        <v>85</v>
      </c>
      <c r="G211" s="21" t="s">
        <v>91</v>
      </c>
      <c r="H211" s="17" t="s">
        <v>135</v>
      </c>
      <c r="I211" s="19"/>
      <c r="J211" s="5"/>
      <c r="K211" s="20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hidden="1" customHeight="1">
      <c r="A212" s="17" t="s">
        <v>244</v>
      </c>
      <c r="B212" s="18">
        <v>207.0</v>
      </c>
      <c r="C212" s="21" t="s">
        <v>410</v>
      </c>
      <c r="D212" s="21" t="s">
        <v>217</v>
      </c>
      <c r="E212" s="21" t="s">
        <v>54</v>
      </c>
      <c r="F212" s="21" t="s">
        <v>85</v>
      </c>
      <c r="G212" s="21" t="s">
        <v>91</v>
      </c>
      <c r="H212" s="17" t="s">
        <v>135</v>
      </c>
      <c r="I212" s="19"/>
      <c r="J212" s="5"/>
      <c r="K212" s="20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hidden="1" customHeight="1">
      <c r="A213" s="17" t="s">
        <v>244</v>
      </c>
      <c r="B213" s="18">
        <v>208.0</v>
      </c>
      <c r="C213" s="21" t="s">
        <v>411</v>
      </c>
      <c r="D213" s="21" t="s">
        <v>98</v>
      </c>
      <c r="E213" s="21" t="s">
        <v>41</v>
      </c>
      <c r="F213" s="21" t="s">
        <v>85</v>
      </c>
      <c r="G213" s="21" t="s">
        <v>99</v>
      </c>
      <c r="H213" s="17" t="s">
        <v>135</v>
      </c>
      <c r="I213" s="19"/>
      <c r="J213" s="5"/>
      <c r="K213" s="20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hidden="1" customHeight="1">
      <c r="A214" s="17" t="s">
        <v>244</v>
      </c>
      <c r="B214" s="18">
        <v>209.0</v>
      </c>
      <c r="C214" s="21" t="s">
        <v>412</v>
      </c>
      <c r="D214" s="21" t="s">
        <v>106</v>
      </c>
      <c r="E214" s="21" t="s">
        <v>41</v>
      </c>
      <c r="F214" s="21" t="s">
        <v>85</v>
      </c>
      <c r="G214" s="21" t="s">
        <v>91</v>
      </c>
      <c r="H214" s="17" t="s">
        <v>135</v>
      </c>
      <c r="I214" s="19"/>
      <c r="J214" s="5"/>
      <c r="K214" s="20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hidden="1" customHeight="1">
      <c r="A215" s="17" t="s">
        <v>244</v>
      </c>
      <c r="B215" s="18">
        <v>210.0</v>
      </c>
      <c r="C215" s="21" t="s">
        <v>414</v>
      </c>
      <c r="D215" s="21" t="s">
        <v>106</v>
      </c>
      <c r="E215" s="21" t="s">
        <v>41</v>
      </c>
      <c r="F215" s="21" t="s">
        <v>85</v>
      </c>
      <c r="G215" s="21" t="s">
        <v>91</v>
      </c>
      <c r="H215" s="17" t="s">
        <v>135</v>
      </c>
      <c r="I215" s="19"/>
      <c r="J215" s="5"/>
      <c r="K215" s="20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hidden="1" customHeight="1">
      <c r="A216" s="17" t="s">
        <v>244</v>
      </c>
      <c r="B216" s="18">
        <v>211.0</v>
      </c>
      <c r="C216" s="21" t="s">
        <v>415</v>
      </c>
      <c r="D216" s="21" t="s">
        <v>113</v>
      </c>
      <c r="E216" s="21" t="s">
        <v>41</v>
      </c>
      <c r="F216" s="21" t="s">
        <v>85</v>
      </c>
      <c r="G216" s="21" t="s">
        <v>95</v>
      </c>
      <c r="H216" s="17" t="s">
        <v>210</v>
      </c>
      <c r="I216" s="19"/>
      <c r="J216" s="5"/>
      <c r="K216" s="20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hidden="1" customHeight="1">
      <c r="A217" s="17" t="s">
        <v>244</v>
      </c>
      <c r="B217" s="18">
        <v>212.0</v>
      </c>
      <c r="C217" s="21" t="s">
        <v>416</v>
      </c>
      <c r="D217" s="21" t="s">
        <v>417</v>
      </c>
      <c r="E217" s="21" t="s">
        <v>63</v>
      </c>
      <c r="F217" s="21" t="s">
        <v>85</v>
      </c>
      <c r="G217" s="21" t="s">
        <v>91</v>
      </c>
      <c r="H217" s="17" t="s">
        <v>135</v>
      </c>
      <c r="I217" s="19"/>
      <c r="J217" s="5"/>
      <c r="K217" s="20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hidden="1" customHeight="1">
      <c r="A218" s="17" t="s">
        <v>244</v>
      </c>
      <c r="B218" s="18">
        <v>213.0</v>
      </c>
      <c r="C218" s="21" t="s">
        <v>418</v>
      </c>
      <c r="D218" s="21" t="s">
        <v>420</v>
      </c>
      <c r="E218" s="21" t="s">
        <v>41</v>
      </c>
      <c r="F218" s="21" t="s">
        <v>367</v>
      </c>
      <c r="G218" s="21" t="s">
        <v>368</v>
      </c>
      <c r="H218" s="17" t="s">
        <v>135</v>
      </c>
      <c r="I218" s="19"/>
      <c r="J218" s="5"/>
      <c r="K218" s="20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hidden="1" customHeight="1">
      <c r="A219" s="17" t="s">
        <v>244</v>
      </c>
      <c r="B219" s="18">
        <v>214.0</v>
      </c>
      <c r="C219" s="21" t="s">
        <v>421</v>
      </c>
      <c r="D219" s="21" t="s">
        <v>422</v>
      </c>
      <c r="E219" s="21" t="s">
        <v>63</v>
      </c>
      <c r="F219" s="21" t="s">
        <v>367</v>
      </c>
      <c r="G219" s="21" t="s">
        <v>368</v>
      </c>
      <c r="H219" s="17" t="s">
        <v>135</v>
      </c>
      <c r="I219" s="19"/>
      <c r="J219" s="5"/>
      <c r="K219" s="20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hidden="1" customHeight="1">
      <c r="A220" s="17" t="s">
        <v>244</v>
      </c>
      <c r="B220" s="18">
        <v>215.0</v>
      </c>
      <c r="C220" s="21" t="s">
        <v>423</v>
      </c>
      <c r="D220" s="21" t="s">
        <v>424</v>
      </c>
      <c r="E220" s="21" t="s">
        <v>54</v>
      </c>
      <c r="F220" s="21" t="s">
        <v>119</v>
      </c>
      <c r="G220" s="21" t="s">
        <v>124</v>
      </c>
      <c r="H220" s="17" t="s">
        <v>135</v>
      </c>
      <c r="I220" s="19"/>
      <c r="J220" s="5"/>
      <c r="K220" s="20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hidden="1" customHeight="1">
      <c r="A221" s="17" t="s">
        <v>244</v>
      </c>
      <c r="B221" s="18">
        <v>216.0</v>
      </c>
      <c r="C221" s="21" t="s">
        <v>425</v>
      </c>
      <c r="D221" s="21" t="s">
        <v>426</v>
      </c>
      <c r="E221" s="21" t="s">
        <v>54</v>
      </c>
      <c r="F221" s="21" t="s">
        <v>119</v>
      </c>
      <c r="G221" s="21" t="s">
        <v>124</v>
      </c>
      <c r="H221" s="17" t="s">
        <v>135</v>
      </c>
      <c r="I221" s="19"/>
      <c r="J221" s="5"/>
      <c r="K221" s="20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hidden="1" customHeight="1">
      <c r="A222" s="17"/>
      <c r="B222" s="18"/>
      <c r="C222" s="21"/>
      <c r="D222" s="21"/>
      <c r="E222" s="21"/>
      <c r="F222" s="21"/>
      <c r="G222" s="21"/>
      <c r="H222" s="17"/>
      <c r="I222" s="19"/>
      <c r="J222" s="5"/>
      <c r="K222" s="20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hidden="1" customHeight="1">
      <c r="A223" s="17"/>
      <c r="B223" s="18"/>
      <c r="C223" s="21"/>
      <c r="D223" s="21"/>
      <c r="E223" s="21"/>
      <c r="F223" s="21"/>
      <c r="G223" s="21"/>
      <c r="H223" s="17"/>
      <c r="I223" s="19"/>
      <c r="J223" s="5"/>
      <c r="K223" s="20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hidden="1" customHeight="1">
      <c r="A224" s="17"/>
      <c r="B224" s="18"/>
      <c r="C224" s="21"/>
      <c r="D224" s="21"/>
      <c r="E224" s="21"/>
      <c r="F224" s="21"/>
      <c r="G224" s="21"/>
      <c r="H224" s="17"/>
      <c r="I224" s="19"/>
      <c r="J224" s="5"/>
      <c r="K224" s="20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hidden="1" customHeight="1">
      <c r="A225" s="17"/>
      <c r="B225" s="18"/>
      <c r="C225" s="21"/>
      <c r="D225" s="21"/>
      <c r="E225" s="21"/>
      <c r="F225" s="21"/>
      <c r="G225" s="21"/>
      <c r="H225" s="17"/>
      <c r="I225" s="19"/>
      <c r="J225" s="5"/>
      <c r="K225" s="20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hidden="1" customHeight="1">
      <c r="A226" s="17"/>
      <c r="B226" s="18"/>
      <c r="C226" s="21"/>
      <c r="D226" s="21"/>
      <c r="E226" s="21"/>
      <c r="F226" s="21"/>
      <c r="G226" s="21"/>
      <c r="H226" s="17"/>
      <c r="I226" s="19"/>
      <c r="J226" s="5"/>
      <c r="K226" s="20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hidden="1" customHeight="1">
      <c r="A227" s="17"/>
      <c r="B227" s="18"/>
      <c r="C227" s="21"/>
      <c r="D227" s="21"/>
      <c r="E227" s="21"/>
      <c r="F227" s="21"/>
      <c r="G227" s="21"/>
      <c r="H227" s="17"/>
      <c r="I227" s="19"/>
      <c r="J227" s="5"/>
      <c r="K227" s="20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hidden="1" customHeight="1">
      <c r="A228" s="17"/>
      <c r="B228" s="18"/>
      <c r="C228" s="21"/>
      <c r="D228" s="21"/>
      <c r="E228" s="21"/>
      <c r="F228" s="21"/>
      <c r="G228" s="21"/>
      <c r="H228" s="17"/>
      <c r="I228" s="19"/>
      <c r="J228" s="5"/>
      <c r="K228" s="20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hidden="1" customHeight="1">
      <c r="A229" s="17"/>
      <c r="B229" s="18"/>
      <c r="C229" s="21"/>
      <c r="D229" s="21"/>
      <c r="E229" s="21"/>
      <c r="F229" s="21"/>
      <c r="G229" s="21"/>
      <c r="H229" s="17"/>
      <c r="I229" s="19"/>
      <c r="J229" s="5"/>
      <c r="K229" s="20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hidden="1" customHeight="1">
      <c r="A230" s="17"/>
      <c r="B230" s="18"/>
      <c r="C230" s="21"/>
      <c r="D230" s="21"/>
      <c r="E230" s="21"/>
      <c r="F230" s="21"/>
      <c r="G230" s="21"/>
      <c r="H230" s="17"/>
      <c r="I230" s="19"/>
      <c r="J230" s="5"/>
      <c r="K230" s="20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hidden="1" customHeight="1">
      <c r="A231" s="17"/>
      <c r="B231" s="18"/>
      <c r="C231" s="21"/>
      <c r="D231" s="21"/>
      <c r="E231" s="21"/>
      <c r="F231" s="21"/>
      <c r="G231" s="21"/>
      <c r="H231" s="17"/>
      <c r="I231" s="19"/>
      <c r="J231" s="5"/>
      <c r="K231" s="20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hidden="1" customHeight="1">
      <c r="A232" s="17"/>
      <c r="B232" s="18"/>
      <c r="C232" s="21"/>
      <c r="D232" s="21"/>
      <c r="E232" s="21"/>
      <c r="F232" s="21"/>
      <c r="G232" s="21"/>
      <c r="H232" s="17"/>
      <c r="I232" s="19"/>
      <c r="J232" s="5"/>
      <c r="K232" s="20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hidden="1" customHeight="1">
      <c r="A233" s="17"/>
      <c r="B233" s="18"/>
      <c r="C233" s="21"/>
      <c r="D233" s="21"/>
      <c r="E233" s="21"/>
      <c r="F233" s="21"/>
      <c r="G233" s="21"/>
      <c r="H233" s="17"/>
      <c r="I233" s="19"/>
      <c r="J233" s="5"/>
      <c r="K233" s="20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hidden="1" customHeight="1">
      <c r="A234" s="17"/>
      <c r="B234" s="18"/>
      <c r="C234" s="21"/>
      <c r="D234" s="21"/>
      <c r="E234" s="21"/>
      <c r="F234" s="21"/>
      <c r="G234" s="21"/>
      <c r="H234" s="17"/>
      <c r="I234" s="19"/>
      <c r="J234" s="5"/>
      <c r="K234" s="20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hidden="1" customHeight="1">
      <c r="A235" s="17"/>
      <c r="B235" s="18"/>
      <c r="C235" s="21"/>
      <c r="D235" s="21"/>
      <c r="E235" s="21"/>
      <c r="F235" s="21"/>
      <c r="G235" s="21"/>
      <c r="H235" s="17"/>
      <c r="I235" s="19"/>
      <c r="J235" s="5"/>
      <c r="K235" s="20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hidden="1" customHeight="1">
      <c r="A236" s="17"/>
      <c r="B236" s="18"/>
      <c r="C236" s="21"/>
      <c r="D236" s="21"/>
      <c r="E236" s="21"/>
      <c r="F236" s="21"/>
      <c r="G236" s="21"/>
      <c r="H236" s="17"/>
      <c r="I236" s="19"/>
      <c r="J236" s="5"/>
      <c r="K236" s="20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hidden="1" customHeight="1">
      <c r="A237" s="17"/>
      <c r="B237" s="18"/>
      <c r="C237" s="21"/>
      <c r="D237" s="21"/>
      <c r="E237" s="21"/>
      <c r="F237" s="21"/>
      <c r="G237" s="21"/>
      <c r="H237" s="17"/>
      <c r="I237" s="19"/>
      <c r="J237" s="5"/>
      <c r="K237" s="20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hidden="1" customHeight="1">
      <c r="A238" s="17"/>
      <c r="B238" s="18"/>
      <c r="C238" s="21"/>
      <c r="D238" s="21"/>
      <c r="E238" s="21"/>
      <c r="F238" s="21"/>
      <c r="G238" s="21"/>
      <c r="H238" s="17"/>
      <c r="I238" s="19"/>
      <c r="J238" s="5"/>
      <c r="K238" s="20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hidden="1" customHeight="1">
      <c r="A239" s="17"/>
      <c r="B239" s="18"/>
      <c r="C239" s="21"/>
      <c r="D239" s="21"/>
      <c r="E239" s="21"/>
      <c r="F239" s="21"/>
      <c r="G239" s="21"/>
      <c r="H239" s="17"/>
      <c r="I239" s="19"/>
      <c r="J239" s="5"/>
      <c r="K239" s="20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hidden="1" customHeight="1">
      <c r="A240" s="17"/>
      <c r="B240" s="18"/>
      <c r="C240" s="21"/>
      <c r="D240" s="21"/>
      <c r="E240" s="21"/>
      <c r="F240" s="21"/>
      <c r="G240" s="21"/>
      <c r="H240" s="17"/>
      <c r="I240" s="19"/>
      <c r="J240" s="5"/>
      <c r="K240" s="20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hidden="1" customHeight="1">
      <c r="A241" s="17"/>
      <c r="B241" s="18"/>
      <c r="C241" s="21"/>
      <c r="D241" s="21"/>
      <c r="E241" s="21"/>
      <c r="F241" s="21"/>
      <c r="G241" s="21"/>
      <c r="H241" s="17"/>
      <c r="I241" s="19"/>
      <c r="J241" s="5"/>
      <c r="K241" s="20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hidden="1" customHeight="1">
      <c r="A242" s="17"/>
      <c r="B242" s="18"/>
      <c r="C242" s="21"/>
      <c r="D242" s="21"/>
      <c r="E242" s="21"/>
      <c r="F242" s="21"/>
      <c r="G242" s="21"/>
      <c r="H242" s="17"/>
      <c r="I242" s="19"/>
      <c r="J242" s="5"/>
      <c r="K242" s="20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hidden="1" customHeight="1">
      <c r="A243" s="17"/>
      <c r="B243" s="18"/>
      <c r="C243" s="21"/>
      <c r="D243" s="21"/>
      <c r="E243" s="21"/>
      <c r="F243" s="21"/>
      <c r="G243" s="21"/>
      <c r="H243" s="17"/>
      <c r="I243" s="19"/>
      <c r="J243" s="5"/>
      <c r="K243" s="20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hidden="1" customHeight="1">
      <c r="A244" s="17"/>
      <c r="B244" s="18"/>
      <c r="C244" s="21"/>
      <c r="D244" s="21"/>
      <c r="E244" s="21"/>
      <c r="F244" s="21"/>
      <c r="G244" s="21"/>
      <c r="H244" s="17"/>
      <c r="I244" s="19"/>
      <c r="J244" s="5"/>
      <c r="K244" s="20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hidden="1" customHeight="1">
      <c r="A245" s="17"/>
      <c r="B245" s="18"/>
      <c r="C245" s="21"/>
      <c r="D245" s="21"/>
      <c r="E245" s="21"/>
      <c r="F245" s="21"/>
      <c r="G245" s="21"/>
      <c r="H245" s="17"/>
      <c r="I245" s="19"/>
      <c r="J245" s="5"/>
      <c r="K245" s="20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hidden="1" customHeight="1">
      <c r="A246" s="17"/>
      <c r="B246" s="18"/>
      <c r="C246" s="21"/>
      <c r="D246" s="21"/>
      <c r="E246" s="21"/>
      <c r="F246" s="21"/>
      <c r="G246" s="21"/>
      <c r="H246" s="17"/>
      <c r="I246" s="19"/>
      <c r="J246" s="5"/>
      <c r="K246" s="20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hidden="1" customHeight="1">
      <c r="A247" s="17"/>
      <c r="B247" s="18"/>
      <c r="C247" s="21"/>
      <c r="D247" s="21"/>
      <c r="E247" s="21"/>
      <c r="F247" s="21"/>
      <c r="G247" s="21"/>
      <c r="H247" s="17"/>
      <c r="I247" s="19"/>
      <c r="J247" s="5"/>
      <c r="K247" s="20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hidden="1" customHeight="1">
      <c r="A248" s="17"/>
      <c r="B248" s="18"/>
      <c r="C248" s="21"/>
      <c r="D248" s="21"/>
      <c r="E248" s="21"/>
      <c r="F248" s="21"/>
      <c r="G248" s="21"/>
      <c r="H248" s="17"/>
      <c r="I248" s="19"/>
      <c r="J248" s="5"/>
      <c r="K248" s="20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hidden="1" customHeight="1">
      <c r="A249" s="17"/>
      <c r="B249" s="18"/>
      <c r="C249" s="21"/>
      <c r="D249" s="21"/>
      <c r="E249" s="21"/>
      <c r="F249" s="21"/>
      <c r="G249" s="21"/>
      <c r="H249" s="17"/>
      <c r="I249" s="19"/>
      <c r="J249" s="5"/>
      <c r="K249" s="20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hidden="1" customHeight="1">
      <c r="A250" s="17"/>
      <c r="B250" s="18"/>
      <c r="C250" s="17"/>
      <c r="D250" s="17"/>
      <c r="E250" s="17"/>
      <c r="F250" s="17"/>
      <c r="G250" s="17"/>
      <c r="H250" s="17"/>
      <c r="I250" s="19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hidden="1" customHeight="1">
      <c r="A251" s="17"/>
      <c r="B251" s="18"/>
      <c r="C251" s="17"/>
      <c r="D251" s="17"/>
      <c r="E251" s="17"/>
      <c r="F251" s="17"/>
      <c r="G251" s="17"/>
      <c r="H251" s="17"/>
      <c r="I251" s="19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hidden="1" customHeight="1">
      <c r="A252" s="17"/>
      <c r="B252" s="18"/>
      <c r="C252" s="17"/>
      <c r="D252" s="17"/>
      <c r="E252" s="17"/>
      <c r="F252" s="17"/>
      <c r="G252" s="17"/>
      <c r="H252" s="17"/>
      <c r="I252" s="19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hidden="1" customHeight="1">
      <c r="A253" s="17"/>
      <c r="B253" s="18"/>
      <c r="C253" s="17"/>
      <c r="D253" s="17"/>
      <c r="E253" s="17"/>
      <c r="F253" s="17"/>
      <c r="G253" s="17"/>
      <c r="H253" s="17"/>
      <c r="I253" s="19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7"/>
      <c r="B254" s="18"/>
      <c r="C254" s="17"/>
      <c r="D254" s="17"/>
      <c r="E254" s="17"/>
      <c r="F254" s="17"/>
      <c r="G254" s="17"/>
      <c r="H254" s="17"/>
      <c r="I254" s="19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K$253">
    <filterColumn colId="0">
      <filters>
        <filter val="SBY"/>
      </filters>
    </filterColumn>
    <filterColumn colId="6">
      <filters blank="1">
        <filter val="Branch Manager"/>
        <filter val="General Manager"/>
        <filter val="Finishing"/>
      </filters>
    </filterColumn>
  </autoFilter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 outlineLevelCol="1"/>
  <cols>
    <col customWidth="1" min="1" max="1" width="12.86"/>
    <col customWidth="1" min="2" max="2" width="10.43"/>
    <col customWidth="1" min="3" max="3" width="13.86"/>
    <col customWidth="1" min="4" max="4" width="9.0"/>
    <col customWidth="1" min="5" max="5" width="13.86"/>
    <col customWidth="1" min="6" max="6" width="9.0"/>
    <col customWidth="1" min="7" max="7" width="13.86"/>
    <col customWidth="1" min="8" max="8" width="9.0"/>
    <col customWidth="1" min="9" max="9" width="13.86"/>
    <col customWidth="1" min="10" max="10" width="9.0"/>
    <col customWidth="1" min="11" max="11" width="13.86"/>
    <col customWidth="1" min="12" max="12" width="9.0"/>
    <col customWidth="1" min="13" max="13" width="13.86"/>
    <col customWidth="1" min="14" max="14" width="9.0"/>
    <col customWidth="1" min="15" max="15" width="12.86"/>
    <col customWidth="1" min="16" max="16" width="9.0"/>
    <col customWidth="1" min="17" max="17" width="12.86"/>
    <col customWidth="1" min="18" max="18" width="9.0"/>
    <col customWidth="1" min="19" max="19" width="13.86"/>
    <col customWidth="1" min="20" max="20" width="9.0"/>
    <col customWidth="1" min="21" max="21" width="13.86"/>
    <col customWidth="1" min="22" max="22" width="9.0"/>
    <col customWidth="1" min="23" max="23" width="13.86"/>
    <col customWidth="1" min="24" max="24" width="9.0"/>
    <col customWidth="1" min="25" max="25" width="13.86"/>
    <col customWidth="1" min="26" max="26" width="9.0"/>
    <col customWidth="1" min="27" max="27" width="14.86"/>
    <col customWidth="1" min="28" max="28" width="9.0"/>
    <col customWidth="1" min="29" max="29" width="14.86"/>
  </cols>
  <sheetData>
    <row r="1" ht="16.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6.5" customHeight="1">
      <c r="A2" s="2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16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16.5" customHeight="1">
      <c r="A4" s="8" t="s">
        <v>6</v>
      </c>
      <c r="B4" s="9" t="s">
        <v>8</v>
      </c>
      <c r="C4" s="10"/>
      <c r="D4" s="10"/>
      <c r="E4" s="11"/>
      <c r="F4" s="9" t="s">
        <v>10</v>
      </c>
      <c r="G4" s="10"/>
      <c r="H4" s="10"/>
      <c r="I4" s="11"/>
      <c r="J4" s="9" t="s">
        <v>12</v>
      </c>
      <c r="K4" s="10"/>
      <c r="L4" s="10"/>
      <c r="M4" s="11"/>
      <c r="N4" s="9" t="s">
        <v>13</v>
      </c>
      <c r="O4" s="10"/>
      <c r="P4" s="10"/>
      <c r="Q4" s="11"/>
      <c r="R4" s="9" t="s">
        <v>15</v>
      </c>
      <c r="S4" s="10"/>
      <c r="T4" s="10"/>
      <c r="U4" s="11"/>
      <c r="V4" s="9" t="s">
        <v>17</v>
      </c>
      <c r="W4" s="10"/>
      <c r="X4" s="10"/>
      <c r="Y4" s="11"/>
      <c r="Z4" s="9" t="s">
        <v>19</v>
      </c>
      <c r="AA4" s="10"/>
      <c r="AB4" s="10"/>
      <c r="AC4" s="11"/>
    </row>
    <row r="5" ht="16.5" customHeight="1">
      <c r="A5" s="15"/>
      <c r="B5" s="9" t="s">
        <v>24</v>
      </c>
      <c r="C5" s="11"/>
      <c r="D5" s="9" t="s">
        <v>29</v>
      </c>
      <c r="E5" s="11"/>
      <c r="F5" s="9" t="s">
        <v>24</v>
      </c>
      <c r="G5" s="11"/>
      <c r="H5" s="9" t="s">
        <v>29</v>
      </c>
      <c r="I5" s="11"/>
      <c r="J5" s="9" t="s">
        <v>24</v>
      </c>
      <c r="K5" s="11"/>
      <c r="L5" s="9" t="s">
        <v>29</v>
      </c>
      <c r="M5" s="11"/>
      <c r="N5" s="9" t="s">
        <v>24</v>
      </c>
      <c r="O5" s="11"/>
      <c r="P5" s="9" t="s">
        <v>29</v>
      </c>
      <c r="Q5" s="11"/>
      <c r="R5" s="9" t="s">
        <v>24</v>
      </c>
      <c r="S5" s="11"/>
      <c r="T5" s="9" t="s">
        <v>29</v>
      </c>
      <c r="U5" s="11"/>
      <c r="V5" s="9" t="s">
        <v>24</v>
      </c>
      <c r="W5" s="11"/>
      <c r="X5" s="9" t="s">
        <v>29</v>
      </c>
      <c r="Y5" s="11"/>
      <c r="Z5" s="9" t="s">
        <v>24</v>
      </c>
      <c r="AA5" s="11"/>
      <c r="AB5" s="9" t="s">
        <v>29</v>
      </c>
      <c r="AC5" s="11"/>
    </row>
    <row r="6" ht="16.5" customHeight="1">
      <c r="A6" s="22"/>
      <c r="B6" s="23" t="s">
        <v>50</v>
      </c>
      <c r="C6" s="23" t="s">
        <v>53</v>
      </c>
      <c r="D6" s="23" t="s">
        <v>50</v>
      </c>
      <c r="E6" s="23" t="s">
        <v>53</v>
      </c>
      <c r="F6" s="23" t="s">
        <v>50</v>
      </c>
      <c r="G6" s="23" t="s">
        <v>53</v>
      </c>
      <c r="H6" s="23" t="s">
        <v>50</v>
      </c>
      <c r="I6" s="23" t="s">
        <v>53</v>
      </c>
      <c r="J6" s="23" t="s">
        <v>50</v>
      </c>
      <c r="K6" s="23" t="s">
        <v>53</v>
      </c>
      <c r="L6" s="23" t="s">
        <v>50</v>
      </c>
      <c r="M6" s="23" t="s">
        <v>53</v>
      </c>
      <c r="N6" s="23" t="s">
        <v>50</v>
      </c>
      <c r="O6" s="23" t="s">
        <v>53</v>
      </c>
      <c r="P6" s="23" t="s">
        <v>50</v>
      </c>
      <c r="Q6" s="23" t="s">
        <v>53</v>
      </c>
      <c r="R6" s="23" t="s">
        <v>50</v>
      </c>
      <c r="S6" s="23" t="s">
        <v>53</v>
      </c>
      <c r="T6" s="23" t="s">
        <v>50</v>
      </c>
      <c r="U6" s="23" t="s">
        <v>53</v>
      </c>
      <c r="V6" s="23" t="s">
        <v>50</v>
      </c>
      <c r="W6" s="23" t="s">
        <v>53</v>
      </c>
      <c r="X6" s="23" t="s">
        <v>50</v>
      </c>
      <c r="Y6" s="23" t="s">
        <v>53</v>
      </c>
      <c r="Z6" s="23" t="s">
        <v>50</v>
      </c>
      <c r="AA6" s="23" t="s">
        <v>53</v>
      </c>
      <c r="AB6" s="23" t="s">
        <v>50</v>
      </c>
      <c r="AC6" s="23" t="s">
        <v>53</v>
      </c>
    </row>
    <row r="7" ht="16.5" customHeight="1">
      <c r="A7" s="25" t="s">
        <v>44</v>
      </c>
      <c r="B7" s="26">
        <v>16.0</v>
      </c>
      <c r="C7" s="26">
        <v>2.1055892E7</v>
      </c>
      <c r="D7" s="26">
        <v>16.0</v>
      </c>
      <c r="E7" s="26">
        <v>2.1055892E7</v>
      </c>
      <c r="F7" s="26">
        <f>27+1</f>
        <v>28</v>
      </c>
      <c r="G7" s="26">
        <f>26823891+1556362</f>
        <v>28380253</v>
      </c>
      <c r="H7" s="26">
        <f>27+1</f>
        <v>28</v>
      </c>
      <c r="I7" s="26">
        <f>26823891+1556362</f>
        <v>28380253</v>
      </c>
      <c r="J7" s="26">
        <v>24.0</v>
      </c>
      <c r="K7" s="26">
        <v>2.3770653E7</v>
      </c>
      <c r="L7" s="26">
        <v>24.0</v>
      </c>
      <c r="M7" s="26">
        <v>2.3770653E7</v>
      </c>
      <c r="N7" s="26">
        <v>8.0</v>
      </c>
      <c r="O7" s="26">
        <v>7885114.0</v>
      </c>
      <c r="P7" s="26">
        <v>8.0</v>
      </c>
      <c r="Q7" s="26">
        <v>7885114.0</v>
      </c>
      <c r="R7" s="26">
        <v>12.0</v>
      </c>
      <c r="S7" s="26">
        <v>1.4239193E7</v>
      </c>
      <c r="T7" s="26">
        <v>12.0</v>
      </c>
      <c r="U7" s="26">
        <v>1.4239193E7</v>
      </c>
      <c r="V7" s="26">
        <v>10.0</v>
      </c>
      <c r="W7" s="26">
        <v>1.3770459E7</v>
      </c>
      <c r="X7" s="26">
        <v>10.0</v>
      </c>
      <c r="Y7" s="26">
        <v>1.3770459E7</v>
      </c>
      <c r="Z7" s="26">
        <v>105.0</v>
      </c>
      <c r="AA7" s="26">
        <v>1.34221683E8</v>
      </c>
      <c r="AB7" s="26">
        <v>105.0</v>
      </c>
      <c r="AC7" s="26">
        <v>1.34221683E8</v>
      </c>
    </row>
    <row r="8" ht="16.5" customHeight="1">
      <c r="A8" s="25" t="s">
        <v>81</v>
      </c>
      <c r="B8" s="26">
        <v>9.0</v>
      </c>
      <c r="C8" s="26">
        <v>1.5634679E7</v>
      </c>
      <c r="D8" s="26">
        <v>9.0</v>
      </c>
      <c r="E8" s="26">
        <v>1.5634679E7</v>
      </c>
      <c r="F8" s="26">
        <f>4+1</f>
        <v>5</v>
      </c>
      <c r="G8" s="26">
        <f>7063704+2862769</f>
        <v>9926473</v>
      </c>
      <c r="H8" s="26">
        <f>4+1</f>
        <v>5</v>
      </c>
      <c r="I8" s="26">
        <f>7063704+2862769</f>
        <v>9926473</v>
      </c>
      <c r="J8" s="26">
        <v>5.0</v>
      </c>
      <c r="K8" s="26">
        <v>1.1090615E7</v>
      </c>
      <c r="L8" s="26">
        <v>5.0</v>
      </c>
      <c r="M8" s="26">
        <v>1.1090615E7</v>
      </c>
      <c r="N8" s="26">
        <v>1.0</v>
      </c>
      <c r="O8" s="26">
        <v>1157522.0</v>
      </c>
      <c r="P8" s="26">
        <v>1.0</v>
      </c>
      <c r="Q8" s="26">
        <v>1157522.0</v>
      </c>
      <c r="R8" s="26">
        <v>3.0</v>
      </c>
      <c r="S8" s="26">
        <v>3774162.0</v>
      </c>
      <c r="T8" s="26">
        <v>3.0</v>
      </c>
      <c r="U8" s="26">
        <v>3774162.0</v>
      </c>
      <c r="V8" s="26">
        <v>2.0</v>
      </c>
      <c r="W8" s="26">
        <v>2318236.0</v>
      </c>
      <c r="X8" s="26">
        <v>2.0</v>
      </c>
      <c r="Y8" s="26">
        <v>2318236.0</v>
      </c>
      <c r="Z8" s="26">
        <v>25.0</v>
      </c>
      <c r="AA8" s="26">
        <v>4.4147314E7</v>
      </c>
      <c r="AB8" s="26">
        <v>25.0</v>
      </c>
      <c r="AC8" s="26">
        <v>4.4147314E7</v>
      </c>
    </row>
    <row r="9" ht="16.5" customHeight="1">
      <c r="A9" s="25" t="s">
        <v>96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>
        <v>3.0</v>
      </c>
      <c r="S9" s="26">
        <v>7166617.0</v>
      </c>
      <c r="T9" s="26"/>
      <c r="U9" s="26"/>
      <c r="V9" s="26"/>
      <c r="W9" s="26"/>
      <c r="X9" s="26"/>
      <c r="Y9" s="26"/>
      <c r="Z9" s="26">
        <v>13.0</v>
      </c>
      <c r="AA9" s="26">
        <v>5.591E7</v>
      </c>
      <c r="AB9" s="26">
        <v>6.0</v>
      </c>
      <c r="AC9" s="26">
        <v>2.7845E7</v>
      </c>
    </row>
    <row r="10" ht="16.5" customHeight="1">
      <c r="A10" s="25" t="s">
        <v>101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>
        <v>0.0</v>
      </c>
      <c r="S10" s="26">
        <v>0.0</v>
      </c>
      <c r="T10" s="26"/>
      <c r="U10" s="26"/>
      <c r="V10" s="26"/>
      <c r="W10" s="26"/>
      <c r="X10" s="26"/>
      <c r="Y10" s="26"/>
      <c r="Z10" s="26">
        <v>6.0</v>
      </c>
      <c r="AA10" s="26">
        <v>2.4069213E7</v>
      </c>
      <c r="AB10" s="26">
        <v>3.0</v>
      </c>
      <c r="AC10" s="26">
        <v>1.2208037E7</v>
      </c>
    </row>
    <row r="11" ht="16.5" customHeight="1">
      <c r="A11" s="25" t="s">
        <v>103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16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16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16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16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16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16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16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16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16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6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6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6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6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6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6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6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6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4:E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4:A6"/>
    <mergeCell ref="F4:I4"/>
    <mergeCell ref="J4:M4"/>
    <mergeCell ref="N4:Q4"/>
    <mergeCell ref="R4:U4"/>
    <mergeCell ref="V4:Y4"/>
    <mergeCell ref="Z4:AC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11.57"/>
    <col customWidth="1" min="2" max="2" width="22.14"/>
    <col customWidth="1" min="3" max="3" width="28.43"/>
    <col customWidth="1" min="4" max="4" width="12.86"/>
    <col customWidth="1" min="5" max="5" width="30.57"/>
    <col customWidth="1" min="6" max="22" width="8.86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7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7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 t="s">
        <v>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 t="s">
        <v>14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 t="s">
        <v>16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 t="s">
        <v>20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 t="s">
        <v>27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 t="s">
        <v>32</v>
      </c>
      <c r="B18" s="1" t="s">
        <v>33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 t="s">
        <v>34</v>
      </c>
      <c r="B19" s="1" t="s">
        <v>35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 t="s">
        <v>36</v>
      </c>
      <c r="B20" s="1" t="s">
        <v>37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 t="s">
        <v>45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 t="s">
        <v>32</v>
      </c>
      <c r="B24" s="1" t="s">
        <v>46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 t="s">
        <v>34</v>
      </c>
      <c r="B25" s="1" t="s">
        <v>49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 t="s">
        <v>57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 t="s">
        <v>66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 t="s">
        <v>67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 t="s">
        <v>70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 t="s">
        <v>71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 t="s">
        <v>75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 t="s">
        <v>86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 t="s">
        <v>94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 outlineLevelCol="1"/>
  <cols>
    <col customWidth="1" min="1" max="1" width="5.43"/>
    <col customWidth="1" min="2" max="2" width="13.14"/>
    <col customWidth="1" min="3" max="3" width="5.0"/>
    <col customWidth="1" min="4" max="4" width="21.14"/>
    <col customWidth="1" min="5" max="5" width="11.57"/>
    <col customWidth="1" min="6" max="11" width="11.57" outlineLevel="1"/>
    <col customWidth="1" min="12" max="13" width="14.14" outlineLevel="1"/>
    <col customWidth="1" min="14" max="14" width="11.57"/>
    <col customWidth="1" min="15" max="15" width="10.14"/>
    <col customWidth="1" min="16" max="17" width="8.71"/>
    <col customWidth="1" min="18" max="19" width="11.43"/>
    <col customWidth="1" hidden="1" min="20" max="20" width="15.0"/>
    <col customWidth="1" hidden="1" min="21" max="21" width="13.43"/>
    <col customWidth="1" hidden="1" min="22" max="22" width="9.57"/>
    <col customWidth="1" hidden="1" min="23" max="23" width="14.57"/>
    <col customWidth="1" hidden="1" min="24" max="24" width="7.14"/>
    <col customWidth="1" min="25" max="25" width="7.14"/>
    <col customWidth="1" min="26" max="26" width="19.86"/>
    <col customWidth="1" min="27" max="27" width="11.57"/>
    <col customWidth="1" min="28" max="29" width="8.71"/>
    <col customWidth="1" min="30" max="30" width="5.43"/>
    <col customWidth="1" min="31" max="31" width="13.14"/>
    <col customWidth="1" min="32" max="32" width="5.0"/>
    <col customWidth="1" min="33" max="33" width="21.14"/>
    <col customWidth="1" min="34" max="34" width="11.57"/>
    <col customWidth="1" min="35" max="40" width="11.57" outlineLevel="1"/>
    <col customWidth="1" min="41" max="42" width="14.14" outlineLevel="1"/>
    <col customWidth="1" min="43" max="43" width="11.57"/>
    <col customWidth="1" min="44" max="44" width="10.14"/>
    <col customWidth="1" min="45" max="46" width="8.71"/>
    <col customWidth="1" min="47" max="48" width="11.43"/>
    <col customWidth="1" hidden="1" min="49" max="49" width="15.0"/>
    <col customWidth="1" hidden="1" min="50" max="50" width="13.43"/>
    <col customWidth="1" hidden="1" min="51" max="51" width="9.57"/>
    <col customWidth="1" hidden="1" min="52" max="52" width="14.57"/>
    <col customWidth="1" hidden="1" min="53" max="53" width="7.14"/>
    <col customWidth="1" min="54" max="54" width="7.14"/>
    <col customWidth="1" min="55" max="55" width="19.86"/>
    <col customWidth="1" min="56" max="56" width="11.57"/>
  </cols>
  <sheetData>
    <row r="1" ht="14.25" customHeight="1">
      <c r="A1" s="24" t="s">
        <v>58</v>
      </c>
      <c r="Y1" s="27"/>
      <c r="AD1" s="24" t="s">
        <v>69</v>
      </c>
      <c r="BB1" s="27"/>
    </row>
    <row r="2" ht="14.25" customHeight="1">
      <c r="A2" s="24" t="s">
        <v>77</v>
      </c>
      <c r="Y2" s="27"/>
      <c r="AD2" s="24" t="s">
        <v>77</v>
      </c>
      <c r="BB2" s="27"/>
    </row>
    <row r="3" ht="16.5" customHeight="1">
      <c r="A3" s="28" t="s">
        <v>84</v>
      </c>
      <c r="B3" s="28" t="s">
        <v>105</v>
      </c>
      <c r="C3" s="28"/>
      <c r="D3" s="28" t="s">
        <v>109</v>
      </c>
      <c r="E3" s="29" t="s">
        <v>112</v>
      </c>
      <c r="F3" s="29" t="s">
        <v>116</v>
      </c>
      <c r="G3" s="30" t="s">
        <v>123</v>
      </c>
      <c r="H3" s="31"/>
      <c r="I3" s="32"/>
      <c r="J3" s="33"/>
      <c r="K3" s="34" t="s">
        <v>129</v>
      </c>
      <c r="L3" s="31"/>
      <c r="M3" s="35"/>
      <c r="N3" s="36" t="s">
        <v>116</v>
      </c>
      <c r="O3" s="37" t="s">
        <v>140</v>
      </c>
      <c r="P3" s="38" t="s">
        <v>166</v>
      </c>
      <c r="Q3" s="31"/>
      <c r="R3" s="31"/>
      <c r="S3" s="35"/>
      <c r="T3" s="39" t="s">
        <v>140</v>
      </c>
      <c r="U3" s="31"/>
      <c r="V3" s="35"/>
      <c r="W3" s="29" t="s">
        <v>171</v>
      </c>
      <c r="X3" s="29" t="s">
        <v>172</v>
      </c>
      <c r="Y3" s="40"/>
      <c r="Z3" s="41" t="s">
        <v>176</v>
      </c>
      <c r="AD3" s="28" t="s">
        <v>84</v>
      </c>
      <c r="AE3" s="28" t="s">
        <v>105</v>
      </c>
      <c r="AF3" s="28"/>
      <c r="AG3" s="28" t="s">
        <v>109</v>
      </c>
      <c r="AH3" s="29" t="s">
        <v>112</v>
      </c>
      <c r="AI3" s="29" t="s">
        <v>116</v>
      </c>
      <c r="AJ3" s="30" t="s">
        <v>123</v>
      </c>
      <c r="AK3" s="31"/>
      <c r="AL3" s="32"/>
      <c r="AM3" s="33"/>
      <c r="AN3" s="34" t="s">
        <v>129</v>
      </c>
      <c r="AO3" s="31"/>
      <c r="AP3" s="35"/>
      <c r="AQ3" s="36" t="s">
        <v>116</v>
      </c>
      <c r="AR3" s="37" t="s">
        <v>140</v>
      </c>
      <c r="AS3" s="38" t="s">
        <v>166</v>
      </c>
      <c r="AT3" s="31"/>
      <c r="AU3" s="31"/>
      <c r="AV3" s="35"/>
      <c r="AW3" s="39" t="s">
        <v>140</v>
      </c>
      <c r="AX3" s="31"/>
      <c r="AY3" s="35"/>
      <c r="AZ3" s="29" t="s">
        <v>171</v>
      </c>
      <c r="BA3" s="29" t="s">
        <v>172</v>
      </c>
      <c r="BB3" s="40"/>
      <c r="BC3" s="41" t="s">
        <v>176</v>
      </c>
    </row>
    <row r="4" ht="14.25" customHeight="1">
      <c r="A4" s="42"/>
      <c r="B4" s="42"/>
      <c r="C4" s="42"/>
      <c r="D4" s="42"/>
      <c r="E4" s="42"/>
      <c r="F4" s="42"/>
      <c r="G4" s="43" t="s">
        <v>199</v>
      </c>
      <c r="H4" s="43" t="s">
        <v>200</v>
      </c>
      <c r="I4" s="43" t="s">
        <v>201</v>
      </c>
      <c r="J4" s="43" t="s">
        <v>203</v>
      </c>
      <c r="K4" s="44" t="s">
        <v>201</v>
      </c>
      <c r="L4" s="45" t="s">
        <v>204</v>
      </c>
      <c r="M4" s="45" t="s">
        <v>203</v>
      </c>
      <c r="N4" s="42"/>
      <c r="O4" s="42"/>
      <c r="P4" s="46" t="s">
        <v>199</v>
      </c>
      <c r="Q4" s="46" t="s">
        <v>200</v>
      </c>
      <c r="R4" s="46" t="s">
        <v>201</v>
      </c>
      <c r="S4" s="46" t="s">
        <v>207</v>
      </c>
      <c r="T4" s="43" t="s">
        <v>199</v>
      </c>
      <c r="U4" s="43" t="s">
        <v>200</v>
      </c>
      <c r="V4" s="43" t="s">
        <v>201</v>
      </c>
      <c r="W4" s="42"/>
      <c r="X4" s="42"/>
      <c r="Y4" s="47"/>
      <c r="Z4" s="48"/>
      <c r="AD4" s="42"/>
      <c r="AE4" s="42"/>
      <c r="AF4" s="42"/>
      <c r="AG4" s="42"/>
      <c r="AH4" s="42"/>
      <c r="AI4" s="42"/>
      <c r="AJ4" s="43" t="s">
        <v>199</v>
      </c>
      <c r="AK4" s="43" t="s">
        <v>200</v>
      </c>
      <c r="AL4" s="43" t="s">
        <v>201</v>
      </c>
      <c r="AM4" s="43" t="s">
        <v>203</v>
      </c>
      <c r="AN4" s="44" t="s">
        <v>201</v>
      </c>
      <c r="AO4" s="45" t="s">
        <v>204</v>
      </c>
      <c r="AP4" s="45" t="s">
        <v>203</v>
      </c>
      <c r="AQ4" s="42"/>
      <c r="AR4" s="42"/>
      <c r="AS4" s="46" t="s">
        <v>199</v>
      </c>
      <c r="AT4" s="46" t="s">
        <v>200</v>
      </c>
      <c r="AU4" s="46" t="s">
        <v>201</v>
      </c>
      <c r="AV4" s="46" t="s">
        <v>207</v>
      </c>
      <c r="AW4" s="43" t="s">
        <v>199</v>
      </c>
      <c r="AX4" s="43" t="s">
        <v>200</v>
      </c>
      <c r="AY4" s="43" t="s">
        <v>201</v>
      </c>
      <c r="AZ4" s="42"/>
      <c r="BA4" s="42"/>
      <c r="BB4" s="47"/>
      <c r="BC4" s="48"/>
    </row>
    <row r="5" ht="14.25" customHeight="1">
      <c r="A5" s="49" t="s">
        <v>218</v>
      </c>
      <c r="B5" s="50"/>
      <c r="C5" s="50"/>
      <c r="D5" s="49"/>
      <c r="E5" s="51">
        <f>SUM(E6:E91)</f>
        <v>273</v>
      </c>
      <c r="F5" s="51"/>
      <c r="G5" s="51">
        <f t="shared" ref="G5:K5" si="1">SUM(G6:G91)</f>
        <v>109</v>
      </c>
      <c r="H5" s="51">
        <f t="shared" si="1"/>
        <v>27</v>
      </c>
      <c r="I5" s="51">
        <f t="shared" si="1"/>
        <v>137</v>
      </c>
      <c r="J5" s="51">
        <f t="shared" si="1"/>
        <v>273</v>
      </c>
      <c r="K5" s="45">
        <f t="shared" si="1"/>
        <v>83</v>
      </c>
      <c r="L5" s="45"/>
      <c r="M5" s="45">
        <f>SUM(M6:M91)</f>
        <v>83</v>
      </c>
      <c r="N5" s="52"/>
      <c r="O5" s="52"/>
      <c r="P5" s="52">
        <f t="shared" ref="P5:S5" si="2">SUM(P6:P91)</f>
        <v>102</v>
      </c>
      <c r="Q5" s="52">
        <f t="shared" si="2"/>
        <v>27</v>
      </c>
      <c r="R5" s="52">
        <f t="shared" si="2"/>
        <v>167</v>
      </c>
      <c r="S5" s="52">
        <f t="shared" si="2"/>
        <v>296</v>
      </c>
      <c r="T5" s="53">
        <v>5.31336731E8</v>
      </c>
      <c r="U5" s="53">
        <v>1.70439257E8</v>
      </c>
      <c r="V5" s="51">
        <f>SUM(V6:V91)</f>
        <v>0</v>
      </c>
      <c r="W5" s="51"/>
      <c r="X5" s="51"/>
      <c r="Y5" s="54"/>
      <c r="Z5" s="48"/>
      <c r="AD5" s="49" t="s">
        <v>218</v>
      </c>
      <c r="AE5" s="50"/>
      <c r="AF5" s="50"/>
      <c r="AG5" s="49"/>
      <c r="AH5" s="51">
        <f>SUM(AH6:AH91)</f>
        <v>273</v>
      </c>
      <c r="AI5" s="51"/>
      <c r="AJ5" s="51">
        <f t="shared" ref="AJ5:AN5" si="3">SUM(AJ6:AJ91)</f>
        <v>109</v>
      </c>
      <c r="AK5" s="51">
        <f t="shared" si="3"/>
        <v>27</v>
      </c>
      <c r="AL5" s="51">
        <f t="shared" si="3"/>
        <v>137</v>
      </c>
      <c r="AM5" s="51">
        <f t="shared" si="3"/>
        <v>273</v>
      </c>
      <c r="AN5" s="45">
        <f t="shared" si="3"/>
        <v>83</v>
      </c>
      <c r="AO5" s="45"/>
      <c r="AP5" s="45">
        <f>SUM(AP6:AP91)</f>
        <v>83</v>
      </c>
      <c r="AQ5" s="52"/>
      <c r="AR5" s="52"/>
      <c r="AS5" s="52">
        <f t="shared" ref="AS5:AV5" si="4">SUM(AS6:AS91)</f>
        <v>102</v>
      </c>
      <c r="AT5" s="52">
        <f t="shared" si="4"/>
        <v>27</v>
      </c>
      <c r="AU5" s="52">
        <f t="shared" si="4"/>
        <v>167</v>
      </c>
      <c r="AV5" s="52">
        <f t="shared" si="4"/>
        <v>296</v>
      </c>
      <c r="AW5" s="53">
        <v>5.31336731E8</v>
      </c>
      <c r="AX5" s="53">
        <v>1.70439257E8</v>
      </c>
      <c r="AY5" s="51">
        <f>SUM(AY6:AY91)</f>
        <v>0</v>
      </c>
      <c r="AZ5" s="51"/>
      <c r="BA5" s="51"/>
      <c r="BB5" s="54"/>
      <c r="BC5" s="48"/>
    </row>
    <row r="6" ht="16.5" customHeight="1">
      <c r="A6" s="56">
        <v>1.0</v>
      </c>
      <c r="B6" s="57" t="s">
        <v>264</v>
      </c>
      <c r="C6" s="57"/>
      <c r="D6" s="58"/>
      <c r="E6" s="59">
        <v>1.0</v>
      </c>
      <c r="F6" s="59"/>
      <c r="G6" s="59">
        <v>1.0</v>
      </c>
      <c r="H6" s="59"/>
      <c r="I6" s="59"/>
      <c r="J6" s="60">
        <f t="shared" ref="J6:J91" si="5">SUM(G6:I6)</f>
        <v>1</v>
      </c>
      <c r="K6" s="59"/>
      <c r="L6" s="59"/>
      <c r="M6" s="60" t="str">
        <f t="shared" ref="M6:M91" si="6">K6</f>
        <v/>
      </c>
      <c r="N6" s="61"/>
      <c r="O6" s="62"/>
      <c r="P6" s="62"/>
      <c r="Q6" s="62">
        <v>1.0</v>
      </c>
      <c r="R6" s="62"/>
      <c r="S6" s="62">
        <f t="shared" ref="S6:S91" si="7">SUM(P6:R6)</f>
        <v>1</v>
      </c>
      <c r="T6" s="58"/>
      <c r="U6" s="58"/>
      <c r="V6" s="58"/>
      <c r="W6" s="59"/>
      <c r="X6" s="59"/>
      <c r="Y6" s="63">
        <f t="shared" ref="Y6:Y91" si="8">S6-E6</f>
        <v>0</v>
      </c>
      <c r="Z6" s="64"/>
      <c r="AD6" s="56">
        <v>1.0</v>
      </c>
      <c r="AE6" s="57" t="s">
        <v>264</v>
      </c>
      <c r="AF6" s="57"/>
      <c r="AG6" s="58"/>
      <c r="AH6" s="59">
        <v>1.0</v>
      </c>
      <c r="AI6" s="59"/>
      <c r="AJ6" s="59">
        <v>1.0</v>
      </c>
      <c r="AK6" s="59"/>
      <c r="AL6" s="59"/>
      <c r="AM6" s="60">
        <f t="shared" ref="AM6:AM91" si="9">SUM(AJ6:AL6)</f>
        <v>1</v>
      </c>
      <c r="AN6" s="59"/>
      <c r="AO6" s="59"/>
      <c r="AP6" s="60" t="str">
        <f t="shared" ref="AP6:AP91" si="10">AN6</f>
        <v/>
      </c>
      <c r="AQ6" s="61"/>
      <c r="AR6" s="62"/>
      <c r="AS6" s="62"/>
      <c r="AT6" s="62">
        <v>1.0</v>
      </c>
      <c r="AU6" s="62"/>
      <c r="AV6" s="62">
        <f t="shared" ref="AV6:AV91" si="11">SUM(AS6:AU6)</f>
        <v>1</v>
      </c>
      <c r="AW6" s="58"/>
      <c r="AX6" s="58"/>
      <c r="AY6" s="58"/>
      <c r="AZ6" s="59"/>
      <c r="BA6" s="59"/>
      <c r="BB6" s="63">
        <f t="shared" ref="BB6:BB91" si="12">AV6-AH6</f>
        <v>0</v>
      </c>
      <c r="BC6" s="64"/>
    </row>
    <row r="7" ht="16.5" customHeight="1">
      <c r="A7" s="56">
        <v>2.0</v>
      </c>
      <c r="B7" s="57" t="s">
        <v>289</v>
      </c>
      <c r="C7" s="57"/>
      <c r="D7" s="58"/>
      <c r="E7" s="59">
        <v>1.0</v>
      </c>
      <c r="F7" s="59"/>
      <c r="G7" s="59">
        <v>1.0</v>
      </c>
      <c r="H7" s="59"/>
      <c r="I7" s="59"/>
      <c r="J7" s="60">
        <f t="shared" si="5"/>
        <v>1</v>
      </c>
      <c r="K7" s="59"/>
      <c r="L7" s="59"/>
      <c r="M7" s="60" t="str">
        <f t="shared" si="6"/>
        <v/>
      </c>
      <c r="N7" s="61"/>
      <c r="O7" s="62"/>
      <c r="P7" s="62"/>
      <c r="Q7" s="62">
        <v>1.0</v>
      </c>
      <c r="R7" s="62"/>
      <c r="S7" s="62">
        <f t="shared" si="7"/>
        <v>1</v>
      </c>
      <c r="T7" s="58"/>
      <c r="U7" s="58"/>
      <c r="V7" s="58"/>
      <c r="W7" s="59"/>
      <c r="X7" s="59"/>
      <c r="Y7" s="63">
        <f t="shared" si="8"/>
        <v>0</v>
      </c>
      <c r="Z7" s="64"/>
      <c r="AD7" s="56">
        <v>2.0</v>
      </c>
      <c r="AE7" s="57" t="s">
        <v>289</v>
      </c>
      <c r="AF7" s="57"/>
      <c r="AG7" s="58"/>
      <c r="AH7" s="59">
        <v>1.0</v>
      </c>
      <c r="AI7" s="59"/>
      <c r="AJ7" s="59">
        <v>1.0</v>
      </c>
      <c r="AK7" s="59"/>
      <c r="AL7" s="59"/>
      <c r="AM7" s="60">
        <f t="shared" si="9"/>
        <v>1</v>
      </c>
      <c r="AN7" s="59"/>
      <c r="AO7" s="59"/>
      <c r="AP7" s="60" t="str">
        <f t="shared" si="10"/>
        <v/>
      </c>
      <c r="AQ7" s="61"/>
      <c r="AR7" s="62"/>
      <c r="AS7" s="62"/>
      <c r="AT7" s="62">
        <v>1.0</v>
      </c>
      <c r="AU7" s="62"/>
      <c r="AV7" s="62">
        <f t="shared" si="11"/>
        <v>1</v>
      </c>
      <c r="AW7" s="58"/>
      <c r="AX7" s="58"/>
      <c r="AY7" s="58"/>
      <c r="AZ7" s="59"/>
      <c r="BA7" s="59"/>
      <c r="BB7" s="63">
        <f t="shared" si="12"/>
        <v>0</v>
      </c>
      <c r="BC7" s="64"/>
    </row>
    <row r="8" ht="18.75" customHeight="1">
      <c r="A8" s="65">
        <v>3.0</v>
      </c>
      <c r="B8" s="66" t="s">
        <v>300</v>
      </c>
      <c r="C8" s="66"/>
      <c r="D8" s="67"/>
      <c r="E8" s="60">
        <f t="shared" ref="E8:E48" si="13">SUM(G8:I8)</f>
        <v>1</v>
      </c>
      <c r="F8" s="60"/>
      <c r="G8" s="60">
        <v>1.0</v>
      </c>
      <c r="H8" s="60"/>
      <c r="I8" s="60"/>
      <c r="J8" s="60">
        <f t="shared" si="5"/>
        <v>1</v>
      </c>
      <c r="K8" s="60"/>
      <c r="L8" s="60"/>
      <c r="M8" s="60" t="str">
        <f t="shared" si="6"/>
        <v/>
      </c>
      <c r="N8" s="68"/>
      <c r="O8" s="69"/>
      <c r="P8" s="69"/>
      <c r="Q8" s="69"/>
      <c r="R8" s="69"/>
      <c r="S8" s="62">
        <f t="shared" si="7"/>
        <v>0</v>
      </c>
      <c r="T8" s="67"/>
      <c r="U8" s="67"/>
      <c r="V8" s="67"/>
      <c r="W8" s="60"/>
      <c r="X8" s="60"/>
      <c r="Y8" s="63">
        <f t="shared" si="8"/>
        <v>-1</v>
      </c>
      <c r="Z8" s="64"/>
      <c r="AD8" s="65">
        <v>3.0</v>
      </c>
      <c r="AE8" s="66" t="s">
        <v>300</v>
      </c>
      <c r="AF8" s="66"/>
      <c r="AG8" s="67"/>
      <c r="AH8" s="60">
        <f t="shared" ref="AH8:AH48" si="14">SUM(AJ8:AL8)</f>
        <v>1</v>
      </c>
      <c r="AI8" s="60"/>
      <c r="AJ8" s="60">
        <v>1.0</v>
      </c>
      <c r="AK8" s="60"/>
      <c r="AL8" s="60"/>
      <c r="AM8" s="60">
        <f t="shared" si="9"/>
        <v>1</v>
      </c>
      <c r="AN8" s="60"/>
      <c r="AO8" s="60"/>
      <c r="AP8" s="60" t="str">
        <f t="shared" si="10"/>
        <v/>
      </c>
      <c r="AQ8" s="68"/>
      <c r="AR8" s="69"/>
      <c r="AS8" s="69"/>
      <c r="AT8" s="69"/>
      <c r="AU8" s="69"/>
      <c r="AV8" s="62">
        <f t="shared" si="11"/>
        <v>0</v>
      </c>
      <c r="AW8" s="67"/>
      <c r="AX8" s="67"/>
      <c r="AY8" s="67"/>
      <c r="AZ8" s="60"/>
      <c r="BA8" s="60"/>
      <c r="BB8" s="63">
        <f t="shared" si="12"/>
        <v>-1</v>
      </c>
      <c r="BC8" s="64"/>
    </row>
    <row r="9" ht="14.25" customHeight="1">
      <c r="A9" s="70">
        <v>4.0</v>
      </c>
      <c r="B9" s="71" t="s">
        <v>314</v>
      </c>
      <c r="C9" s="72"/>
      <c r="D9" s="73" t="s">
        <v>316</v>
      </c>
      <c r="E9" s="74">
        <f t="shared" si="13"/>
        <v>2</v>
      </c>
      <c r="F9" s="74">
        <v>1.0</v>
      </c>
      <c r="G9" s="74">
        <v>1.0</v>
      </c>
      <c r="H9" s="74">
        <v>1.0</v>
      </c>
      <c r="I9" s="74"/>
      <c r="J9" s="74">
        <f t="shared" si="5"/>
        <v>2</v>
      </c>
      <c r="K9" s="74"/>
      <c r="L9" s="74"/>
      <c r="M9" s="74" t="str">
        <f t="shared" si="6"/>
        <v/>
      </c>
      <c r="N9" s="74">
        <v>1.0</v>
      </c>
      <c r="O9" s="75"/>
      <c r="P9" s="75">
        <v>1.0</v>
      </c>
      <c r="Q9" s="75">
        <v>1.0</v>
      </c>
      <c r="R9" s="75"/>
      <c r="S9" s="76">
        <f t="shared" si="7"/>
        <v>2</v>
      </c>
      <c r="T9" s="75"/>
      <c r="U9" s="75"/>
      <c r="V9" s="75"/>
      <c r="W9" s="74"/>
      <c r="X9" s="74"/>
      <c r="Y9" s="63">
        <f t="shared" si="8"/>
        <v>0</v>
      </c>
      <c r="Z9" s="77"/>
      <c r="AA9" s="78"/>
      <c r="AB9" s="78"/>
      <c r="AC9" s="78"/>
      <c r="AD9" s="70">
        <v>4.0</v>
      </c>
      <c r="AE9" s="71" t="s">
        <v>314</v>
      </c>
      <c r="AF9" s="72"/>
      <c r="AG9" s="73" t="s">
        <v>316</v>
      </c>
      <c r="AH9" s="74">
        <f t="shared" si="14"/>
        <v>2</v>
      </c>
      <c r="AI9" s="74">
        <v>1.0</v>
      </c>
      <c r="AJ9" s="74">
        <v>1.0</v>
      </c>
      <c r="AK9" s="74">
        <v>1.0</v>
      </c>
      <c r="AL9" s="74"/>
      <c r="AM9" s="74">
        <f t="shared" si="9"/>
        <v>2</v>
      </c>
      <c r="AN9" s="74"/>
      <c r="AO9" s="74"/>
      <c r="AP9" s="74" t="str">
        <f t="shared" si="10"/>
        <v/>
      </c>
      <c r="AQ9" s="74">
        <v>1.0</v>
      </c>
      <c r="AR9" s="75"/>
      <c r="AS9" s="75">
        <v>1.0</v>
      </c>
      <c r="AT9" s="75">
        <v>1.0</v>
      </c>
      <c r="AU9" s="75"/>
      <c r="AV9" s="76">
        <f t="shared" si="11"/>
        <v>2</v>
      </c>
      <c r="AW9" s="75"/>
      <c r="AX9" s="75"/>
      <c r="AY9" s="75"/>
      <c r="AZ9" s="74"/>
      <c r="BA9" s="74"/>
      <c r="BB9" s="63">
        <f t="shared" si="12"/>
        <v>0</v>
      </c>
      <c r="BC9" s="77"/>
      <c r="BD9" s="78"/>
    </row>
    <row r="10" ht="14.25" customHeight="1">
      <c r="A10" s="70"/>
      <c r="B10" s="15"/>
      <c r="C10" s="79"/>
      <c r="D10" s="73" t="s">
        <v>331</v>
      </c>
      <c r="E10" s="74">
        <f t="shared" si="13"/>
        <v>1</v>
      </c>
      <c r="F10" s="74">
        <v>1.0</v>
      </c>
      <c r="G10" s="74">
        <v>1.0</v>
      </c>
      <c r="H10" s="74"/>
      <c r="I10" s="74"/>
      <c r="J10" s="74">
        <f t="shared" si="5"/>
        <v>1</v>
      </c>
      <c r="K10" s="74"/>
      <c r="L10" s="74"/>
      <c r="M10" s="74" t="str">
        <f t="shared" si="6"/>
        <v/>
      </c>
      <c r="N10" s="74">
        <v>1.0</v>
      </c>
      <c r="O10" s="75"/>
      <c r="P10" s="75"/>
      <c r="Q10" s="75">
        <v>1.0</v>
      </c>
      <c r="R10" s="75">
        <v>1.0</v>
      </c>
      <c r="S10" s="76">
        <f t="shared" si="7"/>
        <v>2</v>
      </c>
      <c r="T10" s="75"/>
      <c r="U10" s="75"/>
      <c r="V10" s="75"/>
      <c r="W10" s="74"/>
      <c r="X10" s="74"/>
      <c r="Y10" s="63">
        <f t="shared" si="8"/>
        <v>1</v>
      </c>
      <c r="Z10" s="77"/>
      <c r="AA10" s="78"/>
      <c r="AB10" s="78"/>
      <c r="AC10" s="78"/>
      <c r="AD10" s="70"/>
      <c r="AE10" s="15"/>
      <c r="AF10" s="79"/>
      <c r="AG10" s="73" t="s">
        <v>331</v>
      </c>
      <c r="AH10" s="74">
        <f t="shared" si="14"/>
        <v>1</v>
      </c>
      <c r="AI10" s="74">
        <v>1.0</v>
      </c>
      <c r="AJ10" s="74">
        <v>1.0</v>
      </c>
      <c r="AK10" s="74"/>
      <c r="AL10" s="74"/>
      <c r="AM10" s="74">
        <f t="shared" si="9"/>
        <v>1</v>
      </c>
      <c r="AN10" s="74"/>
      <c r="AO10" s="74"/>
      <c r="AP10" s="74" t="str">
        <f t="shared" si="10"/>
        <v/>
      </c>
      <c r="AQ10" s="74">
        <v>1.0</v>
      </c>
      <c r="AR10" s="75"/>
      <c r="AS10" s="75"/>
      <c r="AT10" s="75">
        <v>1.0</v>
      </c>
      <c r="AU10" s="75">
        <v>1.0</v>
      </c>
      <c r="AV10" s="76">
        <f t="shared" si="11"/>
        <v>2</v>
      </c>
      <c r="AW10" s="75"/>
      <c r="AX10" s="75"/>
      <c r="AY10" s="75"/>
      <c r="AZ10" s="74"/>
      <c r="BA10" s="74"/>
      <c r="BB10" s="63">
        <f t="shared" si="12"/>
        <v>1</v>
      </c>
      <c r="BC10" s="77"/>
      <c r="BD10" s="78"/>
    </row>
    <row r="11" ht="14.25" customHeight="1">
      <c r="A11" s="70"/>
      <c r="B11" s="15"/>
      <c r="C11" s="79"/>
      <c r="D11" s="73" t="s">
        <v>341</v>
      </c>
      <c r="E11" s="74">
        <f t="shared" si="13"/>
        <v>1</v>
      </c>
      <c r="F11" s="74">
        <v>1.0</v>
      </c>
      <c r="G11" s="74"/>
      <c r="H11" s="74">
        <v>1.0</v>
      </c>
      <c r="I11" s="74"/>
      <c r="J11" s="74">
        <f t="shared" si="5"/>
        <v>1</v>
      </c>
      <c r="K11" s="74"/>
      <c r="L11" s="74"/>
      <c r="M11" s="74" t="str">
        <f t="shared" si="6"/>
        <v/>
      </c>
      <c r="N11" s="74">
        <v>1.0</v>
      </c>
      <c r="O11" s="75"/>
      <c r="P11" s="75"/>
      <c r="Q11" s="75">
        <v>1.0</v>
      </c>
      <c r="R11" s="75"/>
      <c r="S11" s="76">
        <f t="shared" si="7"/>
        <v>1</v>
      </c>
      <c r="T11" s="75"/>
      <c r="U11" s="75"/>
      <c r="V11" s="75"/>
      <c r="W11" s="74"/>
      <c r="X11" s="74"/>
      <c r="Y11" s="63">
        <f t="shared" si="8"/>
        <v>0</v>
      </c>
      <c r="Z11" s="77"/>
      <c r="AA11" s="78"/>
      <c r="AB11" s="78"/>
      <c r="AC11" s="78"/>
      <c r="AD11" s="70"/>
      <c r="AE11" s="15"/>
      <c r="AF11" s="79"/>
      <c r="AG11" s="73" t="s">
        <v>341</v>
      </c>
      <c r="AH11" s="74">
        <f t="shared" si="14"/>
        <v>1</v>
      </c>
      <c r="AI11" s="74">
        <v>1.0</v>
      </c>
      <c r="AJ11" s="74"/>
      <c r="AK11" s="74">
        <v>1.0</v>
      </c>
      <c r="AL11" s="74"/>
      <c r="AM11" s="74">
        <f t="shared" si="9"/>
        <v>1</v>
      </c>
      <c r="AN11" s="74"/>
      <c r="AO11" s="74"/>
      <c r="AP11" s="74" t="str">
        <f t="shared" si="10"/>
        <v/>
      </c>
      <c r="AQ11" s="74">
        <v>1.0</v>
      </c>
      <c r="AR11" s="75"/>
      <c r="AS11" s="75"/>
      <c r="AT11" s="75">
        <v>1.0</v>
      </c>
      <c r="AU11" s="75"/>
      <c r="AV11" s="76">
        <f t="shared" si="11"/>
        <v>1</v>
      </c>
      <c r="AW11" s="75"/>
      <c r="AX11" s="75"/>
      <c r="AY11" s="75"/>
      <c r="AZ11" s="74"/>
      <c r="BA11" s="74"/>
      <c r="BB11" s="63">
        <f t="shared" si="12"/>
        <v>0</v>
      </c>
      <c r="BC11" s="77"/>
      <c r="BD11" s="78"/>
    </row>
    <row r="12" ht="14.25" customHeight="1">
      <c r="A12" s="70"/>
      <c r="B12" s="22"/>
      <c r="C12" s="80"/>
      <c r="D12" s="73" t="s">
        <v>349</v>
      </c>
      <c r="E12" s="74">
        <f t="shared" si="13"/>
        <v>2</v>
      </c>
      <c r="F12" s="74">
        <v>1.0</v>
      </c>
      <c r="G12" s="74">
        <v>2.0</v>
      </c>
      <c r="H12" s="74"/>
      <c r="I12" s="74"/>
      <c r="J12" s="74">
        <f t="shared" si="5"/>
        <v>2</v>
      </c>
      <c r="K12" s="74"/>
      <c r="L12" s="74"/>
      <c r="M12" s="74" t="str">
        <f t="shared" si="6"/>
        <v/>
      </c>
      <c r="N12" s="74">
        <v>1.0</v>
      </c>
      <c r="O12" s="75"/>
      <c r="P12" s="75">
        <v>2.0</v>
      </c>
      <c r="Q12" s="75"/>
      <c r="R12" s="75"/>
      <c r="S12" s="76">
        <f t="shared" si="7"/>
        <v>2</v>
      </c>
      <c r="T12" s="75"/>
      <c r="U12" s="75"/>
      <c r="V12" s="75"/>
      <c r="W12" s="74"/>
      <c r="X12" s="74"/>
      <c r="Y12" s="63">
        <f t="shared" si="8"/>
        <v>0</v>
      </c>
      <c r="Z12" s="77"/>
      <c r="AA12" s="78"/>
      <c r="AB12" s="78"/>
      <c r="AC12" s="78"/>
      <c r="AD12" s="70"/>
      <c r="AE12" s="22"/>
      <c r="AF12" s="80"/>
      <c r="AG12" s="73" t="s">
        <v>349</v>
      </c>
      <c r="AH12" s="74">
        <f t="shared" si="14"/>
        <v>2</v>
      </c>
      <c r="AI12" s="74">
        <v>1.0</v>
      </c>
      <c r="AJ12" s="74">
        <v>2.0</v>
      </c>
      <c r="AK12" s="74"/>
      <c r="AL12" s="74"/>
      <c r="AM12" s="74">
        <f t="shared" si="9"/>
        <v>2</v>
      </c>
      <c r="AN12" s="74"/>
      <c r="AO12" s="74"/>
      <c r="AP12" s="74" t="str">
        <f t="shared" si="10"/>
        <v/>
      </c>
      <c r="AQ12" s="74">
        <v>1.0</v>
      </c>
      <c r="AR12" s="75"/>
      <c r="AS12" s="75">
        <v>2.0</v>
      </c>
      <c r="AT12" s="75"/>
      <c r="AU12" s="75"/>
      <c r="AV12" s="76">
        <f t="shared" si="11"/>
        <v>2</v>
      </c>
      <c r="AW12" s="75"/>
      <c r="AX12" s="75"/>
      <c r="AY12" s="75"/>
      <c r="AZ12" s="74"/>
      <c r="BA12" s="74"/>
      <c r="BB12" s="63">
        <f t="shared" si="12"/>
        <v>0</v>
      </c>
      <c r="BC12" s="77"/>
      <c r="BD12" s="78"/>
    </row>
    <row r="13" ht="14.25" customHeight="1">
      <c r="A13" s="65">
        <v>5.0</v>
      </c>
      <c r="B13" s="66" t="s">
        <v>360</v>
      </c>
      <c r="C13" s="66"/>
      <c r="D13" s="66" t="s">
        <v>360</v>
      </c>
      <c r="E13" s="60">
        <f t="shared" si="13"/>
        <v>3</v>
      </c>
      <c r="F13" s="60">
        <v>1.0</v>
      </c>
      <c r="G13" s="60">
        <v>2.0</v>
      </c>
      <c r="H13" s="60">
        <v>1.0</v>
      </c>
      <c r="I13" s="60"/>
      <c r="J13" s="60">
        <f t="shared" si="5"/>
        <v>3</v>
      </c>
      <c r="K13" s="60"/>
      <c r="L13" s="60"/>
      <c r="M13" s="60" t="str">
        <f t="shared" si="6"/>
        <v/>
      </c>
      <c r="N13" s="68">
        <v>1.0</v>
      </c>
      <c r="O13" s="69"/>
      <c r="P13" s="69">
        <v>2.0</v>
      </c>
      <c r="Q13" s="69">
        <v>1.0</v>
      </c>
      <c r="R13" s="69"/>
      <c r="S13" s="62">
        <f t="shared" si="7"/>
        <v>3</v>
      </c>
      <c r="T13" s="67"/>
      <c r="U13" s="67"/>
      <c r="V13" s="67"/>
      <c r="W13" s="60"/>
      <c r="X13" s="60"/>
      <c r="Y13" s="63">
        <f t="shared" si="8"/>
        <v>0</v>
      </c>
      <c r="Z13" s="64"/>
      <c r="AD13" s="65">
        <v>5.0</v>
      </c>
      <c r="AE13" s="66" t="s">
        <v>360</v>
      </c>
      <c r="AF13" s="66"/>
      <c r="AG13" s="66" t="s">
        <v>360</v>
      </c>
      <c r="AH13" s="60">
        <f t="shared" si="14"/>
        <v>3</v>
      </c>
      <c r="AI13" s="60">
        <v>1.0</v>
      </c>
      <c r="AJ13" s="60">
        <v>2.0</v>
      </c>
      <c r="AK13" s="60">
        <v>1.0</v>
      </c>
      <c r="AL13" s="60"/>
      <c r="AM13" s="60">
        <f t="shared" si="9"/>
        <v>3</v>
      </c>
      <c r="AN13" s="60"/>
      <c r="AO13" s="60"/>
      <c r="AP13" s="60" t="str">
        <f t="shared" si="10"/>
        <v/>
      </c>
      <c r="AQ13" s="68">
        <v>1.0</v>
      </c>
      <c r="AR13" s="69"/>
      <c r="AS13" s="69">
        <v>2.0</v>
      </c>
      <c r="AT13" s="69">
        <v>1.0</v>
      </c>
      <c r="AU13" s="69"/>
      <c r="AV13" s="62">
        <f t="shared" si="11"/>
        <v>3</v>
      </c>
      <c r="AW13" s="67"/>
      <c r="AX13" s="67"/>
      <c r="AY13" s="67"/>
      <c r="AZ13" s="60"/>
      <c r="BA13" s="60"/>
      <c r="BB13" s="63">
        <f t="shared" si="12"/>
        <v>0</v>
      </c>
      <c r="BC13" s="64"/>
    </row>
    <row r="14" ht="19.5" customHeight="1">
      <c r="A14" s="65"/>
      <c r="B14" s="81" t="s">
        <v>375</v>
      </c>
      <c r="C14" s="81"/>
      <c r="D14" s="66" t="s">
        <v>377</v>
      </c>
      <c r="E14" s="60">
        <f t="shared" si="13"/>
        <v>1</v>
      </c>
      <c r="F14" s="60">
        <v>1.0</v>
      </c>
      <c r="G14" s="60">
        <v>1.0</v>
      </c>
      <c r="H14" s="60"/>
      <c r="I14" s="60"/>
      <c r="J14" s="60">
        <f t="shared" si="5"/>
        <v>1</v>
      </c>
      <c r="K14" s="60">
        <v>1.0</v>
      </c>
      <c r="L14" s="60" t="s">
        <v>380</v>
      </c>
      <c r="M14" s="60">
        <f t="shared" si="6"/>
        <v>1</v>
      </c>
      <c r="N14" s="68">
        <v>1.0</v>
      </c>
      <c r="O14" s="69"/>
      <c r="P14" s="69">
        <v>1.0</v>
      </c>
      <c r="Q14" s="69"/>
      <c r="R14" s="69"/>
      <c r="S14" s="62">
        <f t="shared" si="7"/>
        <v>1</v>
      </c>
      <c r="T14" s="67"/>
      <c r="U14" s="67"/>
      <c r="V14" s="67"/>
      <c r="W14" s="60"/>
      <c r="X14" s="60"/>
      <c r="Y14" s="63">
        <f t="shared" si="8"/>
        <v>0</v>
      </c>
      <c r="Z14" s="64"/>
      <c r="AD14" s="65"/>
      <c r="AE14" s="81" t="s">
        <v>375</v>
      </c>
      <c r="AF14" s="81"/>
      <c r="AG14" s="66" t="s">
        <v>377</v>
      </c>
      <c r="AH14" s="60">
        <f t="shared" si="14"/>
        <v>1</v>
      </c>
      <c r="AI14" s="60">
        <v>1.0</v>
      </c>
      <c r="AJ14" s="60">
        <v>1.0</v>
      </c>
      <c r="AK14" s="60"/>
      <c r="AL14" s="60"/>
      <c r="AM14" s="60">
        <f t="shared" si="9"/>
        <v>1</v>
      </c>
      <c r="AN14" s="60">
        <v>1.0</v>
      </c>
      <c r="AO14" s="60" t="s">
        <v>380</v>
      </c>
      <c r="AP14" s="60">
        <f t="shared" si="10"/>
        <v>1</v>
      </c>
      <c r="AQ14" s="68">
        <v>1.0</v>
      </c>
      <c r="AR14" s="69"/>
      <c r="AS14" s="69">
        <v>1.0</v>
      </c>
      <c r="AT14" s="69"/>
      <c r="AU14" s="69"/>
      <c r="AV14" s="62">
        <f t="shared" si="11"/>
        <v>1</v>
      </c>
      <c r="AW14" s="67"/>
      <c r="AX14" s="67"/>
      <c r="AY14" s="67"/>
      <c r="AZ14" s="60"/>
      <c r="BA14" s="60"/>
      <c r="BB14" s="63">
        <f t="shared" si="12"/>
        <v>0</v>
      </c>
      <c r="BC14" s="64"/>
    </row>
    <row r="15" ht="14.25" customHeight="1">
      <c r="A15" s="65"/>
      <c r="B15" s="82"/>
      <c r="C15" s="82"/>
      <c r="D15" s="66" t="s">
        <v>387</v>
      </c>
      <c r="E15" s="60">
        <f t="shared" si="13"/>
        <v>2</v>
      </c>
      <c r="F15" s="60">
        <v>1.0</v>
      </c>
      <c r="G15" s="60">
        <v>2.0</v>
      </c>
      <c r="H15" s="60"/>
      <c r="I15" s="60"/>
      <c r="J15" s="60">
        <f t="shared" si="5"/>
        <v>2</v>
      </c>
      <c r="K15" s="60"/>
      <c r="L15" s="60"/>
      <c r="M15" s="60" t="str">
        <f t="shared" si="6"/>
        <v/>
      </c>
      <c r="N15" s="68">
        <v>1.0</v>
      </c>
      <c r="O15" s="69"/>
      <c r="P15" s="69">
        <v>2.0</v>
      </c>
      <c r="Q15" s="69"/>
      <c r="R15" s="69"/>
      <c r="S15" s="62">
        <f t="shared" si="7"/>
        <v>2</v>
      </c>
      <c r="T15" s="67"/>
      <c r="U15" s="67"/>
      <c r="V15" s="67"/>
      <c r="W15" s="60"/>
      <c r="X15" s="60"/>
      <c r="Y15" s="63">
        <f t="shared" si="8"/>
        <v>0</v>
      </c>
      <c r="Z15" s="64"/>
      <c r="AD15" s="65"/>
      <c r="AE15" s="82"/>
      <c r="AF15" s="82"/>
      <c r="AG15" s="66" t="s">
        <v>387</v>
      </c>
      <c r="AH15" s="60">
        <f t="shared" si="14"/>
        <v>2</v>
      </c>
      <c r="AI15" s="60">
        <v>1.0</v>
      </c>
      <c r="AJ15" s="60">
        <v>2.0</v>
      </c>
      <c r="AK15" s="60"/>
      <c r="AL15" s="60"/>
      <c r="AM15" s="60">
        <f t="shared" si="9"/>
        <v>2</v>
      </c>
      <c r="AN15" s="60"/>
      <c r="AO15" s="60"/>
      <c r="AP15" s="60" t="str">
        <f t="shared" si="10"/>
        <v/>
      </c>
      <c r="AQ15" s="68">
        <v>1.0</v>
      </c>
      <c r="AR15" s="69"/>
      <c r="AS15" s="69">
        <v>2.0</v>
      </c>
      <c r="AT15" s="69"/>
      <c r="AU15" s="69"/>
      <c r="AV15" s="62">
        <f t="shared" si="11"/>
        <v>2</v>
      </c>
      <c r="AW15" s="67"/>
      <c r="AX15" s="67"/>
      <c r="AY15" s="67"/>
      <c r="AZ15" s="60"/>
      <c r="BA15" s="60"/>
      <c r="BB15" s="63">
        <f t="shared" si="12"/>
        <v>0</v>
      </c>
      <c r="BC15" s="64"/>
    </row>
    <row r="16" ht="14.25" customHeight="1">
      <c r="A16" s="65"/>
      <c r="B16" s="57"/>
      <c r="C16" s="57"/>
      <c r="D16" s="66" t="s">
        <v>394</v>
      </c>
      <c r="E16" s="60">
        <f t="shared" si="13"/>
        <v>20</v>
      </c>
      <c r="F16" s="60">
        <v>1.0</v>
      </c>
      <c r="G16" s="83">
        <v>12.0</v>
      </c>
      <c r="H16" s="83">
        <v>8.0</v>
      </c>
      <c r="I16" s="83"/>
      <c r="J16" s="60">
        <f t="shared" si="5"/>
        <v>20</v>
      </c>
      <c r="K16" s="83"/>
      <c r="L16" s="83"/>
      <c r="M16" s="60" t="str">
        <f t="shared" si="6"/>
        <v/>
      </c>
      <c r="N16" s="68">
        <v>1.0</v>
      </c>
      <c r="O16" s="69"/>
      <c r="P16" s="69">
        <v>12.0</v>
      </c>
      <c r="Q16" s="69">
        <v>4.0</v>
      </c>
      <c r="R16" s="69"/>
      <c r="S16" s="62">
        <f t="shared" si="7"/>
        <v>16</v>
      </c>
      <c r="T16" s="67"/>
      <c r="U16" s="67"/>
      <c r="V16" s="67"/>
      <c r="W16" s="60"/>
      <c r="X16" s="60"/>
      <c r="Y16" s="63">
        <f t="shared" si="8"/>
        <v>-4</v>
      </c>
      <c r="Z16" s="64"/>
      <c r="AD16" s="65"/>
      <c r="AE16" s="57"/>
      <c r="AF16" s="57"/>
      <c r="AG16" s="66" t="s">
        <v>394</v>
      </c>
      <c r="AH16" s="60">
        <f t="shared" si="14"/>
        <v>20</v>
      </c>
      <c r="AI16" s="60">
        <v>1.0</v>
      </c>
      <c r="AJ16" s="83">
        <v>12.0</v>
      </c>
      <c r="AK16" s="83">
        <v>8.0</v>
      </c>
      <c r="AL16" s="83"/>
      <c r="AM16" s="60">
        <f t="shared" si="9"/>
        <v>20</v>
      </c>
      <c r="AN16" s="83"/>
      <c r="AO16" s="83"/>
      <c r="AP16" s="60" t="str">
        <f t="shared" si="10"/>
        <v/>
      </c>
      <c r="AQ16" s="68">
        <v>1.0</v>
      </c>
      <c r="AR16" s="69"/>
      <c r="AS16" s="69">
        <v>12.0</v>
      </c>
      <c r="AT16" s="69">
        <v>4.0</v>
      </c>
      <c r="AU16" s="69"/>
      <c r="AV16" s="62">
        <f t="shared" si="11"/>
        <v>16</v>
      </c>
      <c r="AW16" s="67"/>
      <c r="AX16" s="67"/>
      <c r="AY16" s="67"/>
      <c r="AZ16" s="60"/>
      <c r="BA16" s="60"/>
      <c r="BB16" s="63">
        <f t="shared" si="12"/>
        <v>-4</v>
      </c>
      <c r="BC16" s="64"/>
    </row>
    <row r="17" ht="14.25" customHeight="1">
      <c r="A17" s="65">
        <v>6.0</v>
      </c>
      <c r="B17" s="84" t="s">
        <v>405</v>
      </c>
      <c r="C17" s="84"/>
      <c r="D17" s="66" t="s">
        <v>56</v>
      </c>
      <c r="E17" s="60">
        <f t="shared" si="13"/>
        <v>1</v>
      </c>
      <c r="F17" s="60">
        <v>1.0</v>
      </c>
      <c r="G17" s="60">
        <v>1.0</v>
      </c>
      <c r="H17" s="60"/>
      <c r="I17" s="60"/>
      <c r="J17" s="60">
        <f t="shared" si="5"/>
        <v>1</v>
      </c>
      <c r="K17" s="60"/>
      <c r="L17" s="60"/>
      <c r="M17" s="60" t="str">
        <f t="shared" si="6"/>
        <v/>
      </c>
      <c r="N17" s="68">
        <v>1.0</v>
      </c>
      <c r="O17" s="69"/>
      <c r="P17" s="69"/>
      <c r="Q17" s="69">
        <v>1.0</v>
      </c>
      <c r="R17" s="69"/>
      <c r="S17" s="62">
        <f t="shared" si="7"/>
        <v>1</v>
      </c>
      <c r="T17" s="67"/>
      <c r="U17" s="67"/>
      <c r="V17" s="67"/>
      <c r="W17" s="60"/>
      <c r="X17" s="60"/>
      <c r="Y17" s="63">
        <f t="shared" si="8"/>
        <v>0</v>
      </c>
      <c r="Z17" s="64"/>
      <c r="AD17" s="65">
        <v>6.0</v>
      </c>
      <c r="AE17" s="84" t="s">
        <v>405</v>
      </c>
      <c r="AF17" s="84"/>
      <c r="AG17" s="66" t="s">
        <v>56</v>
      </c>
      <c r="AH17" s="60">
        <f t="shared" si="14"/>
        <v>1</v>
      </c>
      <c r="AI17" s="60">
        <v>1.0</v>
      </c>
      <c r="AJ17" s="60">
        <v>1.0</v>
      </c>
      <c r="AK17" s="60"/>
      <c r="AL17" s="60"/>
      <c r="AM17" s="60">
        <f t="shared" si="9"/>
        <v>1</v>
      </c>
      <c r="AN17" s="60"/>
      <c r="AO17" s="60"/>
      <c r="AP17" s="60" t="str">
        <f t="shared" si="10"/>
        <v/>
      </c>
      <c r="AQ17" s="68">
        <v>1.0</v>
      </c>
      <c r="AR17" s="69"/>
      <c r="AS17" s="69"/>
      <c r="AT17" s="69">
        <v>1.0</v>
      </c>
      <c r="AU17" s="69"/>
      <c r="AV17" s="62">
        <f t="shared" si="11"/>
        <v>1</v>
      </c>
      <c r="AW17" s="67"/>
      <c r="AX17" s="67"/>
      <c r="AY17" s="67"/>
      <c r="AZ17" s="60"/>
      <c r="BA17" s="60"/>
      <c r="BB17" s="63">
        <f t="shared" si="12"/>
        <v>0</v>
      </c>
      <c r="BC17" s="64"/>
    </row>
    <row r="18" ht="14.25" customHeight="1">
      <c r="A18" s="65"/>
      <c r="B18" s="15"/>
      <c r="C18" s="85"/>
      <c r="D18" s="66" t="s">
        <v>413</v>
      </c>
      <c r="E18" s="60">
        <f t="shared" si="13"/>
        <v>2</v>
      </c>
      <c r="F18" s="60">
        <v>1.0</v>
      </c>
      <c r="G18" s="67"/>
      <c r="H18" s="67"/>
      <c r="I18" s="67">
        <v>2.0</v>
      </c>
      <c r="J18" s="60">
        <f t="shared" si="5"/>
        <v>2</v>
      </c>
      <c r="K18" s="60"/>
      <c r="L18" s="60"/>
      <c r="M18" s="60" t="str">
        <f t="shared" si="6"/>
        <v/>
      </c>
      <c r="N18" s="68">
        <v>1.0</v>
      </c>
      <c r="O18" s="69"/>
      <c r="P18" s="69"/>
      <c r="Q18" s="69"/>
      <c r="R18" s="69">
        <v>2.0</v>
      </c>
      <c r="S18" s="62">
        <f t="shared" si="7"/>
        <v>2</v>
      </c>
      <c r="T18" s="67"/>
      <c r="U18" s="67"/>
      <c r="V18" s="67"/>
      <c r="W18" s="60"/>
      <c r="X18" s="60"/>
      <c r="Y18" s="63">
        <f t="shared" si="8"/>
        <v>0</v>
      </c>
      <c r="Z18" s="86" t="s">
        <v>419</v>
      </c>
      <c r="AD18" s="65"/>
      <c r="AE18" s="15"/>
      <c r="AF18" s="85"/>
      <c r="AG18" s="66" t="s">
        <v>413</v>
      </c>
      <c r="AH18" s="60">
        <f t="shared" si="14"/>
        <v>2</v>
      </c>
      <c r="AI18" s="60">
        <v>1.0</v>
      </c>
      <c r="AJ18" s="67"/>
      <c r="AK18" s="67"/>
      <c r="AL18" s="67">
        <v>2.0</v>
      </c>
      <c r="AM18" s="60">
        <f t="shared" si="9"/>
        <v>2</v>
      </c>
      <c r="AN18" s="60"/>
      <c r="AO18" s="60"/>
      <c r="AP18" s="60" t="str">
        <f t="shared" si="10"/>
        <v/>
      </c>
      <c r="AQ18" s="68">
        <v>1.0</v>
      </c>
      <c r="AR18" s="69"/>
      <c r="AS18" s="69"/>
      <c r="AT18" s="69"/>
      <c r="AU18" s="69">
        <v>2.0</v>
      </c>
      <c r="AV18" s="62">
        <f t="shared" si="11"/>
        <v>2</v>
      </c>
      <c r="AW18" s="67"/>
      <c r="AX18" s="67"/>
      <c r="AY18" s="67"/>
      <c r="AZ18" s="60"/>
      <c r="BA18" s="60"/>
      <c r="BB18" s="63">
        <f t="shared" si="12"/>
        <v>0</v>
      </c>
      <c r="BC18" s="86" t="s">
        <v>419</v>
      </c>
    </row>
    <row r="19" ht="14.25" customHeight="1">
      <c r="A19" s="65"/>
      <c r="B19" s="15"/>
      <c r="C19" s="85"/>
      <c r="D19" s="66" t="s">
        <v>427</v>
      </c>
      <c r="E19" s="60">
        <f t="shared" si="13"/>
        <v>2</v>
      </c>
      <c r="F19" s="60">
        <v>1.0</v>
      </c>
      <c r="G19" s="67"/>
      <c r="H19" s="67"/>
      <c r="I19" s="67">
        <v>2.0</v>
      </c>
      <c r="J19" s="60">
        <f t="shared" si="5"/>
        <v>2</v>
      </c>
      <c r="K19" s="60"/>
      <c r="L19" s="60"/>
      <c r="M19" s="60" t="str">
        <f t="shared" si="6"/>
        <v/>
      </c>
      <c r="N19" s="68"/>
      <c r="O19" s="69"/>
      <c r="P19" s="69"/>
      <c r="Q19" s="69"/>
      <c r="R19" s="69">
        <v>1.0</v>
      </c>
      <c r="S19" s="62">
        <f t="shared" si="7"/>
        <v>1</v>
      </c>
      <c r="T19" s="67"/>
      <c r="U19" s="67"/>
      <c r="V19" s="67"/>
      <c r="W19" s="60"/>
      <c r="X19" s="60"/>
      <c r="Y19" s="63">
        <f t="shared" si="8"/>
        <v>-1</v>
      </c>
      <c r="Z19" s="86"/>
      <c r="AD19" s="65"/>
      <c r="AE19" s="15"/>
      <c r="AF19" s="85"/>
      <c r="AG19" s="66" t="s">
        <v>427</v>
      </c>
      <c r="AH19" s="60">
        <f t="shared" si="14"/>
        <v>2</v>
      </c>
      <c r="AI19" s="60">
        <v>1.0</v>
      </c>
      <c r="AJ19" s="67"/>
      <c r="AK19" s="67"/>
      <c r="AL19" s="67">
        <v>2.0</v>
      </c>
      <c r="AM19" s="60">
        <f t="shared" si="9"/>
        <v>2</v>
      </c>
      <c r="AN19" s="60"/>
      <c r="AO19" s="60"/>
      <c r="AP19" s="60" t="str">
        <f t="shared" si="10"/>
        <v/>
      </c>
      <c r="AQ19" s="68"/>
      <c r="AR19" s="69"/>
      <c r="AS19" s="69"/>
      <c r="AT19" s="69"/>
      <c r="AU19" s="69">
        <v>1.0</v>
      </c>
      <c r="AV19" s="62">
        <f t="shared" si="11"/>
        <v>1</v>
      </c>
      <c r="AW19" s="67"/>
      <c r="AX19" s="67"/>
      <c r="AY19" s="67"/>
      <c r="AZ19" s="60"/>
      <c r="BA19" s="60"/>
      <c r="BB19" s="63">
        <f t="shared" si="12"/>
        <v>-1</v>
      </c>
      <c r="BC19" s="86"/>
    </row>
    <row r="20" ht="14.25" customHeight="1">
      <c r="A20" s="65"/>
      <c r="B20" s="15"/>
      <c r="C20" s="85"/>
      <c r="D20" s="66" t="s">
        <v>428</v>
      </c>
      <c r="E20" s="60">
        <f t="shared" si="13"/>
        <v>2</v>
      </c>
      <c r="F20" s="60">
        <v>1.0</v>
      </c>
      <c r="G20" s="67"/>
      <c r="H20" s="67"/>
      <c r="I20" s="67">
        <v>2.0</v>
      </c>
      <c r="J20" s="60">
        <f t="shared" si="5"/>
        <v>2</v>
      </c>
      <c r="K20" s="60"/>
      <c r="L20" s="60"/>
      <c r="M20" s="60" t="str">
        <f t="shared" si="6"/>
        <v/>
      </c>
      <c r="N20" s="68"/>
      <c r="O20" s="69"/>
      <c r="P20" s="69"/>
      <c r="Q20" s="69"/>
      <c r="R20" s="69">
        <v>2.0</v>
      </c>
      <c r="S20" s="62">
        <f t="shared" si="7"/>
        <v>2</v>
      </c>
      <c r="T20" s="67"/>
      <c r="U20" s="67"/>
      <c r="V20" s="67"/>
      <c r="W20" s="60"/>
      <c r="X20" s="60"/>
      <c r="Y20" s="63">
        <f t="shared" si="8"/>
        <v>0</v>
      </c>
      <c r="Z20" s="86"/>
      <c r="AD20" s="65"/>
      <c r="AE20" s="15"/>
      <c r="AF20" s="85"/>
      <c r="AG20" s="66" t="s">
        <v>428</v>
      </c>
      <c r="AH20" s="60">
        <f t="shared" si="14"/>
        <v>2</v>
      </c>
      <c r="AI20" s="60">
        <v>1.0</v>
      </c>
      <c r="AJ20" s="67"/>
      <c r="AK20" s="67"/>
      <c r="AL20" s="67">
        <v>2.0</v>
      </c>
      <c r="AM20" s="60">
        <f t="shared" si="9"/>
        <v>2</v>
      </c>
      <c r="AN20" s="60"/>
      <c r="AO20" s="60"/>
      <c r="AP20" s="60" t="str">
        <f t="shared" si="10"/>
        <v/>
      </c>
      <c r="AQ20" s="68"/>
      <c r="AR20" s="69"/>
      <c r="AS20" s="69"/>
      <c r="AT20" s="69"/>
      <c r="AU20" s="69">
        <v>2.0</v>
      </c>
      <c r="AV20" s="62">
        <f t="shared" si="11"/>
        <v>2</v>
      </c>
      <c r="AW20" s="67"/>
      <c r="AX20" s="67"/>
      <c r="AY20" s="67"/>
      <c r="AZ20" s="60"/>
      <c r="BA20" s="60"/>
      <c r="BB20" s="63">
        <f t="shared" si="12"/>
        <v>0</v>
      </c>
      <c r="BC20" s="86"/>
    </row>
    <row r="21" ht="14.25" customHeight="1">
      <c r="A21" s="65"/>
      <c r="B21" s="15"/>
      <c r="C21" s="85"/>
      <c r="D21" s="66" t="s">
        <v>429</v>
      </c>
      <c r="E21" s="60">
        <f t="shared" si="13"/>
        <v>3</v>
      </c>
      <c r="F21" s="60">
        <v>1.0</v>
      </c>
      <c r="G21" s="67"/>
      <c r="H21" s="67"/>
      <c r="I21" s="67">
        <v>3.0</v>
      </c>
      <c r="J21" s="60">
        <f t="shared" si="5"/>
        <v>3</v>
      </c>
      <c r="K21" s="60"/>
      <c r="L21" s="60"/>
      <c r="M21" s="60" t="str">
        <f t="shared" si="6"/>
        <v/>
      </c>
      <c r="N21" s="68"/>
      <c r="O21" s="69"/>
      <c r="P21" s="69">
        <v>1.0</v>
      </c>
      <c r="Q21" s="69"/>
      <c r="R21" s="69">
        <v>2.0</v>
      </c>
      <c r="S21" s="62">
        <f t="shared" si="7"/>
        <v>3</v>
      </c>
      <c r="T21" s="67"/>
      <c r="U21" s="67"/>
      <c r="V21" s="67"/>
      <c r="W21" s="60"/>
      <c r="X21" s="60"/>
      <c r="Y21" s="63">
        <f t="shared" si="8"/>
        <v>0</v>
      </c>
      <c r="Z21" s="86"/>
      <c r="AD21" s="65"/>
      <c r="AE21" s="15"/>
      <c r="AF21" s="85"/>
      <c r="AG21" s="66" t="s">
        <v>429</v>
      </c>
      <c r="AH21" s="60">
        <f t="shared" si="14"/>
        <v>3</v>
      </c>
      <c r="AI21" s="60">
        <v>1.0</v>
      </c>
      <c r="AJ21" s="67"/>
      <c r="AK21" s="67"/>
      <c r="AL21" s="67">
        <v>3.0</v>
      </c>
      <c r="AM21" s="60">
        <f t="shared" si="9"/>
        <v>3</v>
      </c>
      <c r="AN21" s="60"/>
      <c r="AO21" s="60"/>
      <c r="AP21" s="60" t="str">
        <f t="shared" si="10"/>
        <v/>
      </c>
      <c r="AQ21" s="68"/>
      <c r="AR21" s="69"/>
      <c r="AS21" s="69">
        <v>1.0</v>
      </c>
      <c r="AT21" s="69"/>
      <c r="AU21" s="69">
        <v>2.0</v>
      </c>
      <c r="AV21" s="62">
        <f t="shared" si="11"/>
        <v>3</v>
      </c>
      <c r="AW21" s="67"/>
      <c r="AX21" s="67"/>
      <c r="AY21" s="67"/>
      <c r="AZ21" s="60"/>
      <c r="BA21" s="60"/>
      <c r="BB21" s="63">
        <f t="shared" si="12"/>
        <v>0</v>
      </c>
      <c r="BC21" s="86"/>
    </row>
    <row r="22" ht="14.25" customHeight="1">
      <c r="A22" s="65"/>
      <c r="B22" s="15"/>
      <c r="C22" s="85"/>
      <c r="D22" s="66" t="s">
        <v>430</v>
      </c>
      <c r="E22" s="60">
        <f t="shared" si="13"/>
        <v>2</v>
      </c>
      <c r="F22" s="60">
        <v>1.0</v>
      </c>
      <c r="G22" s="67">
        <v>1.0</v>
      </c>
      <c r="H22" s="67">
        <v>1.0</v>
      </c>
      <c r="I22" s="67"/>
      <c r="J22" s="60">
        <f t="shared" si="5"/>
        <v>2</v>
      </c>
      <c r="K22" s="60"/>
      <c r="L22" s="60"/>
      <c r="M22" s="60" t="str">
        <f t="shared" si="6"/>
        <v/>
      </c>
      <c r="N22" s="68"/>
      <c r="O22" s="69"/>
      <c r="P22" s="69"/>
      <c r="Q22" s="69">
        <v>1.0</v>
      </c>
      <c r="R22" s="69"/>
      <c r="S22" s="62">
        <f t="shared" si="7"/>
        <v>1</v>
      </c>
      <c r="T22" s="67"/>
      <c r="U22" s="67"/>
      <c r="V22" s="67"/>
      <c r="W22" s="60"/>
      <c r="X22" s="60"/>
      <c r="Y22" s="63">
        <f t="shared" si="8"/>
        <v>-1</v>
      </c>
      <c r="Z22" s="86"/>
      <c r="AD22" s="65"/>
      <c r="AE22" s="15"/>
      <c r="AF22" s="85"/>
      <c r="AG22" s="66" t="s">
        <v>430</v>
      </c>
      <c r="AH22" s="60">
        <f t="shared" si="14"/>
        <v>2</v>
      </c>
      <c r="AI22" s="60">
        <v>1.0</v>
      </c>
      <c r="AJ22" s="67">
        <v>1.0</v>
      </c>
      <c r="AK22" s="67">
        <v>1.0</v>
      </c>
      <c r="AL22" s="67"/>
      <c r="AM22" s="60">
        <f t="shared" si="9"/>
        <v>2</v>
      </c>
      <c r="AN22" s="60"/>
      <c r="AO22" s="60"/>
      <c r="AP22" s="60" t="str">
        <f t="shared" si="10"/>
        <v/>
      </c>
      <c r="AQ22" s="68"/>
      <c r="AR22" s="69"/>
      <c r="AS22" s="69"/>
      <c r="AT22" s="69">
        <v>1.0</v>
      </c>
      <c r="AU22" s="69"/>
      <c r="AV22" s="62">
        <f t="shared" si="11"/>
        <v>1</v>
      </c>
      <c r="AW22" s="67"/>
      <c r="AX22" s="67"/>
      <c r="AY22" s="67"/>
      <c r="AZ22" s="60"/>
      <c r="BA22" s="60"/>
      <c r="BB22" s="63">
        <f t="shared" si="12"/>
        <v>-1</v>
      </c>
      <c r="BC22" s="86"/>
    </row>
    <row r="23" ht="14.25" customHeight="1">
      <c r="A23" s="65"/>
      <c r="B23" s="15"/>
      <c r="C23" s="85"/>
      <c r="D23" s="66" t="s">
        <v>431</v>
      </c>
      <c r="E23" s="60">
        <f t="shared" si="13"/>
        <v>1</v>
      </c>
      <c r="F23" s="60">
        <v>1.0</v>
      </c>
      <c r="G23" s="67"/>
      <c r="H23" s="67">
        <v>1.0</v>
      </c>
      <c r="I23" s="67"/>
      <c r="J23" s="60">
        <f t="shared" si="5"/>
        <v>1</v>
      </c>
      <c r="K23" s="60"/>
      <c r="L23" s="60"/>
      <c r="M23" s="60" t="str">
        <f t="shared" si="6"/>
        <v/>
      </c>
      <c r="N23" s="68"/>
      <c r="O23" s="69"/>
      <c r="P23" s="69"/>
      <c r="Q23" s="69">
        <v>1.0</v>
      </c>
      <c r="R23" s="69"/>
      <c r="S23" s="62">
        <f t="shared" si="7"/>
        <v>1</v>
      </c>
      <c r="T23" s="67"/>
      <c r="U23" s="67"/>
      <c r="V23" s="67"/>
      <c r="W23" s="60"/>
      <c r="X23" s="60"/>
      <c r="Y23" s="63">
        <f t="shared" si="8"/>
        <v>0</v>
      </c>
      <c r="Z23" s="86"/>
      <c r="AD23" s="65"/>
      <c r="AE23" s="15"/>
      <c r="AF23" s="85"/>
      <c r="AG23" s="66" t="s">
        <v>431</v>
      </c>
      <c r="AH23" s="60">
        <f t="shared" si="14"/>
        <v>1</v>
      </c>
      <c r="AI23" s="60">
        <v>1.0</v>
      </c>
      <c r="AJ23" s="67"/>
      <c r="AK23" s="67">
        <v>1.0</v>
      </c>
      <c r="AL23" s="67"/>
      <c r="AM23" s="60">
        <f t="shared" si="9"/>
        <v>1</v>
      </c>
      <c r="AN23" s="60"/>
      <c r="AO23" s="60"/>
      <c r="AP23" s="60" t="str">
        <f t="shared" si="10"/>
        <v/>
      </c>
      <c r="AQ23" s="68"/>
      <c r="AR23" s="69"/>
      <c r="AS23" s="69"/>
      <c r="AT23" s="69">
        <v>1.0</v>
      </c>
      <c r="AU23" s="69"/>
      <c r="AV23" s="62">
        <f t="shared" si="11"/>
        <v>1</v>
      </c>
      <c r="AW23" s="67"/>
      <c r="AX23" s="67"/>
      <c r="AY23" s="67"/>
      <c r="AZ23" s="60"/>
      <c r="BA23" s="60"/>
      <c r="BB23" s="63">
        <f t="shared" si="12"/>
        <v>0</v>
      </c>
      <c r="BC23" s="86"/>
    </row>
    <row r="24" ht="14.25" customHeight="1">
      <c r="A24" s="65"/>
      <c r="B24" s="15"/>
      <c r="C24" s="85"/>
      <c r="D24" s="66" t="s">
        <v>432</v>
      </c>
      <c r="E24" s="60">
        <f t="shared" si="13"/>
        <v>1</v>
      </c>
      <c r="F24" s="60">
        <v>1.0</v>
      </c>
      <c r="G24" s="67">
        <v>1.0</v>
      </c>
      <c r="H24" s="67"/>
      <c r="I24" s="67"/>
      <c r="J24" s="60">
        <f t="shared" si="5"/>
        <v>1</v>
      </c>
      <c r="K24" s="60"/>
      <c r="L24" s="60"/>
      <c r="M24" s="60" t="str">
        <f t="shared" si="6"/>
        <v/>
      </c>
      <c r="N24" s="68"/>
      <c r="O24" s="69"/>
      <c r="P24" s="69">
        <v>1.0</v>
      </c>
      <c r="Q24" s="69"/>
      <c r="R24" s="69"/>
      <c r="S24" s="62">
        <f t="shared" si="7"/>
        <v>1</v>
      </c>
      <c r="T24" s="67"/>
      <c r="U24" s="67"/>
      <c r="V24" s="67"/>
      <c r="W24" s="60"/>
      <c r="X24" s="60"/>
      <c r="Y24" s="63">
        <f t="shared" si="8"/>
        <v>0</v>
      </c>
      <c r="Z24" s="86"/>
      <c r="AD24" s="65"/>
      <c r="AE24" s="15"/>
      <c r="AF24" s="85"/>
      <c r="AG24" s="66" t="s">
        <v>432</v>
      </c>
      <c r="AH24" s="60">
        <f t="shared" si="14"/>
        <v>1</v>
      </c>
      <c r="AI24" s="60">
        <v>1.0</v>
      </c>
      <c r="AJ24" s="67">
        <v>1.0</v>
      </c>
      <c r="AK24" s="67"/>
      <c r="AL24" s="67"/>
      <c r="AM24" s="60">
        <f t="shared" si="9"/>
        <v>1</v>
      </c>
      <c r="AN24" s="60"/>
      <c r="AO24" s="60"/>
      <c r="AP24" s="60" t="str">
        <f t="shared" si="10"/>
        <v/>
      </c>
      <c r="AQ24" s="68"/>
      <c r="AR24" s="69"/>
      <c r="AS24" s="69">
        <v>1.0</v>
      </c>
      <c r="AT24" s="69"/>
      <c r="AU24" s="69"/>
      <c r="AV24" s="62">
        <f t="shared" si="11"/>
        <v>1</v>
      </c>
      <c r="AW24" s="67"/>
      <c r="AX24" s="67"/>
      <c r="AY24" s="67"/>
      <c r="AZ24" s="60"/>
      <c r="BA24" s="60"/>
      <c r="BB24" s="63">
        <f t="shared" si="12"/>
        <v>0</v>
      </c>
      <c r="BC24" s="86"/>
    </row>
    <row r="25" ht="14.25" customHeight="1">
      <c r="A25" s="65"/>
      <c r="B25" s="15"/>
      <c r="C25" s="85"/>
      <c r="D25" s="66" t="s">
        <v>433</v>
      </c>
      <c r="E25" s="60">
        <f t="shared" si="13"/>
        <v>1</v>
      </c>
      <c r="F25" s="60">
        <v>1.0</v>
      </c>
      <c r="G25" s="67"/>
      <c r="H25" s="67"/>
      <c r="I25" s="67">
        <v>1.0</v>
      </c>
      <c r="J25" s="60">
        <f t="shared" si="5"/>
        <v>1</v>
      </c>
      <c r="K25" s="60"/>
      <c r="L25" s="60"/>
      <c r="M25" s="60" t="str">
        <f t="shared" si="6"/>
        <v/>
      </c>
      <c r="N25" s="68"/>
      <c r="O25" s="69"/>
      <c r="P25" s="69"/>
      <c r="Q25" s="69"/>
      <c r="R25" s="69">
        <v>1.0</v>
      </c>
      <c r="S25" s="62">
        <f t="shared" si="7"/>
        <v>1</v>
      </c>
      <c r="T25" s="67"/>
      <c r="U25" s="67"/>
      <c r="V25" s="67"/>
      <c r="W25" s="60"/>
      <c r="X25" s="60"/>
      <c r="Y25" s="63">
        <f t="shared" si="8"/>
        <v>0</v>
      </c>
      <c r="Z25" s="86"/>
      <c r="AD25" s="65"/>
      <c r="AE25" s="15"/>
      <c r="AF25" s="85"/>
      <c r="AG25" s="66" t="s">
        <v>433</v>
      </c>
      <c r="AH25" s="60">
        <f t="shared" si="14"/>
        <v>1</v>
      </c>
      <c r="AI25" s="60">
        <v>1.0</v>
      </c>
      <c r="AJ25" s="67"/>
      <c r="AK25" s="67"/>
      <c r="AL25" s="67">
        <v>1.0</v>
      </c>
      <c r="AM25" s="60">
        <f t="shared" si="9"/>
        <v>1</v>
      </c>
      <c r="AN25" s="60"/>
      <c r="AO25" s="60"/>
      <c r="AP25" s="60" t="str">
        <f t="shared" si="10"/>
        <v/>
      </c>
      <c r="AQ25" s="68"/>
      <c r="AR25" s="69"/>
      <c r="AS25" s="69"/>
      <c r="AT25" s="69"/>
      <c r="AU25" s="69">
        <v>1.0</v>
      </c>
      <c r="AV25" s="62">
        <f t="shared" si="11"/>
        <v>1</v>
      </c>
      <c r="AW25" s="67"/>
      <c r="AX25" s="67"/>
      <c r="AY25" s="67"/>
      <c r="AZ25" s="60"/>
      <c r="BA25" s="60"/>
      <c r="BB25" s="63">
        <f t="shared" si="12"/>
        <v>0</v>
      </c>
      <c r="BC25" s="86"/>
    </row>
    <row r="26" ht="14.25" customHeight="1">
      <c r="A26" s="65"/>
      <c r="B26" s="22"/>
      <c r="C26" s="87"/>
      <c r="D26" s="66" t="s">
        <v>434</v>
      </c>
      <c r="E26" s="60">
        <f t="shared" si="13"/>
        <v>8</v>
      </c>
      <c r="F26" s="60">
        <v>3.0</v>
      </c>
      <c r="G26" s="60"/>
      <c r="H26" s="60"/>
      <c r="I26" s="60">
        <v>8.0</v>
      </c>
      <c r="J26" s="60">
        <f t="shared" si="5"/>
        <v>8</v>
      </c>
      <c r="K26" s="60"/>
      <c r="L26" s="60"/>
      <c r="M26" s="60" t="str">
        <f t="shared" si="6"/>
        <v/>
      </c>
      <c r="N26" s="68">
        <v>3.0</v>
      </c>
      <c r="O26" s="69"/>
      <c r="P26" s="69"/>
      <c r="Q26" s="69"/>
      <c r="R26" s="69">
        <v>7.0</v>
      </c>
      <c r="S26" s="62">
        <f t="shared" si="7"/>
        <v>7</v>
      </c>
      <c r="T26" s="67"/>
      <c r="U26" s="67"/>
      <c r="V26" s="67"/>
      <c r="W26" s="60"/>
      <c r="X26" s="60"/>
      <c r="Y26" s="63">
        <f t="shared" si="8"/>
        <v>-1</v>
      </c>
      <c r="Z26" s="64"/>
      <c r="AD26" s="65"/>
      <c r="AE26" s="22"/>
      <c r="AF26" s="87"/>
      <c r="AG26" s="66" t="s">
        <v>434</v>
      </c>
      <c r="AH26" s="60">
        <f t="shared" si="14"/>
        <v>8</v>
      </c>
      <c r="AI26" s="60">
        <v>3.0</v>
      </c>
      <c r="AJ26" s="60"/>
      <c r="AK26" s="60"/>
      <c r="AL26" s="60">
        <v>8.0</v>
      </c>
      <c r="AM26" s="60">
        <f t="shared" si="9"/>
        <v>8</v>
      </c>
      <c r="AN26" s="60"/>
      <c r="AO26" s="60"/>
      <c r="AP26" s="60" t="str">
        <f t="shared" si="10"/>
        <v/>
      </c>
      <c r="AQ26" s="68">
        <v>3.0</v>
      </c>
      <c r="AR26" s="69"/>
      <c r="AS26" s="69"/>
      <c r="AT26" s="69"/>
      <c r="AU26" s="69">
        <v>7.0</v>
      </c>
      <c r="AV26" s="62">
        <f t="shared" si="11"/>
        <v>7</v>
      </c>
      <c r="AW26" s="67"/>
      <c r="AX26" s="67"/>
      <c r="AY26" s="67"/>
      <c r="AZ26" s="60"/>
      <c r="BA26" s="60"/>
      <c r="BB26" s="63">
        <f t="shared" si="12"/>
        <v>-1</v>
      </c>
      <c r="BC26" s="64"/>
    </row>
    <row r="27" ht="14.25" customHeight="1">
      <c r="A27" s="65">
        <v>7.0</v>
      </c>
      <c r="B27" s="84" t="s">
        <v>65</v>
      </c>
      <c r="C27" s="84"/>
      <c r="D27" s="66" t="s">
        <v>435</v>
      </c>
      <c r="E27" s="60">
        <f t="shared" si="13"/>
        <v>4</v>
      </c>
      <c r="F27" s="60">
        <v>1.0</v>
      </c>
      <c r="G27" s="67">
        <v>3.0</v>
      </c>
      <c r="H27" s="67">
        <v>1.0</v>
      </c>
      <c r="I27" s="60"/>
      <c r="J27" s="60">
        <f t="shared" si="5"/>
        <v>4</v>
      </c>
      <c r="K27" s="60"/>
      <c r="L27" s="60"/>
      <c r="M27" s="60" t="str">
        <f t="shared" si="6"/>
        <v/>
      </c>
      <c r="N27" s="68">
        <v>1.0</v>
      </c>
      <c r="O27" s="69"/>
      <c r="P27" s="69">
        <v>1.0</v>
      </c>
      <c r="Q27" s="69">
        <v>1.0</v>
      </c>
      <c r="R27" s="69"/>
      <c r="S27" s="62">
        <f t="shared" si="7"/>
        <v>2</v>
      </c>
      <c r="T27" s="67"/>
      <c r="U27" s="67"/>
      <c r="V27" s="67"/>
      <c r="W27" s="60"/>
      <c r="X27" s="60"/>
      <c r="Y27" s="63">
        <f t="shared" si="8"/>
        <v>-2</v>
      </c>
      <c r="Z27" s="64"/>
      <c r="AD27" s="65">
        <v>7.0</v>
      </c>
      <c r="AE27" s="84" t="s">
        <v>65</v>
      </c>
      <c r="AF27" s="84"/>
      <c r="AG27" s="66" t="s">
        <v>435</v>
      </c>
      <c r="AH27" s="60">
        <f t="shared" si="14"/>
        <v>4</v>
      </c>
      <c r="AI27" s="60">
        <v>1.0</v>
      </c>
      <c r="AJ27" s="67">
        <v>3.0</v>
      </c>
      <c r="AK27" s="67">
        <v>1.0</v>
      </c>
      <c r="AL27" s="60"/>
      <c r="AM27" s="60">
        <f t="shared" si="9"/>
        <v>4</v>
      </c>
      <c r="AN27" s="60"/>
      <c r="AO27" s="60"/>
      <c r="AP27" s="60" t="str">
        <f t="shared" si="10"/>
        <v/>
      </c>
      <c r="AQ27" s="68">
        <v>1.0</v>
      </c>
      <c r="AR27" s="69"/>
      <c r="AS27" s="69">
        <v>1.0</v>
      </c>
      <c r="AT27" s="69">
        <v>1.0</v>
      </c>
      <c r="AU27" s="69"/>
      <c r="AV27" s="62">
        <f t="shared" si="11"/>
        <v>2</v>
      </c>
      <c r="AW27" s="67"/>
      <c r="AX27" s="67"/>
      <c r="AY27" s="67"/>
      <c r="AZ27" s="60"/>
      <c r="BA27" s="60"/>
      <c r="BB27" s="63">
        <f t="shared" si="12"/>
        <v>-2</v>
      </c>
      <c r="BC27" s="64"/>
    </row>
    <row r="28" ht="14.25" customHeight="1">
      <c r="A28" s="65"/>
      <c r="B28" s="15"/>
      <c r="C28" s="85"/>
      <c r="D28" s="66" t="s">
        <v>439</v>
      </c>
      <c r="E28" s="60">
        <f t="shared" si="13"/>
        <v>1</v>
      </c>
      <c r="F28" s="60">
        <v>1.0</v>
      </c>
      <c r="G28" s="67">
        <v>1.0</v>
      </c>
      <c r="H28" s="67"/>
      <c r="I28" s="60"/>
      <c r="J28" s="60">
        <f t="shared" si="5"/>
        <v>1</v>
      </c>
      <c r="K28" s="60"/>
      <c r="L28" s="60"/>
      <c r="M28" s="60" t="str">
        <f t="shared" si="6"/>
        <v/>
      </c>
      <c r="N28" s="68"/>
      <c r="O28" s="69"/>
      <c r="P28" s="69">
        <v>1.0</v>
      </c>
      <c r="Q28" s="69"/>
      <c r="R28" s="69"/>
      <c r="S28" s="62">
        <f t="shared" si="7"/>
        <v>1</v>
      </c>
      <c r="T28" s="67"/>
      <c r="U28" s="67"/>
      <c r="V28" s="67"/>
      <c r="W28" s="60"/>
      <c r="X28" s="60"/>
      <c r="Y28" s="63">
        <f t="shared" si="8"/>
        <v>0</v>
      </c>
      <c r="Z28" s="64"/>
      <c r="AD28" s="65"/>
      <c r="AE28" s="15"/>
      <c r="AF28" s="85"/>
      <c r="AG28" s="66" t="s">
        <v>439</v>
      </c>
      <c r="AH28" s="60">
        <f t="shared" si="14"/>
        <v>1</v>
      </c>
      <c r="AI28" s="60">
        <v>1.0</v>
      </c>
      <c r="AJ28" s="67">
        <v>1.0</v>
      </c>
      <c r="AK28" s="67"/>
      <c r="AL28" s="60"/>
      <c r="AM28" s="60">
        <f t="shared" si="9"/>
        <v>1</v>
      </c>
      <c r="AN28" s="60"/>
      <c r="AO28" s="60"/>
      <c r="AP28" s="60" t="str">
        <f t="shared" si="10"/>
        <v/>
      </c>
      <c r="AQ28" s="68"/>
      <c r="AR28" s="69"/>
      <c r="AS28" s="69">
        <v>1.0</v>
      </c>
      <c r="AT28" s="69"/>
      <c r="AU28" s="69"/>
      <c r="AV28" s="62">
        <f t="shared" si="11"/>
        <v>1</v>
      </c>
      <c r="AW28" s="67"/>
      <c r="AX28" s="67"/>
      <c r="AY28" s="67"/>
      <c r="AZ28" s="60"/>
      <c r="BA28" s="60"/>
      <c r="BB28" s="63">
        <f t="shared" si="12"/>
        <v>0</v>
      </c>
      <c r="BC28" s="64"/>
    </row>
    <row r="29" ht="14.25" customHeight="1">
      <c r="A29" s="67"/>
      <c r="B29" s="15"/>
      <c r="C29" s="85"/>
      <c r="D29" s="66" t="s">
        <v>440</v>
      </c>
      <c r="E29" s="60">
        <f t="shared" si="13"/>
        <v>7</v>
      </c>
      <c r="F29" s="60">
        <v>3.0</v>
      </c>
      <c r="G29" s="60">
        <v>5.0</v>
      </c>
      <c r="H29" s="60"/>
      <c r="I29" s="60">
        <v>2.0</v>
      </c>
      <c r="J29" s="60">
        <f t="shared" si="5"/>
        <v>7</v>
      </c>
      <c r="K29" s="60"/>
      <c r="L29" s="60"/>
      <c r="M29" s="60" t="str">
        <f t="shared" si="6"/>
        <v/>
      </c>
      <c r="N29" s="68">
        <v>3.0</v>
      </c>
      <c r="O29" s="69"/>
      <c r="P29" s="69">
        <v>6.0</v>
      </c>
      <c r="Q29" s="69"/>
      <c r="R29" s="69">
        <v>2.0</v>
      </c>
      <c r="S29" s="62">
        <f t="shared" si="7"/>
        <v>8</v>
      </c>
      <c r="T29" s="67"/>
      <c r="U29" s="67"/>
      <c r="V29" s="67"/>
      <c r="W29" s="60"/>
      <c r="X29" s="60"/>
      <c r="Y29" s="63">
        <f t="shared" si="8"/>
        <v>1</v>
      </c>
      <c r="Z29" s="64"/>
      <c r="AD29" s="67"/>
      <c r="AE29" s="15"/>
      <c r="AF29" s="85"/>
      <c r="AG29" s="66" t="s">
        <v>440</v>
      </c>
      <c r="AH29" s="60">
        <f t="shared" si="14"/>
        <v>7</v>
      </c>
      <c r="AI29" s="60">
        <v>3.0</v>
      </c>
      <c r="AJ29" s="60">
        <v>5.0</v>
      </c>
      <c r="AK29" s="60"/>
      <c r="AL29" s="60">
        <v>2.0</v>
      </c>
      <c r="AM29" s="60">
        <f t="shared" si="9"/>
        <v>7</v>
      </c>
      <c r="AN29" s="60"/>
      <c r="AO29" s="60"/>
      <c r="AP29" s="60" t="str">
        <f t="shared" si="10"/>
        <v/>
      </c>
      <c r="AQ29" s="68">
        <v>3.0</v>
      </c>
      <c r="AR29" s="69"/>
      <c r="AS29" s="69">
        <v>6.0</v>
      </c>
      <c r="AT29" s="69"/>
      <c r="AU29" s="69">
        <v>2.0</v>
      </c>
      <c r="AV29" s="62">
        <f t="shared" si="11"/>
        <v>8</v>
      </c>
      <c r="AW29" s="67"/>
      <c r="AX29" s="67"/>
      <c r="AY29" s="67"/>
      <c r="AZ29" s="60"/>
      <c r="BA29" s="60"/>
      <c r="BB29" s="63">
        <f t="shared" si="12"/>
        <v>1</v>
      </c>
      <c r="BC29" s="64"/>
    </row>
    <row r="30" ht="14.25" customHeight="1">
      <c r="A30" s="67"/>
      <c r="B30" s="15"/>
      <c r="C30" s="85"/>
      <c r="D30" s="66" t="s">
        <v>445</v>
      </c>
      <c r="E30" s="60">
        <f t="shared" si="13"/>
        <v>2</v>
      </c>
      <c r="F30" s="60">
        <v>1.0</v>
      </c>
      <c r="G30" s="60">
        <v>1.0</v>
      </c>
      <c r="H30" s="60"/>
      <c r="I30" s="60">
        <v>1.0</v>
      </c>
      <c r="J30" s="60">
        <f t="shared" si="5"/>
        <v>2</v>
      </c>
      <c r="K30" s="60">
        <v>1.0</v>
      </c>
      <c r="L30" s="60" t="s">
        <v>446</v>
      </c>
      <c r="M30" s="60">
        <f t="shared" si="6"/>
        <v>1</v>
      </c>
      <c r="N30" s="68">
        <v>1.0</v>
      </c>
      <c r="O30" s="69"/>
      <c r="P30" s="69">
        <v>2.0</v>
      </c>
      <c r="Q30" s="69"/>
      <c r="R30" s="69">
        <v>1.0</v>
      </c>
      <c r="S30" s="62">
        <f t="shared" si="7"/>
        <v>3</v>
      </c>
      <c r="T30" s="67"/>
      <c r="U30" s="67"/>
      <c r="V30" s="67"/>
      <c r="W30" s="60"/>
      <c r="X30" s="60"/>
      <c r="Y30" s="63">
        <f t="shared" si="8"/>
        <v>1</v>
      </c>
      <c r="Z30" s="64"/>
      <c r="AD30" s="67"/>
      <c r="AE30" s="15"/>
      <c r="AF30" s="85"/>
      <c r="AG30" s="66" t="s">
        <v>445</v>
      </c>
      <c r="AH30" s="60">
        <f t="shared" si="14"/>
        <v>2</v>
      </c>
      <c r="AI30" s="60">
        <v>1.0</v>
      </c>
      <c r="AJ30" s="60">
        <v>1.0</v>
      </c>
      <c r="AK30" s="60"/>
      <c r="AL30" s="60">
        <v>1.0</v>
      </c>
      <c r="AM30" s="60">
        <f t="shared" si="9"/>
        <v>2</v>
      </c>
      <c r="AN30" s="60">
        <v>1.0</v>
      </c>
      <c r="AO30" s="60" t="s">
        <v>446</v>
      </c>
      <c r="AP30" s="60">
        <f t="shared" si="10"/>
        <v>1</v>
      </c>
      <c r="AQ30" s="68">
        <v>1.0</v>
      </c>
      <c r="AR30" s="69"/>
      <c r="AS30" s="69">
        <v>2.0</v>
      </c>
      <c r="AT30" s="69"/>
      <c r="AU30" s="69">
        <v>1.0</v>
      </c>
      <c r="AV30" s="62">
        <f t="shared" si="11"/>
        <v>3</v>
      </c>
      <c r="AW30" s="67"/>
      <c r="AX30" s="67"/>
      <c r="AY30" s="67"/>
      <c r="AZ30" s="60"/>
      <c r="BA30" s="60"/>
      <c r="BB30" s="63">
        <f t="shared" si="12"/>
        <v>1</v>
      </c>
      <c r="BC30" s="64"/>
    </row>
    <row r="31" ht="14.25" customHeight="1">
      <c r="A31" s="67"/>
      <c r="B31" s="87"/>
      <c r="C31" s="87"/>
      <c r="D31" s="66" t="s">
        <v>447</v>
      </c>
      <c r="E31" s="60">
        <f t="shared" si="13"/>
        <v>5</v>
      </c>
      <c r="F31" s="60">
        <v>1.0</v>
      </c>
      <c r="G31" s="60">
        <v>3.0</v>
      </c>
      <c r="H31" s="60"/>
      <c r="I31" s="60">
        <v>2.0</v>
      </c>
      <c r="J31" s="60">
        <f t="shared" si="5"/>
        <v>5</v>
      </c>
      <c r="K31" s="60"/>
      <c r="L31" s="60"/>
      <c r="M31" s="60" t="str">
        <f t="shared" si="6"/>
        <v/>
      </c>
      <c r="N31" s="68">
        <v>1.0</v>
      </c>
      <c r="O31" s="69"/>
      <c r="P31" s="69">
        <v>2.0</v>
      </c>
      <c r="Q31" s="69"/>
      <c r="R31" s="69">
        <v>2.0</v>
      </c>
      <c r="S31" s="62">
        <f t="shared" si="7"/>
        <v>4</v>
      </c>
      <c r="T31" s="67"/>
      <c r="U31" s="67"/>
      <c r="V31" s="67"/>
      <c r="W31" s="60"/>
      <c r="X31" s="60"/>
      <c r="Y31" s="63">
        <f t="shared" si="8"/>
        <v>-1</v>
      </c>
      <c r="Z31" s="64"/>
      <c r="AD31" s="67"/>
      <c r="AE31" s="87"/>
      <c r="AF31" s="87"/>
      <c r="AG31" s="66" t="s">
        <v>447</v>
      </c>
      <c r="AH31" s="60">
        <f t="shared" si="14"/>
        <v>5</v>
      </c>
      <c r="AI31" s="60">
        <v>1.0</v>
      </c>
      <c r="AJ31" s="60">
        <v>3.0</v>
      </c>
      <c r="AK31" s="60"/>
      <c r="AL31" s="60">
        <v>2.0</v>
      </c>
      <c r="AM31" s="60">
        <f t="shared" si="9"/>
        <v>5</v>
      </c>
      <c r="AN31" s="60"/>
      <c r="AO31" s="60"/>
      <c r="AP31" s="60" t="str">
        <f t="shared" si="10"/>
        <v/>
      </c>
      <c r="AQ31" s="68">
        <v>1.0</v>
      </c>
      <c r="AR31" s="69"/>
      <c r="AS31" s="69">
        <v>2.0</v>
      </c>
      <c r="AT31" s="69"/>
      <c r="AU31" s="69">
        <v>2.0</v>
      </c>
      <c r="AV31" s="62">
        <f t="shared" si="11"/>
        <v>4</v>
      </c>
      <c r="AW31" s="67"/>
      <c r="AX31" s="67"/>
      <c r="AY31" s="67"/>
      <c r="AZ31" s="60"/>
      <c r="BA31" s="60"/>
      <c r="BB31" s="63">
        <f t="shared" si="12"/>
        <v>-1</v>
      </c>
      <c r="BC31" s="64"/>
    </row>
    <row r="32" ht="14.25" customHeight="1">
      <c r="A32" s="65">
        <v>8.0</v>
      </c>
      <c r="B32" s="102" t="s">
        <v>368</v>
      </c>
      <c r="C32" s="102"/>
      <c r="D32" s="66" t="s">
        <v>449</v>
      </c>
      <c r="E32" s="60">
        <f t="shared" si="13"/>
        <v>1</v>
      </c>
      <c r="F32" s="60">
        <v>1.0</v>
      </c>
      <c r="G32" s="60">
        <v>1.0</v>
      </c>
      <c r="H32" s="60"/>
      <c r="I32" s="60"/>
      <c r="J32" s="60">
        <f t="shared" si="5"/>
        <v>1</v>
      </c>
      <c r="K32" s="60"/>
      <c r="L32" s="60"/>
      <c r="M32" s="60" t="str">
        <f t="shared" si="6"/>
        <v/>
      </c>
      <c r="N32" s="68">
        <v>3.0</v>
      </c>
      <c r="O32" s="69"/>
      <c r="P32" s="69">
        <v>2.0</v>
      </c>
      <c r="Q32" s="69"/>
      <c r="R32" s="69">
        <v>3.0</v>
      </c>
      <c r="S32" s="62">
        <f t="shared" si="7"/>
        <v>5</v>
      </c>
      <c r="T32" s="67"/>
      <c r="U32" s="67"/>
      <c r="V32" s="67"/>
      <c r="W32" s="60"/>
      <c r="X32" s="60"/>
      <c r="Y32" s="63">
        <f t="shared" si="8"/>
        <v>4</v>
      </c>
      <c r="Z32" s="64"/>
      <c r="AD32" s="65">
        <v>8.0</v>
      </c>
      <c r="AE32" s="102" t="s">
        <v>368</v>
      </c>
      <c r="AF32" s="102"/>
      <c r="AG32" s="66" t="s">
        <v>449</v>
      </c>
      <c r="AH32" s="60">
        <f t="shared" si="14"/>
        <v>1</v>
      </c>
      <c r="AI32" s="60">
        <v>1.0</v>
      </c>
      <c r="AJ32" s="60">
        <v>1.0</v>
      </c>
      <c r="AK32" s="60"/>
      <c r="AL32" s="60"/>
      <c r="AM32" s="60">
        <f t="shared" si="9"/>
        <v>1</v>
      </c>
      <c r="AN32" s="60"/>
      <c r="AO32" s="60"/>
      <c r="AP32" s="60" t="str">
        <f t="shared" si="10"/>
        <v/>
      </c>
      <c r="AQ32" s="68">
        <v>3.0</v>
      </c>
      <c r="AR32" s="69"/>
      <c r="AS32" s="69">
        <v>2.0</v>
      </c>
      <c r="AT32" s="69"/>
      <c r="AU32" s="69">
        <v>3.0</v>
      </c>
      <c r="AV32" s="62">
        <f t="shared" si="11"/>
        <v>5</v>
      </c>
      <c r="AW32" s="67"/>
      <c r="AX32" s="67"/>
      <c r="AY32" s="67"/>
      <c r="AZ32" s="60"/>
      <c r="BA32" s="60"/>
      <c r="BB32" s="63">
        <f t="shared" si="12"/>
        <v>4</v>
      </c>
      <c r="BC32" s="64"/>
    </row>
    <row r="33" ht="13.5" customHeight="1">
      <c r="A33" s="65"/>
      <c r="B33" s="85"/>
      <c r="C33" s="85"/>
      <c r="D33" s="66" t="s">
        <v>450</v>
      </c>
      <c r="E33" s="60">
        <f t="shared" si="13"/>
        <v>5</v>
      </c>
      <c r="F33" s="60">
        <v>3.0</v>
      </c>
      <c r="G33" s="60"/>
      <c r="H33" s="60">
        <v>2.0</v>
      </c>
      <c r="I33" s="60">
        <v>3.0</v>
      </c>
      <c r="J33" s="60">
        <f t="shared" si="5"/>
        <v>5</v>
      </c>
      <c r="K33" s="60"/>
      <c r="L33" s="60"/>
      <c r="M33" s="60" t="str">
        <f t="shared" si="6"/>
        <v/>
      </c>
      <c r="N33" s="68"/>
      <c r="O33" s="69"/>
      <c r="P33" s="69"/>
      <c r="Q33" s="69">
        <v>2.0</v>
      </c>
      <c r="R33" s="69"/>
      <c r="S33" s="62">
        <f t="shared" si="7"/>
        <v>2</v>
      </c>
      <c r="T33" s="67"/>
      <c r="U33" s="67"/>
      <c r="V33" s="67"/>
      <c r="W33" s="60"/>
      <c r="X33" s="60"/>
      <c r="Y33" s="63">
        <f t="shared" si="8"/>
        <v>-3</v>
      </c>
      <c r="Z33" s="64"/>
      <c r="AD33" s="65"/>
      <c r="AE33" s="85"/>
      <c r="AF33" s="85"/>
      <c r="AG33" s="66" t="s">
        <v>450</v>
      </c>
      <c r="AH33" s="60">
        <f t="shared" si="14"/>
        <v>5</v>
      </c>
      <c r="AI33" s="60">
        <v>3.0</v>
      </c>
      <c r="AJ33" s="60"/>
      <c r="AK33" s="60">
        <v>2.0</v>
      </c>
      <c r="AL33" s="60">
        <v>3.0</v>
      </c>
      <c r="AM33" s="60">
        <f t="shared" si="9"/>
        <v>5</v>
      </c>
      <c r="AN33" s="60"/>
      <c r="AO33" s="60"/>
      <c r="AP33" s="60" t="str">
        <f t="shared" si="10"/>
        <v/>
      </c>
      <c r="AQ33" s="68"/>
      <c r="AR33" s="69"/>
      <c r="AS33" s="69"/>
      <c r="AT33" s="69">
        <v>2.0</v>
      </c>
      <c r="AU33" s="69"/>
      <c r="AV33" s="62">
        <f t="shared" si="11"/>
        <v>2</v>
      </c>
      <c r="AW33" s="67"/>
      <c r="AX33" s="67"/>
      <c r="AY33" s="67"/>
      <c r="AZ33" s="60"/>
      <c r="BA33" s="60"/>
      <c r="BB33" s="63">
        <f t="shared" si="12"/>
        <v>-3</v>
      </c>
      <c r="BC33" s="64"/>
    </row>
    <row r="34" ht="14.25" customHeight="1">
      <c r="A34" s="65">
        <v>9.0</v>
      </c>
      <c r="B34" s="112" t="s">
        <v>451</v>
      </c>
      <c r="C34" s="112"/>
      <c r="D34" s="66" t="s">
        <v>452</v>
      </c>
      <c r="E34" s="60">
        <f t="shared" si="13"/>
        <v>14</v>
      </c>
      <c r="F34" s="60">
        <v>3.0</v>
      </c>
      <c r="G34" s="60">
        <v>8.0</v>
      </c>
      <c r="H34" s="60">
        <v>3.0</v>
      </c>
      <c r="I34" s="60">
        <v>3.0</v>
      </c>
      <c r="J34" s="60">
        <f t="shared" si="5"/>
        <v>14</v>
      </c>
      <c r="K34" s="60"/>
      <c r="L34" s="60"/>
      <c r="M34" s="60" t="str">
        <f t="shared" si="6"/>
        <v/>
      </c>
      <c r="N34" s="68">
        <v>3.0</v>
      </c>
      <c r="O34" s="69"/>
      <c r="P34" s="69">
        <v>8.0</v>
      </c>
      <c r="Q34" s="69">
        <v>2.0</v>
      </c>
      <c r="R34" s="69">
        <v>3.0</v>
      </c>
      <c r="S34" s="62">
        <f t="shared" si="7"/>
        <v>13</v>
      </c>
      <c r="T34" s="67"/>
      <c r="U34" s="67"/>
      <c r="V34" s="67"/>
      <c r="W34" s="60"/>
      <c r="X34" s="60"/>
      <c r="Y34" s="63">
        <f t="shared" si="8"/>
        <v>-1</v>
      </c>
      <c r="Z34" s="64"/>
      <c r="AD34" s="65">
        <v>9.0</v>
      </c>
      <c r="AE34" s="112" t="s">
        <v>451</v>
      </c>
      <c r="AF34" s="112"/>
      <c r="AG34" s="66" t="s">
        <v>452</v>
      </c>
      <c r="AH34" s="60">
        <f t="shared" si="14"/>
        <v>14</v>
      </c>
      <c r="AI34" s="60">
        <v>3.0</v>
      </c>
      <c r="AJ34" s="60">
        <v>8.0</v>
      </c>
      <c r="AK34" s="60">
        <v>3.0</v>
      </c>
      <c r="AL34" s="60">
        <v>3.0</v>
      </c>
      <c r="AM34" s="60">
        <f t="shared" si="9"/>
        <v>14</v>
      </c>
      <c r="AN34" s="60"/>
      <c r="AO34" s="60"/>
      <c r="AP34" s="60" t="str">
        <f t="shared" si="10"/>
        <v/>
      </c>
      <c r="AQ34" s="68">
        <v>3.0</v>
      </c>
      <c r="AR34" s="69"/>
      <c r="AS34" s="69">
        <v>8.0</v>
      </c>
      <c r="AT34" s="69">
        <v>2.0</v>
      </c>
      <c r="AU34" s="69">
        <v>3.0</v>
      </c>
      <c r="AV34" s="62">
        <f t="shared" si="11"/>
        <v>13</v>
      </c>
      <c r="AW34" s="67"/>
      <c r="AX34" s="67"/>
      <c r="AY34" s="67"/>
      <c r="AZ34" s="60"/>
      <c r="BA34" s="60"/>
      <c r="BB34" s="63">
        <f t="shared" si="12"/>
        <v>-1</v>
      </c>
      <c r="BC34" s="64"/>
    </row>
    <row r="35" ht="14.25" customHeight="1">
      <c r="A35" s="67"/>
      <c r="B35" s="112"/>
      <c r="C35" s="112"/>
      <c r="D35" s="66" t="s">
        <v>453</v>
      </c>
      <c r="E35" s="60">
        <f t="shared" si="13"/>
        <v>7</v>
      </c>
      <c r="F35" s="60">
        <v>3.0</v>
      </c>
      <c r="G35" s="60">
        <v>6.0</v>
      </c>
      <c r="H35" s="60">
        <v>1.0</v>
      </c>
      <c r="I35" s="60"/>
      <c r="J35" s="60">
        <f t="shared" si="5"/>
        <v>7</v>
      </c>
      <c r="K35" s="60"/>
      <c r="L35" s="60"/>
      <c r="M35" s="60" t="str">
        <f t="shared" si="6"/>
        <v/>
      </c>
      <c r="N35" s="68">
        <v>3.0</v>
      </c>
      <c r="O35" s="69"/>
      <c r="P35" s="69">
        <v>6.0</v>
      </c>
      <c r="Q35" s="69">
        <v>2.0</v>
      </c>
      <c r="R35" s="69">
        <v>3.0</v>
      </c>
      <c r="S35" s="62">
        <f t="shared" si="7"/>
        <v>11</v>
      </c>
      <c r="T35" s="67"/>
      <c r="U35" s="67"/>
      <c r="V35" s="67"/>
      <c r="W35" s="60"/>
      <c r="X35" s="60"/>
      <c r="Y35" s="63">
        <f t="shared" si="8"/>
        <v>4</v>
      </c>
      <c r="Z35" s="64"/>
      <c r="AD35" s="67"/>
      <c r="AE35" s="112"/>
      <c r="AF35" s="112"/>
      <c r="AG35" s="66" t="s">
        <v>453</v>
      </c>
      <c r="AH35" s="60">
        <f t="shared" si="14"/>
        <v>7</v>
      </c>
      <c r="AI35" s="60">
        <v>3.0</v>
      </c>
      <c r="AJ35" s="60">
        <v>6.0</v>
      </c>
      <c r="AK35" s="60">
        <v>1.0</v>
      </c>
      <c r="AL35" s="60"/>
      <c r="AM35" s="60">
        <f t="shared" si="9"/>
        <v>7</v>
      </c>
      <c r="AN35" s="60"/>
      <c r="AO35" s="60"/>
      <c r="AP35" s="60" t="str">
        <f t="shared" si="10"/>
        <v/>
      </c>
      <c r="AQ35" s="68">
        <v>3.0</v>
      </c>
      <c r="AR35" s="69"/>
      <c r="AS35" s="69">
        <v>6.0</v>
      </c>
      <c r="AT35" s="69">
        <v>2.0</v>
      </c>
      <c r="AU35" s="69">
        <v>3.0</v>
      </c>
      <c r="AV35" s="62">
        <f t="shared" si="11"/>
        <v>11</v>
      </c>
      <c r="AW35" s="67"/>
      <c r="AX35" s="67"/>
      <c r="AY35" s="67"/>
      <c r="AZ35" s="60"/>
      <c r="BA35" s="60"/>
      <c r="BB35" s="63">
        <f t="shared" si="12"/>
        <v>4</v>
      </c>
      <c r="BC35" s="64"/>
    </row>
    <row r="36" ht="14.25" customHeight="1">
      <c r="A36" s="58">
        <v>10.0</v>
      </c>
      <c r="B36" s="112" t="s">
        <v>257</v>
      </c>
      <c r="C36" s="112"/>
      <c r="D36" s="57" t="s">
        <v>454</v>
      </c>
      <c r="E36" s="60">
        <f t="shared" si="13"/>
        <v>2</v>
      </c>
      <c r="F36" s="59">
        <v>1.0</v>
      </c>
      <c r="G36" s="59">
        <v>2.0</v>
      </c>
      <c r="H36" s="59"/>
      <c r="I36" s="59"/>
      <c r="J36" s="60">
        <f t="shared" si="5"/>
        <v>2</v>
      </c>
      <c r="K36" s="59"/>
      <c r="L36" s="59"/>
      <c r="M36" s="60" t="str">
        <f t="shared" si="6"/>
        <v/>
      </c>
      <c r="N36" s="61">
        <v>1.0</v>
      </c>
      <c r="O36" s="62"/>
      <c r="P36" s="62">
        <v>2.0</v>
      </c>
      <c r="Q36" s="62"/>
      <c r="R36" s="62"/>
      <c r="S36" s="62">
        <f t="shared" si="7"/>
        <v>2</v>
      </c>
      <c r="T36" s="58"/>
      <c r="U36" s="58"/>
      <c r="V36" s="58"/>
      <c r="W36" s="59"/>
      <c r="X36" s="59"/>
      <c r="Y36" s="63">
        <f t="shared" si="8"/>
        <v>0</v>
      </c>
      <c r="Z36" s="64"/>
      <c r="AD36" s="58">
        <v>10.0</v>
      </c>
      <c r="AE36" s="112" t="s">
        <v>257</v>
      </c>
      <c r="AF36" s="112"/>
      <c r="AG36" s="57" t="s">
        <v>454</v>
      </c>
      <c r="AH36" s="60">
        <f t="shared" si="14"/>
        <v>2</v>
      </c>
      <c r="AI36" s="59">
        <v>1.0</v>
      </c>
      <c r="AJ36" s="59">
        <v>2.0</v>
      </c>
      <c r="AK36" s="59"/>
      <c r="AL36" s="59"/>
      <c r="AM36" s="60">
        <f t="shared" si="9"/>
        <v>2</v>
      </c>
      <c r="AN36" s="59"/>
      <c r="AO36" s="59"/>
      <c r="AP36" s="60" t="str">
        <f t="shared" si="10"/>
        <v/>
      </c>
      <c r="AQ36" s="61">
        <v>1.0</v>
      </c>
      <c r="AR36" s="62"/>
      <c r="AS36" s="62">
        <v>2.0</v>
      </c>
      <c r="AT36" s="62"/>
      <c r="AU36" s="62"/>
      <c r="AV36" s="62">
        <f t="shared" si="11"/>
        <v>2</v>
      </c>
      <c r="AW36" s="58"/>
      <c r="AX36" s="58"/>
      <c r="AY36" s="58"/>
      <c r="AZ36" s="59"/>
      <c r="BA36" s="59"/>
      <c r="BB36" s="63">
        <f t="shared" si="12"/>
        <v>0</v>
      </c>
      <c r="BC36" s="64"/>
    </row>
    <row r="37" ht="14.25" customHeight="1">
      <c r="A37" s="56">
        <v>11.0</v>
      </c>
      <c r="B37" s="84" t="s">
        <v>455</v>
      </c>
      <c r="C37" s="85">
        <v>1.0</v>
      </c>
      <c r="D37" s="119" t="s">
        <v>456</v>
      </c>
      <c r="E37" s="60">
        <f t="shared" si="13"/>
        <v>2</v>
      </c>
      <c r="F37" s="58">
        <v>3.0</v>
      </c>
      <c r="G37" s="58">
        <v>1.0</v>
      </c>
      <c r="H37" s="58"/>
      <c r="I37" s="58">
        <v>1.0</v>
      </c>
      <c r="J37" s="60">
        <f t="shared" si="5"/>
        <v>2</v>
      </c>
      <c r="K37" s="58"/>
      <c r="L37" s="58"/>
      <c r="M37" s="60" t="str">
        <f t="shared" si="6"/>
        <v/>
      </c>
      <c r="N37" s="62">
        <v>1.0</v>
      </c>
      <c r="O37" s="62"/>
      <c r="P37" s="62">
        <v>1.0</v>
      </c>
      <c r="Q37" s="62"/>
      <c r="R37" s="62"/>
      <c r="S37" s="62">
        <f t="shared" si="7"/>
        <v>1</v>
      </c>
      <c r="T37" s="120"/>
      <c r="U37" s="120"/>
      <c r="V37" s="120"/>
      <c r="W37" s="119"/>
      <c r="X37" s="119"/>
      <c r="Y37" s="63">
        <f t="shared" si="8"/>
        <v>-1</v>
      </c>
      <c r="AD37" s="56">
        <v>11.0</v>
      </c>
      <c r="AE37" s="84" t="s">
        <v>455</v>
      </c>
      <c r="AF37" s="85">
        <v>1.0</v>
      </c>
      <c r="AG37" s="119" t="s">
        <v>456</v>
      </c>
      <c r="AH37" s="60">
        <f t="shared" si="14"/>
        <v>2</v>
      </c>
      <c r="AI37" s="58">
        <v>3.0</v>
      </c>
      <c r="AJ37" s="58">
        <v>1.0</v>
      </c>
      <c r="AK37" s="58"/>
      <c r="AL37" s="58">
        <v>1.0</v>
      </c>
      <c r="AM37" s="60">
        <f t="shared" si="9"/>
        <v>2</v>
      </c>
      <c r="AN37" s="58"/>
      <c r="AO37" s="58"/>
      <c r="AP37" s="60" t="str">
        <f t="shared" si="10"/>
        <v/>
      </c>
      <c r="AQ37" s="62">
        <v>1.0</v>
      </c>
      <c r="AR37" s="62"/>
      <c r="AS37" s="62">
        <v>1.0</v>
      </c>
      <c r="AT37" s="62"/>
      <c r="AU37" s="62"/>
      <c r="AV37" s="62">
        <f t="shared" si="11"/>
        <v>1</v>
      </c>
      <c r="AW37" s="120"/>
      <c r="AX37" s="120"/>
      <c r="AY37" s="120"/>
      <c r="AZ37" s="119"/>
      <c r="BA37" s="119"/>
      <c r="BB37" s="63">
        <f t="shared" si="12"/>
        <v>-1</v>
      </c>
    </row>
    <row r="38" ht="14.25" customHeight="1">
      <c r="A38" s="65"/>
      <c r="B38" s="15"/>
      <c r="C38" s="85">
        <v>2.0</v>
      </c>
      <c r="D38" s="121" t="s">
        <v>457</v>
      </c>
      <c r="E38" s="60">
        <f t="shared" si="13"/>
        <v>1</v>
      </c>
      <c r="F38" s="58">
        <v>3.0</v>
      </c>
      <c r="G38" s="58">
        <v>1.0</v>
      </c>
      <c r="H38" s="58"/>
      <c r="I38" s="58"/>
      <c r="J38" s="60">
        <f t="shared" si="5"/>
        <v>1</v>
      </c>
      <c r="K38" s="58"/>
      <c r="L38" s="58"/>
      <c r="M38" s="60" t="str">
        <f t="shared" si="6"/>
        <v/>
      </c>
      <c r="N38" s="62">
        <v>3.0</v>
      </c>
      <c r="O38" s="69"/>
      <c r="P38" s="69">
        <v>1.0</v>
      </c>
      <c r="Q38" s="69"/>
      <c r="R38" s="69"/>
      <c r="S38" s="62">
        <f t="shared" si="7"/>
        <v>1</v>
      </c>
      <c r="T38" s="122"/>
      <c r="U38" s="122"/>
      <c r="V38" s="122"/>
      <c r="W38" s="121"/>
      <c r="X38" s="121"/>
      <c r="Y38" s="63">
        <f t="shared" si="8"/>
        <v>0</v>
      </c>
      <c r="AD38" s="65"/>
      <c r="AE38" s="15"/>
      <c r="AF38" s="85">
        <v>2.0</v>
      </c>
      <c r="AG38" s="121" t="s">
        <v>457</v>
      </c>
      <c r="AH38" s="60">
        <f t="shared" si="14"/>
        <v>1</v>
      </c>
      <c r="AI38" s="58">
        <v>3.0</v>
      </c>
      <c r="AJ38" s="58">
        <v>1.0</v>
      </c>
      <c r="AK38" s="58"/>
      <c r="AL38" s="58"/>
      <c r="AM38" s="60">
        <f t="shared" si="9"/>
        <v>1</v>
      </c>
      <c r="AN38" s="58"/>
      <c r="AO38" s="58"/>
      <c r="AP38" s="60" t="str">
        <f t="shared" si="10"/>
        <v/>
      </c>
      <c r="AQ38" s="62">
        <v>3.0</v>
      </c>
      <c r="AR38" s="69"/>
      <c r="AS38" s="69">
        <v>1.0</v>
      </c>
      <c r="AT38" s="69"/>
      <c r="AU38" s="69"/>
      <c r="AV38" s="62">
        <f t="shared" si="11"/>
        <v>1</v>
      </c>
      <c r="AW38" s="122"/>
      <c r="AX38" s="122"/>
      <c r="AY38" s="122"/>
      <c r="AZ38" s="121"/>
      <c r="BA38" s="121"/>
      <c r="BB38" s="63">
        <f t="shared" si="12"/>
        <v>0</v>
      </c>
    </row>
    <row r="39" ht="13.5" customHeight="1">
      <c r="A39" s="65"/>
      <c r="B39" s="15"/>
      <c r="C39" s="85">
        <v>3.0</v>
      </c>
      <c r="D39" s="121" t="s">
        <v>458</v>
      </c>
      <c r="E39" s="60">
        <f t="shared" si="13"/>
        <v>1</v>
      </c>
      <c r="F39" s="58">
        <v>3.0</v>
      </c>
      <c r="G39" s="58">
        <v>1.0</v>
      </c>
      <c r="H39" s="58"/>
      <c r="I39" s="58"/>
      <c r="J39" s="60">
        <f t="shared" si="5"/>
        <v>1</v>
      </c>
      <c r="K39" s="58"/>
      <c r="L39" s="58"/>
      <c r="M39" s="60" t="str">
        <f t="shared" si="6"/>
        <v/>
      </c>
      <c r="N39" s="62">
        <v>2.0</v>
      </c>
      <c r="O39" s="69"/>
      <c r="P39" s="69">
        <v>1.0</v>
      </c>
      <c r="Q39" s="69"/>
      <c r="R39" s="69">
        <v>1.0</v>
      </c>
      <c r="S39" s="62">
        <f t="shared" si="7"/>
        <v>2</v>
      </c>
      <c r="T39" s="122"/>
      <c r="U39" s="122"/>
      <c r="V39" s="122"/>
      <c r="W39" s="121"/>
      <c r="X39" s="121"/>
      <c r="Y39" s="63">
        <f t="shared" si="8"/>
        <v>1</v>
      </c>
      <c r="AD39" s="65"/>
      <c r="AE39" s="15"/>
      <c r="AF39" s="85">
        <v>3.0</v>
      </c>
      <c r="AG39" s="121" t="s">
        <v>458</v>
      </c>
      <c r="AH39" s="60">
        <f t="shared" si="14"/>
        <v>1</v>
      </c>
      <c r="AI39" s="58">
        <v>3.0</v>
      </c>
      <c r="AJ39" s="58">
        <v>1.0</v>
      </c>
      <c r="AK39" s="58"/>
      <c r="AL39" s="58"/>
      <c r="AM39" s="60">
        <f t="shared" si="9"/>
        <v>1</v>
      </c>
      <c r="AN39" s="58"/>
      <c r="AO39" s="58"/>
      <c r="AP39" s="60" t="str">
        <f t="shared" si="10"/>
        <v/>
      </c>
      <c r="AQ39" s="62">
        <v>2.0</v>
      </c>
      <c r="AR39" s="69"/>
      <c r="AS39" s="69">
        <v>1.0</v>
      </c>
      <c r="AT39" s="69"/>
      <c r="AU39" s="69">
        <v>1.0</v>
      </c>
      <c r="AV39" s="62">
        <f t="shared" si="11"/>
        <v>2</v>
      </c>
      <c r="AW39" s="122"/>
      <c r="AX39" s="122"/>
      <c r="AY39" s="122"/>
      <c r="AZ39" s="121"/>
      <c r="BA39" s="121"/>
      <c r="BB39" s="63">
        <f t="shared" si="12"/>
        <v>1</v>
      </c>
    </row>
    <row r="40" ht="14.25" customHeight="1">
      <c r="A40" s="65"/>
      <c r="B40" s="15"/>
      <c r="C40" s="85">
        <v>4.0</v>
      </c>
      <c r="D40" s="121" t="s">
        <v>459</v>
      </c>
      <c r="E40" s="60">
        <f t="shared" si="13"/>
        <v>1</v>
      </c>
      <c r="F40" s="58">
        <v>3.0</v>
      </c>
      <c r="G40" s="58">
        <v>1.0</v>
      </c>
      <c r="H40" s="58"/>
      <c r="I40" s="58"/>
      <c r="J40" s="60">
        <f t="shared" si="5"/>
        <v>1</v>
      </c>
      <c r="K40" s="58"/>
      <c r="L40" s="58"/>
      <c r="M40" s="60" t="str">
        <f t="shared" si="6"/>
        <v/>
      </c>
      <c r="N40" s="62">
        <v>3.0</v>
      </c>
      <c r="O40" s="69"/>
      <c r="P40" s="69">
        <v>1.0</v>
      </c>
      <c r="Q40" s="69"/>
      <c r="R40" s="69"/>
      <c r="S40" s="62">
        <f t="shared" si="7"/>
        <v>1</v>
      </c>
      <c r="T40" s="122"/>
      <c r="U40" s="122"/>
      <c r="V40" s="122"/>
      <c r="W40" s="121"/>
      <c r="X40" s="121"/>
      <c r="Y40" s="63">
        <f t="shared" si="8"/>
        <v>0</v>
      </c>
      <c r="AD40" s="65"/>
      <c r="AE40" s="15"/>
      <c r="AF40" s="85">
        <v>4.0</v>
      </c>
      <c r="AG40" s="121" t="s">
        <v>459</v>
      </c>
      <c r="AH40" s="60">
        <f t="shared" si="14"/>
        <v>1</v>
      </c>
      <c r="AI40" s="58">
        <v>3.0</v>
      </c>
      <c r="AJ40" s="58">
        <v>1.0</v>
      </c>
      <c r="AK40" s="58"/>
      <c r="AL40" s="58"/>
      <c r="AM40" s="60">
        <f t="shared" si="9"/>
        <v>1</v>
      </c>
      <c r="AN40" s="58"/>
      <c r="AO40" s="58"/>
      <c r="AP40" s="60" t="str">
        <f t="shared" si="10"/>
        <v/>
      </c>
      <c r="AQ40" s="62">
        <v>3.0</v>
      </c>
      <c r="AR40" s="69"/>
      <c r="AS40" s="69">
        <v>1.0</v>
      </c>
      <c r="AT40" s="69"/>
      <c r="AU40" s="69"/>
      <c r="AV40" s="62">
        <f t="shared" si="11"/>
        <v>1</v>
      </c>
      <c r="AW40" s="122"/>
      <c r="AX40" s="122"/>
      <c r="AY40" s="122"/>
      <c r="AZ40" s="121"/>
      <c r="BA40" s="121"/>
      <c r="BB40" s="63">
        <f t="shared" si="12"/>
        <v>0</v>
      </c>
    </row>
    <row r="41" ht="14.25" customHeight="1">
      <c r="A41" s="65"/>
      <c r="B41" s="15"/>
      <c r="C41" s="85">
        <v>5.0</v>
      </c>
      <c r="D41" s="121" t="s">
        <v>460</v>
      </c>
      <c r="E41" s="60">
        <f t="shared" si="13"/>
        <v>1</v>
      </c>
      <c r="F41" s="58">
        <v>2.0</v>
      </c>
      <c r="G41" s="58">
        <v>1.0</v>
      </c>
      <c r="H41" s="58"/>
      <c r="I41" s="58"/>
      <c r="J41" s="60">
        <f t="shared" si="5"/>
        <v>1</v>
      </c>
      <c r="K41" s="58"/>
      <c r="L41" s="58"/>
      <c r="M41" s="60" t="str">
        <f t="shared" si="6"/>
        <v/>
      </c>
      <c r="N41" s="62">
        <v>2.0</v>
      </c>
      <c r="O41" s="69"/>
      <c r="P41" s="69">
        <v>2.0</v>
      </c>
      <c r="Q41" s="69"/>
      <c r="R41" s="69"/>
      <c r="S41" s="62">
        <f t="shared" si="7"/>
        <v>2</v>
      </c>
      <c r="T41" s="122"/>
      <c r="U41" s="122"/>
      <c r="V41" s="122"/>
      <c r="W41" s="121"/>
      <c r="X41" s="121"/>
      <c r="Y41" s="63">
        <f t="shared" si="8"/>
        <v>1</v>
      </c>
      <c r="AD41" s="65"/>
      <c r="AE41" s="15"/>
      <c r="AF41" s="85">
        <v>5.0</v>
      </c>
      <c r="AG41" s="121" t="s">
        <v>460</v>
      </c>
      <c r="AH41" s="60">
        <f t="shared" si="14"/>
        <v>1</v>
      </c>
      <c r="AI41" s="58">
        <v>2.0</v>
      </c>
      <c r="AJ41" s="58">
        <v>1.0</v>
      </c>
      <c r="AK41" s="58"/>
      <c r="AL41" s="58"/>
      <c r="AM41" s="60">
        <f t="shared" si="9"/>
        <v>1</v>
      </c>
      <c r="AN41" s="58"/>
      <c r="AO41" s="58"/>
      <c r="AP41" s="60" t="str">
        <f t="shared" si="10"/>
        <v/>
      </c>
      <c r="AQ41" s="62">
        <v>2.0</v>
      </c>
      <c r="AR41" s="69"/>
      <c r="AS41" s="69">
        <v>2.0</v>
      </c>
      <c r="AT41" s="69"/>
      <c r="AU41" s="69"/>
      <c r="AV41" s="62">
        <f t="shared" si="11"/>
        <v>2</v>
      </c>
      <c r="AW41" s="122"/>
      <c r="AX41" s="122"/>
      <c r="AY41" s="122"/>
      <c r="AZ41" s="121"/>
      <c r="BA41" s="121"/>
      <c r="BB41" s="63">
        <f t="shared" si="12"/>
        <v>1</v>
      </c>
    </row>
    <row r="42" ht="14.25" customHeight="1">
      <c r="A42" s="65">
        <v>12.0</v>
      </c>
      <c r="B42" s="22"/>
      <c r="C42" s="85">
        <v>6.0</v>
      </c>
      <c r="D42" s="66" t="s">
        <v>462</v>
      </c>
      <c r="E42" s="60">
        <f t="shared" si="13"/>
        <v>2</v>
      </c>
      <c r="F42" s="60">
        <v>1.0</v>
      </c>
      <c r="G42" s="60">
        <v>1.0</v>
      </c>
      <c r="H42" s="60">
        <v>1.0</v>
      </c>
      <c r="I42" s="60"/>
      <c r="J42" s="60">
        <f t="shared" si="5"/>
        <v>2</v>
      </c>
      <c r="K42" s="60"/>
      <c r="L42" s="60"/>
      <c r="M42" s="60" t="str">
        <f t="shared" si="6"/>
        <v/>
      </c>
      <c r="N42" s="68">
        <v>1.0</v>
      </c>
      <c r="O42" s="69"/>
      <c r="P42" s="69">
        <v>1.0</v>
      </c>
      <c r="Q42" s="69">
        <v>1.0</v>
      </c>
      <c r="R42" s="69"/>
      <c r="S42" s="62">
        <f t="shared" si="7"/>
        <v>2</v>
      </c>
      <c r="T42" s="67"/>
      <c r="U42" s="67"/>
      <c r="V42" s="67"/>
      <c r="W42" s="60"/>
      <c r="X42" s="60"/>
      <c r="Y42" s="63">
        <f t="shared" si="8"/>
        <v>0</v>
      </c>
      <c r="Z42" s="64"/>
      <c r="AD42" s="65">
        <v>12.0</v>
      </c>
      <c r="AE42" s="22"/>
      <c r="AF42" s="85">
        <v>6.0</v>
      </c>
      <c r="AG42" s="66" t="s">
        <v>462</v>
      </c>
      <c r="AH42" s="60">
        <f t="shared" si="14"/>
        <v>2</v>
      </c>
      <c r="AI42" s="60">
        <v>1.0</v>
      </c>
      <c r="AJ42" s="60">
        <v>1.0</v>
      </c>
      <c r="AK42" s="60">
        <v>1.0</v>
      </c>
      <c r="AL42" s="60"/>
      <c r="AM42" s="60">
        <f t="shared" si="9"/>
        <v>2</v>
      </c>
      <c r="AN42" s="60"/>
      <c r="AO42" s="60"/>
      <c r="AP42" s="60" t="str">
        <f t="shared" si="10"/>
        <v/>
      </c>
      <c r="AQ42" s="68">
        <v>1.0</v>
      </c>
      <c r="AR42" s="69"/>
      <c r="AS42" s="69">
        <v>1.0</v>
      </c>
      <c r="AT42" s="69">
        <v>1.0</v>
      </c>
      <c r="AU42" s="69"/>
      <c r="AV42" s="62">
        <f t="shared" si="11"/>
        <v>2</v>
      </c>
      <c r="AW42" s="67"/>
      <c r="AX42" s="67"/>
      <c r="AY42" s="67"/>
      <c r="AZ42" s="60"/>
      <c r="BA42" s="60"/>
      <c r="BB42" s="63">
        <f t="shared" si="12"/>
        <v>0</v>
      </c>
      <c r="BC42" s="64"/>
    </row>
    <row r="43" ht="14.25" customHeight="1">
      <c r="A43" s="65">
        <v>13.0</v>
      </c>
      <c r="B43" s="84" t="s">
        <v>465</v>
      </c>
      <c r="C43" s="85">
        <v>7.0</v>
      </c>
      <c r="D43" s="121" t="s">
        <v>468</v>
      </c>
      <c r="E43" s="60">
        <f t="shared" si="13"/>
        <v>7</v>
      </c>
      <c r="F43" s="67">
        <v>3.0</v>
      </c>
      <c r="G43" s="67">
        <v>3.0</v>
      </c>
      <c r="H43" s="67">
        <v>1.0</v>
      </c>
      <c r="I43" s="67">
        <v>3.0</v>
      </c>
      <c r="J43" s="60">
        <f t="shared" si="5"/>
        <v>7</v>
      </c>
      <c r="K43" s="67">
        <v>2.0</v>
      </c>
      <c r="L43" s="67"/>
      <c r="M43" s="60">
        <f t="shared" si="6"/>
        <v>2</v>
      </c>
      <c r="N43" s="69">
        <v>3.0</v>
      </c>
      <c r="O43" s="69"/>
      <c r="P43" s="69">
        <v>4.0</v>
      </c>
      <c r="Q43" s="69"/>
      <c r="R43" s="69">
        <v>3.0</v>
      </c>
      <c r="S43" s="62">
        <f t="shared" si="7"/>
        <v>7</v>
      </c>
      <c r="T43" s="122"/>
      <c r="U43" s="122"/>
      <c r="V43" s="122"/>
      <c r="W43" s="121"/>
      <c r="X43" s="121"/>
      <c r="Y43" s="63">
        <f t="shared" si="8"/>
        <v>0</v>
      </c>
      <c r="AD43" s="65">
        <v>13.0</v>
      </c>
      <c r="AE43" s="84" t="s">
        <v>465</v>
      </c>
      <c r="AF43" s="85">
        <v>7.0</v>
      </c>
      <c r="AG43" s="121" t="s">
        <v>468</v>
      </c>
      <c r="AH43" s="60">
        <f t="shared" si="14"/>
        <v>7</v>
      </c>
      <c r="AI43" s="67">
        <v>3.0</v>
      </c>
      <c r="AJ43" s="67">
        <v>3.0</v>
      </c>
      <c r="AK43" s="67">
        <v>1.0</v>
      </c>
      <c r="AL43" s="67">
        <v>3.0</v>
      </c>
      <c r="AM43" s="60">
        <f t="shared" si="9"/>
        <v>7</v>
      </c>
      <c r="AN43" s="67">
        <v>2.0</v>
      </c>
      <c r="AO43" s="67"/>
      <c r="AP43" s="60">
        <f t="shared" si="10"/>
        <v>2</v>
      </c>
      <c r="AQ43" s="69">
        <v>3.0</v>
      </c>
      <c r="AR43" s="69"/>
      <c r="AS43" s="69">
        <v>4.0</v>
      </c>
      <c r="AT43" s="69"/>
      <c r="AU43" s="69">
        <v>3.0</v>
      </c>
      <c r="AV43" s="62">
        <f t="shared" si="11"/>
        <v>7</v>
      </c>
      <c r="AW43" s="122"/>
      <c r="AX43" s="122"/>
      <c r="AY43" s="122"/>
      <c r="AZ43" s="121"/>
      <c r="BA43" s="121"/>
      <c r="BB43" s="63">
        <f t="shared" si="12"/>
        <v>0</v>
      </c>
    </row>
    <row r="44" ht="14.25" customHeight="1">
      <c r="A44" s="65"/>
      <c r="B44" s="15"/>
      <c r="C44" s="85">
        <v>8.0</v>
      </c>
      <c r="D44" s="121" t="s">
        <v>472</v>
      </c>
      <c r="E44" s="60">
        <f t="shared" si="13"/>
        <v>7</v>
      </c>
      <c r="F44" s="67">
        <v>3.0</v>
      </c>
      <c r="G44" s="67">
        <v>4.0</v>
      </c>
      <c r="H44" s="67"/>
      <c r="I44" s="67">
        <v>3.0</v>
      </c>
      <c r="J44" s="60">
        <f t="shared" si="5"/>
        <v>7</v>
      </c>
      <c r="K44" s="67">
        <v>2.0</v>
      </c>
      <c r="L44" s="67"/>
      <c r="M44" s="60">
        <f t="shared" si="6"/>
        <v>2</v>
      </c>
      <c r="N44" s="69">
        <v>3.0</v>
      </c>
      <c r="O44" s="69"/>
      <c r="P44" s="69">
        <v>3.0</v>
      </c>
      <c r="Q44" s="69">
        <v>1.0</v>
      </c>
      <c r="R44" s="69">
        <v>5.0</v>
      </c>
      <c r="S44" s="62">
        <f t="shared" si="7"/>
        <v>9</v>
      </c>
      <c r="T44" s="122"/>
      <c r="U44" s="122"/>
      <c r="V44" s="122"/>
      <c r="W44" s="121"/>
      <c r="X44" s="121"/>
      <c r="Y44" s="63">
        <f t="shared" si="8"/>
        <v>2</v>
      </c>
      <c r="AA44" s="127" t="s">
        <v>475</v>
      </c>
      <c r="AD44" s="65"/>
      <c r="AE44" s="15"/>
      <c r="AF44" s="85">
        <v>8.0</v>
      </c>
      <c r="AG44" s="121" t="s">
        <v>472</v>
      </c>
      <c r="AH44" s="60">
        <f t="shared" si="14"/>
        <v>7</v>
      </c>
      <c r="AI44" s="67">
        <v>3.0</v>
      </c>
      <c r="AJ44" s="67">
        <v>4.0</v>
      </c>
      <c r="AK44" s="67"/>
      <c r="AL44" s="67">
        <v>3.0</v>
      </c>
      <c r="AM44" s="60">
        <f t="shared" si="9"/>
        <v>7</v>
      </c>
      <c r="AN44" s="67">
        <v>2.0</v>
      </c>
      <c r="AO44" s="67"/>
      <c r="AP44" s="60">
        <f t="shared" si="10"/>
        <v>2</v>
      </c>
      <c r="AQ44" s="69">
        <v>3.0</v>
      </c>
      <c r="AR44" s="69"/>
      <c r="AS44" s="69">
        <v>3.0</v>
      </c>
      <c r="AT44" s="69">
        <v>1.0</v>
      </c>
      <c r="AU44" s="69">
        <v>5.0</v>
      </c>
      <c r="AV44" s="62">
        <f t="shared" si="11"/>
        <v>9</v>
      </c>
      <c r="AW44" s="122"/>
      <c r="AX44" s="122"/>
      <c r="AY44" s="122"/>
      <c r="AZ44" s="121"/>
      <c r="BA44" s="121"/>
      <c r="BB44" s="63">
        <f t="shared" si="12"/>
        <v>2</v>
      </c>
      <c r="BD44" s="127" t="s">
        <v>475</v>
      </c>
    </row>
    <row r="45" ht="14.25" customHeight="1">
      <c r="A45" s="65"/>
      <c r="B45" s="22"/>
      <c r="C45" s="85">
        <v>9.0</v>
      </c>
      <c r="D45" s="121" t="s">
        <v>477</v>
      </c>
      <c r="E45" s="60">
        <f t="shared" si="13"/>
        <v>5</v>
      </c>
      <c r="F45" s="67">
        <v>2.0</v>
      </c>
      <c r="G45" s="67">
        <v>3.0</v>
      </c>
      <c r="H45" s="67"/>
      <c r="I45" s="67">
        <v>2.0</v>
      </c>
      <c r="J45" s="60">
        <f t="shared" si="5"/>
        <v>5</v>
      </c>
      <c r="K45" s="67">
        <v>1.0</v>
      </c>
      <c r="L45" s="67"/>
      <c r="M45" s="60">
        <f t="shared" si="6"/>
        <v>1</v>
      </c>
      <c r="N45" s="69">
        <v>2.0</v>
      </c>
      <c r="O45" s="69"/>
      <c r="P45" s="69">
        <v>2.0</v>
      </c>
      <c r="Q45" s="69"/>
      <c r="R45" s="69">
        <v>4.0</v>
      </c>
      <c r="S45" s="62">
        <f t="shared" si="7"/>
        <v>6</v>
      </c>
      <c r="T45" s="122"/>
      <c r="U45" s="122"/>
      <c r="V45" s="122"/>
      <c r="W45" s="121"/>
      <c r="X45" s="121"/>
      <c r="Y45" s="63">
        <f t="shared" si="8"/>
        <v>1</v>
      </c>
      <c r="AD45" s="65"/>
      <c r="AE45" s="22"/>
      <c r="AF45" s="85">
        <v>9.0</v>
      </c>
      <c r="AG45" s="121" t="s">
        <v>477</v>
      </c>
      <c r="AH45" s="60">
        <f t="shared" si="14"/>
        <v>5</v>
      </c>
      <c r="AI45" s="67">
        <v>2.0</v>
      </c>
      <c r="AJ45" s="67">
        <v>3.0</v>
      </c>
      <c r="AK45" s="67"/>
      <c r="AL45" s="67">
        <v>2.0</v>
      </c>
      <c r="AM45" s="60">
        <f t="shared" si="9"/>
        <v>5</v>
      </c>
      <c r="AN45" s="67">
        <v>1.0</v>
      </c>
      <c r="AO45" s="67"/>
      <c r="AP45" s="60">
        <f t="shared" si="10"/>
        <v>1</v>
      </c>
      <c r="AQ45" s="69">
        <v>2.0</v>
      </c>
      <c r="AR45" s="69"/>
      <c r="AS45" s="69">
        <v>2.0</v>
      </c>
      <c r="AT45" s="69"/>
      <c r="AU45" s="69">
        <v>4.0</v>
      </c>
      <c r="AV45" s="62">
        <f t="shared" si="11"/>
        <v>6</v>
      </c>
      <c r="AW45" s="122"/>
      <c r="AX45" s="122"/>
      <c r="AY45" s="122"/>
      <c r="AZ45" s="121"/>
      <c r="BA45" s="121"/>
      <c r="BB45" s="63">
        <f t="shared" si="12"/>
        <v>1</v>
      </c>
    </row>
    <row r="46" ht="14.25" customHeight="1">
      <c r="A46" s="65">
        <v>14.0</v>
      </c>
      <c r="B46" s="84" t="s">
        <v>479</v>
      </c>
      <c r="C46" s="85">
        <v>10.0</v>
      </c>
      <c r="D46" s="121" t="s">
        <v>480</v>
      </c>
      <c r="E46" s="60">
        <f t="shared" si="13"/>
        <v>6</v>
      </c>
      <c r="F46" s="67">
        <v>1.0</v>
      </c>
      <c r="G46" s="67">
        <v>3.0</v>
      </c>
      <c r="H46" s="67"/>
      <c r="I46" s="67">
        <v>3.0</v>
      </c>
      <c r="J46" s="60">
        <f t="shared" si="5"/>
        <v>6</v>
      </c>
      <c r="K46" s="67"/>
      <c r="L46" s="67"/>
      <c r="M46" s="60" t="str">
        <f t="shared" si="6"/>
        <v/>
      </c>
      <c r="N46" s="69">
        <v>1.0</v>
      </c>
      <c r="O46" s="69"/>
      <c r="P46" s="69">
        <v>3.0</v>
      </c>
      <c r="Q46" s="69">
        <v>3.0</v>
      </c>
      <c r="R46" s="69">
        <v>2.0</v>
      </c>
      <c r="S46" s="62">
        <f t="shared" si="7"/>
        <v>8</v>
      </c>
      <c r="T46" s="122"/>
      <c r="U46" s="122"/>
      <c r="V46" s="122"/>
      <c r="W46" s="121"/>
      <c r="X46" s="121"/>
      <c r="Y46" s="63">
        <f t="shared" si="8"/>
        <v>2</v>
      </c>
      <c r="AA46" s="127" t="s">
        <v>481</v>
      </c>
      <c r="AD46" s="65">
        <v>14.0</v>
      </c>
      <c r="AE46" s="84" t="s">
        <v>479</v>
      </c>
      <c r="AF46" s="85">
        <v>10.0</v>
      </c>
      <c r="AG46" s="121" t="s">
        <v>480</v>
      </c>
      <c r="AH46" s="60">
        <f t="shared" si="14"/>
        <v>6</v>
      </c>
      <c r="AI46" s="67">
        <v>1.0</v>
      </c>
      <c r="AJ46" s="67">
        <v>3.0</v>
      </c>
      <c r="AK46" s="67"/>
      <c r="AL46" s="67">
        <v>3.0</v>
      </c>
      <c r="AM46" s="60">
        <f t="shared" si="9"/>
        <v>6</v>
      </c>
      <c r="AN46" s="67"/>
      <c r="AO46" s="67"/>
      <c r="AP46" s="60" t="str">
        <f t="shared" si="10"/>
        <v/>
      </c>
      <c r="AQ46" s="69">
        <v>1.0</v>
      </c>
      <c r="AR46" s="69"/>
      <c r="AS46" s="69">
        <v>3.0</v>
      </c>
      <c r="AT46" s="69">
        <v>3.0</v>
      </c>
      <c r="AU46" s="69">
        <v>2.0</v>
      </c>
      <c r="AV46" s="62">
        <f t="shared" si="11"/>
        <v>8</v>
      </c>
      <c r="AW46" s="122"/>
      <c r="AX46" s="122"/>
      <c r="AY46" s="122"/>
      <c r="AZ46" s="121"/>
      <c r="BA46" s="121"/>
      <c r="BB46" s="63">
        <f t="shared" si="12"/>
        <v>2</v>
      </c>
      <c r="BD46" s="127" t="s">
        <v>481</v>
      </c>
    </row>
    <row r="47" ht="14.25" customHeight="1">
      <c r="A47" s="65"/>
      <c r="B47" s="15"/>
      <c r="C47" s="85">
        <v>11.0</v>
      </c>
      <c r="D47" s="121" t="s">
        <v>482</v>
      </c>
      <c r="E47" s="60">
        <f t="shared" si="13"/>
        <v>13</v>
      </c>
      <c r="F47" s="67">
        <v>2.0</v>
      </c>
      <c r="G47" s="67">
        <v>6.0</v>
      </c>
      <c r="H47" s="67">
        <v>1.0</v>
      </c>
      <c r="I47" s="67">
        <v>6.0</v>
      </c>
      <c r="J47" s="60">
        <f t="shared" si="5"/>
        <v>13</v>
      </c>
      <c r="K47" s="67"/>
      <c r="L47" s="67"/>
      <c r="M47" s="60" t="str">
        <f t="shared" si="6"/>
        <v/>
      </c>
      <c r="N47" s="69">
        <v>2.0</v>
      </c>
      <c r="O47" s="69"/>
      <c r="P47" s="69">
        <v>4.0</v>
      </c>
      <c r="Q47" s="69">
        <v>2.0</v>
      </c>
      <c r="R47" s="69">
        <v>6.0</v>
      </c>
      <c r="S47" s="62">
        <f t="shared" si="7"/>
        <v>12</v>
      </c>
      <c r="T47" s="122"/>
      <c r="U47" s="122"/>
      <c r="V47" s="122"/>
      <c r="W47" s="121"/>
      <c r="X47" s="121"/>
      <c r="Y47" s="63">
        <f t="shared" si="8"/>
        <v>-1</v>
      </c>
      <c r="AA47" s="127" t="s">
        <v>481</v>
      </c>
      <c r="AD47" s="65"/>
      <c r="AE47" s="15"/>
      <c r="AF47" s="85">
        <v>11.0</v>
      </c>
      <c r="AG47" s="121" t="s">
        <v>482</v>
      </c>
      <c r="AH47" s="60">
        <f t="shared" si="14"/>
        <v>13</v>
      </c>
      <c r="AI47" s="67">
        <v>2.0</v>
      </c>
      <c r="AJ47" s="67">
        <v>6.0</v>
      </c>
      <c r="AK47" s="67">
        <v>1.0</v>
      </c>
      <c r="AL47" s="67">
        <v>6.0</v>
      </c>
      <c r="AM47" s="60">
        <f t="shared" si="9"/>
        <v>13</v>
      </c>
      <c r="AN47" s="67"/>
      <c r="AO47" s="67"/>
      <c r="AP47" s="60" t="str">
        <f t="shared" si="10"/>
        <v/>
      </c>
      <c r="AQ47" s="69">
        <v>2.0</v>
      </c>
      <c r="AR47" s="69"/>
      <c r="AS47" s="69">
        <v>4.0</v>
      </c>
      <c r="AT47" s="69">
        <v>2.0</v>
      </c>
      <c r="AU47" s="69">
        <v>6.0</v>
      </c>
      <c r="AV47" s="62">
        <f t="shared" si="11"/>
        <v>12</v>
      </c>
      <c r="AW47" s="122"/>
      <c r="AX47" s="122"/>
      <c r="AY47" s="122"/>
      <c r="AZ47" s="121"/>
      <c r="BA47" s="121"/>
      <c r="BB47" s="63">
        <f t="shared" si="12"/>
        <v>-1</v>
      </c>
      <c r="BD47" s="127" t="s">
        <v>481</v>
      </c>
    </row>
    <row r="48" ht="14.25" customHeight="1">
      <c r="A48" s="65"/>
      <c r="B48" s="15"/>
      <c r="C48" s="85">
        <v>13.0</v>
      </c>
      <c r="D48" s="121" t="s">
        <v>483</v>
      </c>
      <c r="E48" s="60">
        <f t="shared" si="13"/>
        <v>11</v>
      </c>
      <c r="F48" s="67">
        <v>3.0</v>
      </c>
      <c r="G48" s="67">
        <v>5.0</v>
      </c>
      <c r="H48" s="67">
        <v>1.0</v>
      </c>
      <c r="I48" s="67">
        <v>5.0</v>
      </c>
      <c r="J48" s="60">
        <f t="shared" si="5"/>
        <v>11</v>
      </c>
      <c r="K48" s="67">
        <v>4.0</v>
      </c>
      <c r="L48" s="67"/>
      <c r="M48" s="60">
        <f t="shared" si="6"/>
        <v>4</v>
      </c>
      <c r="N48" s="69">
        <v>3.0</v>
      </c>
      <c r="O48" s="69"/>
      <c r="P48" s="69">
        <v>5.0</v>
      </c>
      <c r="Q48" s="69"/>
      <c r="R48" s="69">
        <v>6.0</v>
      </c>
      <c r="S48" s="62">
        <f t="shared" si="7"/>
        <v>11</v>
      </c>
      <c r="T48" s="122"/>
      <c r="U48" s="122"/>
      <c r="V48" s="122"/>
      <c r="W48" s="121"/>
      <c r="X48" s="121"/>
      <c r="Y48" s="63">
        <f t="shared" si="8"/>
        <v>0</v>
      </c>
      <c r="AA48" s="127" t="s">
        <v>481</v>
      </c>
      <c r="AD48" s="65"/>
      <c r="AE48" s="15"/>
      <c r="AF48" s="85">
        <v>13.0</v>
      </c>
      <c r="AG48" s="121" t="s">
        <v>483</v>
      </c>
      <c r="AH48" s="60">
        <f t="shared" si="14"/>
        <v>11</v>
      </c>
      <c r="AI48" s="67">
        <v>3.0</v>
      </c>
      <c r="AJ48" s="67">
        <v>5.0</v>
      </c>
      <c r="AK48" s="67">
        <v>1.0</v>
      </c>
      <c r="AL48" s="67">
        <v>5.0</v>
      </c>
      <c r="AM48" s="60">
        <f t="shared" si="9"/>
        <v>11</v>
      </c>
      <c r="AN48" s="67">
        <v>4.0</v>
      </c>
      <c r="AO48" s="67"/>
      <c r="AP48" s="60">
        <f t="shared" si="10"/>
        <v>4</v>
      </c>
      <c r="AQ48" s="69">
        <v>3.0</v>
      </c>
      <c r="AR48" s="69"/>
      <c r="AS48" s="69">
        <v>5.0</v>
      </c>
      <c r="AT48" s="69"/>
      <c r="AU48" s="69">
        <v>6.0</v>
      </c>
      <c r="AV48" s="62">
        <f t="shared" si="11"/>
        <v>11</v>
      </c>
      <c r="AW48" s="122"/>
      <c r="AX48" s="122"/>
      <c r="AY48" s="122"/>
      <c r="AZ48" s="121"/>
      <c r="BA48" s="121"/>
      <c r="BB48" s="63">
        <f t="shared" si="12"/>
        <v>0</v>
      </c>
      <c r="BD48" s="127" t="s">
        <v>481</v>
      </c>
    </row>
    <row r="49" ht="14.25" customHeight="1">
      <c r="A49" s="65"/>
      <c r="B49" s="15"/>
      <c r="C49" s="133">
        <v>14.0</v>
      </c>
      <c r="D49" s="135" t="s">
        <v>485</v>
      </c>
      <c r="E49" s="137">
        <v>0.0</v>
      </c>
      <c r="F49" s="137">
        <v>1.0</v>
      </c>
      <c r="G49" s="137"/>
      <c r="H49" s="137"/>
      <c r="I49" s="137"/>
      <c r="J49" s="138">
        <f t="shared" si="5"/>
        <v>0</v>
      </c>
      <c r="K49" s="137"/>
      <c r="L49" s="137"/>
      <c r="M49" s="60" t="str">
        <f t="shared" si="6"/>
        <v/>
      </c>
      <c r="N49" s="69">
        <v>1.0</v>
      </c>
      <c r="O49" s="69"/>
      <c r="P49" s="69"/>
      <c r="Q49" s="69"/>
      <c r="R49" s="69"/>
      <c r="S49" s="62">
        <f t="shared" si="7"/>
        <v>0</v>
      </c>
      <c r="T49" s="122"/>
      <c r="U49" s="122"/>
      <c r="V49" s="122"/>
      <c r="W49" s="121"/>
      <c r="X49" s="121"/>
      <c r="Y49" s="63">
        <f t="shared" si="8"/>
        <v>0</v>
      </c>
      <c r="AD49" s="65"/>
      <c r="AE49" s="15"/>
      <c r="AF49" s="133">
        <v>14.0</v>
      </c>
      <c r="AG49" s="135" t="s">
        <v>485</v>
      </c>
      <c r="AH49" s="137">
        <v>0.0</v>
      </c>
      <c r="AI49" s="137">
        <v>1.0</v>
      </c>
      <c r="AJ49" s="137"/>
      <c r="AK49" s="137"/>
      <c r="AL49" s="137"/>
      <c r="AM49" s="138">
        <f t="shared" si="9"/>
        <v>0</v>
      </c>
      <c r="AN49" s="137"/>
      <c r="AO49" s="137"/>
      <c r="AP49" s="60" t="str">
        <f t="shared" si="10"/>
        <v/>
      </c>
      <c r="AQ49" s="69">
        <v>1.0</v>
      </c>
      <c r="AR49" s="69"/>
      <c r="AS49" s="69"/>
      <c r="AT49" s="69"/>
      <c r="AU49" s="69"/>
      <c r="AV49" s="62">
        <f t="shared" si="11"/>
        <v>0</v>
      </c>
      <c r="AW49" s="122"/>
      <c r="AX49" s="122"/>
      <c r="AY49" s="122"/>
      <c r="AZ49" s="121"/>
      <c r="BA49" s="121"/>
      <c r="BB49" s="63">
        <f t="shared" si="12"/>
        <v>0</v>
      </c>
    </row>
    <row r="50" ht="14.25" customHeight="1">
      <c r="A50" s="65"/>
      <c r="B50" s="15"/>
      <c r="C50" s="85">
        <v>15.0</v>
      </c>
      <c r="D50" s="121" t="s">
        <v>487</v>
      </c>
      <c r="E50" s="60">
        <f t="shared" ref="E50:E51" si="15">SUM(G50:I50)</f>
        <v>8</v>
      </c>
      <c r="F50" s="67">
        <v>3.0</v>
      </c>
      <c r="G50" s="67">
        <v>3.0</v>
      </c>
      <c r="H50" s="67">
        <v>1.0</v>
      </c>
      <c r="I50" s="67">
        <v>4.0</v>
      </c>
      <c r="J50" s="60">
        <f t="shared" si="5"/>
        <v>8</v>
      </c>
      <c r="K50" s="67">
        <v>4.0</v>
      </c>
      <c r="L50" s="67"/>
      <c r="M50" s="60">
        <f t="shared" si="6"/>
        <v>4</v>
      </c>
      <c r="N50" s="69">
        <v>1.0</v>
      </c>
      <c r="O50" s="69"/>
      <c r="P50" s="69">
        <v>2.0</v>
      </c>
      <c r="Q50" s="69"/>
      <c r="R50" s="69">
        <v>2.0</v>
      </c>
      <c r="S50" s="62">
        <f t="shared" si="7"/>
        <v>4</v>
      </c>
      <c r="T50" s="122"/>
      <c r="U50" s="122"/>
      <c r="V50" s="122"/>
      <c r="W50" s="121"/>
      <c r="X50" s="121"/>
      <c r="Y50" s="63">
        <f t="shared" si="8"/>
        <v>-4</v>
      </c>
      <c r="AD50" s="65"/>
      <c r="AE50" s="15"/>
      <c r="AF50" s="85">
        <v>15.0</v>
      </c>
      <c r="AG50" s="121" t="s">
        <v>487</v>
      </c>
      <c r="AH50" s="60">
        <f t="shared" ref="AH50:AH51" si="16">SUM(AJ50:AL50)</f>
        <v>8</v>
      </c>
      <c r="AI50" s="67">
        <v>3.0</v>
      </c>
      <c r="AJ50" s="67">
        <v>3.0</v>
      </c>
      <c r="AK50" s="67">
        <v>1.0</v>
      </c>
      <c r="AL50" s="67">
        <v>4.0</v>
      </c>
      <c r="AM50" s="60">
        <f t="shared" si="9"/>
        <v>8</v>
      </c>
      <c r="AN50" s="67">
        <v>4.0</v>
      </c>
      <c r="AO50" s="67"/>
      <c r="AP50" s="60">
        <f t="shared" si="10"/>
        <v>4</v>
      </c>
      <c r="AQ50" s="69">
        <v>1.0</v>
      </c>
      <c r="AR50" s="69"/>
      <c r="AS50" s="69">
        <v>2.0</v>
      </c>
      <c r="AT50" s="69"/>
      <c r="AU50" s="69">
        <v>2.0</v>
      </c>
      <c r="AV50" s="62">
        <f t="shared" si="11"/>
        <v>4</v>
      </c>
      <c r="AW50" s="122"/>
      <c r="AX50" s="122"/>
      <c r="AY50" s="122"/>
      <c r="AZ50" s="121"/>
      <c r="BA50" s="121"/>
      <c r="BB50" s="63">
        <f t="shared" si="12"/>
        <v>-4</v>
      </c>
    </row>
    <row r="51" ht="14.25" customHeight="1">
      <c r="A51" s="65"/>
      <c r="B51" s="15"/>
      <c r="C51" s="85">
        <v>16.0</v>
      </c>
      <c r="D51" s="121" t="s">
        <v>489</v>
      </c>
      <c r="E51" s="60">
        <f t="shared" si="15"/>
        <v>9</v>
      </c>
      <c r="F51" s="67">
        <v>3.0</v>
      </c>
      <c r="G51" s="67">
        <v>2.0</v>
      </c>
      <c r="H51" s="67">
        <v>1.0</v>
      </c>
      <c r="I51" s="67">
        <v>6.0</v>
      </c>
      <c r="J51" s="60">
        <f t="shared" si="5"/>
        <v>9</v>
      </c>
      <c r="K51" s="67">
        <v>3.0</v>
      </c>
      <c r="L51" s="67"/>
      <c r="M51" s="60">
        <f t="shared" si="6"/>
        <v>3</v>
      </c>
      <c r="N51" s="69">
        <v>2.0</v>
      </c>
      <c r="O51" s="69"/>
      <c r="P51" s="69">
        <v>3.0</v>
      </c>
      <c r="Q51" s="69"/>
      <c r="R51" s="69">
        <v>5.0</v>
      </c>
      <c r="S51" s="62">
        <f t="shared" si="7"/>
        <v>8</v>
      </c>
      <c r="T51" s="122"/>
      <c r="U51" s="122"/>
      <c r="V51" s="122"/>
      <c r="W51" s="121"/>
      <c r="X51" s="121"/>
      <c r="Y51" s="63">
        <f t="shared" si="8"/>
        <v>-1</v>
      </c>
      <c r="AD51" s="65"/>
      <c r="AE51" s="15"/>
      <c r="AF51" s="85">
        <v>16.0</v>
      </c>
      <c r="AG51" s="121" t="s">
        <v>489</v>
      </c>
      <c r="AH51" s="60">
        <f t="shared" si="16"/>
        <v>9</v>
      </c>
      <c r="AI51" s="67">
        <v>3.0</v>
      </c>
      <c r="AJ51" s="67">
        <v>2.0</v>
      </c>
      <c r="AK51" s="67">
        <v>1.0</v>
      </c>
      <c r="AL51" s="67">
        <v>6.0</v>
      </c>
      <c r="AM51" s="60">
        <f t="shared" si="9"/>
        <v>9</v>
      </c>
      <c r="AN51" s="67">
        <v>3.0</v>
      </c>
      <c r="AO51" s="67"/>
      <c r="AP51" s="60">
        <f t="shared" si="10"/>
        <v>3</v>
      </c>
      <c r="AQ51" s="69">
        <v>2.0</v>
      </c>
      <c r="AR51" s="69"/>
      <c r="AS51" s="69">
        <v>3.0</v>
      </c>
      <c r="AT51" s="69"/>
      <c r="AU51" s="69">
        <v>5.0</v>
      </c>
      <c r="AV51" s="62">
        <f t="shared" si="11"/>
        <v>8</v>
      </c>
      <c r="AW51" s="122"/>
      <c r="AX51" s="122"/>
      <c r="AY51" s="122"/>
      <c r="AZ51" s="121"/>
      <c r="BA51" s="121"/>
      <c r="BB51" s="63">
        <f t="shared" si="12"/>
        <v>-1</v>
      </c>
    </row>
    <row r="52" ht="14.25" customHeight="1">
      <c r="A52" s="65"/>
      <c r="B52" s="22"/>
      <c r="C52" s="133">
        <v>17.0</v>
      </c>
      <c r="D52" s="135" t="s">
        <v>490</v>
      </c>
      <c r="E52" s="137">
        <v>0.0</v>
      </c>
      <c r="F52" s="137">
        <v>1.0</v>
      </c>
      <c r="G52" s="137"/>
      <c r="H52" s="137"/>
      <c r="I52" s="137"/>
      <c r="J52" s="138">
        <f t="shared" si="5"/>
        <v>0</v>
      </c>
      <c r="K52" s="137"/>
      <c r="L52" s="137"/>
      <c r="M52" s="60" t="str">
        <f t="shared" si="6"/>
        <v/>
      </c>
      <c r="N52" s="69">
        <v>1.0</v>
      </c>
      <c r="O52" s="69"/>
      <c r="P52" s="69"/>
      <c r="Q52" s="69"/>
      <c r="R52" s="69"/>
      <c r="S52" s="62">
        <f t="shared" si="7"/>
        <v>0</v>
      </c>
      <c r="T52" s="122"/>
      <c r="U52" s="122"/>
      <c r="V52" s="122"/>
      <c r="W52" s="121"/>
      <c r="X52" s="121"/>
      <c r="Y52" s="63">
        <f t="shared" si="8"/>
        <v>0</v>
      </c>
      <c r="AD52" s="65"/>
      <c r="AE52" s="22"/>
      <c r="AF52" s="133">
        <v>17.0</v>
      </c>
      <c r="AG52" s="135" t="s">
        <v>490</v>
      </c>
      <c r="AH52" s="137">
        <v>0.0</v>
      </c>
      <c r="AI52" s="137">
        <v>1.0</v>
      </c>
      <c r="AJ52" s="137"/>
      <c r="AK52" s="137"/>
      <c r="AL52" s="137"/>
      <c r="AM52" s="138">
        <f t="shared" si="9"/>
        <v>0</v>
      </c>
      <c r="AN52" s="137"/>
      <c r="AO52" s="137"/>
      <c r="AP52" s="60" t="str">
        <f t="shared" si="10"/>
        <v/>
      </c>
      <c r="AQ52" s="69">
        <v>1.0</v>
      </c>
      <c r="AR52" s="69"/>
      <c r="AS52" s="69"/>
      <c r="AT52" s="69"/>
      <c r="AU52" s="69"/>
      <c r="AV52" s="62">
        <f t="shared" si="11"/>
        <v>0</v>
      </c>
      <c r="AW52" s="122"/>
      <c r="AX52" s="122"/>
      <c r="AY52" s="122"/>
      <c r="AZ52" s="121"/>
      <c r="BA52" s="121"/>
      <c r="BB52" s="63">
        <f t="shared" si="12"/>
        <v>0</v>
      </c>
    </row>
    <row r="53" ht="14.25" customHeight="1">
      <c r="A53" s="70">
        <v>11.0</v>
      </c>
      <c r="B53" s="143" t="s">
        <v>491</v>
      </c>
      <c r="C53" s="85">
        <v>18.0</v>
      </c>
      <c r="D53" s="144" t="s">
        <v>492</v>
      </c>
      <c r="E53" s="60">
        <f t="shared" ref="E53:E91" si="17">SUM(G53:I53)</f>
        <v>16</v>
      </c>
      <c r="F53" s="75">
        <v>3.0</v>
      </c>
      <c r="G53" s="75">
        <v>3.0</v>
      </c>
      <c r="H53" s="75">
        <v>1.0</v>
      </c>
      <c r="I53" s="75">
        <v>12.0</v>
      </c>
      <c r="J53" s="74">
        <f t="shared" si="5"/>
        <v>16</v>
      </c>
      <c r="K53" s="75">
        <v>9.0</v>
      </c>
      <c r="L53" s="75"/>
      <c r="M53" s="60">
        <f t="shared" si="6"/>
        <v>9</v>
      </c>
      <c r="N53" s="69">
        <v>2.0</v>
      </c>
      <c r="O53" s="69"/>
      <c r="P53" s="69">
        <v>2.0</v>
      </c>
      <c r="Q53" s="69"/>
      <c r="R53" s="69">
        <v>14.0</v>
      </c>
      <c r="S53" s="62">
        <f t="shared" si="7"/>
        <v>16</v>
      </c>
      <c r="T53" s="145"/>
      <c r="U53" s="145"/>
      <c r="V53" s="145"/>
      <c r="W53" s="144"/>
      <c r="X53" s="144"/>
      <c r="Y53" s="63">
        <f t="shared" si="8"/>
        <v>0</v>
      </c>
      <c r="Z53" s="78" t="s">
        <v>493</v>
      </c>
      <c r="AA53" s="127" t="s">
        <v>494</v>
      </c>
      <c r="AD53" s="70">
        <v>11.0</v>
      </c>
      <c r="AE53" s="143" t="s">
        <v>491</v>
      </c>
      <c r="AF53" s="85">
        <v>18.0</v>
      </c>
      <c r="AG53" s="144" t="s">
        <v>492</v>
      </c>
      <c r="AH53" s="60">
        <f t="shared" ref="AH53:AH91" si="18">SUM(AJ53:AL53)</f>
        <v>16</v>
      </c>
      <c r="AI53" s="75">
        <v>3.0</v>
      </c>
      <c r="AJ53" s="75">
        <v>3.0</v>
      </c>
      <c r="AK53" s="75">
        <v>1.0</v>
      </c>
      <c r="AL53" s="75">
        <v>12.0</v>
      </c>
      <c r="AM53" s="74">
        <f t="shared" si="9"/>
        <v>16</v>
      </c>
      <c r="AN53" s="75">
        <v>9.0</v>
      </c>
      <c r="AO53" s="75"/>
      <c r="AP53" s="60">
        <f t="shared" si="10"/>
        <v>9</v>
      </c>
      <c r="AQ53" s="69">
        <v>2.0</v>
      </c>
      <c r="AR53" s="69"/>
      <c r="AS53" s="69">
        <v>2.0</v>
      </c>
      <c r="AT53" s="69"/>
      <c r="AU53" s="69">
        <v>14.0</v>
      </c>
      <c r="AV53" s="62">
        <f t="shared" si="11"/>
        <v>16</v>
      </c>
      <c r="AW53" s="145"/>
      <c r="AX53" s="145"/>
      <c r="AY53" s="145"/>
      <c r="AZ53" s="144"/>
      <c r="BA53" s="144"/>
      <c r="BB53" s="63">
        <f t="shared" si="12"/>
        <v>0</v>
      </c>
      <c r="BC53" s="78" t="s">
        <v>493</v>
      </c>
      <c r="BD53" s="127" t="s">
        <v>494</v>
      </c>
    </row>
    <row r="54" ht="14.25" customHeight="1">
      <c r="A54" s="70"/>
      <c r="B54" s="15"/>
      <c r="C54" s="85">
        <v>19.0</v>
      </c>
      <c r="D54" s="144" t="s">
        <v>497</v>
      </c>
      <c r="E54" s="60">
        <f t="shared" si="17"/>
        <v>5</v>
      </c>
      <c r="F54" s="75">
        <v>3.0</v>
      </c>
      <c r="G54" s="75">
        <v>2.0</v>
      </c>
      <c r="H54" s="75"/>
      <c r="I54" s="75">
        <v>3.0</v>
      </c>
      <c r="J54" s="74">
        <f t="shared" si="5"/>
        <v>5</v>
      </c>
      <c r="K54" s="75">
        <v>4.0</v>
      </c>
      <c r="L54" s="75"/>
      <c r="M54" s="60">
        <f t="shared" si="6"/>
        <v>4</v>
      </c>
      <c r="N54" s="69">
        <v>3.0</v>
      </c>
      <c r="O54" s="69"/>
      <c r="P54" s="69">
        <v>2.0</v>
      </c>
      <c r="Q54" s="69"/>
      <c r="R54" s="69">
        <v>7.0</v>
      </c>
      <c r="S54" s="62">
        <f t="shared" si="7"/>
        <v>9</v>
      </c>
      <c r="T54" s="145"/>
      <c r="U54" s="145"/>
      <c r="V54" s="145"/>
      <c r="W54" s="144"/>
      <c r="X54" s="144"/>
      <c r="Y54" s="63">
        <f t="shared" si="8"/>
        <v>4</v>
      </c>
      <c r="Z54" s="78" t="s">
        <v>493</v>
      </c>
      <c r="AD54" s="70"/>
      <c r="AE54" s="15"/>
      <c r="AF54" s="85">
        <v>19.0</v>
      </c>
      <c r="AG54" s="144" t="s">
        <v>497</v>
      </c>
      <c r="AH54" s="60">
        <f t="shared" si="18"/>
        <v>5</v>
      </c>
      <c r="AI54" s="75">
        <v>3.0</v>
      </c>
      <c r="AJ54" s="75">
        <v>2.0</v>
      </c>
      <c r="AK54" s="75"/>
      <c r="AL54" s="75">
        <v>3.0</v>
      </c>
      <c r="AM54" s="74">
        <f t="shared" si="9"/>
        <v>5</v>
      </c>
      <c r="AN54" s="75">
        <v>4.0</v>
      </c>
      <c r="AO54" s="75"/>
      <c r="AP54" s="60">
        <f t="shared" si="10"/>
        <v>4</v>
      </c>
      <c r="AQ54" s="69">
        <v>3.0</v>
      </c>
      <c r="AR54" s="69"/>
      <c r="AS54" s="69">
        <v>2.0</v>
      </c>
      <c r="AT54" s="69"/>
      <c r="AU54" s="69">
        <v>7.0</v>
      </c>
      <c r="AV54" s="62">
        <f t="shared" si="11"/>
        <v>9</v>
      </c>
      <c r="AW54" s="145"/>
      <c r="AX54" s="145"/>
      <c r="AY54" s="145"/>
      <c r="AZ54" s="144"/>
      <c r="BA54" s="144"/>
      <c r="BB54" s="63">
        <f t="shared" si="12"/>
        <v>4</v>
      </c>
      <c r="BC54" s="78" t="s">
        <v>493</v>
      </c>
    </row>
    <row r="55" ht="14.25" customHeight="1">
      <c r="A55" s="70"/>
      <c r="B55" s="15"/>
      <c r="C55" s="85">
        <v>20.0</v>
      </c>
      <c r="D55" s="144" t="s">
        <v>501</v>
      </c>
      <c r="E55" s="60">
        <f t="shared" si="17"/>
        <v>3</v>
      </c>
      <c r="F55" s="75">
        <v>2.0</v>
      </c>
      <c r="G55" s="75"/>
      <c r="H55" s="75"/>
      <c r="I55" s="75">
        <v>3.0</v>
      </c>
      <c r="J55" s="74">
        <f t="shared" si="5"/>
        <v>3</v>
      </c>
      <c r="K55" s="75">
        <v>3.0</v>
      </c>
      <c r="L55" s="75"/>
      <c r="M55" s="60">
        <f t="shared" si="6"/>
        <v>3</v>
      </c>
      <c r="N55" s="69">
        <v>1.0</v>
      </c>
      <c r="O55" s="69"/>
      <c r="P55" s="69"/>
      <c r="Q55" s="69"/>
      <c r="R55" s="69"/>
      <c r="S55" s="62">
        <f t="shared" si="7"/>
        <v>0</v>
      </c>
      <c r="T55" s="145"/>
      <c r="U55" s="145"/>
      <c r="V55" s="145"/>
      <c r="W55" s="144"/>
      <c r="X55" s="144"/>
      <c r="Y55" s="63">
        <f t="shared" si="8"/>
        <v>-3</v>
      </c>
      <c r="Z55" s="78" t="s">
        <v>493</v>
      </c>
      <c r="AD55" s="70"/>
      <c r="AE55" s="15"/>
      <c r="AF55" s="85">
        <v>20.0</v>
      </c>
      <c r="AG55" s="144" t="s">
        <v>501</v>
      </c>
      <c r="AH55" s="60">
        <f t="shared" si="18"/>
        <v>3</v>
      </c>
      <c r="AI55" s="75">
        <v>2.0</v>
      </c>
      <c r="AJ55" s="75"/>
      <c r="AK55" s="75"/>
      <c r="AL55" s="75">
        <v>3.0</v>
      </c>
      <c r="AM55" s="74">
        <f t="shared" si="9"/>
        <v>3</v>
      </c>
      <c r="AN55" s="75">
        <v>3.0</v>
      </c>
      <c r="AO55" s="75"/>
      <c r="AP55" s="60">
        <f t="shared" si="10"/>
        <v>3</v>
      </c>
      <c r="AQ55" s="69">
        <v>1.0</v>
      </c>
      <c r="AR55" s="69"/>
      <c r="AS55" s="69"/>
      <c r="AT55" s="69"/>
      <c r="AU55" s="69"/>
      <c r="AV55" s="62">
        <f t="shared" si="11"/>
        <v>0</v>
      </c>
      <c r="AW55" s="145"/>
      <c r="AX55" s="145"/>
      <c r="AY55" s="145"/>
      <c r="AZ55" s="144"/>
      <c r="BA55" s="144"/>
      <c r="BB55" s="63">
        <f t="shared" si="12"/>
        <v>-3</v>
      </c>
      <c r="BC55" s="78" t="s">
        <v>493</v>
      </c>
    </row>
    <row r="56" ht="14.25" customHeight="1">
      <c r="A56" s="70"/>
      <c r="B56" s="15"/>
      <c r="C56" s="85">
        <v>21.0</v>
      </c>
      <c r="D56" s="144" t="s">
        <v>505</v>
      </c>
      <c r="E56" s="60">
        <f t="shared" si="17"/>
        <v>4</v>
      </c>
      <c r="F56" s="75">
        <v>3.0</v>
      </c>
      <c r="G56" s="75">
        <v>1.0</v>
      </c>
      <c r="H56" s="75"/>
      <c r="I56" s="75">
        <v>3.0</v>
      </c>
      <c r="J56" s="74">
        <f t="shared" si="5"/>
        <v>4</v>
      </c>
      <c r="K56" s="75">
        <v>2.0</v>
      </c>
      <c r="L56" s="75"/>
      <c r="M56" s="60">
        <f t="shared" si="6"/>
        <v>2</v>
      </c>
      <c r="N56" s="69">
        <v>3.0</v>
      </c>
      <c r="O56" s="69"/>
      <c r="P56" s="69">
        <v>1.0</v>
      </c>
      <c r="Q56" s="69"/>
      <c r="R56" s="69">
        <v>5.0</v>
      </c>
      <c r="S56" s="62">
        <f t="shared" si="7"/>
        <v>6</v>
      </c>
      <c r="T56" s="145"/>
      <c r="U56" s="145"/>
      <c r="V56" s="145"/>
      <c r="W56" s="144"/>
      <c r="X56" s="144"/>
      <c r="Y56" s="63">
        <f t="shared" si="8"/>
        <v>2</v>
      </c>
      <c r="Z56" s="78" t="s">
        <v>508</v>
      </c>
      <c r="AD56" s="70"/>
      <c r="AE56" s="15"/>
      <c r="AF56" s="85">
        <v>21.0</v>
      </c>
      <c r="AG56" s="144" t="s">
        <v>505</v>
      </c>
      <c r="AH56" s="60">
        <f t="shared" si="18"/>
        <v>4</v>
      </c>
      <c r="AI56" s="75">
        <v>3.0</v>
      </c>
      <c r="AJ56" s="75">
        <v>1.0</v>
      </c>
      <c r="AK56" s="75"/>
      <c r="AL56" s="75">
        <v>3.0</v>
      </c>
      <c r="AM56" s="74">
        <f t="shared" si="9"/>
        <v>4</v>
      </c>
      <c r="AN56" s="75">
        <v>2.0</v>
      </c>
      <c r="AO56" s="75"/>
      <c r="AP56" s="60">
        <f t="shared" si="10"/>
        <v>2</v>
      </c>
      <c r="AQ56" s="69">
        <v>3.0</v>
      </c>
      <c r="AR56" s="69"/>
      <c r="AS56" s="69">
        <v>1.0</v>
      </c>
      <c r="AT56" s="69"/>
      <c r="AU56" s="69">
        <v>5.0</v>
      </c>
      <c r="AV56" s="62">
        <f t="shared" si="11"/>
        <v>6</v>
      </c>
      <c r="AW56" s="145"/>
      <c r="AX56" s="145"/>
      <c r="AY56" s="145"/>
      <c r="AZ56" s="144"/>
      <c r="BA56" s="144"/>
      <c r="BB56" s="63">
        <f t="shared" si="12"/>
        <v>2</v>
      </c>
      <c r="BC56" s="78" t="s">
        <v>508</v>
      </c>
    </row>
    <row r="57" ht="14.25" customHeight="1">
      <c r="A57" s="70"/>
      <c r="B57" s="15"/>
      <c r="C57" s="85">
        <v>22.0</v>
      </c>
      <c r="D57" s="144" t="s">
        <v>510</v>
      </c>
      <c r="E57" s="60">
        <f t="shared" si="17"/>
        <v>4</v>
      </c>
      <c r="F57" s="75">
        <v>3.0</v>
      </c>
      <c r="G57" s="75">
        <v>1.0</v>
      </c>
      <c r="H57" s="75"/>
      <c r="I57" s="75">
        <v>3.0</v>
      </c>
      <c r="J57" s="74">
        <f t="shared" si="5"/>
        <v>4</v>
      </c>
      <c r="K57" s="75">
        <v>2.0</v>
      </c>
      <c r="L57" s="75"/>
      <c r="M57" s="60">
        <f t="shared" si="6"/>
        <v>2</v>
      </c>
      <c r="N57" s="69">
        <v>3.0</v>
      </c>
      <c r="O57" s="69"/>
      <c r="P57" s="69">
        <v>1.0</v>
      </c>
      <c r="Q57" s="69"/>
      <c r="R57" s="69">
        <v>5.0</v>
      </c>
      <c r="S57" s="62">
        <f t="shared" si="7"/>
        <v>6</v>
      </c>
      <c r="T57" s="145"/>
      <c r="U57" s="145"/>
      <c r="V57" s="145"/>
      <c r="W57" s="144"/>
      <c r="X57" s="144"/>
      <c r="Y57" s="63">
        <f t="shared" si="8"/>
        <v>2</v>
      </c>
      <c r="Z57" s="78" t="s">
        <v>508</v>
      </c>
      <c r="AD57" s="70"/>
      <c r="AE57" s="15"/>
      <c r="AF57" s="85">
        <v>22.0</v>
      </c>
      <c r="AG57" s="144" t="s">
        <v>510</v>
      </c>
      <c r="AH57" s="60">
        <f t="shared" si="18"/>
        <v>4</v>
      </c>
      <c r="AI57" s="75">
        <v>3.0</v>
      </c>
      <c r="AJ57" s="75">
        <v>1.0</v>
      </c>
      <c r="AK57" s="75"/>
      <c r="AL57" s="75">
        <v>3.0</v>
      </c>
      <c r="AM57" s="74">
        <f t="shared" si="9"/>
        <v>4</v>
      </c>
      <c r="AN57" s="75">
        <v>2.0</v>
      </c>
      <c r="AO57" s="75"/>
      <c r="AP57" s="60">
        <f t="shared" si="10"/>
        <v>2</v>
      </c>
      <c r="AQ57" s="69">
        <v>3.0</v>
      </c>
      <c r="AR57" s="69"/>
      <c r="AS57" s="69">
        <v>1.0</v>
      </c>
      <c r="AT57" s="69"/>
      <c r="AU57" s="69">
        <v>5.0</v>
      </c>
      <c r="AV57" s="62">
        <f t="shared" si="11"/>
        <v>6</v>
      </c>
      <c r="AW57" s="145"/>
      <c r="AX57" s="145"/>
      <c r="AY57" s="145"/>
      <c r="AZ57" s="144"/>
      <c r="BA57" s="144"/>
      <c r="BB57" s="63">
        <f t="shared" si="12"/>
        <v>2</v>
      </c>
      <c r="BC57" s="78" t="s">
        <v>508</v>
      </c>
    </row>
    <row r="58" ht="14.25" customHeight="1">
      <c r="A58" s="70"/>
      <c r="B58" s="15"/>
      <c r="C58" s="85">
        <v>23.0</v>
      </c>
      <c r="D58" s="144" t="s">
        <v>514</v>
      </c>
      <c r="E58" s="60">
        <f t="shared" si="17"/>
        <v>3</v>
      </c>
      <c r="F58" s="75">
        <v>3.0</v>
      </c>
      <c r="G58" s="75"/>
      <c r="H58" s="75"/>
      <c r="I58" s="75">
        <v>3.0</v>
      </c>
      <c r="J58" s="74">
        <f t="shared" si="5"/>
        <v>3</v>
      </c>
      <c r="K58" s="75">
        <v>3.0</v>
      </c>
      <c r="L58" s="75"/>
      <c r="M58" s="60">
        <f t="shared" si="6"/>
        <v>3</v>
      </c>
      <c r="N58" s="69">
        <v>3.0</v>
      </c>
      <c r="O58" s="69"/>
      <c r="P58" s="69"/>
      <c r="Q58" s="69"/>
      <c r="R58" s="69"/>
      <c r="S58" s="62">
        <f t="shared" si="7"/>
        <v>0</v>
      </c>
      <c r="T58" s="145"/>
      <c r="U58" s="145"/>
      <c r="V58" s="145"/>
      <c r="W58" s="144"/>
      <c r="X58" s="144"/>
      <c r="Y58" s="63">
        <f t="shared" si="8"/>
        <v>-3</v>
      </c>
      <c r="Z58" s="78" t="s">
        <v>508</v>
      </c>
      <c r="AD58" s="70"/>
      <c r="AE58" s="15"/>
      <c r="AF58" s="85">
        <v>23.0</v>
      </c>
      <c r="AG58" s="144" t="s">
        <v>514</v>
      </c>
      <c r="AH58" s="60">
        <f t="shared" si="18"/>
        <v>3</v>
      </c>
      <c r="AI58" s="75">
        <v>3.0</v>
      </c>
      <c r="AJ58" s="75"/>
      <c r="AK58" s="75"/>
      <c r="AL58" s="75">
        <v>3.0</v>
      </c>
      <c r="AM58" s="74">
        <f t="shared" si="9"/>
        <v>3</v>
      </c>
      <c r="AN58" s="75">
        <v>3.0</v>
      </c>
      <c r="AO58" s="75"/>
      <c r="AP58" s="60">
        <f t="shared" si="10"/>
        <v>3</v>
      </c>
      <c r="AQ58" s="69">
        <v>3.0</v>
      </c>
      <c r="AR58" s="69"/>
      <c r="AS58" s="69"/>
      <c r="AT58" s="69"/>
      <c r="AU58" s="69"/>
      <c r="AV58" s="62">
        <f t="shared" si="11"/>
        <v>0</v>
      </c>
      <c r="AW58" s="145"/>
      <c r="AX58" s="145"/>
      <c r="AY58" s="145"/>
      <c r="AZ58" s="144"/>
      <c r="BA58" s="144"/>
      <c r="BB58" s="63">
        <f t="shared" si="12"/>
        <v>-3</v>
      </c>
      <c r="BC58" s="78" t="s">
        <v>508</v>
      </c>
    </row>
    <row r="59" ht="14.25" customHeight="1">
      <c r="A59" s="70"/>
      <c r="B59" s="15"/>
      <c r="C59" s="85">
        <v>24.0</v>
      </c>
      <c r="D59" s="144" t="s">
        <v>516</v>
      </c>
      <c r="E59" s="60">
        <f t="shared" si="17"/>
        <v>4</v>
      </c>
      <c r="F59" s="75">
        <v>3.0</v>
      </c>
      <c r="G59" s="75">
        <v>1.0</v>
      </c>
      <c r="H59" s="75"/>
      <c r="I59" s="75">
        <v>3.0</v>
      </c>
      <c r="J59" s="74">
        <f t="shared" si="5"/>
        <v>4</v>
      </c>
      <c r="K59" s="75">
        <v>2.0</v>
      </c>
      <c r="L59" s="75"/>
      <c r="M59" s="60">
        <f t="shared" si="6"/>
        <v>2</v>
      </c>
      <c r="N59" s="69">
        <v>3.0</v>
      </c>
      <c r="O59" s="69"/>
      <c r="P59" s="69">
        <v>2.0</v>
      </c>
      <c r="Q59" s="69"/>
      <c r="R59" s="69">
        <v>5.0</v>
      </c>
      <c r="S59" s="62">
        <f t="shared" si="7"/>
        <v>7</v>
      </c>
      <c r="T59" s="145"/>
      <c r="U59" s="145"/>
      <c r="V59" s="145"/>
      <c r="W59" s="144"/>
      <c r="X59" s="144"/>
      <c r="Y59" s="63">
        <f t="shared" si="8"/>
        <v>3</v>
      </c>
      <c r="Z59" s="78" t="s">
        <v>493</v>
      </c>
      <c r="AA59" s="127" t="s">
        <v>518</v>
      </c>
      <c r="AD59" s="70"/>
      <c r="AE59" s="15"/>
      <c r="AF59" s="85">
        <v>24.0</v>
      </c>
      <c r="AG59" s="144" t="s">
        <v>516</v>
      </c>
      <c r="AH59" s="60">
        <f t="shared" si="18"/>
        <v>4</v>
      </c>
      <c r="AI59" s="75">
        <v>3.0</v>
      </c>
      <c r="AJ59" s="75">
        <v>1.0</v>
      </c>
      <c r="AK59" s="75"/>
      <c r="AL59" s="75">
        <v>3.0</v>
      </c>
      <c r="AM59" s="74">
        <f t="shared" si="9"/>
        <v>4</v>
      </c>
      <c r="AN59" s="75">
        <v>2.0</v>
      </c>
      <c r="AO59" s="75"/>
      <c r="AP59" s="60">
        <f t="shared" si="10"/>
        <v>2</v>
      </c>
      <c r="AQ59" s="69">
        <v>3.0</v>
      </c>
      <c r="AR59" s="69"/>
      <c r="AS59" s="69">
        <v>2.0</v>
      </c>
      <c r="AT59" s="69"/>
      <c r="AU59" s="69">
        <v>5.0</v>
      </c>
      <c r="AV59" s="62">
        <f t="shared" si="11"/>
        <v>7</v>
      </c>
      <c r="AW59" s="145"/>
      <c r="AX59" s="145"/>
      <c r="AY59" s="145"/>
      <c r="AZ59" s="144"/>
      <c r="BA59" s="144"/>
      <c r="BB59" s="63">
        <f t="shared" si="12"/>
        <v>3</v>
      </c>
      <c r="BC59" s="78" t="s">
        <v>493</v>
      </c>
      <c r="BD59" s="127" t="s">
        <v>518</v>
      </c>
    </row>
    <row r="60" ht="14.25" customHeight="1">
      <c r="A60" s="70"/>
      <c r="B60" s="15"/>
      <c r="C60" s="85">
        <v>25.0</v>
      </c>
      <c r="D60" s="144" t="s">
        <v>520</v>
      </c>
      <c r="E60" s="60">
        <f t="shared" si="17"/>
        <v>3</v>
      </c>
      <c r="F60" s="75">
        <v>3.0</v>
      </c>
      <c r="G60" s="75"/>
      <c r="H60" s="75"/>
      <c r="I60" s="75">
        <v>3.0</v>
      </c>
      <c r="J60" s="74">
        <f t="shared" si="5"/>
        <v>3</v>
      </c>
      <c r="K60" s="75">
        <v>3.0</v>
      </c>
      <c r="L60" s="75"/>
      <c r="M60" s="60">
        <f t="shared" si="6"/>
        <v>3</v>
      </c>
      <c r="N60" s="69">
        <v>3.0</v>
      </c>
      <c r="O60" s="69"/>
      <c r="P60" s="69"/>
      <c r="Q60" s="69"/>
      <c r="R60" s="69">
        <v>5.0</v>
      </c>
      <c r="S60" s="62">
        <f t="shared" si="7"/>
        <v>5</v>
      </c>
      <c r="T60" s="145"/>
      <c r="U60" s="145"/>
      <c r="V60" s="145"/>
      <c r="W60" s="144"/>
      <c r="X60" s="144"/>
      <c r="Y60" s="63">
        <f t="shared" si="8"/>
        <v>2</v>
      </c>
      <c r="Z60" s="78" t="s">
        <v>493</v>
      </c>
      <c r="AD60" s="70"/>
      <c r="AE60" s="15"/>
      <c r="AF60" s="85">
        <v>25.0</v>
      </c>
      <c r="AG60" s="144" t="s">
        <v>520</v>
      </c>
      <c r="AH60" s="60">
        <f t="shared" si="18"/>
        <v>3</v>
      </c>
      <c r="AI60" s="75">
        <v>3.0</v>
      </c>
      <c r="AJ60" s="75"/>
      <c r="AK60" s="75"/>
      <c r="AL60" s="75">
        <v>3.0</v>
      </c>
      <c r="AM60" s="74">
        <f t="shared" si="9"/>
        <v>3</v>
      </c>
      <c r="AN60" s="75">
        <v>3.0</v>
      </c>
      <c r="AO60" s="75"/>
      <c r="AP60" s="60">
        <f t="shared" si="10"/>
        <v>3</v>
      </c>
      <c r="AQ60" s="69">
        <v>3.0</v>
      </c>
      <c r="AR60" s="69"/>
      <c r="AS60" s="69"/>
      <c r="AT60" s="69"/>
      <c r="AU60" s="69">
        <v>5.0</v>
      </c>
      <c r="AV60" s="62">
        <f t="shared" si="11"/>
        <v>5</v>
      </c>
      <c r="AW60" s="145"/>
      <c r="AX60" s="145"/>
      <c r="AY60" s="145"/>
      <c r="AZ60" s="144"/>
      <c r="BA60" s="144"/>
      <c r="BB60" s="63">
        <f t="shared" si="12"/>
        <v>2</v>
      </c>
      <c r="BC60" s="78" t="s">
        <v>493</v>
      </c>
    </row>
    <row r="61" ht="14.25" customHeight="1">
      <c r="A61" s="70"/>
      <c r="B61" s="22"/>
      <c r="C61" s="133">
        <v>26.0</v>
      </c>
      <c r="D61" s="135" t="s">
        <v>521</v>
      </c>
      <c r="E61" s="60">
        <f t="shared" si="17"/>
        <v>0</v>
      </c>
      <c r="F61" s="137">
        <v>3.0</v>
      </c>
      <c r="G61" s="137"/>
      <c r="H61" s="137"/>
      <c r="I61" s="137"/>
      <c r="J61" s="138">
        <f t="shared" si="5"/>
        <v>0</v>
      </c>
      <c r="K61" s="137"/>
      <c r="L61" s="137"/>
      <c r="M61" s="60" t="str">
        <f t="shared" si="6"/>
        <v/>
      </c>
      <c r="N61" s="69">
        <v>3.0</v>
      </c>
      <c r="O61" s="69"/>
      <c r="P61" s="69"/>
      <c r="Q61" s="69"/>
      <c r="R61" s="69"/>
      <c r="S61" s="62">
        <f t="shared" si="7"/>
        <v>0</v>
      </c>
      <c r="T61" s="145"/>
      <c r="U61" s="145"/>
      <c r="V61" s="145"/>
      <c r="W61" s="144"/>
      <c r="X61" s="144"/>
      <c r="Y61" s="63">
        <f t="shared" si="8"/>
        <v>0</v>
      </c>
      <c r="Z61" s="78" t="s">
        <v>493</v>
      </c>
      <c r="AD61" s="70"/>
      <c r="AE61" s="22"/>
      <c r="AF61" s="133">
        <v>26.0</v>
      </c>
      <c r="AG61" s="135" t="s">
        <v>521</v>
      </c>
      <c r="AH61" s="60">
        <f t="shared" si="18"/>
        <v>0</v>
      </c>
      <c r="AI61" s="137">
        <v>3.0</v>
      </c>
      <c r="AJ61" s="137"/>
      <c r="AK61" s="137"/>
      <c r="AL61" s="137"/>
      <c r="AM61" s="138">
        <f t="shared" si="9"/>
        <v>0</v>
      </c>
      <c r="AN61" s="137"/>
      <c r="AO61" s="137"/>
      <c r="AP61" s="60" t="str">
        <f t="shared" si="10"/>
        <v/>
      </c>
      <c r="AQ61" s="69">
        <v>3.0</v>
      </c>
      <c r="AR61" s="69"/>
      <c r="AS61" s="69"/>
      <c r="AT61" s="69"/>
      <c r="AU61" s="69"/>
      <c r="AV61" s="62">
        <f t="shared" si="11"/>
        <v>0</v>
      </c>
      <c r="AW61" s="145"/>
      <c r="AX61" s="145"/>
      <c r="AY61" s="145"/>
      <c r="AZ61" s="144"/>
      <c r="BA61" s="144"/>
      <c r="BB61" s="63">
        <f t="shared" si="12"/>
        <v>0</v>
      </c>
      <c r="BC61" s="78" t="s">
        <v>493</v>
      </c>
    </row>
    <row r="62" ht="14.25" customHeight="1">
      <c r="A62" s="65"/>
      <c r="B62" s="156" t="s">
        <v>524</v>
      </c>
      <c r="C62" s="85">
        <v>27.0</v>
      </c>
      <c r="D62" s="121" t="s">
        <v>525</v>
      </c>
      <c r="E62" s="60">
        <f t="shared" si="17"/>
        <v>1</v>
      </c>
      <c r="F62" s="67">
        <v>1.0</v>
      </c>
      <c r="G62" s="67"/>
      <c r="H62" s="67"/>
      <c r="I62" s="67">
        <v>1.0</v>
      </c>
      <c r="J62" s="60">
        <f t="shared" si="5"/>
        <v>1</v>
      </c>
      <c r="K62" s="67">
        <v>6.0</v>
      </c>
      <c r="L62" s="67"/>
      <c r="M62" s="60">
        <f t="shared" si="6"/>
        <v>6</v>
      </c>
      <c r="N62" s="69">
        <v>1.0</v>
      </c>
      <c r="O62" s="69"/>
      <c r="P62" s="69"/>
      <c r="Q62" s="69"/>
      <c r="R62" s="69">
        <v>7.0</v>
      </c>
      <c r="S62" s="62">
        <f t="shared" si="7"/>
        <v>7</v>
      </c>
      <c r="T62" s="122"/>
      <c r="U62" s="122"/>
      <c r="V62" s="122"/>
      <c r="W62" s="121"/>
      <c r="X62" s="121"/>
      <c r="Y62" s="63">
        <f t="shared" si="8"/>
        <v>6</v>
      </c>
      <c r="Z62" s="127" t="s">
        <v>508</v>
      </c>
      <c r="AD62" s="65"/>
      <c r="AE62" s="156" t="s">
        <v>524</v>
      </c>
      <c r="AF62" s="85">
        <v>27.0</v>
      </c>
      <c r="AG62" s="121" t="s">
        <v>525</v>
      </c>
      <c r="AH62" s="60">
        <f t="shared" si="18"/>
        <v>1</v>
      </c>
      <c r="AI62" s="67">
        <v>1.0</v>
      </c>
      <c r="AJ62" s="67"/>
      <c r="AK62" s="67"/>
      <c r="AL62" s="67">
        <v>1.0</v>
      </c>
      <c r="AM62" s="60">
        <f t="shared" si="9"/>
        <v>1</v>
      </c>
      <c r="AN62" s="67">
        <v>6.0</v>
      </c>
      <c r="AO62" s="67"/>
      <c r="AP62" s="60">
        <f t="shared" si="10"/>
        <v>6</v>
      </c>
      <c r="AQ62" s="69">
        <v>1.0</v>
      </c>
      <c r="AR62" s="69"/>
      <c r="AS62" s="69"/>
      <c r="AT62" s="69"/>
      <c r="AU62" s="69">
        <v>7.0</v>
      </c>
      <c r="AV62" s="62">
        <f t="shared" si="11"/>
        <v>7</v>
      </c>
      <c r="AW62" s="122"/>
      <c r="AX62" s="122"/>
      <c r="AY62" s="122"/>
      <c r="AZ62" s="121"/>
      <c r="BA62" s="121"/>
      <c r="BB62" s="63">
        <f t="shared" si="12"/>
        <v>6</v>
      </c>
      <c r="BC62" s="127" t="s">
        <v>508</v>
      </c>
    </row>
    <row r="63" ht="14.25" customHeight="1">
      <c r="A63" s="65"/>
      <c r="B63" s="112"/>
      <c r="C63" s="85">
        <v>28.0</v>
      </c>
      <c r="D63" s="121" t="s">
        <v>530</v>
      </c>
      <c r="E63" s="60">
        <f t="shared" si="17"/>
        <v>2</v>
      </c>
      <c r="F63" s="67">
        <v>3.0</v>
      </c>
      <c r="G63" s="67"/>
      <c r="H63" s="67"/>
      <c r="I63" s="67">
        <v>2.0</v>
      </c>
      <c r="J63" s="60">
        <f t="shared" si="5"/>
        <v>2</v>
      </c>
      <c r="K63" s="67">
        <v>1.0</v>
      </c>
      <c r="L63" s="67"/>
      <c r="M63" s="60">
        <f t="shared" si="6"/>
        <v>1</v>
      </c>
      <c r="N63" s="69">
        <v>2.0</v>
      </c>
      <c r="O63" s="69"/>
      <c r="P63" s="69"/>
      <c r="Q63" s="69"/>
      <c r="R63" s="69"/>
      <c r="S63" s="62">
        <f t="shared" si="7"/>
        <v>0</v>
      </c>
      <c r="T63" s="122"/>
      <c r="U63" s="122"/>
      <c r="V63" s="122"/>
      <c r="W63" s="121"/>
      <c r="X63" s="121"/>
      <c r="Y63" s="63">
        <f t="shared" si="8"/>
        <v>-2</v>
      </c>
      <c r="Z63" s="127" t="s">
        <v>508</v>
      </c>
      <c r="AD63" s="65"/>
      <c r="AE63" s="112"/>
      <c r="AF63" s="85">
        <v>28.0</v>
      </c>
      <c r="AG63" s="121" t="s">
        <v>530</v>
      </c>
      <c r="AH63" s="60">
        <f t="shared" si="18"/>
        <v>2</v>
      </c>
      <c r="AI63" s="67">
        <v>3.0</v>
      </c>
      <c r="AJ63" s="67"/>
      <c r="AK63" s="67"/>
      <c r="AL63" s="67">
        <v>2.0</v>
      </c>
      <c r="AM63" s="60">
        <f t="shared" si="9"/>
        <v>2</v>
      </c>
      <c r="AN63" s="67">
        <v>1.0</v>
      </c>
      <c r="AO63" s="67"/>
      <c r="AP63" s="60">
        <f t="shared" si="10"/>
        <v>1</v>
      </c>
      <c r="AQ63" s="69">
        <v>2.0</v>
      </c>
      <c r="AR63" s="69"/>
      <c r="AS63" s="69"/>
      <c r="AT63" s="69"/>
      <c r="AU63" s="69"/>
      <c r="AV63" s="62">
        <f t="shared" si="11"/>
        <v>0</v>
      </c>
      <c r="AW63" s="122"/>
      <c r="AX63" s="122"/>
      <c r="AY63" s="122"/>
      <c r="AZ63" s="121"/>
      <c r="BA63" s="121"/>
      <c r="BB63" s="63">
        <f t="shared" si="12"/>
        <v>-2</v>
      </c>
      <c r="BC63" s="127" t="s">
        <v>508</v>
      </c>
    </row>
    <row r="64" ht="14.25" customHeight="1">
      <c r="A64" s="65"/>
      <c r="B64" s="112"/>
      <c r="C64" s="85">
        <v>29.0</v>
      </c>
      <c r="D64" s="121" t="s">
        <v>534</v>
      </c>
      <c r="E64" s="60">
        <f t="shared" si="17"/>
        <v>3</v>
      </c>
      <c r="F64" s="67">
        <v>3.0</v>
      </c>
      <c r="G64" s="67">
        <v>1.0</v>
      </c>
      <c r="H64" s="67"/>
      <c r="I64" s="67">
        <v>2.0</v>
      </c>
      <c r="J64" s="60">
        <f t="shared" si="5"/>
        <v>3</v>
      </c>
      <c r="K64" s="67"/>
      <c r="L64" s="67"/>
      <c r="M64" s="60" t="str">
        <f t="shared" si="6"/>
        <v/>
      </c>
      <c r="N64" s="69">
        <v>2.0</v>
      </c>
      <c r="O64" s="69"/>
      <c r="P64" s="69">
        <v>2.0</v>
      </c>
      <c r="Q64" s="69"/>
      <c r="R64" s="69"/>
      <c r="S64" s="62">
        <f t="shared" si="7"/>
        <v>2</v>
      </c>
      <c r="T64" s="122"/>
      <c r="U64" s="122"/>
      <c r="V64" s="122"/>
      <c r="W64" s="121"/>
      <c r="X64" s="121"/>
      <c r="Y64" s="63">
        <f t="shared" si="8"/>
        <v>-1</v>
      </c>
      <c r="AD64" s="65"/>
      <c r="AE64" s="112"/>
      <c r="AF64" s="85">
        <v>29.0</v>
      </c>
      <c r="AG64" s="121" t="s">
        <v>534</v>
      </c>
      <c r="AH64" s="60">
        <f t="shared" si="18"/>
        <v>3</v>
      </c>
      <c r="AI64" s="67">
        <v>3.0</v>
      </c>
      <c r="AJ64" s="67">
        <v>1.0</v>
      </c>
      <c r="AK64" s="67"/>
      <c r="AL64" s="67">
        <v>2.0</v>
      </c>
      <c r="AM64" s="60">
        <f t="shared" si="9"/>
        <v>3</v>
      </c>
      <c r="AN64" s="67"/>
      <c r="AO64" s="67"/>
      <c r="AP64" s="60" t="str">
        <f t="shared" si="10"/>
        <v/>
      </c>
      <c r="AQ64" s="69">
        <v>2.0</v>
      </c>
      <c r="AR64" s="69"/>
      <c r="AS64" s="69">
        <v>2.0</v>
      </c>
      <c r="AT64" s="69"/>
      <c r="AU64" s="69"/>
      <c r="AV64" s="62">
        <f t="shared" si="11"/>
        <v>2</v>
      </c>
      <c r="AW64" s="122"/>
      <c r="AX64" s="122"/>
      <c r="AY64" s="122"/>
      <c r="AZ64" s="121"/>
      <c r="BA64" s="121"/>
      <c r="BB64" s="63">
        <f t="shared" si="12"/>
        <v>-1</v>
      </c>
    </row>
    <row r="65" ht="14.25" customHeight="1">
      <c r="A65" s="65"/>
      <c r="B65" s="112"/>
      <c r="C65" s="133">
        <v>30.0</v>
      </c>
      <c r="D65" s="135" t="s">
        <v>535</v>
      </c>
      <c r="E65" s="60">
        <f t="shared" si="17"/>
        <v>0</v>
      </c>
      <c r="F65" s="137">
        <v>2.0</v>
      </c>
      <c r="G65" s="137"/>
      <c r="H65" s="137"/>
      <c r="I65" s="137"/>
      <c r="J65" s="138">
        <f t="shared" si="5"/>
        <v>0</v>
      </c>
      <c r="K65" s="137"/>
      <c r="L65" s="137"/>
      <c r="M65" s="60" t="str">
        <f t="shared" si="6"/>
        <v/>
      </c>
      <c r="N65" s="69">
        <v>2.0</v>
      </c>
      <c r="O65" s="69"/>
      <c r="P65" s="69"/>
      <c r="Q65" s="69"/>
      <c r="R65" s="69"/>
      <c r="S65" s="62">
        <f t="shared" si="7"/>
        <v>0</v>
      </c>
      <c r="T65" s="122"/>
      <c r="U65" s="122"/>
      <c r="V65" s="122"/>
      <c r="W65" s="121"/>
      <c r="X65" s="121"/>
      <c r="Y65" s="63">
        <f t="shared" si="8"/>
        <v>0</v>
      </c>
      <c r="Z65" s="127" t="s">
        <v>508</v>
      </c>
      <c r="AD65" s="65"/>
      <c r="AE65" s="112"/>
      <c r="AF65" s="133">
        <v>30.0</v>
      </c>
      <c r="AG65" s="135" t="s">
        <v>535</v>
      </c>
      <c r="AH65" s="60">
        <f t="shared" si="18"/>
        <v>0</v>
      </c>
      <c r="AI65" s="137">
        <v>2.0</v>
      </c>
      <c r="AJ65" s="137"/>
      <c r="AK65" s="137"/>
      <c r="AL65" s="137"/>
      <c r="AM65" s="138">
        <f t="shared" si="9"/>
        <v>0</v>
      </c>
      <c r="AN65" s="137"/>
      <c r="AO65" s="137"/>
      <c r="AP65" s="60" t="str">
        <f t="shared" si="10"/>
        <v/>
      </c>
      <c r="AQ65" s="69">
        <v>2.0</v>
      </c>
      <c r="AR65" s="69"/>
      <c r="AS65" s="69"/>
      <c r="AT65" s="69"/>
      <c r="AU65" s="69"/>
      <c r="AV65" s="62">
        <f t="shared" si="11"/>
        <v>0</v>
      </c>
      <c r="AW65" s="122"/>
      <c r="AX65" s="122"/>
      <c r="AY65" s="122"/>
      <c r="AZ65" s="121"/>
      <c r="BA65" s="121"/>
      <c r="BB65" s="63">
        <f t="shared" si="12"/>
        <v>0</v>
      </c>
      <c r="BC65" s="127" t="s">
        <v>508</v>
      </c>
    </row>
    <row r="66" ht="14.25" customHeight="1">
      <c r="A66" s="65"/>
      <c r="B66" s="112"/>
      <c r="C66" s="85">
        <v>31.0</v>
      </c>
      <c r="D66" s="121" t="s">
        <v>536</v>
      </c>
      <c r="E66" s="60">
        <f t="shared" si="17"/>
        <v>3</v>
      </c>
      <c r="F66" s="67">
        <v>2.0</v>
      </c>
      <c r="G66" s="67"/>
      <c r="H66" s="67"/>
      <c r="I66" s="67">
        <v>3.0</v>
      </c>
      <c r="J66" s="60">
        <f t="shared" si="5"/>
        <v>3</v>
      </c>
      <c r="K66" s="67">
        <v>3.0</v>
      </c>
      <c r="L66" s="67"/>
      <c r="M66" s="60">
        <f t="shared" si="6"/>
        <v>3</v>
      </c>
      <c r="N66" s="69">
        <v>1.0</v>
      </c>
      <c r="O66" s="69"/>
      <c r="P66" s="69"/>
      <c r="Q66" s="69"/>
      <c r="R66" s="69"/>
      <c r="S66" s="62">
        <f t="shared" si="7"/>
        <v>0</v>
      </c>
      <c r="T66" s="122"/>
      <c r="U66" s="122"/>
      <c r="V66" s="122"/>
      <c r="W66" s="121"/>
      <c r="X66" s="121"/>
      <c r="Y66" s="63">
        <f t="shared" si="8"/>
        <v>-3</v>
      </c>
      <c r="Z66" s="127" t="s">
        <v>508</v>
      </c>
      <c r="AD66" s="65"/>
      <c r="AE66" s="112"/>
      <c r="AF66" s="85">
        <v>31.0</v>
      </c>
      <c r="AG66" s="121" t="s">
        <v>536</v>
      </c>
      <c r="AH66" s="60">
        <f t="shared" si="18"/>
        <v>3</v>
      </c>
      <c r="AI66" s="67">
        <v>2.0</v>
      </c>
      <c r="AJ66" s="67"/>
      <c r="AK66" s="67"/>
      <c r="AL66" s="67">
        <v>3.0</v>
      </c>
      <c r="AM66" s="60">
        <f t="shared" si="9"/>
        <v>3</v>
      </c>
      <c r="AN66" s="67">
        <v>3.0</v>
      </c>
      <c r="AO66" s="67"/>
      <c r="AP66" s="60">
        <f t="shared" si="10"/>
        <v>3</v>
      </c>
      <c r="AQ66" s="69">
        <v>1.0</v>
      </c>
      <c r="AR66" s="69"/>
      <c r="AS66" s="69"/>
      <c r="AT66" s="69"/>
      <c r="AU66" s="69"/>
      <c r="AV66" s="62">
        <f t="shared" si="11"/>
        <v>0</v>
      </c>
      <c r="AW66" s="122"/>
      <c r="AX66" s="122"/>
      <c r="AY66" s="122"/>
      <c r="AZ66" s="121"/>
      <c r="BA66" s="121"/>
      <c r="BB66" s="63">
        <f t="shared" si="12"/>
        <v>-3</v>
      </c>
      <c r="BC66" s="127" t="s">
        <v>508</v>
      </c>
    </row>
    <row r="67" ht="14.25" customHeight="1">
      <c r="A67" s="65"/>
      <c r="B67" s="112"/>
      <c r="C67" s="133">
        <v>32.0</v>
      </c>
      <c r="D67" s="135" t="s">
        <v>539</v>
      </c>
      <c r="E67" s="60">
        <f t="shared" si="17"/>
        <v>0</v>
      </c>
      <c r="F67" s="137">
        <v>1.0</v>
      </c>
      <c r="G67" s="137"/>
      <c r="H67" s="137"/>
      <c r="I67" s="137"/>
      <c r="J67" s="138">
        <f t="shared" si="5"/>
        <v>0</v>
      </c>
      <c r="K67" s="137"/>
      <c r="L67" s="137"/>
      <c r="M67" s="60" t="str">
        <f t="shared" si="6"/>
        <v/>
      </c>
      <c r="N67" s="69">
        <v>1.0</v>
      </c>
      <c r="O67" s="69"/>
      <c r="P67" s="69"/>
      <c r="Q67" s="69"/>
      <c r="R67" s="69"/>
      <c r="S67" s="62">
        <f t="shared" si="7"/>
        <v>0</v>
      </c>
      <c r="T67" s="122"/>
      <c r="U67" s="122"/>
      <c r="V67" s="122"/>
      <c r="W67" s="121"/>
      <c r="X67" s="121"/>
      <c r="Y67" s="63">
        <f t="shared" si="8"/>
        <v>0</v>
      </c>
      <c r="AD67" s="65"/>
      <c r="AE67" s="112"/>
      <c r="AF67" s="133">
        <v>32.0</v>
      </c>
      <c r="AG67" s="135" t="s">
        <v>539</v>
      </c>
      <c r="AH67" s="60">
        <f t="shared" si="18"/>
        <v>0</v>
      </c>
      <c r="AI67" s="137">
        <v>1.0</v>
      </c>
      <c r="AJ67" s="137"/>
      <c r="AK67" s="137"/>
      <c r="AL67" s="137"/>
      <c r="AM67" s="138">
        <f t="shared" si="9"/>
        <v>0</v>
      </c>
      <c r="AN67" s="137"/>
      <c r="AO67" s="137"/>
      <c r="AP67" s="60" t="str">
        <f t="shared" si="10"/>
        <v/>
      </c>
      <c r="AQ67" s="69">
        <v>1.0</v>
      </c>
      <c r="AR67" s="69"/>
      <c r="AS67" s="69"/>
      <c r="AT67" s="69"/>
      <c r="AU67" s="69"/>
      <c r="AV67" s="62">
        <f t="shared" si="11"/>
        <v>0</v>
      </c>
      <c r="AW67" s="122"/>
      <c r="AX67" s="122"/>
      <c r="AY67" s="122"/>
      <c r="AZ67" s="121"/>
      <c r="BA67" s="121"/>
      <c r="BB67" s="63">
        <f t="shared" si="12"/>
        <v>0</v>
      </c>
    </row>
    <row r="68" ht="14.25" customHeight="1">
      <c r="A68" s="65"/>
      <c r="B68" s="112"/>
      <c r="C68" s="85">
        <v>33.0</v>
      </c>
      <c r="D68" s="121" t="s">
        <v>540</v>
      </c>
      <c r="E68" s="60">
        <f t="shared" si="17"/>
        <v>3</v>
      </c>
      <c r="F68" s="67">
        <v>3.0</v>
      </c>
      <c r="G68" s="67">
        <v>1.0</v>
      </c>
      <c r="H68" s="67"/>
      <c r="I68" s="67">
        <v>2.0</v>
      </c>
      <c r="J68" s="60">
        <f t="shared" si="5"/>
        <v>3</v>
      </c>
      <c r="K68" s="67">
        <v>3.0</v>
      </c>
      <c r="L68" s="67"/>
      <c r="M68" s="60">
        <f t="shared" si="6"/>
        <v>3</v>
      </c>
      <c r="N68" s="69">
        <v>2.0</v>
      </c>
      <c r="O68" s="69"/>
      <c r="P68" s="69">
        <v>1.0</v>
      </c>
      <c r="Q68" s="69"/>
      <c r="R68" s="69">
        <v>3.0</v>
      </c>
      <c r="S68" s="62">
        <f t="shared" si="7"/>
        <v>4</v>
      </c>
      <c r="T68" s="122"/>
      <c r="U68" s="122"/>
      <c r="V68" s="122"/>
      <c r="W68" s="121"/>
      <c r="X68" s="121"/>
      <c r="Y68" s="63">
        <f t="shared" si="8"/>
        <v>1</v>
      </c>
      <c r="Z68" s="127" t="s">
        <v>508</v>
      </c>
      <c r="AD68" s="65"/>
      <c r="AE68" s="112"/>
      <c r="AF68" s="85">
        <v>33.0</v>
      </c>
      <c r="AG68" s="121" t="s">
        <v>540</v>
      </c>
      <c r="AH68" s="60">
        <f t="shared" si="18"/>
        <v>3</v>
      </c>
      <c r="AI68" s="67">
        <v>3.0</v>
      </c>
      <c r="AJ68" s="67">
        <v>1.0</v>
      </c>
      <c r="AK68" s="67"/>
      <c r="AL68" s="67">
        <v>2.0</v>
      </c>
      <c r="AM68" s="60">
        <f t="shared" si="9"/>
        <v>3</v>
      </c>
      <c r="AN68" s="67">
        <v>3.0</v>
      </c>
      <c r="AO68" s="67"/>
      <c r="AP68" s="60">
        <f t="shared" si="10"/>
        <v>3</v>
      </c>
      <c r="AQ68" s="69">
        <v>2.0</v>
      </c>
      <c r="AR68" s="69"/>
      <c r="AS68" s="69">
        <v>1.0</v>
      </c>
      <c r="AT68" s="69"/>
      <c r="AU68" s="69">
        <v>3.0</v>
      </c>
      <c r="AV68" s="62">
        <f t="shared" si="11"/>
        <v>4</v>
      </c>
      <c r="AW68" s="122"/>
      <c r="AX68" s="122"/>
      <c r="AY68" s="122"/>
      <c r="AZ68" s="121"/>
      <c r="BA68" s="121"/>
      <c r="BB68" s="63">
        <f t="shared" si="12"/>
        <v>1</v>
      </c>
      <c r="BC68" s="127" t="s">
        <v>508</v>
      </c>
    </row>
    <row r="69" ht="14.25" customHeight="1">
      <c r="A69" s="65"/>
      <c r="B69" s="112"/>
      <c r="C69" s="85">
        <v>34.0</v>
      </c>
      <c r="D69" s="121" t="s">
        <v>543</v>
      </c>
      <c r="E69" s="60">
        <f t="shared" si="17"/>
        <v>3</v>
      </c>
      <c r="F69" s="67">
        <v>3.0</v>
      </c>
      <c r="G69" s="67"/>
      <c r="H69" s="67"/>
      <c r="I69" s="67">
        <v>3.0</v>
      </c>
      <c r="J69" s="60">
        <f t="shared" si="5"/>
        <v>3</v>
      </c>
      <c r="K69" s="67">
        <v>3.0</v>
      </c>
      <c r="L69" s="67"/>
      <c r="M69" s="60">
        <f t="shared" si="6"/>
        <v>3</v>
      </c>
      <c r="N69" s="69">
        <v>1.0</v>
      </c>
      <c r="O69" s="69"/>
      <c r="P69" s="69"/>
      <c r="Q69" s="69"/>
      <c r="R69" s="69">
        <v>4.0</v>
      </c>
      <c r="S69" s="62">
        <f t="shared" si="7"/>
        <v>4</v>
      </c>
      <c r="T69" s="122"/>
      <c r="U69" s="122"/>
      <c r="V69" s="122"/>
      <c r="W69" s="121"/>
      <c r="X69" s="121"/>
      <c r="Y69" s="63">
        <f t="shared" si="8"/>
        <v>1</v>
      </c>
      <c r="Z69" s="127" t="s">
        <v>508</v>
      </c>
      <c r="AD69" s="65"/>
      <c r="AE69" s="112"/>
      <c r="AF69" s="85">
        <v>34.0</v>
      </c>
      <c r="AG69" s="121" t="s">
        <v>543</v>
      </c>
      <c r="AH69" s="60">
        <f t="shared" si="18"/>
        <v>3</v>
      </c>
      <c r="AI69" s="67">
        <v>3.0</v>
      </c>
      <c r="AJ69" s="67"/>
      <c r="AK69" s="67"/>
      <c r="AL69" s="67">
        <v>3.0</v>
      </c>
      <c r="AM69" s="60">
        <f t="shared" si="9"/>
        <v>3</v>
      </c>
      <c r="AN69" s="67">
        <v>3.0</v>
      </c>
      <c r="AO69" s="67"/>
      <c r="AP69" s="60">
        <f t="shared" si="10"/>
        <v>3</v>
      </c>
      <c r="AQ69" s="69">
        <v>1.0</v>
      </c>
      <c r="AR69" s="69"/>
      <c r="AS69" s="69"/>
      <c r="AT69" s="69"/>
      <c r="AU69" s="69">
        <v>4.0</v>
      </c>
      <c r="AV69" s="62">
        <f t="shared" si="11"/>
        <v>4</v>
      </c>
      <c r="AW69" s="122"/>
      <c r="AX69" s="122"/>
      <c r="AY69" s="122"/>
      <c r="AZ69" s="121"/>
      <c r="BA69" s="121"/>
      <c r="BB69" s="63">
        <f t="shared" si="12"/>
        <v>1</v>
      </c>
      <c r="BC69" s="127" t="s">
        <v>508</v>
      </c>
    </row>
    <row r="70" ht="14.25" customHeight="1">
      <c r="A70" s="65"/>
      <c r="B70" s="112"/>
      <c r="C70" s="85">
        <v>35.0</v>
      </c>
      <c r="D70" s="121" t="s">
        <v>545</v>
      </c>
      <c r="E70" s="60">
        <f t="shared" si="17"/>
        <v>1</v>
      </c>
      <c r="F70" s="67">
        <v>2.0</v>
      </c>
      <c r="G70" s="67"/>
      <c r="H70" s="67"/>
      <c r="I70" s="67">
        <v>1.0</v>
      </c>
      <c r="J70" s="60">
        <f t="shared" si="5"/>
        <v>1</v>
      </c>
      <c r="K70" s="67">
        <v>1.0</v>
      </c>
      <c r="L70" s="67"/>
      <c r="M70" s="60">
        <f t="shared" si="6"/>
        <v>1</v>
      </c>
      <c r="N70" s="69"/>
      <c r="O70" s="69"/>
      <c r="P70" s="69"/>
      <c r="Q70" s="69"/>
      <c r="R70" s="69"/>
      <c r="S70" s="62">
        <f t="shared" si="7"/>
        <v>0</v>
      </c>
      <c r="T70" s="122"/>
      <c r="U70" s="122"/>
      <c r="V70" s="122"/>
      <c r="W70" s="121"/>
      <c r="X70" s="121"/>
      <c r="Y70" s="63">
        <f t="shared" si="8"/>
        <v>-1</v>
      </c>
      <c r="AD70" s="65"/>
      <c r="AE70" s="112"/>
      <c r="AF70" s="85">
        <v>35.0</v>
      </c>
      <c r="AG70" s="121" t="s">
        <v>545</v>
      </c>
      <c r="AH70" s="60">
        <f t="shared" si="18"/>
        <v>1</v>
      </c>
      <c r="AI70" s="67">
        <v>2.0</v>
      </c>
      <c r="AJ70" s="67"/>
      <c r="AK70" s="67"/>
      <c r="AL70" s="67">
        <v>1.0</v>
      </c>
      <c r="AM70" s="60">
        <f t="shared" si="9"/>
        <v>1</v>
      </c>
      <c r="AN70" s="67">
        <v>1.0</v>
      </c>
      <c r="AO70" s="67"/>
      <c r="AP70" s="60">
        <f t="shared" si="10"/>
        <v>1</v>
      </c>
      <c r="AQ70" s="69"/>
      <c r="AR70" s="69"/>
      <c r="AS70" s="69"/>
      <c r="AT70" s="69"/>
      <c r="AU70" s="69"/>
      <c r="AV70" s="62">
        <f t="shared" si="11"/>
        <v>0</v>
      </c>
      <c r="AW70" s="122"/>
      <c r="AX70" s="122"/>
      <c r="AY70" s="122"/>
      <c r="AZ70" s="121"/>
      <c r="BA70" s="121"/>
      <c r="BB70" s="63">
        <f t="shared" si="12"/>
        <v>-1</v>
      </c>
    </row>
    <row r="71" ht="14.25" customHeight="1">
      <c r="A71" s="65"/>
      <c r="B71" s="112"/>
      <c r="C71" s="85">
        <v>36.0</v>
      </c>
      <c r="D71" s="121" t="s">
        <v>551</v>
      </c>
      <c r="E71" s="60">
        <f t="shared" si="17"/>
        <v>1</v>
      </c>
      <c r="F71" s="67">
        <v>2.0</v>
      </c>
      <c r="G71" s="67"/>
      <c r="H71" s="67"/>
      <c r="I71" s="67">
        <v>1.0</v>
      </c>
      <c r="J71" s="60">
        <f t="shared" si="5"/>
        <v>1</v>
      </c>
      <c r="K71" s="67">
        <v>1.0</v>
      </c>
      <c r="L71" s="67"/>
      <c r="M71" s="60">
        <f t="shared" si="6"/>
        <v>1</v>
      </c>
      <c r="N71" s="69">
        <v>2.0</v>
      </c>
      <c r="O71" s="69"/>
      <c r="P71" s="69">
        <v>1.0</v>
      </c>
      <c r="Q71" s="69"/>
      <c r="R71" s="69">
        <v>3.0</v>
      </c>
      <c r="S71" s="62">
        <f t="shared" si="7"/>
        <v>4</v>
      </c>
      <c r="T71" s="122"/>
      <c r="U71" s="122"/>
      <c r="V71" s="122"/>
      <c r="W71" s="121"/>
      <c r="X71" s="121"/>
      <c r="Y71" s="63">
        <f t="shared" si="8"/>
        <v>3</v>
      </c>
      <c r="Z71" s="127" t="s">
        <v>508</v>
      </c>
      <c r="AD71" s="65"/>
      <c r="AE71" s="112"/>
      <c r="AF71" s="85">
        <v>36.0</v>
      </c>
      <c r="AG71" s="121" t="s">
        <v>551</v>
      </c>
      <c r="AH71" s="60">
        <f t="shared" si="18"/>
        <v>1</v>
      </c>
      <c r="AI71" s="67">
        <v>2.0</v>
      </c>
      <c r="AJ71" s="67"/>
      <c r="AK71" s="67"/>
      <c r="AL71" s="67">
        <v>1.0</v>
      </c>
      <c r="AM71" s="60">
        <f t="shared" si="9"/>
        <v>1</v>
      </c>
      <c r="AN71" s="67">
        <v>1.0</v>
      </c>
      <c r="AO71" s="67"/>
      <c r="AP71" s="60">
        <f t="shared" si="10"/>
        <v>1</v>
      </c>
      <c r="AQ71" s="69">
        <v>2.0</v>
      </c>
      <c r="AR71" s="69"/>
      <c r="AS71" s="69">
        <v>1.0</v>
      </c>
      <c r="AT71" s="69"/>
      <c r="AU71" s="69">
        <v>3.0</v>
      </c>
      <c r="AV71" s="62">
        <f t="shared" si="11"/>
        <v>4</v>
      </c>
      <c r="AW71" s="122"/>
      <c r="AX71" s="122"/>
      <c r="AY71" s="122"/>
      <c r="AZ71" s="121"/>
      <c r="BA71" s="121"/>
      <c r="BB71" s="63">
        <f t="shared" si="12"/>
        <v>3</v>
      </c>
      <c r="BC71" s="127" t="s">
        <v>508</v>
      </c>
    </row>
    <row r="72" ht="14.25" customHeight="1">
      <c r="A72" s="65"/>
      <c r="B72" s="112"/>
      <c r="C72" s="133">
        <v>37.0</v>
      </c>
      <c r="D72" s="135" t="s">
        <v>554</v>
      </c>
      <c r="E72" s="60">
        <f t="shared" si="17"/>
        <v>0</v>
      </c>
      <c r="F72" s="137">
        <v>0.0</v>
      </c>
      <c r="G72" s="137"/>
      <c r="H72" s="137"/>
      <c r="I72" s="137"/>
      <c r="J72" s="138">
        <f t="shared" si="5"/>
        <v>0</v>
      </c>
      <c r="K72" s="137"/>
      <c r="L72" s="137"/>
      <c r="M72" s="60" t="str">
        <f t="shared" si="6"/>
        <v/>
      </c>
      <c r="N72" s="69"/>
      <c r="O72" s="69"/>
      <c r="P72" s="69"/>
      <c r="Q72" s="69"/>
      <c r="R72" s="69"/>
      <c r="S72" s="62">
        <f t="shared" si="7"/>
        <v>0</v>
      </c>
      <c r="T72" s="122"/>
      <c r="U72" s="122"/>
      <c r="V72" s="122"/>
      <c r="W72" s="121"/>
      <c r="X72" s="121"/>
      <c r="Y72" s="63">
        <f t="shared" si="8"/>
        <v>0</v>
      </c>
      <c r="AD72" s="65"/>
      <c r="AE72" s="112"/>
      <c r="AF72" s="133">
        <v>37.0</v>
      </c>
      <c r="AG72" s="135" t="s">
        <v>554</v>
      </c>
      <c r="AH72" s="60">
        <f t="shared" si="18"/>
        <v>0</v>
      </c>
      <c r="AI72" s="137">
        <v>0.0</v>
      </c>
      <c r="AJ72" s="137"/>
      <c r="AK72" s="137"/>
      <c r="AL72" s="137"/>
      <c r="AM72" s="138">
        <f t="shared" si="9"/>
        <v>0</v>
      </c>
      <c r="AN72" s="137"/>
      <c r="AO72" s="137"/>
      <c r="AP72" s="60" t="str">
        <f t="shared" si="10"/>
        <v/>
      </c>
      <c r="AQ72" s="69"/>
      <c r="AR72" s="69"/>
      <c r="AS72" s="69"/>
      <c r="AT72" s="69"/>
      <c r="AU72" s="69"/>
      <c r="AV72" s="62">
        <f t="shared" si="11"/>
        <v>0</v>
      </c>
      <c r="AW72" s="122"/>
      <c r="AX72" s="122"/>
      <c r="AY72" s="122"/>
      <c r="AZ72" s="121"/>
      <c r="BA72" s="121"/>
      <c r="BB72" s="63">
        <f t="shared" si="12"/>
        <v>0</v>
      </c>
    </row>
    <row r="73" ht="14.25" customHeight="1">
      <c r="A73" s="65"/>
      <c r="B73" s="112"/>
      <c r="C73" s="85">
        <v>38.0</v>
      </c>
      <c r="D73" s="121" t="s">
        <v>556</v>
      </c>
      <c r="E73" s="60">
        <f t="shared" si="17"/>
        <v>1</v>
      </c>
      <c r="F73" s="67">
        <v>2.0</v>
      </c>
      <c r="G73" s="67">
        <v>1.0</v>
      </c>
      <c r="H73" s="67"/>
      <c r="I73" s="67"/>
      <c r="J73" s="60">
        <f t="shared" si="5"/>
        <v>1</v>
      </c>
      <c r="K73" s="67">
        <v>1.0</v>
      </c>
      <c r="L73" s="67"/>
      <c r="M73" s="60">
        <f t="shared" si="6"/>
        <v>1</v>
      </c>
      <c r="N73" s="69">
        <v>3.0</v>
      </c>
      <c r="O73" s="69"/>
      <c r="P73" s="69"/>
      <c r="Q73" s="69"/>
      <c r="R73" s="69">
        <v>3.0</v>
      </c>
      <c r="S73" s="62">
        <f t="shared" si="7"/>
        <v>3</v>
      </c>
      <c r="T73" s="122"/>
      <c r="U73" s="122"/>
      <c r="V73" s="122"/>
      <c r="W73" s="121"/>
      <c r="X73" s="121"/>
      <c r="Y73" s="63">
        <f t="shared" si="8"/>
        <v>2</v>
      </c>
      <c r="Z73" s="127" t="s">
        <v>508</v>
      </c>
      <c r="AD73" s="65"/>
      <c r="AE73" s="112"/>
      <c r="AF73" s="85">
        <v>38.0</v>
      </c>
      <c r="AG73" s="121" t="s">
        <v>556</v>
      </c>
      <c r="AH73" s="60">
        <f t="shared" si="18"/>
        <v>1</v>
      </c>
      <c r="AI73" s="67">
        <v>2.0</v>
      </c>
      <c r="AJ73" s="67">
        <v>1.0</v>
      </c>
      <c r="AK73" s="67"/>
      <c r="AL73" s="67"/>
      <c r="AM73" s="60">
        <f t="shared" si="9"/>
        <v>1</v>
      </c>
      <c r="AN73" s="67">
        <v>1.0</v>
      </c>
      <c r="AO73" s="67"/>
      <c r="AP73" s="60">
        <f t="shared" si="10"/>
        <v>1</v>
      </c>
      <c r="AQ73" s="69">
        <v>3.0</v>
      </c>
      <c r="AR73" s="69"/>
      <c r="AS73" s="69"/>
      <c r="AT73" s="69"/>
      <c r="AU73" s="69">
        <v>3.0</v>
      </c>
      <c r="AV73" s="62">
        <f t="shared" si="11"/>
        <v>3</v>
      </c>
      <c r="AW73" s="122"/>
      <c r="AX73" s="122"/>
      <c r="AY73" s="122"/>
      <c r="AZ73" s="121"/>
      <c r="BA73" s="121"/>
      <c r="BB73" s="63">
        <f t="shared" si="12"/>
        <v>2</v>
      </c>
      <c r="BC73" s="127" t="s">
        <v>508</v>
      </c>
    </row>
    <row r="74" ht="14.25" customHeight="1">
      <c r="A74" s="65"/>
      <c r="B74" s="112"/>
      <c r="C74" s="133">
        <v>39.0</v>
      </c>
      <c r="D74" s="135" t="s">
        <v>559</v>
      </c>
      <c r="E74" s="60">
        <f t="shared" si="17"/>
        <v>0</v>
      </c>
      <c r="F74" s="137">
        <v>1.0</v>
      </c>
      <c r="G74" s="137"/>
      <c r="H74" s="137"/>
      <c r="I74" s="137"/>
      <c r="J74" s="138">
        <f t="shared" si="5"/>
        <v>0</v>
      </c>
      <c r="K74" s="137"/>
      <c r="L74" s="137"/>
      <c r="M74" s="60" t="str">
        <f t="shared" si="6"/>
        <v/>
      </c>
      <c r="N74" s="69">
        <v>1.0</v>
      </c>
      <c r="O74" s="69"/>
      <c r="P74" s="69"/>
      <c r="Q74" s="69"/>
      <c r="R74" s="69">
        <v>2.0</v>
      </c>
      <c r="S74" s="62">
        <f t="shared" si="7"/>
        <v>2</v>
      </c>
      <c r="T74" s="122"/>
      <c r="U74" s="122"/>
      <c r="V74" s="122"/>
      <c r="W74" s="121"/>
      <c r="X74" s="121"/>
      <c r="Y74" s="63">
        <f t="shared" si="8"/>
        <v>2</v>
      </c>
      <c r="Z74" s="127" t="s">
        <v>508</v>
      </c>
      <c r="AD74" s="65"/>
      <c r="AE74" s="112"/>
      <c r="AF74" s="133">
        <v>39.0</v>
      </c>
      <c r="AG74" s="135" t="s">
        <v>559</v>
      </c>
      <c r="AH74" s="60">
        <f t="shared" si="18"/>
        <v>0</v>
      </c>
      <c r="AI74" s="137">
        <v>1.0</v>
      </c>
      <c r="AJ74" s="137"/>
      <c r="AK74" s="137"/>
      <c r="AL74" s="137"/>
      <c r="AM74" s="138">
        <f t="shared" si="9"/>
        <v>0</v>
      </c>
      <c r="AN74" s="137"/>
      <c r="AO74" s="137"/>
      <c r="AP74" s="60" t="str">
        <f t="shared" si="10"/>
        <v/>
      </c>
      <c r="AQ74" s="69">
        <v>1.0</v>
      </c>
      <c r="AR74" s="69"/>
      <c r="AS74" s="69"/>
      <c r="AT74" s="69"/>
      <c r="AU74" s="69">
        <v>2.0</v>
      </c>
      <c r="AV74" s="62">
        <f t="shared" si="11"/>
        <v>2</v>
      </c>
      <c r="AW74" s="122"/>
      <c r="AX74" s="122"/>
      <c r="AY74" s="122"/>
      <c r="AZ74" s="121"/>
      <c r="BA74" s="121"/>
      <c r="BB74" s="63">
        <f t="shared" si="12"/>
        <v>2</v>
      </c>
      <c r="BC74" s="127" t="s">
        <v>508</v>
      </c>
    </row>
    <row r="75" ht="14.25" customHeight="1">
      <c r="A75" s="65"/>
      <c r="B75" s="112"/>
      <c r="C75" s="85">
        <v>40.0</v>
      </c>
      <c r="D75" s="121" t="s">
        <v>561</v>
      </c>
      <c r="E75" s="60">
        <f t="shared" si="17"/>
        <v>1</v>
      </c>
      <c r="F75" s="67">
        <v>3.0</v>
      </c>
      <c r="G75" s="67"/>
      <c r="H75" s="67"/>
      <c r="I75" s="67">
        <v>1.0</v>
      </c>
      <c r="J75" s="60">
        <f t="shared" si="5"/>
        <v>1</v>
      </c>
      <c r="K75" s="67">
        <v>2.0</v>
      </c>
      <c r="L75" s="67"/>
      <c r="M75" s="60">
        <f t="shared" si="6"/>
        <v>2</v>
      </c>
      <c r="N75" s="69">
        <v>3.0</v>
      </c>
      <c r="O75" s="69"/>
      <c r="P75" s="69"/>
      <c r="Q75" s="69"/>
      <c r="R75" s="69">
        <v>3.0</v>
      </c>
      <c r="S75" s="62">
        <f t="shared" si="7"/>
        <v>3</v>
      </c>
      <c r="T75" s="122"/>
      <c r="U75" s="122"/>
      <c r="V75" s="122"/>
      <c r="W75" s="121"/>
      <c r="X75" s="121"/>
      <c r="Y75" s="63">
        <f t="shared" si="8"/>
        <v>2</v>
      </c>
      <c r="Z75" s="127" t="s">
        <v>508</v>
      </c>
      <c r="AD75" s="65"/>
      <c r="AE75" s="112"/>
      <c r="AF75" s="85">
        <v>40.0</v>
      </c>
      <c r="AG75" s="121" t="s">
        <v>561</v>
      </c>
      <c r="AH75" s="60">
        <f t="shared" si="18"/>
        <v>1</v>
      </c>
      <c r="AI75" s="67">
        <v>3.0</v>
      </c>
      <c r="AJ75" s="67"/>
      <c r="AK75" s="67"/>
      <c r="AL75" s="67">
        <v>1.0</v>
      </c>
      <c r="AM75" s="60">
        <f t="shared" si="9"/>
        <v>1</v>
      </c>
      <c r="AN75" s="67">
        <v>2.0</v>
      </c>
      <c r="AO75" s="67"/>
      <c r="AP75" s="60">
        <f t="shared" si="10"/>
        <v>2</v>
      </c>
      <c r="AQ75" s="69">
        <v>3.0</v>
      </c>
      <c r="AR75" s="69"/>
      <c r="AS75" s="69"/>
      <c r="AT75" s="69"/>
      <c r="AU75" s="69">
        <v>3.0</v>
      </c>
      <c r="AV75" s="62">
        <f t="shared" si="11"/>
        <v>3</v>
      </c>
      <c r="AW75" s="122"/>
      <c r="AX75" s="122"/>
      <c r="AY75" s="122"/>
      <c r="AZ75" s="121"/>
      <c r="BA75" s="121"/>
      <c r="BB75" s="63">
        <f t="shared" si="12"/>
        <v>2</v>
      </c>
      <c r="BC75" s="127" t="s">
        <v>508</v>
      </c>
    </row>
    <row r="76" ht="14.25" customHeight="1">
      <c r="A76" s="65"/>
      <c r="B76" s="112"/>
      <c r="C76" s="85">
        <v>41.0</v>
      </c>
      <c r="D76" s="121" t="s">
        <v>562</v>
      </c>
      <c r="E76" s="60">
        <f t="shared" si="17"/>
        <v>5</v>
      </c>
      <c r="F76" s="67">
        <v>2.0</v>
      </c>
      <c r="G76" s="67">
        <v>3.0</v>
      </c>
      <c r="H76" s="67"/>
      <c r="I76" s="67">
        <v>2.0</v>
      </c>
      <c r="J76" s="60">
        <f t="shared" si="5"/>
        <v>5</v>
      </c>
      <c r="K76" s="67">
        <v>1.0</v>
      </c>
      <c r="L76" s="67"/>
      <c r="M76" s="60">
        <f t="shared" si="6"/>
        <v>1</v>
      </c>
      <c r="N76" s="69">
        <v>2.0</v>
      </c>
      <c r="O76" s="69"/>
      <c r="P76" s="69">
        <v>2.0</v>
      </c>
      <c r="Q76" s="69"/>
      <c r="R76" s="69">
        <v>1.0</v>
      </c>
      <c r="S76" s="62">
        <f t="shared" si="7"/>
        <v>3</v>
      </c>
      <c r="T76" s="122"/>
      <c r="U76" s="122"/>
      <c r="V76" s="122"/>
      <c r="W76" s="121"/>
      <c r="X76" s="121"/>
      <c r="Y76" s="63">
        <f t="shared" si="8"/>
        <v>-2</v>
      </c>
      <c r="Z76" s="127" t="s">
        <v>493</v>
      </c>
      <c r="AD76" s="65"/>
      <c r="AE76" s="112"/>
      <c r="AF76" s="85">
        <v>41.0</v>
      </c>
      <c r="AG76" s="121" t="s">
        <v>562</v>
      </c>
      <c r="AH76" s="60">
        <f t="shared" si="18"/>
        <v>5</v>
      </c>
      <c r="AI76" s="67">
        <v>2.0</v>
      </c>
      <c r="AJ76" s="67">
        <v>3.0</v>
      </c>
      <c r="AK76" s="67"/>
      <c r="AL76" s="67">
        <v>2.0</v>
      </c>
      <c r="AM76" s="60">
        <f t="shared" si="9"/>
        <v>5</v>
      </c>
      <c r="AN76" s="67">
        <v>1.0</v>
      </c>
      <c r="AO76" s="67"/>
      <c r="AP76" s="60">
        <f t="shared" si="10"/>
        <v>1</v>
      </c>
      <c r="AQ76" s="69">
        <v>2.0</v>
      </c>
      <c r="AR76" s="69"/>
      <c r="AS76" s="69">
        <v>2.0</v>
      </c>
      <c r="AT76" s="69"/>
      <c r="AU76" s="69">
        <v>1.0</v>
      </c>
      <c r="AV76" s="62">
        <f t="shared" si="11"/>
        <v>3</v>
      </c>
      <c r="AW76" s="122"/>
      <c r="AX76" s="122"/>
      <c r="AY76" s="122"/>
      <c r="AZ76" s="121"/>
      <c r="BA76" s="121"/>
      <c r="BB76" s="63">
        <f t="shared" si="12"/>
        <v>-2</v>
      </c>
      <c r="BC76" s="127" t="s">
        <v>493</v>
      </c>
    </row>
    <row r="77" ht="14.25" customHeight="1">
      <c r="A77" s="65"/>
      <c r="B77" s="112"/>
      <c r="C77" s="85"/>
      <c r="D77" s="121" t="s">
        <v>564</v>
      </c>
      <c r="E77" s="60">
        <f t="shared" si="17"/>
        <v>4</v>
      </c>
      <c r="F77" s="67">
        <v>2.0</v>
      </c>
      <c r="G77" s="67"/>
      <c r="H77" s="67"/>
      <c r="I77" s="67">
        <v>4.0</v>
      </c>
      <c r="J77" s="60">
        <f t="shared" si="5"/>
        <v>4</v>
      </c>
      <c r="K77" s="67"/>
      <c r="L77" s="67"/>
      <c r="M77" s="60" t="str">
        <f t="shared" si="6"/>
        <v/>
      </c>
      <c r="N77" s="69">
        <v>2.0</v>
      </c>
      <c r="O77" s="69"/>
      <c r="P77" s="69"/>
      <c r="Q77" s="69"/>
      <c r="R77" s="69">
        <v>4.0</v>
      </c>
      <c r="S77" s="62">
        <f t="shared" si="7"/>
        <v>4</v>
      </c>
      <c r="T77" s="122"/>
      <c r="U77" s="122"/>
      <c r="V77" s="122"/>
      <c r="W77" s="121"/>
      <c r="X77" s="121"/>
      <c r="Y77" s="63">
        <f t="shared" si="8"/>
        <v>0</v>
      </c>
      <c r="Z77" s="127" t="s">
        <v>493</v>
      </c>
      <c r="AD77" s="65"/>
      <c r="AE77" s="112"/>
      <c r="AF77" s="85"/>
      <c r="AG77" s="121" t="s">
        <v>564</v>
      </c>
      <c r="AH77" s="60">
        <f t="shared" si="18"/>
        <v>4</v>
      </c>
      <c r="AI77" s="67">
        <v>2.0</v>
      </c>
      <c r="AJ77" s="67"/>
      <c r="AK77" s="67"/>
      <c r="AL77" s="67">
        <v>4.0</v>
      </c>
      <c r="AM77" s="60">
        <f t="shared" si="9"/>
        <v>4</v>
      </c>
      <c r="AN77" s="67"/>
      <c r="AO77" s="67"/>
      <c r="AP77" s="60" t="str">
        <f t="shared" si="10"/>
        <v/>
      </c>
      <c r="AQ77" s="69">
        <v>2.0</v>
      </c>
      <c r="AR77" s="69"/>
      <c r="AS77" s="69"/>
      <c r="AT77" s="69"/>
      <c r="AU77" s="69">
        <v>4.0</v>
      </c>
      <c r="AV77" s="62">
        <f t="shared" si="11"/>
        <v>4</v>
      </c>
      <c r="AW77" s="122"/>
      <c r="AX77" s="122"/>
      <c r="AY77" s="122"/>
      <c r="AZ77" s="121"/>
      <c r="BA77" s="121"/>
      <c r="BB77" s="63">
        <f t="shared" si="12"/>
        <v>0</v>
      </c>
      <c r="BC77" s="127" t="s">
        <v>493</v>
      </c>
    </row>
    <row r="78" ht="14.25" customHeight="1">
      <c r="A78" s="65"/>
      <c r="B78" s="112"/>
      <c r="C78" s="85">
        <v>42.0</v>
      </c>
      <c r="D78" s="121" t="s">
        <v>566</v>
      </c>
      <c r="E78" s="60">
        <f t="shared" si="17"/>
        <v>3</v>
      </c>
      <c r="F78" s="67">
        <v>3.0</v>
      </c>
      <c r="G78" s="67"/>
      <c r="H78" s="67"/>
      <c r="I78" s="67">
        <v>3.0</v>
      </c>
      <c r="J78" s="60">
        <f t="shared" si="5"/>
        <v>3</v>
      </c>
      <c r="K78" s="67"/>
      <c r="L78" s="67"/>
      <c r="M78" s="60" t="str">
        <f t="shared" si="6"/>
        <v/>
      </c>
      <c r="N78" s="69">
        <v>2.0</v>
      </c>
      <c r="O78" s="69"/>
      <c r="P78" s="69"/>
      <c r="Q78" s="69"/>
      <c r="R78" s="69">
        <v>4.0</v>
      </c>
      <c r="S78" s="62">
        <f t="shared" si="7"/>
        <v>4</v>
      </c>
      <c r="T78" s="122"/>
      <c r="U78" s="122"/>
      <c r="V78" s="122"/>
      <c r="W78" s="121"/>
      <c r="X78" s="121"/>
      <c r="Y78" s="63">
        <f t="shared" si="8"/>
        <v>1</v>
      </c>
      <c r="Z78" s="127" t="s">
        <v>493</v>
      </c>
      <c r="AD78" s="65"/>
      <c r="AE78" s="112"/>
      <c r="AF78" s="85">
        <v>42.0</v>
      </c>
      <c r="AG78" s="121" t="s">
        <v>566</v>
      </c>
      <c r="AH78" s="60">
        <f t="shared" si="18"/>
        <v>3</v>
      </c>
      <c r="AI78" s="67">
        <v>3.0</v>
      </c>
      <c r="AJ78" s="67"/>
      <c r="AK78" s="67"/>
      <c r="AL78" s="67">
        <v>3.0</v>
      </c>
      <c r="AM78" s="60">
        <f t="shared" si="9"/>
        <v>3</v>
      </c>
      <c r="AN78" s="67"/>
      <c r="AO78" s="67"/>
      <c r="AP78" s="60" t="str">
        <f t="shared" si="10"/>
        <v/>
      </c>
      <c r="AQ78" s="69">
        <v>2.0</v>
      </c>
      <c r="AR78" s="69"/>
      <c r="AS78" s="69"/>
      <c r="AT78" s="69"/>
      <c r="AU78" s="69">
        <v>4.0</v>
      </c>
      <c r="AV78" s="62">
        <f t="shared" si="11"/>
        <v>4</v>
      </c>
      <c r="AW78" s="122"/>
      <c r="AX78" s="122"/>
      <c r="AY78" s="122"/>
      <c r="AZ78" s="121"/>
      <c r="BA78" s="121"/>
      <c r="BB78" s="63">
        <f t="shared" si="12"/>
        <v>1</v>
      </c>
      <c r="BC78" s="127" t="s">
        <v>493</v>
      </c>
    </row>
    <row r="79" ht="14.25" customHeight="1">
      <c r="A79" s="65"/>
      <c r="B79" s="112"/>
      <c r="C79" s="182"/>
      <c r="D79" s="183" t="s">
        <v>568</v>
      </c>
      <c r="E79" s="60">
        <f t="shared" si="17"/>
        <v>0</v>
      </c>
      <c r="F79" s="184">
        <v>0.0</v>
      </c>
      <c r="G79" s="184"/>
      <c r="H79" s="184"/>
      <c r="I79" s="184"/>
      <c r="J79" s="60">
        <f t="shared" si="5"/>
        <v>0</v>
      </c>
      <c r="K79" s="184"/>
      <c r="L79" s="184"/>
      <c r="M79" s="60" t="str">
        <f t="shared" si="6"/>
        <v/>
      </c>
      <c r="N79" s="69"/>
      <c r="O79" s="69"/>
      <c r="P79" s="69"/>
      <c r="Q79" s="69"/>
      <c r="R79" s="69"/>
      <c r="S79" s="62">
        <f t="shared" si="7"/>
        <v>0</v>
      </c>
      <c r="T79" s="122"/>
      <c r="U79" s="122"/>
      <c r="V79" s="122"/>
      <c r="W79" s="121"/>
      <c r="X79" s="121"/>
      <c r="Y79" s="63">
        <f t="shared" si="8"/>
        <v>0</v>
      </c>
      <c r="AD79" s="65"/>
      <c r="AE79" s="112"/>
      <c r="AF79" s="182"/>
      <c r="AG79" s="183" t="s">
        <v>568</v>
      </c>
      <c r="AH79" s="60">
        <f t="shared" si="18"/>
        <v>0</v>
      </c>
      <c r="AI79" s="184">
        <v>0.0</v>
      </c>
      <c r="AJ79" s="184"/>
      <c r="AK79" s="184"/>
      <c r="AL79" s="184"/>
      <c r="AM79" s="60">
        <f t="shared" si="9"/>
        <v>0</v>
      </c>
      <c r="AN79" s="184"/>
      <c r="AO79" s="184"/>
      <c r="AP79" s="60" t="str">
        <f t="shared" si="10"/>
        <v/>
      </c>
      <c r="AQ79" s="69"/>
      <c r="AR79" s="69"/>
      <c r="AS79" s="69"/>
      <c r="AT79" s="69"/>
      <c r="AU79" s="69"/>
      <c r="AV79" s="62">
        <f t="shared" si="11"/>
        <v>0</v>
      </c>
      <c r="AW79" s="122"/>
      <c r="AX79" s="122"/>
      <c r="AY79" s="122"/>
      <c r="AZ79" s="121"/>
      <c r="BA79" s="121"/>
      <c r="BB79" s="63">
        <f t="shared" si="12"/>
        <v>0</v>
      </c>
    </row>
    <row r="80" ht="14.25" customHeight="1">
      <c r="A80" s="65"/>
      <c r="B80" s="112"/>
      <c r="C80" s="182">
        <v>43.0</v>
      </c>
      <c r="D80" s="183" t="s">
        <v>570</v>
      </c>
      <c r="E80" s="60">
        <f t="shared" si="17"/>
        <v>0</v>
      </c>
      <c r="F80" s="184">
        <v>0.0</v>
      </c>
      <c r="G80" s="184"/>
      <c r="H80" s="184"/>
      <c r="I80" s="184"/>
      <c r="J80" s="60">
        <f t="shared" si="5"/>
        <v>0</v>
      </c>
      <c r="K80" s="184"/>
      <c r="L80" s="184"/>
      <c r="M80" s="60" t="str">
        <f t="shared" si="6"/>
        <v/>
      </c>
      <c r="N80" s="69">
        <v>2.0</v>
      </c>
      <c r="O80" s="69"/>
      <c r="P80" s="69"/>
      <c r="Q80" s="69"/>
      <c r="R80" s="69">
        <v>2.0</v>
      </c>
      <c r="S80" s="62">
        <f t="shared" si="7"/>
        <v>2</v>
      </c>
      <c r="T80" s="122"/>
      <c r="U80" s="122"/>
      <c r="V80" s="122"/>
      <c r="W80" s="121"/>
      <c r="X80" s="121"/>
      <c r="Y80" s="63">
        <f t="shared" si="8"/>
        <v>2</v>
      </c>
      <c r="Z80" s="127" t="s">
        <v>493</v>
      </c>
      <c r="AD80" s="65"/>
      <c r="AE80" s="112"/>
      <c r="AF80" s="182">
        <v>43.0</v>
      </c>
      <c r="AG80" s="183" t="s">
        <v>570</v>
      </c>
      <c r="AH80" s="60">
        <f t="shared" si="18"/>
        <v>0</v>
      </c>
      <c r="AI80" s="184">
        <v>0.0</v>
      </c>
      <c r="AJ80" s="184"/>
      <c r="AK80" s="184"/>
      <c r="AL80" s="184"/>
      <c r="AM80" s="60">
        <f t="shared" si="9"/>
        <v>0</v>
      </c>
      <c r="AN80" s="184"/>
      <c r="AO80" s="184"/>
      <c r="AP80" s="60" t="str">
        <f t="shared" si="10"/>
        <v/>
      </c>
      <c r="AQ80" s="69">
        <v>2.0</v>
      </c>
      <c r="AR80" s="69"/>
      <c r="AS80" s="69"/>
      <c r="AT80" s="69"/>
      <c r="AU80" s="69">
        <v>2.0</v>
      </c>
      <c r="AV80" s="62">
        <f t="shared" si="11"/>
        <v>2</v>
      </c>
      <c r="AW80" s="122"/>
      <c r="AX80" s="122"/>
      <c r="AY80" s="122"/>
      <c r="AZ80" s="121"/>
      <c r="BA80" s="121"/>
      <c r="BB80" s="63">
        <f t="shared" si="12"/>
        <v>2</v>
      </c>
      <c r="BC80" s="127" t="s">
        <v>493</v>
      </c>
    </row>
    <row r="81" ht="14.25" customHeight="1">
      <c r="A81" s="65"/>
      <c r="B81" s="112"/>
      <c r="C81" s="85">
        <v>44.0</v>
      </c>
      <c r="D81" s="121" t="s">
        <v>573</v>
      </c>
      <c r="E81" s="60">
        <f t="shared" si="17"/>
        <v>3</v>
      </c>
      <c r="F81" s="67">
        <v>3.0</v>
      </c>
      <c r="G81" s="67"/>
      <c r="H81" s="67"/>
      <c r="I81" s="67">
        <v>3.0</v>
      </c>
      <c r="J81" s="60">
        <f t="shared" si="5"/>
        <v>3</v>
      </c>
      <c r="K81" s="67">
        <v>3.0</v>
      </c>
      <c r="L81" s="67"/>
      <c r="M81" s="60">
        <f t="shared" si="6"/>
        <v>3</v>
      </c>
      <c r="N81" s="69">
        <v>2.0</v>
      </c>
      <c r="O81" s="69"/>
      <c r="P81" s="69"/>
      <c r="Q81" s="69"/>
      <c r="R81" s="69">
        <v>2.0</v>
      </c>
      <c r="S81" s="62">
        <f t="shared" si="7"/>
        <v>2</v>
      </c>
      <c r="T81" s="122"/>
      <c r="U81" s="122"/>
      <c r="V81" s="122"/>
      <c r="W81" s="121"/>
      <c r="X81" s="121"/>
      <c r="Y81" s="63">
        <f t="shared" si="8"/>
        <v>-1</v>
      </c>
      <c r="Z81" s="127" t="s">
        <v>493</v>
      </c>
      <c r="AD81" s="65"/>
      <c r="AE81" s="112"/>
      <c r="AF81" s="85">
        <v>44.0</v>
      </c>
      <c r="AG81" s="121" t="s">
        <v>573</v>
      </c>
      <c r="AH81" s="60">
        <f t="shared" si="18"/>
        <v>3</v>
      </c>
      <c r="AI81" s="67">
        <v>3.0</v>
      </c>
      <c r="AJ81" s="67"/>
      <c r="AK81" s="67"/>
      <c r="AL81" s="67">
        <v>3.0</v>
      </c>
      <c r="AM81" s="60">
        <f t="shared" si="9"/>
        <v>3</v>
      </c>
      <c r="AN81" s="67">
        <v>3.0</v>
      </c>
      <c r="AO81" s="67"/>
      <c r="AP81" s="60">
        <f t="shared" si="10"/>
        <v>3</v>
      </c>
      <c r="AQ81" s="69">
        <v>2.0</v>
      </c>
      <c r="AR81" s="69"/>
      <c r="AS81" s="69"/>
      <c r="AT81" s="69"/>
      <c r="AU81" s="69">
        <v>2.0</v>
      </c>
      <c r="AV81" s="62">
        <f t="shared" si="11"/>
        <v>2</v>
      </c>
      <c r="AW81" s="122"/>
      <c r="AX81" s="122"/>
      <c r="AY81" s="122"/>
      <c r="AZ81" s="121"/>
      <c r="BA81" s="121"/>
      <c r="BB81" s="63">
        <f t="shared" si="12"/>
        <v>-1</v>
      </c>
      <c r="BC81" s="127" t="s">
        <v>493</v>
      </c>
    </row>
    <row r="82" ht="14.25" customHeight="1">
      <c r="A82" s="65"/>
      <c r="B82" s="112"/>
      <c r="C82" s="85">
        <v>45.0</v>
      </c>
      <c r="D82" s="121" t="s">
        <v>584</v>
      </c>
      <c r="E82" s="60">
        <f t="shared" si="17"/>
        <v>2</v>
      </c>
      <c r="F82" s="67">
        <v>2.0</v>
      </c>
      <c r="G82" s="67"/>
      <c r="H82" s="67"/>
      <c r="I82" s="67">
        <v>2.0</v>
      </c>
      <c r="J82" s="60">
        <f t="shared" si="5"/>
        <v>2</v>
      </c>
      <c r="K82" s="67">
        <v>2.0</v>
      </c>
      <c r="L82" s="67"/>
      <c r="M82" s="60">
        <f t="shared" si="6"/>
        <v>2</v>
      </c>
      <c r="N82" s="69">
        <v>2.0</v>
      </c>
      <c r="O82" s="69"/>
      <c r="P82" s="69"/>
      <c r="Q82" s="69"/>
      <c r="R82" s="69">
        <v>4.0</v>
      </c>
      <c r="S82" s="62">
        <f t="shared" si="7"/>
        <v>4</v>
      </c>
      <c r="T82" s="122"/>
      <c r="U82" s="122"/>
      <c r="V82" s="122"/>
      <c r="W82" s="121"/>
      <c r="X82" s="121"/>
      <c r="Y82" s="63">
        <f t="shared" si="8"/>
        <v>2</v>
      </c>
      <c r="Z82" s="127" t="s">
        <v>493</v>
      </c>
      <c r="AD82" s="65"/>
      <c r="AE82" s="112"/>
      <c r="AF82" s="85">
        <v>45.0</v>
      </c>
      <c r="AG82" s="121" t="s">
        <v>584</v>
      </c>
      <c r="AH82" s="60">
        <f t="shared" si="18"/>
        <v>2</v>
      </c>
      <c r="AI82" s="67">
        <v>2.0</v>
      </c>
      <c r="AJ82" s="67"/>
      <c r="AK82" s="67"/>
      <c r="AL82" s="67">
        <v>2.0</v>
      </c>
      <c r="AM82" s="60">
        <f t="shared" si="9"/>
        <v>2</v>
      </c>
      <c r="AN82" s="67">
        <v>2.0</v>
      </c>
      <c r="AO82" s="67"/>
      <c r="AP82" s="60">
        <f t="shared" si="10"/>
        <v>2</v>
      </c>
      <c r="AQ82" s="69">
        <v>2.0</v>
      </c>
      <c r="AR82" s="69"/>
      <c r="AS82" s="69"/>
      <c r="AT82" s="69"/>
      <c r="AU82" s="69">
        <v>4.0</v>
      </c>
      <c r="AV82" s="62">
        <f t="shared" si="11"/>
        <v>4</v>
      </c>
      <c r="AW82" s="122"/>
      <c r="AX82" s="122"/>
      <c r="AY82" s="122"/>
      <c r="AZ82" s="121"/>
      <c r="BA82" s="121"/>
      <c r="BB82" s="63">
        <f t="shared" si="12"/>
        <v>2</v>
      </c>
      <c r="BC82" s="127" t="s">
        <v>493</v>
      </c>
    </row>
    <row r="83" ht="14.25" customHeight="1">
      <c r="A83" s="65"/>
      <c r="B83" s="85"/>
      <c r="C83" s="85">
        <v>46.0</v>
      </c>
      <c r="D83" s="121" t="s">
        <v>588</v>
      </c>
      <c r="E83" s="60">
        <f t="shared" si="17"/>
        <v>2</v>
      </c>
      <c r="F83" s="67">
        <v>2.0</v>
      </c>
      <c r="G83" s="67"/>
      <c r="H83" s="67"/>
      <c r="I83" s="67">
        <v>2.0</v>
      </c>
      <c r="J83" s="60">
        <f t="shared" si="5"/>
        <v>2</v>
      </c>
      <c r="K83" s="67">
        <v>2.0</v>
      </c>
      <c r="L83" s="67"/>
      <c r="M83" s="60">
        <f t="shared" si="6"/>
        <v>2</v>
      </c>
      <c r="N83" s="69"/>
      <c r="O83" s="69"/>
      <c r="P83" s="69"/>
      <c r="Q83" s="69"/>
      <c r="R83" s="69"/>
      <c r="S83" s="62">
        <f t="shared" si="7"/>
        <v>0</v>
      </c>
      <c r="T83" s="122"/>
      <c r="U83" s="122"/>
      <c r="V83" s="122"/>
      <c r="W83" s="121"/>
      <c r="X83" s="121"/>
      <c r="Y83" s="63">
        <f t="shared" si="8"/>
        <v>-2</v>
      </c>
      <c r="AD83" s="65"/>
      <c r="AE83" s="85"/>
      <c r="AF83" s="85">
        <v>46.0</v>
      </c>
      <c r="AG83" s="121" t="s">
        <v>588</v>
      </c>
      <c r="AH83" s="60">
        <f t="shared" si="18"/>
        <v>2</v>
      </c>
      <c r="AI83" s="67">
        <v>2.0</v>
      </c>
      <c r="AJ83" s="67"/>
      <c r="AK83" s="67"/>
      <c r="AL83" s="67">
        <v>2.0</v>
      </c>
      <c r="AM83" s="60">
        <f t="shared" si="9"/>
        <v>2</v>
      </c>
      <c r="AN83" s="67">
        <v>2.0</v>
      </c>
      <c r="AO83" s="67"/>
      <c r="AP83" s="60">
        <f t="shared" si="10"/>
        <v>2</v>
      </c>
      <c r="AQ83" s="69"/>
      <c r="AR83" s="69"/>
      <c r="AS83" s="69"/>
      <c r="AT83" s="69"/>
      <c r="AU83" s="69"/>
      <c r="AV83" s="62">
        <f t="shared" si="11"/>
        <v>0</v>
      </c>
      <c r="AW83" s="122"/>
      <c r="AX83" s="122"/>
      <c r="AY83" s="122"/>
      <c r="AZ83" s="121"/>
      <c r="BA83" s="121"/>
      <c r="BB83" s="63">
        <f t="shared" si="12"/>
        <v>-2</v>
      </c>
    </row>
    <row r="84" ht="14.25" customHeight="1">
      <c r="A84" s="65"/>
      <c r="B84" s="87"/>
      <c r="C84" s="87"/>
      <c r="D84" s="121" t="s">
        <v>591</v>
      </c>
      <c r="E84" s="60">
        <f t="shared" si="17"/>
        <v>0</v>
      </c>
      <c r="F84" s="67">
        <v>1.0</v>
      </c>
      <c r="G84" s="67"/>
      <c r="H84" s="67"/>
      <c r="I84" s="67"/>
      <c r="J84" s="60">
        <f t="shared" si="5"/>
        <v>0</v>
      </c>
      <c r="K84" s="67">
        <v>3.0</v>
      </c>
      <c r="L84" s="67"/>
      <c r="M84" s="60">
        <f t="shared" si="6"/>
        <v>3</v>
      </c>
      <c r="N84" s="69">
        <v>1.0</v>
      </c>
      <c r="O84" s="69"/>
      <c r="P84" s="69"/>
      <c r="Q84" s="69"/>
      <c r="R84" s="69">
        <v>3.0</v>
      </c>
      <c r="S84" s="62">
        <f t="shared" si="7"/>
        <v>3</v>
      </c>
      <c r="T84" s="122"/>
      <c r="U84" s="122"/>
      <c r="V84" s="122"/>
      <c r="W84" s="121"/>
      <c r="X84" s="121"/>
      <c r="Y84" s="63">
        <f t="shared" si="8"/>
        <v>3</v>
      </c>
      <c r="Z84" s="127" t="s">
        <v>508</v>
      </c>
      <c r="AD84" s="65"/>
      <c r="AE84" s="87"/>
      <c r="AF84" s="87"/>
      <c r="AG84" s="121" t="s">
        <v>591</v>
      </c>
      <c r="AH84" s="60">
        <f t="shared" si="18"/>
        <v>0</v>
      </c>
      <c r="AI84" s="67">
        <v>1.0</v>
      </c>
      <c r="AJ84" s="67"/>
      <c r="AK84" s="67"/>
      <c r="AL84" s="67"/>
      <c r="AM84" s="60">
        <f t="shared" si="9"/>
        <v>0</v>
      </c>
      <c r="AN84" s="67">
        <v>3.0</v>
      </c>
      <c r="AO84" s="67"/>
      <c r="AP84" s="60">
        <f t="shared" si="10"/>
        <v>3</v>
      </c>
      <c r="AQ84" s="69">
        <v>1.0</v>
      </c>
      <c r="AR84" s="69"/>
      <c r="AS84" s="69"/>
      <c r="AT84" s="69"/>
      <c r="AU84" s="69">
        <v>3.0</v>
      </c>
      <c r="AV84" s="62">
        <f t="shared" si="11"/>
        <v>3</v>
      </c>
      <c r="AW84" s="122"/>
      <c r="AX84" s="122"/>
      <c r="AY84" s="122"/>
      <c r="AZ84" s="121"/>
      <c r="BA84" s="121"/>
      <c r="BB84" s="63">
        <f t="shared" si="12"/>
        <v>3</v>
      </c>
      <c r="BC84" s="127" t="s">
        <v>508</v>
      </c>
    </row>
    <row r="85" ht="14.25" customHeight="1">
      <c r="A85" s="65"/>
      <c r="B85" s="87"/>
      <c r="C85" s="87"/>
      <c r="D85" s="121" t="s">
        <v>555</v>
      </c>
      <c r="E85" s="60">
        <f t="shared" si="17"/>
        <v>3</v>
      </c>
      <c r="F85" s="67">
        <v>3.0</v>
      </c>
      <c r="G85" s="67">
        <v>3.0</v>
      </c>
      <c r="H85" s="67"/>
      <c r="I85" s="67"/>
      <c r="J85" s="60">
        <f t="shared" si="5"/>
        <v>3</v>
      </c>
      <c r="K85" s="67"/>
      <c r="L85" s="67"/>
      <c r="M85" s="60" t="str">
        <f t="shared" si="6"/>
        <v/>
      </c>
      <c r="N85" s="69">
        <v>3.0</v>
      </c>
      <c r="O85" s="69"/>
      <c r="P85" s="69">
        <v>3.0</v>
      </c>
      <c r="Q85" s="69"/>
      <c r="R85" s="69"/>
      <c r="S85" s="62">
        <f t="shared" si="7"/>
        <v>3</v>
      </c>
      <c r="T85" s="122"/>
      <c r="U85" s="122"/>
      <c r="V85" s="122"/>
      <c r="W85" s="121"/>
      <c r="X85" s="121"/>
      <c r="Y85" s="63">
        <f t="shared" si="8"/>
        <v>0</v>
      </c>
      <c r="AD85" s="65"/>
      <c r="AE85" s="87"/>
      <c r="AF85" s="87"/>
      <c r="AG85" s="121" t="s">
        <v>555</v>
      </c>
      <c r="AH85" s="60">
        <f t="shared" si="18"/>
        <v>3</v>
      </c>
      <c r="AI85" s="67">
        <v>3.0</v>
      </c>
      <c r="AJ85" s="67">
        <v>3.0</v>
      </c>
      <c r="AK85" s="67"/>
      <c r="AL85" s="67"/>
      <c r="AM85" s="60">
        <f t="shared" si="9"/>
        <v>3</v>
      </c>
      <c r="AN85" s="67"/>
      <c r="AO85" s="67"/>
      <c r="AP85" s="60" t="str">
        <f t="shared" si="10"/>
        <v/>
      </c>
      <c r="AQ85" s="69">
        <v>3.0</v>
      </c>
      <c r="AR85" s="69"/>
      <c r="AS85" s="69">
        <v>3.0</v>
      </c>
      <c r="AT85" s="69"/>
      <c r="AU85" s="69"/>
      <c r="AV85" s="62">
        <f t="shared" si="11"/>
        <v>3</v>
      </c>
      <c r="AW85" s="122"/>
      <c r="AX85" s="122"/>
      <c r="AY85" s="122"/>
      <c r="AZ85" s="121"/>
      <c r="BA85" s="121"/>
      <c r="BB85" s="63">
        <f t="shared" si="12"/>
        <v>0</v>
      </c>
    </row>
    <row r="86" ht="14.25" customHeight="1">
      <c r="A86" s="65"/>
      <c r="B86" s="87"/>
      <c r="C86" s="87"/>
      <c r="D86" s="121" t="s">
        <v>595</v>
      </c>
      <c r="E86" s="60">
        <f t="shared" si="17"/>
        <v>0</v>
      </c>
      <c r="F86" s="67">
        <v>0.0</v>
      </c>
      <c r="G86" s="67"/>
      <c r="H86" s="67"/>
      <c r="I86" s="67"/>
      <c r="J86" s="60">
        <f t="shared" si="5"/>
        <v>0</v>
      </c>
      <c r="K86" s="67"/>
      <c r="L86" s="67"/>
      <c r="M86" s="60" t="str">
        <f t="shared" si="6"/>
        <v/>
      </c>
      <c r="N86" s="69">
        <v>1.0</v>
      </c>
      <c r="O86" s="69"/>
      <c r="P86" s="69"/>
      <c r="Q86" s="69"/>
      <c r="R86" s="69">
        <v>1.0</v>
      </c>
      <c r="S86" s="62">
        <f t="shared" si="7"/>
        <v>1</v>
      </c>
      <c r="T86" s="122"/>
      <c r="U86" s="122"/>
      <c r="V86" s="122"/>
      <c r="W86" s="121"/>
      <c r="X86" s="121"/>
      <c r="Y86" s="63">
        <f t="shared" si="8"/>
        <v>1</v>
      </c>
      <c r="Z86" s="127" t="s">
        <v>493</v>
      </c>
      <c r="AD86" s="65"/>
      <c r="AE86" s="87"/>
      <c r="AF86" s="87"/>
      <c r="AG86" s="121" t="s">
        <v>595</v>
      </c>
      <c r="AH86" s="60">
        <f t="shared" si="18"/>
        <v>0</v>
      </c>
      <c r="AI86" s="67">
        <v>0.0</v>
      </c>
      <c r="AJ86" s="67"/>
      <c r="AK86" s="67"/>
      <c r="AL86" s="67"/>
      <c r="AM86" s="60">
        <f t="shared" si="9"/>
        <v>0</v>
      </c>
      <c r="AN86" s="67"/>
      <c r="AO86" s="67"/>
      <c r="AP86" s="60" t="str">
        <f t="shared" si="10"/>
        <v/>
      </c>
      <c r="AQ86" s="69">
        <v>1.0</v>
      </c>
      <c r="AR86" s="69"/>
      <c r="AS86" s="69"/>
      <c r="AT86" s="69"/>
      <c r="AU86" s="69">
        <v>1.0</v>
      </c>
      <c r="AV86" s="62">
        <f t="shared" si="11"/>
        <v>1</v>
      </c>
      <c r="AW86" s="122"/>
      <c r="AX86" s="122"/>
      <c r="AY86" s="122"/>
      <c r="AZ86" s="121"/>
      <c r="BA86" s="121"/>
      <c r="BB86" s="63">
        <f t="shared" si="12"/>
        <v>1</v>
      </c>
      <c r="BC86" s="127" t="s">
        <v>493</v>
      </c>
    </row>
    <row r="87" ht="14.25" customHeight="1">
      <c r="A87" s="65"/>
      <c r="B87" s="87"/>
      <c r="C87" s="87"/>
      <c r="D87" s="121" t="s">
        <v>597</v>
      </c>
      <c r="E87" s="60">
        <f t="shared" si="17"/>
        <v>0</v>
      </c>
      <c r="F87" s="67">
        <v>0.0</v>
      </c>
      <c r="G87" s="67"/>
      <c r="H87" s="67"/>
      <c r="I87" s="67"/>
      <c r="J87" s="60">
        <f t="shared" si="5"/>
        <v>0</v>
      </c>
      <c r="K87" s="67"/>
      <c r="L87" s="67"/>
      <c r="M87" s="60" t="str">
        <f t="shared" si="6"/>
        <v/>
      </c>
      <c r="N87" s="69">
        <v>1.0</v>
      </c>
      <c r="O87" s="69"/>
      <c r="P87" s="69"/>
      <c r="Q87" s="69"/>
      <c r="R87" s="69">
        <v>1.0</v>
      </c>
      <c r="S87" s="62">
        <f t="shared" si="7"/>
        <v>1</v>
      </c>
      <c r="T87" s="122"/>
      <c r="U87" s="122"/>
      <c r="V87" s="122"/>
      <c r="W87" s="121"/>
      <c r="X87" s="121"/>
      <c r="Y87" s="63">
        <f t="shared" si="8"/>
        <v>1</v>
      </c>
      <c r="Z87" s="127" t="s">
        <v>493</v>
      </c>
      <c r="AD87" s="65"/>
      <c r="AE87" s="87"/>
      <c r="AF87" s="87"/>
      <c r="AG87" s="121" t="s">
        <v>597</v>
      </c>
      <c r="AH87" s="60">
        <f t="shared" si="18"/>
        <v>0</v>
      </c>
      <c r="AI87" s="67">
        <v>0.0</v>
      </c>
      <c r="AJ87" s="67"/>
      <c r="AK87" s="67"/>
      <c r="AL87" s="67"/>
      <c r="AM87" s="60">
        <f t="shared" si="9"/>
        <v>0</v>
      </c>
      <c r="AN87" s="67"/>
      <c r="AO87" s="67"/>
      <c r="AP87" s="60" t="str">
        <f t="shared" si="10"/>
        <v/>
      </c>
      <c r="AQ87" s="69">
        <v>1.0</v>
      </c>
      <c r="AR87" s="69"/>
      <c r="AS87" s="69"/>
      <c r="AT87" s="69"/>
      <c r="AU87" s="69">
        <v>1.0</v>
      </c>
      <c r="AV87" s="62">
        <f t="shared" si="11"/>
        <v>1</v>
      </c>
      <c r="AW87" s="122"/>
      <c r="AX87" s="122"/>
      <c r="AY87" s="122"/>
      <c r="AZ87" s="121"/>
      <c r="BA87" s="121"/>
      <c r="BB87" s="63">
        <f t="shared" si="12"/>
        <v>1</v>
      </c>
      <c r="BC87" s="127" t="s">
        <v>493</v>
      </c>
    </row>
    <row r="88" ht="14.25" customHeight="1">
      <c r="A88" s="65"/>
      <c r="B88" s="121" t="s">
        <v>600</v>
      </c>
      <c r="C88" s="121"/>
      <c r="D88" s="121"/>
      <c r="E88" s="60">
        <f t="shared" si="17"/>
        <v>8</v>
      </c>
      <c r="F88" s="67">
        <v>2.0</v>
      </c>
      <c r="G88" s="67"/>
      <c r="H88" s="67"/>
      <c r="I88" s="67">
        <v>8.0</v>
      </c>
      <c r="J88" s="60">
        <f t="shared" si="5"/>
        <v>8</v>
      </c>
      <c r="K88" s="67"/>
      <c r="L88" s="67"/>
      <c r="M88" s="60" t="str">
        <f t="shared" si="6"/>
        <v/>
      </c>
      <c r="N88" s="69">
        <v>2.0</v>
      </c>
      <c r="O88" s="69"/>
      <c r="P88" s="69"/>
      <c r="Q88" s="69"/>
      <c r="R88" s="69">
        <v>8.0</v>
      </c>
      <c r="S88" s="62">
        <f t="shared" si="7"/>
        <v>8</v>
      </c>
      <c r="T88" s="122"/>
      <c r="U88" s="122"/>
      <c r="V88" s="122"/>
      <c r="W88" s="121"/>
      <c r="X88" s="121"/>
      <c r="Y88" s="63">
        <f t="shared" si="8"/>
        <v>0</v>
      </c>
      <c r="Z88" s="127" t="s">
        <v>508</v>
      </c>
      <c r="AD88" s="65"/>
      <c r="AE88" s="121" t="s">
        <v>600</v>
      </c>
      <c r="AF88" s="121"/>
      <c r="AG88" s="121"/>
      <c r="AH88" s="60">
        <f t="shared" si="18"/>
        <v>8</v>
      </c>
      <c r="AI88" s="67">
        <v>2.0</v>
      </c>
      <c r="AJ88" s="67"/>
      <c r="AK88" s="67"/>
      <c r="AL88" s="67">
        <v>8.0</v>
      </c>
      <c r="AM88" s="60">
        <f t="shared" si="9"/>
        <v>8</v>
      </c>
      <c r="AN88" s="67"/>
      <c r="AO88" s="67"/>
      <c r="AP88" s="60" t="str">
        <f t="shared" si="10"/>
        <v/>
      </c>
      <c r="AQ88" s="69">
        <v>2.0</v>
      </c>
      <c r="AR88" s="69"/>
      <c r="AS88" s="69"/>
      <c r="AT88" s="69"/>
      <c r="AU88" s="69">
        <v>8.0</v>
      </c>
      <c r="AV88" s="62">
        <f t="shared" si="11"/>
        <v>8</v>
      </c>
      <c r="AW88" s="122"/>
      <c r="AX88" s="122"/>
      <c r="AY88" s="122"/>
      <c r="AZ88" s="121"/>
      <c r="BA88" s="121"/>
      <c r="BB88" s="63">
        <f t="shared" si="12"/>
        <v>0</v>
      </c>
      <c r="BC88" s="127" t="s">
        <v>508</v>
      </c>
    </row>
    <row r="89" ht="14.25" customHeight="1">
      <c r="A89" s="65"/>
      <c r="B89" s="121" t="s">
        <v>604</v>
      </c>
      <c r="C89" s="121"/>
      <c r="D89" s="135"/>
      <c r="E89" s="60">
        <f t="shared" si="17"/>
        <v>0</v>
      </c>
      <c r="F89" s="137">
        <v>2.0</v>
      </c>
      <c r="G89" s="137"/>
      <c r="H89" s="137"/>
      <c r="I89" s="137"/>
      <c r="J89" s="60">
        <f t="shared" si="5"/>
        <v>0</v>
      </c>
      <c r="K89" s="137"/>
      <c r="L89" s="137"/>
      <c r="M89" s="60" t="str">
        <f t="shared" si="6"/>
        <v/>
      </c>
      <c r="N89" s="69">
        <v>1.0</v>
      </c>
      <c r="O89" s="69"/>
      <c r="P89" s="69"/>
      <c r="Q89" s="69"/>
      <c r="R89" s="69">
        <v>2.0</v>
      </c>
      <c r="S89" s="62">
        <f t="shared" si="7"/>
        <v>2</v>
      </c>
      <c r="T89" s="122"/>
      <c r="U89" s="122"/>
      <c r="V89" s="122"/>
      <c r="W89" s="121"/>
      <c r="X89" s="121"/>
      <c r="Y89" s="63">
        <f t="shared" si="8"/>
        <v>2</v>
      </c>
      <c r="Z89" s="127" t="s">
        <v>493</v>
      </c>
      <c r="AD89" s="65"/>
      <c r="AE89" s="121" t="s">
        <v>604</v>
      </c>
      <c r="AF89" s="121"/>
      <c r="AG89" s="135"/>
      <c r="AH89" s="60">
        <f t="shared" si="18"/>
        <v>0</v>
      </c>
      <c r="AI89" s="137">
        <v>2.0</v>
      </c>
      <c r="AJ89" s="137"/>
      <c r="AK89" s="137"/>
      <c r="AL89" s="137"/>
      <c r="AM89" s="60">
        <f t="shared" si="9"/>
        <v>0</v>
      </c>
      <c r="AN89" s="137"/>
      <c r="AO89" s="137"/>
      <c r="AP89" s="60" t="str">
        <f t="shared" si="10"/>
        <v/>
      </c>
      <c r="AQ89" s="69">
        <v>1.0</v>
      </c>
      <c r="AR89" s="69"/>
      <c r="AS89" s="69"/>
      <c r="AT89" s="69"/>
      <c r="AU89" s="69">
        <v>2.0</v>
      </c>
      <c r="AV89" s="62">
        <f t="shared" si="11"/>
        <v>2</v>
      </c>
      <c r="AW89" s="122"/>
      <c r="AX89" s="122"/>
      <c r="AY89" s="122"/>
      <c r="AZ89" s="121"/>
      <c r="BA89" s="121"/>
      <c r="BB89" s="63">
        <f t="shared" si="12"/>
        <v>2</v>
      </c>
      <c r="BC89" s="127" t="s">
        <v>493</v>
      </c>
    </row>
    <row r="90" ht="14.25" customHeight="1">
      <c r="A90" s="121"/>
      <c r="B90" s="121" t="s">
        <v>606</v>
      </c>
      <c r="C90" s="121"/>
      <c r="D90" s="121"/>
      <c r="E90" s="60">
        <f t="shared" si="17"/>
        <v>1</v>
      </c>
      <c r="F90" s="67">
        <v>3.0</v>
      </c>
      <c r="G90" s="67"/>
      <c r="H90" s="67"/>
      <c r="I90" s="67">
        <v>1.0</v>
      </c>
      <c r="J90" s="60">
        <f t="shared" si="5"/>
        <v>1</v>
      </c>
      <c r="K90" s="67">
        <v>2.0</v>
      </c>
      <c r="L90" s="67"/>
      <c r="M90" s="60">
        <f t="shared" si="6"/>
        <v>2</v>
      </c>
      <c r="N90" s="69">
        <v>1.0</v>
      </c>
      <c r="O90" s="69"/>
      <c r="P90" s="69"/>
      <c r="Q90" s="69"/>
      <c r="R90" s="69">
        <v>1.0</v>
      </c>
      <c r="S90" s="62">
        <f t="shared" si="7"/>
        <v>1</v>
      </c>
      <c r="T90" s="122"/>
      <c r="U90" s="122"/>
      <c r="V90" s="122"/>
      <c r="W90" s="121"/>
      <c r="X90" s="121"/>
      <c r="Y90" s="63">
        <f t="shared" si="8"/>
        <v>0</v>
      </c>
      <c r="Z90" s="127" t="s">
        <v>493</v>
      </c>
      <c r="AA90" s="127" t="s">
        <v>607</v>
      </c>
      <c r="AD90" s="121"/>
      <c r="AE90" s="121" t="s">
        <v>606</v>
      </c>
      <c r="AF90" s="121"/>
      <c r="AG90" s="121"/>
      <c r="AH90" s="60">
        <f t="shared" si="18"/>
        <v>1</v>
      </c>
      <c r="AI90" s="67">
        <v>3.0</v>
      </c>
      <c r="AJ90" s="67"/>
      <c r="AK90" s="67"/>
      <c r="AL90" s="67">
        <v>1.0</v>
      </c>
      <c r="AM90" s="60">
        <f t="shared" si="9"/>
        <v>1</v>
      </c>
      <c r="AN90" s="67">
        <v>2.0</v>
      </c>
      <c r="AO90" s="67"/>
      <c r="AP90" s="60">
        <f t="shared" si="10"/>
        <v>2</v>
      </c>
      <c r="AQ90" s="69">
        <v>1.0</v>
      </c>
      <c r="AR90" s="69"/>
      <c r="AS90" s="69"/>
      <c r="AT90" s="69"/>
      <c r="AU90" s="69">
        <v>1.0</v>
      </c>
      <c r="AV90" s="62">
        <f t="shared" si="11"/>
        <v>1</v>
      </c>
      <c r="AW90" s="122"/>
      <c r="AX90" s="122"/>
      <c r="AY90" s="122"/>
      <c r="AZ90" s="121"/>
      <c r="BA90" s="121"/>
      <c r="BB90" s="63">
        <f t="shared" si="12"/>
        <v>0</v>
      </c>
      <c r="BC90" s="127" t="s">
        <v>493</v>
      </c>
      <c r="BD90" s="127" t="s">
        <v>607</v>
      </c>
    </row>
    <row r="91" ht="14.25" customHeight="1">
      <c r="A91" s="121"/>
      <c r="B91" s="121" t="s">
        <v>608</v>
      </c>
      <c r="C91" s="121"/>
      <c r="D91" s="121"/>
      <c r="E91" s="60">
        <f t="shared" si="17"/>
        <v>1</v>
      </c>
      <c r="F91" s="67">
        <v>2.0</v>
      </c>
      <c r="G91" s="67"/>
      <c r="H91" s="67"/>
      <c r="I91" s="67">
        <v>1.0</v>
      </c>
      <c r="J91" s="60">
        <f t="shared" si="5"/>
        <v>1</v>
      </c>
      <c r="K91" s="67">
        <v>3.0</v>
      </c>
      <c r="L91" s="67"/>
      <c r="M91" s="60">
        <f t="shared" si="6"/>
        <v>3</v>
      </c>
      <c r="N91" s="69">
        <v>2.0</v>
      </c>
      <c r="O91" s="69"/>
      <c r="P91" s="69"/>
      <c r="Q91" s="69"/>
      <c r="R91" s="69">
        <v>4.0</v>
      </c>
      <c r="S91" s="62">
        <f t="shared" si="7"/>
        <v>4</v>
      </c>
      <c r="T91" s="122"/>
      <c r="U91" s="122"/>
      <c r="V91" s="122"/>
      <c r="W91" s="121"/>
      <c r="X91" s="121"/>
      <c r="Y91" s="63">
        <f t="shared" si="8"/>
        <v>3</v>
      </c>
      <c r="Z91" s="127" t="s">
        <v>493</v>
      </c>
      <c r="AA91" s="127" t="s">
        <v>607</v>
      </c>
      <c r="AD91" s="121"/>
      <c r="AE91" s="121" t="s">
        <v>608</v>
      </c>
      <c r="AF91" s="121"/>
      <c r="AG91" s="121"/>
      <c r="AH91" s="60">
        <f t="shared" si="18"/>
        <v>1</v>
      </c>
      <c r="AI91" s="67">
        <v>2.0</v>
      </c>
      <c r="AJ91" s="67"/>
      <c r="AK91" s="67"/>
      <c r="AL91" s="67">
        <v>1.0</v>
      </c>
      <c r="AM91" s="60">
        <f t="shared" si="9"/>
        <v>1</v>
      </c>
      <c r="AN91" s="67">
        <v>3.0</v>
      </c>
      <c r="AO91" s="67"/>
      <c r="AP91" s="60">
        <f t="shared" si="10"/>
        <v>3</v>
      </c>
      <c r="AQ91" s="69">
        <v>2.0</v>
      </c>
      <c r="AR91" s="69"/>
      <c r="AS91" s="69"/>
      <c r="AT91" s="69"/>
      <c r="AU91" s="69">
        <v>4.0</v>
      </c>
      <c r="AV91" s="62">
        <f t="shared" si="11"/>
        <v>4</v>
      </c>
      <c r="AW91" s="122"/>
      <c r="AX91" s="122"/>
      <c r="AY91" s="122"/>
      <c r="AZ91" s="121"/>
      <c r="BA91" s="121"/>
      <c r="BB91" s="63">
        <f t="shared" si="12"/>
        <v>3</v>
      </c>
      <c r="BC91" s="127" t="s">
        <v>493</v>
      </c>
      <c r="BD91" s="127" t="s">
        <v>607</v>
      </c>
    </row>
    <row r="92" ht="14.25" customHeight="1"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Y92" s="27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BB92" s="27"/>
    </row>
    <row r="93" ht="14.25" customHeight="1">
      <c r="E93" s="201">
        <f>SUBTOTAL(9,E6:E91)</f>
        <v>273</v>
      </c>
      <c r="F93" s="125"/>
      <c r="G93" s="201">
        <f t="shared" ref="G93:J93" si="19">SUBTOTAL(9,G6:G91)</f>
        <v>109</v>
      </c>
      <c r="H93" s="201">
        <f t="shared" si="19"/>
        <v>27</v>
      </c>
      <c r="I93" s="201">
        <f t="shared" si="19"/>
        <v>137</v>
      </c>
      <c r="J93" s="201">
        <f t="shared" si="19"/>
        <v>273</v>
      </c>
      <c r="K93" s="201"/>
      <c r="L93" s="201"/>
      <c r="M93" s="201"/>
      <c r="N93" s="125">
        <f t="shared" ref="N93:T93" si="20">SUBTOTAL(9,N6:N91)</f>
        <v>129</v>
      </c>
      <c r="O93" s="125">
        <f t="shared" si="20"/>
        <v>0</v>
      </c>
      <c r="P93" s="125">
        <f t="shared" si="20"/>
        <v>102</v>
      </c>
      <c r="Q93" s="125">
        <f t="shared" si="20"/>
        <v>27</v>
      </c>
      <c r="R93" s="125">
        <f t="shared" si="20"/>
        <v>167</v>
      </c>
      <c r="S93" s="201">
        <f t="shared" si="20"/>
        <v>296</v>
      </c>
      <c r="T93" s="125">
        <f t="shared" si="20"/>
        <v>0</v>
      </c>
      <c r="U93" s="125"/>
      <c r="V93" s="125"/>
      <c r="W93" s="125">
        <f t="shared" ref="W93:X93" si="21">SUBTOTAL(9,W6:W91)</f>
        <v>0</v>
      </c>
      <c r="X93" s="125">
        <f t="shared" si="21"/>
        <v>0</v>
      </c>
      <c r="Y93" s="210"/>
      <c r="AH93" s="201">
        <f>SUBTOTAL(9,AH6:AH91)</f>
        <v>273</v>
      </c>
      <c r="AI93" s="125"/>
      <c r="AJ93" s="201">
        <f t="shared" ref="AJ93:AM93" si="22">SUBTOTAL(9,AJ6:AJ91)</f>
        <v>109</v>
      </c>
      <c r="AK93" s="201">
        <f t="shared" si="22"/>
        <v>27</v>
      </c>
      <c r="AL93" s="201">
        <f t="shared" si="22"/>
        <v>137</v>
      </c>
      <c r="AM93" s="201">
        <f t="shared" si="22"/>
        <v>273</v>
      </c>
      <c r="AN93" s="201"/>
      <c r="AO93" s="201"/>
      <c r="AP93" s="201"/>
      <c r="AQ93" s="125">
        <f t="shared" ref="AQ93:AW93" si="23">SUBTOTAL(9,AQ6:AQ91)</f>
        <v>129</v>
      </c>
      <c r="AR93" s="125">
        <f t="shared" si="23"/>
        <v>0</v>
      </c>
      <c r="AS93" s="125">
        <f t="shared" si="23"/>
        <v>102</v>
      </c>
      <c r="AT93" s="125">
        <f t="shared" si="23"/>
        <v>27</v>
      </c>
      <c r="AU93" s="125">
        <f t="shared" si="23"/>
        <v>167</v>
      </c>
      <c r="AV93" s="201">
        <f t="shared" si="23"/>
        <v>296</v>
      </c>
      <c r="AW93" s="125">
        <f t="shared" si="23"/>
        <v>0</v>
      </c>
      <c r="AX93" s="125"/>
      <c r="AY93" s="125"/>
      <c r="AZ93" s="125">
        <f t="shared" ref="AZ93:BA93" si="24">SUBTOTAL(9,AZ6:AZ91)</f>
        <v>0</v>
      </c>
      <c r="BA93" s="125">
        <f t="shared" si="24"/>
        <v>0</v>
      </c>
      <c r="BB93" s="210"/>
    </row>
    <row r="94" ht="14.25" customHeight="1">
      <c r="R94" s="125">
        <f>E93-S93</f>
        <v>-23</v>
      </c>
      <c r="S94" s="194">
        <f>S93/E93</f>
        <v>1.084249084</v>
      </c>
      <c r="Y94" s="27"/>
      <c r="AU94" s="125">
        <f>AH93-AV93</f>
        <v>-23</v>
      </c>
      <c r="AV94" s="194">
        <f>AV93/AH93</f>
        <v>1.084249084</v>
      </c>
      <c r="BB94" s="27"/>
    </row>
    <row r="95" ht="14.25" customHeight="1">
      <c r="Y95" s="27"/>
      <c r="BB95" s="27"/>
    </row>
    <row r="96" ht="14.25" customHeight="1">
      <c r="Y96" s="27"/>
      <c r="BB96" s="27"/>
    </row>
    <row r="97" ht="14.25" customHeight="1">
      <c r="Y97" s="27"/>
      <c r="BB97" s="27"/>
    </row>
    <row r="98" ht="14.25" customHeight="1">
      <c r="Y98" s="27"/>
      <c r="BB98" s="27"/>
    </row>
    <row r="99" ht="14.25" customHeight="1">
      <c r="Y99" s="27"/>
      <c r="BB99" s="27"/>
    </row>
    <row r="100" ht="14.25" customHeight="1">
      <c r="Y100" s="27"/>
      <c r="BB100" s="27"/>
    </row>
    <row r="101" ht="14.25" customHeight="1">
      <c r="Y101" s="27"/>
      <c r="BB101" s="27"/>
    </row>
    <row r="102" ht="14.25" customHeight="1">
      <c r="Y102" s="27"/>
      <c r="BB102" s="27"/>
    </row>
    <row r="103" ht="14.25" customHeight="1">
      <c r="Y103" s="27"/>
      <c r="BB103" s="27"/>
    </row>
    <row r="104" ht="14.25" customHeight="1">
      <c r="Y104" s="27"/>
      <c r="BB104" s="27"/>
    </row>
    <row r="105" ht="14.25" customHeight="1">
      <c r="Y105" s="27"/>
      <c r="BB105" s="27"/>
    </row>
    <row r="106" ht="14.25" customHeight="1">
      <c r="Y106" s="27"/>
      <c r="BB106" s="27"/>
    </row>
    <row r="107" ht="14.25" customHeight="1">
      <c r="Y107" s="27"/>
      <c r="BB107" s="27"/>
    </row>
    <row r="108" ht="14.25" customHeight="1">
      <c r="Y108" s="27"/>
      <c r="BB108" s="27"/>
    </row>
    <row r="109" ht="14.25" customHeight="1">
      <c r="Y109" s="27"/>
      <c r="BB109" s="27"/>
    </row>
    <row r="110" ht="14.25" customHeight="1">
      <c r="Y110" s="27"/>
      <c r="BB110" s="27"/>
    </row>
    <row r="111" ht="14.25" customHeight="1">
      <c r="Y111" s="27"/>
      <c r="BB111" s="27"/>
    </row>
    <row r="112" ht="14.25" customHeight="1">
      <c r="Y112" s="27"/>
      <c r="BB112" s="27"/>
    </row>
    <row r="113" ht="14.25" customHeight="1">
      <c r="Y113" s="27"/>
      <c r="BB113" s="27"/>
    </row>
    <row r="114" ht="14.25" customHeight="1">
      <c r="Y114" s="27"/>
      <c r="BB114" s="27"/>
    </row>
    <row r="115" ht="14.25" customHeight="1">
      <c r="Y115" s="27"/>
      <c r="BB115" s="27"/>
    </row>
    <row r="116" ht="14.25" customHeight="1">
      <c r="Y116" s="27"/>
      <c r="BB116" s="27"/>
    </row>
    <row r="117" ht="14.25" customHeight="1">
      <c r="Y117" s="27"/>
      <c r="BB117" s="27"/>
    </row>
    <row r="118" ht="14.25" customHeight="1">
      <c r="Y118" s="27"/>
      <c r="BB118" s="27"/>
    </row>
    <row r="119" ht="14.25" customHeight="1">
      <c r="Y119" s="27"/>
      <c r="BB119" s="27"/>
    </row>
    <row r="120" ht="14.25" customHeight="1">
      <c r="Y120" s="27"/>
      <c r="BB120" s="27"/>
    </row>
    <row r="121" ht="14.25" customHeight="1">
      <c r="Y121" s="27"/>
      <c r="BB121" s="27"/>
    </row>
    <row r="122" ht="14.25" customHeight="1">
      <c r="Y122" s="27"/>
      <c r="BB122" s="27"/>
    </row>
    <row r="123" ht="14.25" customHeight="1">
      <c r="Y123" s="27"/>
      <c r="BB123" s="27"/>
    </row>
    <row r="124" ht="14.25" customHeight="1">
      <c r="Y124" s="27"/>
      <c r="BB124" s="27"/>
    </row>
    <row r="125" ht="14.25" customHeight="1">
      <c r="Y125" s="27"/>
      <c r="BB125" s="27"/>
    </row>
    <row r="126" ht="14.25" customHeight="1">
      <c r="Y126" s="27"/>
      <c r="BB126" s="27"/>
    </row>
    <row r="127" ht="14.25" customHeight="1">
      <c r="Y127" s="27"/>
      <c r="BB127" s="27"/>
    </row>
    <row r="128" ht="14.25" customHeight="1">
      <c r="Y128" s="27"/>
      <c r="BB128" s="27"/>
    </row>
    <row r="129" ht="14.25" customHeight="1">
      <c r="Y129" s="27"/>
      <c r="BB129" s="27"/>
    </row>
    <row r="130" ht="14.25" customHeight="1">
      <c r="Y130" s="27"/>
      <c r="BB130" s="27"/>
    </row>
    <row r="131" ht="14.25" customHeight="1">
      <c r="Y131" s="27"/>
      <c r="BB131" s="27"/>
    </row>
    <row r="132" ht="14.25" customHeight="1">
      <c r="Y132" s="27"/>
      <c r="BB132" s="27"/>
    </row>
    <row r="133" ht="14.25" customHeight="1">
      <c r="Y133" s="27"/>
      <c r="BB133" s="27"/>
    </row>
    <row r="134" ht="14.25" customHeight="1">
      <c r="Y134" s="27"/>
      <c r="BB134" s="27"/>
    </row>
    <row r="135" ht="14.25" customHeight="1">
      <c r="Y135" s="27"/>
      <c r="BB135" s="27"/>
    </row>
    <row r="136" ht="14.25" customHeight="1">
      <c r="Y136" s="27"/>
      <c r="BB136" s="27"/>
    </row>
    <row r="137" ht="14.25" customHeight="1">
      <c r="Y137" s="27"/>
      <c r="BB137" s="27"/>
    </row>
    <row r="138" ht="14.25" customHeight="1">
      <c r="Y138" s="27"/>
      <c r="BB138" s="27"/>
    </row>
    <row r="139" ht="14.25" customHeight="1">
      <c r="Y139" s="27"/>
      <c r="BB139" s="27"/>
    </row>
    <row r="140" ht="14.25" customHeight="1">
      <c r="Y140" s="27"/>
      <c r="BB140" s="27"/>
    </row>
    <row r="141" ht="14.25" customHeight="1">
      <c r="Y141" s="27"/>
      <c r="BB141" s="27"/>
    </row>
    <row r="142" ht="14.25" customHeight="1">
      <c r="Y142" s="27"/>
      <c r="BB142" s="27"/>
    </row>
    <row r="143" ht="14.25" customHeight="1">
      <c r="Y143" s="27"/>
      <c r="BB143" s="27"/>
    </row>
    <row r="144" ht="14.25" customHeight="1">
      <c r="Y144" s="27"/>
      <c r="BB144" s="27"/>
    </row>
    <row r="145" ht="14.25" customHeight="1">
      <c r="Y145" s="27"/>
      <c r="BB145" s="27"/>
    </row>
    <row r="146" ht="14.25" customHeight="1">
      <c r="Y146" s="27"/>
      <c r="BB146" s="27"/>
    </row>
    <row r="147" ht="14.25" customHeight="1">
      <c r="Y147" s="27"/>
      <c r="BB147" s="27"/>
    </row>
    <row r="148" ht="14.25" customHeight="1">
      <c r="Y148" s="27"/>
      <c r="BB148" s="27"/>
    </row>
    <row r="149" ht="14.25" customHeight="1">
      <c r="Y149" s="27"/>
      <c r="BB149" s="27"/>
    </row>
    <row r="150" ht="14.25" customHeight="1">
      <c r="Y150" s="27"/>
      <c r="BB150" s="27"/>
    </row>
    <row r="151" ht="14.25" customHeight="1">
      <c r="Y151" s="27"/>
      <c r="BB151" s="27"/>
    </row>
    <row r="152" ht="14.25" customHeight="1">
      <c r="Y152" s="27"/>
      <c r="BB152" s="27"/>
    </row>
    <row r="153" ht="14.25" customHeight="1">
      <c r="Y153" s="27"/>
      <c r="BB153" s="27"/>
    </row>
    <row r="154" ht="14.25" customHeight="1">
      <c r="Y154" s="27"/>
      <c r="BB154" s="27"/>
    </row>
    <row r="155" ht="14.25" customHeight="1">
      <c r="Y155" s="27"/>
      <c r="BB155" s="27"/>
    </row>
    <row r="156" ht="14.25" customHeight="1">
      <c r="Y156" s="27"/>
      <c r="BB156" s="27"/>
    </row>
    <row r="157" ht="14.25" customHeight="1">
      <c r="Y157" s="27"/>
      <c r="BB157" s="27"/>
    </row>
    <row r="158" ht="14.25" customHeight="1">
      <c r="Y158" s="27"/>
      <c r="BB158" s="27"/>
    </row>
    <row r="159" ht="14.25" customHeight="1">
      <c r="Y159" s="27"/>
      <c r="BB159" s="27"/>
    </row>
    <row r="160" ht="14.25" customHeight="1">
      <c r="Y160" s="27"/>
      <c r="BB160" s="27"/>
    </row>
    <row r="161" ht="14.25" customHeight="1">
      <c r="Y161" s="27"/>
      <c r="BB161" s="27"/>
    </row>
    <row r="162" ht="14.25" customHeight="1">
      <c r="Y162" s="27"/>
      <c r="BB162" s="27"/>
    </row>
    <row r="163" ht="14.25" customHeight="1">
      <c r="Y163" s="27"/>
      <c r="BB163" s="27"/>
    </row>
    <row r="164" ht="14.25" customHeight="1">
      <c r="Y164" s="27"/>
      <c r="BB164" s="27"/>
    </row>
    <row r="165" ht="14.25" customHeight="1">
      <c r="Y165" s="27"/>
      <c r="BB165" s="27"/>
    </row>
    <row r="166" ht="14.25" customHeight="1">
      <c r="Y166" s="27"/>
      <c r="BB166" s="27"/>
    </row>
    <row r="167" ht="14.25" customHeight="1">
      <c r="Y167" s="27"/>
      <c r="BB167" s="27"/>
    </row>
    <row r="168" ht="14.25" customHeight="1">
      <c r="Y168" s="27"/>
      <c r="BB168" s="27"/>
    </row>
    <row r="169" ht="14.25" customHeight="1">
      <c r="Y169" s="27"/>
      <c r="BB169" s="27"/>
    </row>
    <row r="170" ht="14.25" customHeight="1">
      <c r="Y170" s="27"/>
      <c r="BB170" s="27"/>
    </row>
    <row r="171" ht="14.25" customHeight="1">
      <c r="Y171" s="27"/>
      <c r="BB171" s="27"/>
    </row>
    <row r="172" ht="14.25" customHeight="1">
      <c r="Y172" s="27"/>
      <c r="BB172" s="27"/>
    </row>
    <row r="173" ht="14.25" customHeight="1">
      <c r="Y173" s="27"/>
      <c r="BB173" s="27"/>
    </row>
    <row r="174" ht="14.25" customHeight="1">
      <c r="Y174" s="27"/>
      <c r="BB174" s="27"/>
    </row>
    <row r="175" ht="14.25" customHeight="1">
      <c r="Y175" s="27"/>
      <c r="BB175" s="27"/>
    </row>
    <row r="176" ht="14.25" customHeight="1">
      <c r="Y176" s="27"/>
      <c r="BB176" s="27"/>
    </row>
    <row r="177" ht="14.25" customHeight="1">
      <c r="Y177" s="27"/>
      <c r="BB177" s="27"/>
    </row>
    <row r="178" ht="14.25" customHeight="1">
      <c r="Y178" s="27"/>
      <c r="BB178" s="27"/>
    </row>
    <row r="179" ht="14.25" customHeight="1">
      <c r="Y179" s="27"/>
      <c r="BB179" s="27"/>
    </row>
    <row r="180" ht="14.25" customHeight="1">
      <c r="Y180" s="27"/>
      <c r="BB180" s="27"/>
    </row>
    <row r="181" ht="14.25" customHeight="1">
      <c r="Y181" s="27"/>
      <c r="BB181" s="27"/>
    </row>
    <row r="182" ht="14.25" customHeight="1">
      <c r="Y182" s="27"/>
      <c r="BB182" s="27"/>
    </row>
    <row r="183" ht="14.25" customHeight="1">
      <c r="Y183" s="27"/>
      <c r="BB183" s="27"/>
    </row>
    <row r="184" ht="14.25" customHeight="1">
      <c r="Y184" s="27"/>
      <c r="BB184" s="27"/>
    </row>
    <row r="185" ht="14.25" customHeight="1">
      <c r="Y185" s="27"/>
      <c r="BB185" s="27"/>
    </row>
    <row r="186" ht="14.25" customHeight="1">
      <c r="Y186" s="27"/>
      <c r="BB186" s="27"/>
    </row>
    <row r="187" ht="14.25" customHeight="1">
      <c r="Y187" s="27"/>
      <c r="BB187" s="27"/>
    </row>
    <row r="188" ht="14.25" customHeight="1">
      <c r="Y188" s="27"/>
      <c r="BB188" s="27"/>
    </row>
    <row r="189" ht="14.25" customHeight="1">
      <c r="Y189" s="27"/>
      <c r="BB189" s="27"/>
    </row>
    <row r="190" ht="14.25" customHeight="1">
      <c r="Y190" s="27"/>
      <c r="BB190" s="27"/>
    </row>
    <row r="191" ht="14.25" customHeight="1">
      <c r="Y191" s="27"/>
      <c r="BB191" s="27"/>
    </row>
    <row r="192" ht="14.25" customHeight="1">
      <c r="Y192" s="27"/>
      <c r="BB192" s="27"/>
    </row>
    <row r="193" ht="14.25" customHeight="1">
      <c r="Y193" s="27"/>
      <c r="BB193" s="27"/>
    </row>
    <row r="194" ht="14.25" customHeight="1">
      <c r="Y194" s="27"/>
      <c r="BB194" s="27"/>
    </row>
    <row r="195" ht="14.25" customHeight="1">
      <c r="Y195" s="27"/>
      <c r="BB195" s="27"/>
    </row>
    <row r="196" ht="14.25" customHeight="1">
      <c r="Y196" s="27"/>
      <c r="BB196" s="27"/>
    </row>
    <row r="197" ht="14.25" customHeight="1">
      <c r="Y197" s="27"/>
      <c r="BB197" s="27"/>
    </row>
    <row r="198" ht="14.25" customHeight="1">
      <c r="Y198" s="27"/>
      <c r="BB198" s="27"/>
    </row>
    <row r="199" ht="14.25" customHeight="1">
      <c r="Y199" s="27"/>
      <c r="BB199" s="27"/>
    </row>
    <row r="200" ht="14.25" customHeight="1">
      <c r="Y200" s="27"/>
      <c r="BB200" s="27"/>
    </row>
    <row r="201" ht="14.25" customHeight="1">
      <c r="Y201" s="27"/>
      <c r="BB201" s="27"/>
    </row>
    <row r="202" ht="14.25" customHeight="1">
      <c r="Y202" s="27"/>
      <c r="BB202" s="27"/>
    </row>
    <row r="203" ht="14.25" customHeight="1">
      <c r="Y203" s="27"/>
      <c r="BB203" s="27"/>
    </row>
    <row r="204" ht="14.25" customHeight="1">
      <c r="Y204" s="27"/>
      <c r="BB204" s="27"/>
    </row>
    <row r="205" ht="14.25" customHeight="1">
      <c r="Y205" s="27"/>
      <c r="BB205" s="27"/>
    </row>
    <row r="206" ht="14.25" customHeight="1">
      <c r="Y206" s="27"/>
      <c r="BB206" s="27"/>
    </row>
    <row r="207" ht="14.25" customHeight="1">
      <c r="Y207" s="27"/>
      <c r="BB207" s="27"/>
    </row>
    <row r="208" ht="14.25" customHeight="1">
      <c r="Y208" s="27"/>
      <c r="BB208" s="27"/>
    </row>
    <row r="209" ht="14.25" customHeight="1">
      <c r="Y209" s="27"/>
      <c r="BB209" s="27"/>
    </row>
    <row r="210" ht="14.25" customHeight="1">
      <c r="Y210" s="27"/>
      <c r="BB210" s="27"/>
    </row>
    <row r="211" ht="14.25" customHeight="1">
      <c r="Y211" s="27"/>
      <c r="BB211" s="27"/>
    </row>
    <row r="212" ht="14.25" customHeight="1">
      <c r="Y212" s="27"/>
      <c r="BB212" s="27"/>
    </row>
    <row r="213" ht="14.25" customHeight="1">
      <c r="Y213" s="27"/>
      <c r="BB213" s="27"/>
    </row>
    <row r="214" ht="14.25" customHeight="1">
      <c r="Y214" s="27"/>
      <c r="BB214" s="27"/>
    </row>
    <row r="215" ht="14.25" customHeight="1">
      <c r="Y215" s="27"/>
      <c r="BB215" s="27"/>
    </row>
    <row r="216" ht="14.25" customHeight="1">
      <c r="Y216" s="27"/>
      <c r="BB216" s="27"/>
    </row>
    <row r="217" ht="14.25" customHeight="1">
      <c r="Y217" s="27"/>
      <c r="BB217" s="27"/>
    </row>
    <row r="218" ht="14.25" customHeight="1">
      <c r="Y218" s="27"/>
      <c r="BB218" s="27"/>
    </row>
    <row r="219" ht="14.25" customHeight="1">
      <c r="Y219" s="27"/>
      <c r="BB219" s="27"/>
    </row>
    <row r="220" ht="14.25" customHeight="1">
      <c r="Y220" s="27"/>
      <c r="BB220" s="27"/>
    </row>
    <row r="221" ht="14.25" customHeight="1">
      <c r="Y221" s="27"/>
      <c r="BB221" s="27"/>
    </row>
    <row r="222" ht="14.25" customHeight="1">
      <c r="Y222" s="27"/>
      <c r="BB222" s="27"/>
    </row>
    <row r="223" ht="14.25" customHeight="1">
      <c r="Y223" s="27"/>
      <c r="BB223" s="27"/>
    </row>
    <row r="224" ht="14.25" customHeight="1">
      <c r="Y224" s="27"/>
      <c r="BB224" s="27"/>
    </row>
    <row r="225" ht="14.25" customHeight="1">
      <c r="Y225" s="27"/>
      <c r="BB225" s="27"/>
    </row>
    <row r="226" ht="14.25" customHeight="1">
      <c r="Y226" s="27"/>
      <c r="BB226" s="27"/>
    </row>
    <row r="227" ht="14.25" customHeight="1">
      <c r="Y227" s="27"/>
      <c r="BB227" s="27"/>
    </row>
    <row r="228" ht="14.25" customHeight="1">
      <c r="Y228" s="27"/>
      <c r="BB228" s="27"/>
    </row>
    <row r="229" ht="14.25" customHeight="1">
      <c r="Y229" s="27"/>
      <c r="BB229" s="27"/>
    </row>
    <row r="230" ht="14.25" customHeight="1">
      <c r="Y230" s="27"/>
      <c r="BB230" s="27"/>
    </row>
    <row r="231" ht="14.25" customHeight="1">
      <c r="Y231" s="27"/>
      <c r="BB231" s="27"/>
    </row>
    <row r="232" ht="14.25" customHeight="1">
      <c r="Y232" s="27"/>
      <c r="BB232" s="27"/>
    </row>
    <row r="233" ht="14.25" customHeight="1">
      <c r="Y233" s="27"/>
      <c r="BB233" s="27"/>
    </row>
    <row r="234" ht="14.25" customHeight="1">
      <c r="Y234" s="27"/>
      <c r="BB234" s="27"/>
    </row>
    <row r="235" ht="14.25" customHeight="1">
      <c r="Y235" s="27"/>
      <c r="BB235" s="27"/>
    </row>
    <row r="236" ht="14.25" customHeight="1">
      <c r="Y236" s="27"/>
      <c r="BB236" s="27"/>
    </row>
    <row r="237" ht="14.25" customHeight="1">
      <c r="Y237" s="27"/>
      <c r="BB237" s="27"/>
    </row>
    <row r="238" ht="14.25" customHeight="1">
      <c r="Y238" s="27"/>
      <c r="BB238" s="27"/>
    </row>
    <row r="239" ht="14.25" customHeight="1">
      <c r="Y239" s="27"/>
      <c r="BB239" s="27"/>
    </row>
    <row r="240" ht="14.25" customHeight="1">
      <c r="Y240" s="27"/>
      <c r="BB240" s="27"/>
    </row>
    <row r="241" ht="14.25" customHeight="1">
      <c r="Y241" s="27"/>
      <c r="BB241" s="27"/>
    </row>
    <row r="242" ht="14.25" customHeight="1">
      <c r="Y242" s="27"/>
      <c r="BB242" s="27"/>
    </row>
    <row r="243" ht="14.25" customHeight="1">
      <c r="Y243" s="27"/>
      <c r="BB243" s="27"/>
    </row>
    <row r="244" ht="14.25" customHeight="1">
      <c r="Y244" s="27"/>
      <c r="BB244" s="27"/>
    </row>
    <row r="245" ht="14.25" customHeight="1">
      <c r="Y245" s="27"/>
      <c r="BB245" s="27"/>
    </row>
    <row r="246" ht="14.25" customHeight="1">
      <c r="Y246" s="27"/>
      <c r="BB246" s="27"/>
    </row>
    <row r="247" ht="14.25" customHeight="1">
      <c r="Y247" s="27"/>
      <c r="BB247" s="27"/>
    </row>
    <row r="248" ht="14.25" customHeight="1">
      <c r="Y248" s="27"/>
      <c r="BB248" s="27"/>
    </row>
    <row r="249" ht="14.25" customHeight="1">
      <c r="Y249" s="27"/>
      <c r="BB249" s="27"/>
    </row>
    <row r="250" ht="14.25" customHeight="1">
      <c r="Y250" s="27"/>
      <c r="BB250" s="27"/>
    </row>
    <row r="251" ht="14.25" customHeight="1">
      <c r="Y251" s="27"/>
      <c r="BB251" s="27"/>
    </row>
    <row r="252" ht="14.25" customHeight="1">
      <c r="Y252" s="27"/>
      <c r="BB252" s="27"/>
    </row>
    <row r="253" ht="14.25" customHeight="1">
      <c r="Y253" s="27"/>
      <c r="BB253" s="27"/>
    </row>
    <row r="254" ht="14.25" customHeight="1">
      <c r="Y254" s="27"/>
      <c r="BB254" s="27"/>
    </row>
    <row r="255" ht="14.25" customHeight="1">
      <c r="Y255" s="27"/>
      <c r="BB255" s="27"/>
    </row>
    <row r="256" ht="14.25" customHeight="1">
      <c r="Y256" s="27"/>
      <c r="BB256" s="27"/>
    </row>
    <row r="257" ht="14.25" customHeight="1">
      <c r="Y257" s="27"/>
      <c r="BB257" s="27"/>
    </row>
    <row r="258" ht="14.25" customHeight="1">
      <c r="Y258" s="27"/>
      <c r="BB258" s="27"/>
    </row>
    <row r="259" ht="14.25" customHeight="1">
      <c r="Y259" s="27"/>
      <c r="BB259" s="27"/>
    </row>
    <row r="260" ht="14.25" customHeight="1">
      <c r="Y260" s="27"/>
      <c r="BB260" s="27"/>
    </row>
    <row r="261" ht="14.25" customHeight="1">
      <c r="Y261" s="27"/>
      <c r="BB261" s="27"/>
    </row>
    <row r="262" ht="14.25" customHeight="1">
      <c r="Y262" s="27"/>
      <c r="BB262" s="27"/>
    </row>
    <row r="263" ht="14.25" customHeight="1">
      <c r="Y263" s="27"/>
      <c r="BB263" s="27"/>
    </row>
    <row r="264" ht="14.25" customHeight="1">
      <c r="Y264" s="27"/>
      <c r="BB264" s="27"/>
    </row>
    <row r="265" ht="14.25" customHeight="1">
      <c r="Y265" s="27"/>
      <c r="BB265" s="27"/>
    </row>
    <row r="266" ht="14.25" customHeight="1">
      <c r="Y266" s="27"/>
      <c r="BB266" s="27"/>
    </row>
    <row r="267" ht="14.25" customHeight="1">
      <c r="Y267" s="27"/>
      <c r="BB267" s="27"/>
    </row>
    <row r="268" ht="14.25" customHeight="1">
      <c r="Y268" s="27"/>
      <c r="BB268" s="27"/>
    </row>
    <row r="269" ht="14.25" customHeight="1">
      <c r="Y269" s="27"/>
      <c r="BB269" s="27"/>
    </row>
    <row r="270" ht="14.25" customHeight="1">
      <c r="Y270" s="27"/>
      <c r="BB270" s="27"/>
    </row>
    <row r="271" ht="14.25" customHeight="1">
      <c r="Y271" s="27"/>
      <c r="BB271" s="27"/>
    </row>
    <row r="272" ht="14.25" customHeight="1">
      <c r="Y272" s="27"/>
      <c r="BB272" s="27"/>
    </row>
    <row r="273" ht="14.25" customHeight="1">
      <c r="Y273" s="27"/>
      <c r="BB273" s="27"/>
    </row>
    <row r="274" ht="14.25" customHeight="1">
      <c r="Y274" s="27"/>
      <c r="BB274" s="27"/>
    </row>
    <row r="275" ht="14.25" customHeight="1">
      <c r="Y275" s="27"/>
      <c r="BB275" s="27"/>
    </row>
    <row r="276" ht="14.25" customHeight="1">
      <c r="Y276" s="27"/>
      <c r="BB276" s="27"/>
    </row>
    <row r="277" ht="14.25" customHeight="1">
      <c r="Y277" s="27"/>
      <c r="BB277" s="27"/>
    </row>
    <row r="278" ht="14.25" customHeight="1">
      <c r="Y278" s="27"/>
      <c r="BB278" s="27"/>
    </row>
    <row r="279" ht="14.25" customHeight="1">
      <c r="Y279" s="27"/>
      <c r="BB279" s="27"/>
    </row>
    <row r="280" ht="14.25" customHeight="1">
      <c r="Y280" s="27"/>
      <c r="BB280" s="27"/>
    </row>
    <row r="281" ht="14.25" customHeight="1">
      <c r="Y281" s="27"/>
      <c r="BB281" s="27"/>
    </row>
    <row r="282" ht="14.25" customHeight="1">
      <c r="Y282" s="27"/>
      <c r="BB282" s="27"/>
    </row>
    <row r="283" ht="14.25" customHeight="1">
      <c r="Y283" s="27"/>
      <c r="BB283" s="27"/>
    </row>
    <row r="284" ht="14.25" customHeight="1">
      <c r="Y284" s="27"/>
      <c r="BB284" s="27"/>
    </row>
    <row r="285" ht="14.25" customHeight="1">
      <c r="Y285" s="27"/>
      <c r="BB285" s="27"/>
    </row>
    <row r="286" ht="14.25" customHeight="1">
      <c r="Y286" s="27"/>
      <c r="BB286" s="27"/>
    </row>
    <row r="287" ht="14.25" customHeight="1">
      <c r="Y287" s="27"/>
      <c r="BB287" s="27"/>
    </row>
    <row r="288" ht="14.25" customHeight="1">
      <c r="Y288" s="27"/>
      <c r="BB288" s="27"/>
    </row>
    <row r="289" ht="14.25" customHeight="1">
      <c r="Y289" s="27"/>
      <c r="BB289" s="27"/>
    </row>
    <row r="290" ht="14.25" customHeight="1">
      <c r="Y290" s="27"/>
      <c r="BB290" s="27"/>
    </row>
    <row r="291" ht="14.25" customHeight="1">
      <c r="Y291" s="27"/>
      <c r="BB291" s="27"/>
    </row>
    <row r="292" ht="14.25" customHeight="1">
      <c r="Y292" s="27"/>
      <c r="BB292" s="27"/>
    </row>
    <row r="293" ht="14.25" customHeight="1">
      <c r="Y293" s="27"/>
      <c r="BB293" s="27"/>
    </row>
    <row r="294" ht="14.25" customHeight="1">
      <c r="Y294" s="27"/>
      <c r="BB294" s="27"/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D$5:$BD$5"/>
  <mergeCells count="44">
    <mergeCell ref="K3:M3"/>
    <mergeCell ref="N3:N4"/>
    <mergeCell ref="O3:O4"/>
    <mergeCell ref="P3:S3"/>
    <mergeCell ref="T3:V3"/>
    <mergeCell ref="W3:W4"/>
    <mergeCell ref="X3:X4"/>
    <mergeCell ref="AW3:AY3"/>
    <mergeCell ref="BC3:BD3"/>
    <mergeCell ref="AJ3:AL3"/>
    <mergeCell ref="AN3:AP3"/>
    <mergeCell ref="AQ3:AQ4"/>
    <mergeCell ref="AR3:AR4"/>
    <mergeCell ref="AS3:AV3"/>
    <mergeCell ref="AZ3:AZ4"/>
    <mergeCell ref="BA3:BA4"/>
    <mergeCell ref="B9:B12"/>
    <mergeCell ref="B17:B26"/>
    <mergeCell ref="B27:B30"/>
    <mergeCell ref="B37:B42"/>
    <mergeCell ref="B43:B45"/>
    <mergeCell ref="B46:B52"/>
    <mergeCell ref="B53:B61"/>
    <mergeCell ref="A3:A4"/>
    <mergeCell ref="B3:B4"/>
    <mergeCell ref="C3:C4"/>
    <mergeCell ref="D3:D4"/>
    <mergeCell ref="E3:E4"/>
    <mergeCell ref="F3:F4"/>
    <mergeCell ref="G3:I3"/>
    <mergeCell ref="AE9:AE12"/>
    <mergeCell ref="AE17:AE26"/>
    <mergeCell ref="AE27:AE30"/>
    <mergeCell ref="AE37:AE42"/>
    <mergeCell ref="AE43:AE45"/>
    <mergeCell ref="AE46:AE52"/>
    <mergeCell ref="AE53:AE61"/>
    <mergeCell ref="Z3:AA3"/>
    <mergeCell ref="AD3:AD4"/>
    <mergeCell ref="AE3:AE4"/>
    <mergeCell ref="AF3:AF4"/>
    <mergeCell ref="AG3:AG4"/>
    <mergeCell ref="AH3:AH4"/>
    <mergeCell ref="AI3:AI4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 outlineLevelCol="1"/>
  <cols>
    <col customWidth="1" hidden="1" min="1" max="1" width="11.86"/>
    <col customWidth="1" min="2" max="2" width="12.29"/>
    <col customWidth="1" min="3" max="3" width="23.14"/>
    <col customWidth="1" min="4" max="9" width="11.57"/>
    <col customWidth="1" min="10" max="11" width="11.43"/>
    <col customWidth="1" min="12" max="12" width="12.86"/>
    <col customWidth="1" min="13" max="13" width="13.71"/>
    <col customWidth="1" min="14" max="14" width="8.71"/>
    <col customWidth="1" min="15" max="15" width="9.43"/>
    <col customWidth="1" min="16" max="18" width="11.43"/>
    <col customWidth="1" hidden="1" min="19" max="19" width="15.0"/>
    <col customWidth="1" hidden="1" min="20" max="20" width="13.43"/>
    <col customWidth="1" min="21" max="22" width="14.14"/>
    <col customWidth="1" min="23" max="23" width="14.57"/>
    <col customWidth="1" min="24" max="24" width="7.14"/>
    <col customWidth="1" min="25" max="25" width="19.86"/>
    <col customWidth="1" min="26" max="26" width="11.57"/>
    <col customWidth="1" min="27" max="28" width="8.71"/>
  </cols>
  <sheetData>
    <row r="1" ht="14.25" customHeight="1">
      <c r="A1" s="24" t="s">
        <v>436</v>
      </c>
      <c r="F1" s="88"/>
      <c r="S1" s="89"/>
      <c r="T1" s="89"/>
      <c r="U1" s="89"/>
      <c r="V1" s="89"/>
    </row>
    <row r="2" ht="14.25" customHeight="1">
      <c r="A2" s="24" t="s">
        <v>77</v>
      </c>
      <c r="F2" s="88"/>
      <c r="L2" s="90">
        <v>0.05</v>
      </c>
      <c r="R2" s="91" t="s">
        <v>437</v>
      </c>
      <c r="S2" s="89"/>
      <c r="T2" s="89"/>
      <c r="U2" s="89"/>
      <c r="V2" s="89"/>
    </row>
    <row r="3" ht="13.5" customHeight="1">
      <c r="A3" s="92" t="s">
        <v>84</v>
      </c>
      <c r="B3" s="92" t="s">
        <v>105</v>
      </c>
      <c r="C3" s="92" t="s">
        <v>109</v>
      </c>
      <c r="D3" s="30" t="s">
        <v>438</v>
      </c>
      <c r="E3" s="31"/>
      <c r="F3" s="31"/>
      <c r="G3" s="31"/>
      <c r="H3" s="35"/>
      <c r="I3" s="93" t="s">
        <v>116</v>
      </c>
      <c r="J3" s="94" t="s">
        <v>140</v>
      </c>
      <c r="K3" s="95"/>
      <c r="L3" s="95"/>
      <c r="M3" s="96"/>
      <c r="N3" s="39" t="s">
        <v>166</v>
      </c>
      <c r="O3" s="31"/>
      <c r="P3" s="31"/>
      <c r="Q3" s="31"/>
      <c r="R3" s="35"/>
      <c r="S3" s="94" t="s">
        <v>140</v>
      </c>
      <c r="T3" s="95"/>
      <c r="U3" s="95"/>
      <c r="V3" s="96"/>
      <c r="W3" s="93" t="s">
        <v>171</v>
      </c>
      <c r="X3" s="93" t="s">
        <v>172</v>
      </c>
      <c r="Y3" s="41" t="s">
        <v>176</v>
      </c>
    </row>
    <row r="4">
      <c r="A4" s="97"/>
      <c r="B4" s="97"/>
      <c r="C4" s="97"/>
      <c r="D4" s="43" t="s">
        <v>199</v>
      </c>
      <c r="E4" s="43" t="s">
        <v>200</v>
      </c>
      <c r="F4" s="43" t="s">
        <v>441</v>
      </c>
      <c r="G4" s="98" t="s">
        <v>442</v>
      </c>
      <c r="H4" s="98" t="s">
        <v>203</v>
      </c>
      <c r="I4" s="97"/>
      <c r="J4" s="99" t="s">
        <v>199</v>
      </c>
      <c r="K4" s="99" t="s">
        <v>200</v>
      </c>
      <c r="L4" s="99" t="s">
        <v>443</v>
      </c>
      <c r="M4" s="99" t="s">
        <v>444</v>
      </c>
      <c r="N4" s="43" t="s">
        <v>199</v>
      </c>
      <c r="O4" s="43" t="s">
        <v>200</v>
      </c>
      <c r="P4" s="43" t="s">
        <v>441</v>
      </c>
      <c r="Q4" s="98" t="s">
        <v>442</v>
      </c>
      <c r="R4" s="43" t="s">
        <v>207</v>
      </c>
      <c r="S4" s="99" t="s">
        <v>199</v>
      </c>
      <c r="T4" s="99" t="s">
        <v>200</v>
      </c>
      <c r="U4" s="99" t="s">
        <v>443</v>
      </c>
      <c r="V4" s="99" t="s">
        <v>444</v>
      </c>
      <c r="W4" s="97"/>
      <c r="X4" s="97"/>
      <c r="Y4" s="48"/>
    </row>
    <row r="5">
      <c r="A5" s="49" t="s">
        <v>218</v>
      </c>
      <c r="B5" s="50"/>
      <c r="C5" s="49"/>
      <c r="D5" s="100">
        <f t="shared" ref="D5:H5" si="1">SUM(D6:D110)</f>
        <v>119</v>
      </c>
      <c r="E5" s="100">
        <f t="shared" si="1"/>
        <v>11</v>
      </c>
      <c r="F5" s="100">
        <f t="shared" si="1"/>
        <v>182</v>
      </c>
      <c r="G5" s="100">
        <f t="shared" si="1"/>
        <v>270</v>
      </c>
      <c r="H5" s="100">
        <f t="shared" si="1"/>
        <v>582</v>
      </c>
      <c r="I5" s="51"/>
      <c r="J5" s="101">
        <f t="shared" ref="J5:V5" si="2">SUM(J6:J110)</f>
        <v>0</v>
      </c>
      <c r="K5" s="101">
        <f t="shared" si="2"/>
        <v>0</v>
      </c>
      <c r="L5" s="101">
        <f t="shared" si="2"/>
        <v>443387813.3</v>
      </c>
      <c r="M5" s="101">
        <f t="shared" si="2"/>
        <v>500631250</v>
      </c>
      <c r="N5" s="100">
        <f t="shared" si="2"/>
        <v>101</v>
      </c>
      <c r="O5" s="100">
        <f t="shared" si="2"/>
        <v>23</v>
      </c>
      <c r="P5" s="100">
        <f t="shared" si="2"/>
        <v>114</v>
      </c>
      <c r="Q5" s="100">
        <f t="shared" si="2"/>
        <v>204</v>
      </c>
      <c r="R5" s="100">
        <f t="shared" si="2"/>
        <v>442</v>
      </c>
      <c r="S5" s="101">
        <f t="shared" si="2"/>
        <v>0</v>
      </c>
      <c r="T5" s="101">
        <f t="shared" si="2"/>
        <v>0</v>
      </c>
      <c r="U5" s="101">
        <f t="shared" si="2"/>
        <v>275234625</v>
      </c>
      <c r="V5" s="101">
        <f t="shared" si="2"/>
        <v>360125000</v>
      </c>
      <c r="W5" s="51"/>
      <c r="X5" s="51"/>
      <c r="Y5" s="48" t="s">
        <v>448</v>
      </c>
    </row>
    <row r="6">
      <c r="A6" s="56">
        <v>1.0</v>
      </c>
      <c r="B6" s="57" t="s">
        <v>264</v>
      </c>
      <c r="C6" s="58"/>
      <c r="D6" s="103">
        <v>1.0</v>
      </c>
      <c r="E6" s="103"/>
      <c r="F6" s="103"/>
      <c r="G6" s="103"/>
      <c r="H6" s="104">
        <f t="shared" ref="H6:H34" si="3">SUM(D6:G6)</f>
        <v>1</v>
      </c>
      <c r="I6" s="104"/>
      <c r="J6" s="105"/>
      <c r="K6" s="105"/>
      <c r="L6" s="105"/>
      <c r="M6" s="105"/>
      <c r="N6" s="106"/>
      <c r="O6" s="106">
        <v>1.0</v>
      </c>
      <c r="P6" s="106"/>
      <c r="Q6" s="107"/>
      <c r="R6" s="108">
        <f t="shared" ref="R6:R34" si="4">SUM(N6:Q6)</f>
        <v>1</v>
      </c>
      <c r="S6" s="109"/>
      <c r="T6" s="109"/>
      <c r="U6" s="109"/>
      <c r="V6" s="109"/>
      <c r="W6" s="59"/>
      <c r="X6" s="59"/>
      <c r="Y6" s="110"/>
      <c r="AB6" s="111">
        <f t="shared" ref="AB6:AB110" si="5">SUM(N6:O6)-SUM(D6:E6)</f>
        <v>0</v>
      </c>
    </row>
    <row r="7">
      <c r="A7" s="56">
        <v>2.0</v>
      </c>
      <c r="B7" s="57" t="s">
        <v>289</v>
      </c>
      <c r="C7" s="58"/>
      <c r="D7" s="103"/>
      <c r="E7" s="103"/>
      <c r="F7" s="103"/>
      <c r="G7" s="103"/>
      <c r="H7" s="104">
        <f t="shared" si="3"/>
        <v>0</v>
      </c>
      <c r="I7" s="104"/>
      <c r="J7" s="105"/>
      <c r="K7" s="105"/>
      <c r="L7" s="105"/>
      <c r="M7" s="105"/>
      <c r="N7" s="106"/>
      <c r="O7" s="106"/>
      <c r="P7" s="106"/>
      <c r="Q7" s="107"/>
      <c r="R7" s="108">
        <f t="shared" si="4"/>
        <v>0</v>
      </c>
      <c r="S7" s="109"/>
      <c r="T7" s="109"/>
      <c r="U7" s="109"/>
      <c r="V7" s="109"/>
      <c r="W7" s="59"/>
      <c r="X7" s="59"/>
      <c r="Y7" s="64"/>
      <c r="AB7" s="111">
        <f t="shared" si="5"/>
        <v>0</v>
      </c>
    </row>
    <row r="8">
      <c r="A8" s="65">
        <v>3.0</v>
      </c>
      <c r="B8" s="66" t="s">
        <v>300</v>
      </c>
      <c r="C8" s="67"/>
      <c r="D8" s="113">
        <v>2.0</v>
      </c>
      <c r="E8" s="113"/>
      <c r="F8" s="113"/>
      <c r="G8" s="113"/>
      <c r="H8" s="104">
        <f t="shared" si="3"/>
        <v>2</v>
      </c>
      <c r="I8" s="114"/>
      <c r="J8" s="115"/>
      <c r="K8" s="115"/>
      <c r="L8" s="115"/>
      <c r="M8" s="115"/>
      <c r="N8" s="116">
        <v>1.0</v>
      </c>
      <c r="O8" s="116">
        <v>1.0</v>
      </c>
      <c r="P8" s="116"/>
      <c r="Q8" s="107"/>
      <c r="R8" s="108">
        <f t="shared" si="4"/>
        <v>2</v>
      </c>
      <c r="S8" s="117"/>
      <c r="T8" s="117"/>
      <c r="U8" s="117"/>
      <c r="V8" s="117"/>
      <c r="W8" s="60"/>
      <c r="X8" s="60"/>
      <c r="Y8" s="64"/>
      <c r="AB8" s="111">
        <f t="shared" si="5"/>
        <v>0</v>
      </c>
    </row>
    <row r="9">
      <c r="A9" s="65">
        <v>4.0</v>
      </c>
      <c r="B9" s="84" t="s">
        <v>314</v>
      </c>
      <c r="C9" s="66" t="s">
        <v>316</v>
      </c>
      <c r="D9" s="113">
        <v>3.0</v>
      </c>
      <c r="E9" s="113">
        <v>1.0</v>
      </c>
      <c r="F9" s="113"/>
      <c r="G9" s="113"/>
      <c r="H9" s="104">
        <f t="shared" si="3"/>
        <v>4</v>
      </c>
      <c r="I9" s="114">
        <v>1.0</v>
      </c>
      <c r="J9" s="115"/>
      <c r="K9" s="115"/>
      <c r="L9" s="115">
        <f t="shared" ref="L9:M9" si="6">U9*(1+$L$2)</f>
        <v>4200000</v>
      </c>
      <c r="M9" s="115">
        <f t="shared" si="6"/>
        <v>0</v>
      </c>
      <c r="N9" s="116"/>
      <c r="O9" s="116">
        <v>3.0</v>
      </c>
      <c r="P9" s="116">
        <v>1.0</v>
      </c>
      <c r="Q9" s="107"/>
      <c r="R9" s="108">
        <f t="shared" si="4"/>
        <v>4</v>
      </c>
      <c r="S9" s="117"/>
      <c r="T9" s="117"/>
      <c r="U9" s="117">
        <f>200000*20*P9</f>
        <v>4000000</v>
      </c>
      <c r="V9" s="117"/>
      <c r="W9" s="60"/>
      <c r="X9" s="60"/>
      <c r="Y9" s="64"/>
      <c r="AB9" s="111">
        <f t="shared" si="5"/>
        <v>-1</v>
      </c>
    </row>
    <row r="10">
      <c r="A10" s="65"/>
      <c r="B10" s="118"/>
      <c r="C10" s="66" t="s">
        <v>331</v>
      </c>
      <c r="D10" s="113"/>
      <c r="E10" s="113">
        <v>1.0</v>
      </c>
      <c r="F10" s="113"/>
      <c r="G10" s="113"/>
      <c r="H10" s="104">
        <f t="shared" si="3"/>
        <v>1</v>
      </c>
      <c r="I10" s="114">
        <v>1.0</v>
      </c>
      <c r="J10" s="115"/>
      <c r="K10" s="115"/>
      <c r="L10" s="115">
        <f t="shared" ref="L10:M10" si="7">U10*(1+$L$2)</f>
        <v>0</v>
      </c>
      <c r="M10" s="115">
        <f t="shared" si="7"/>
        <v>0</v>
      </c>
      <c r="N10" s="116"/>
      <c r="O10" s="116">
        <v>1.0</v>
      </c>
      <c r="P10" s="116"/>
      <c r="Q10" s="107"/>
      <c r="R10" s="108">
        <f t="shared" si="4"/>
        <v>1</v>
      </c>
      <c r="S10" s="117"/>
      <c r="T10" s="117"/>
      <c r="U10" s="117"/>
      <c r="V10" s="117"/>
      <c r="W10" s="60"/>
      <c r="X10" s="60"/>
      <c r="Y10" s="64"/>
      <c r="AB10" s="111">
        <f t="shared" si="5"/>
        <v>0</v>
      </c>
    </row>
    <row r="11">
      <c r="A11" s="65"/>
      <c r="B11" s="118"/>
      <c r="C11" s="66" t="s">
        <v>341</v>
      </c>
      <c r="D11" s="113">
        <v>1.0</v>
      </c>
      <c r="E11" s="113"/>
      <c r="F11" s="113"/>
      <c r="G11" s="113"/>
      <c r="H11" s="104">
        <f t="shared" si="3"/>
        <v>1</v>
      </c>
      <c r="I11" s="114">
        <v>1.0</v>
      </c>
      <c r="J11" s="115"/>
      <c r="K11" s="115"/>
      <c r="L11" s="115">
        <f t="shared" ref="L11:M11" si="8">U11*(1+$L$2)</f>
        <v>0</v>
      </c>
      <c r="M11" s="115">
        <f t="shared" si="8"/>
        <v>0</v>
      </c>
      <c r="N11" s="116">
        <v>1.0</v>
      </c>
      <c r="O11" s="116"/>
      <c r="P11" s="116"/>
      <c r="Q11" s="107"/>
      <c r="R11" s="108">
        <f t="shared" si="4"/>
        <v>1</v>
      </c>
      <c r="S11" s="117"/>
      <c r="T11" s="117"/>
      <c r="U11" s="117"/>
      <c r="V11" s="117"/>
      <c r="W11" s="60"/>
      <c r="X11" s="60"/>
      <c r="Y11" s="64"/>
      <c r="AB11" s="111">
        <f t="shared" si="5"/>
        <v>0</v>
      </c>
    </row>
    <row r="12">
      <c r="A12" s="65"/>
      <c r="B12" s="119"/>
      <c r="C12" s="66" t="s">
        <v>349</v>
      </c>
      <c r="D12" s="113">
        <v>2.0</v>
      </c>
      <c r="E12" s="113"/>
      <c r="F12" s="113"/>
      <c r="G12" s="113"/>
      <c r="H12" s="104">
        <f t="shared" si="3"/>
        <v>2</v>
      </c>
      <c r="I12" s="114">
        <v>1.0</v>
      </c>
      <c r="J12" s="115"/>
      <c r="K12" s="115"/>
      <c r="L12" s="115">
        <f t="shared" ref="L12:M12" si="9">U12*(1+$L$2)</f>
        <v>0</v>
      </c>
      <c r="M12" s="115">
        <f t="shared" si="9"/>
        <v>0</v>
      </c>
      <c r="N12" s="116">
        <v>1.0</v>
      </c>
      <c r="O12" s="116">
        <v>1.0</v>
      </c>
      <c r="P12" s="116"/>
      <c r="Q12" s="107"/>
      <c r="R12" s="108">
        <f t="shared" si="4"/>
        <v>2</v>
      </c>
      <c r="S12" s="117"/>
      <c r="T12" s="117"/>
      <c r="U12" s="117"/>
      <c r="V12" s="117"/>
      <c r="W12" s="60"/>
      <c r="X12" s="60"/>
      <c r="Y12" s="64"/>
      <c r="AB12" s="111">
        <f t="shared" si="5"/>
        <v>0</v>
      </c>
    </row>
    <row r="13">
      <c r="A13" s="65">
        <v>2.0</v>
      </c>
      <c r="B13" s="66" t="s">
        <v>360</v>
      </c>
      <c r="C13" s="66" t="s">
        <v>360</v>
      </c>
      <c r="D13" s="113">
        <v>2.0</v>
      </c>
      <c r="E13" s="113"/>
      <c r="F13" s="113"/>
      <c r="G13" s="113"/>
      <c r="H13" s="104">
        <f t="shared" si="3"/>
        <v>2</v>
      </c>
      <c r="I13" s="114">
        <v>1.0</v>
      </c>
      <c r="J13" s="115"/>
      <c r="K13" s="115"/>
      <c r="L13" s="115">
        <f t="shared" ref="L13:M13" si="10">U13*(1+$L$2)</f>
        <v>0</v>
      </c>
      <c r="M13" s="115">
        <f t="shared" si="10"/>
        <v>0</v>
      </c>
      <c r="N13" s="116">
        <v>2.0</v>
      </c>
      <c r="O13" s="116"/>
      <c r="P13" s="116"/>
      <c r="Q13" s="107"/>
      <c r="R13" s="108">
        <f t="shared" si="4"/>
        <v>2</v>
      </c>
      <c r="S13" s="117"/>
      <c r="T13" s="117"/>
      <c r="U13" s="117"/>
      <c r="V13" s="117"/>
      <c r="W13" s="60"/>
      <c r="X13" s="60"/>
      <c r="Y13" s="64"/>
      <c r="AB13" s="111">
        <f t="shared" si="5"/>
        <v>0</v>
      </c>
    </row>
    <row r="14">
      <c r="A14" s="65"/>
      <c r="B14" s="81" t="s">
        <v>375</v>
      </c>
      <c r="C14" s="66" t="s">
        <v>377</v>
      </c>
      <c r="D14" s="113">
        <v>1.0</v>
      </c>
      <c r="E14" s="113"/>
      <c r="F14" s="113">
        <v>2.0</v>
      </c>
      <c r="G14" s="113"/>
      <c r="H14" s="104">
        <f t="shared" si="3"/>
        <v>3</v>
      </c>
      <c r="I14" s="114">
        <v>1.0</v>
      </c>
      <c r="J14" s="115"/>
      <c r="K14" s="115"/>
      <c r="L14" s="115">
        <f t="shared" ref="L14:M14" si="11">U14*(1+$L$2)</f>
        <v>6720000</v>
      </c>
      <c r="M14" s="115">
        <f t="shared" si="11"/>
        <v>0</v>
      </c>
      <c r="N14" s="116">
        <v>1.0</v>
      </c>
      <c r="O14" s="116"/>
      <c r="P14" s="113">
        <v>2.0</v>
      </c>
      <c r="Q14" s="107"/>
      <c r="R14" s="108">
        <f t="shared" si="4"/>
        <v>3</v>
      </c>
      <c r="S14" s="117"/>
      <c r="T14" s="117"/>
      <c r="U14" s="117">
        <f>160000*20*2</f>
        <v>6400000</v>
      </c>
      <c r="V14" s="117"/>
      <c r="W14" s="60"/>
      <c r="X14" s="60"/>
      <c r="Y14" s="64"/>
      <c r="AB14" s="111">
        <f t="shared" si="5"/>
        <v>0</v>
      </c>
    </row>
    <row r="15">
      <c r="A15" s="65"/>
      <c r="B15" s="82"/>
      <c r="C15" s="66" t="s">
        <v>387</v>
      </c>
      <c r="D15" s="113">
        <v>2.0</v>
      </c>
      <c r="E15" s="113"/>
      <c r="F15" s="113"/>
      <c r="G15" s="113"/>
      <c r="H15" s="104">
        <f t="shared" si="3"/>
        <v>2</v>
      </c>
      <c r="I15" s="114">
        <v>1.0</v>
      </c>
      <c r="J15" s="115"/>
      <c r="K15" s="115"/>
      <c r="L15" s="115">
        <f t="shared" ref="L15:M15" si="12">U15*(1+$L$2)</f>
        <v>0</v>
      </c>
      <c r="M15" s="115">
        <f t="shared" si="12"/>
        <v>0</v>
      </c>
      <c r="N15" s="116">
        <v>2.0</v>
      </c>
      <c r="O15" s="116"/>
      <c r="P15" s="116"/>
      <c r="Q15" s="107"/>
      <c r="R15" s="108">
        <f t="shared" si="4"/>
        <v>2</v>
      </c>
      <c r="S15" s="117"/>
      <c r="T15" s="117"/>
      <c r="U15" s="117"/>
      <c r="V15" s="117"/>
      <c r="W15" s="60"/>
      <c r="X15" s="60"/>
      <c r="Y15" s="64"/>
      <c r="AB15" s="111">
        <f t="shared" si="5"/>
        <v>0</v>
      </c>
    </row>
    <row r="16">
      <c r="A16" s="65"/>
      <c r="B16" s="57"/>
      <c r="C16" s="123" t="s">
        <v>394</v>
      </c>
      <c r="D16" s="113">
        <v>9.0</v>
      </c>
      <c r="E16" s="113">
        <v>4.0</v>
      </c>
      <c r="F16" s="113"/>
      <c r="G16" s="113"/>
      <c r="H16" s="104">
        <f t="shared" si="3"/>
        <v>13</v>
      </c>
      <c r="I16" s="114">
        <v>1.0</v>
      </c>
      <c r="J16" s="115"/>
      <c r="K16" s="115"/>
      <c r="L16" s="115">
        <f t="shared" ref="L16:M16" si="13">U16*(1+$L$2)</f>
        <v>3412500</v>
      </c>
      <c r="M16" s="115">
        <f t="shared" si="13"/>
        <v>0</v>
      </c>
      <c r="N16" s="116">
        <v>9.0</v>
      </c>
      <c r="O16" s="116">
        <v>3.0</v>
      </c>
      <c r="P16" s="116">
        <v>1.0</v>
      </c>
      <c r="Q16" s="107"/>
      <c r="R16" s="108">
        <f t="shared" si="4"/>
        <v>13</v>
      </c>
      <c r="S16" s="117"/>
      <c r="T16" s="117"/>
      <c r="U16" s="117">
        <f>130000*25*1</f>
        <v>3250000</v>
      </c>
      <c r="V16" s="117"/>
      <c r="W16" s="60"/>
      <c r="X16" s="60"/>
      <c r="Y16" s="64"/>
      <c r="AB16" s="111">
        <f t="shared" si="5"/>
        <v>-1</v>
      </c>
    </row>
    <row r="17">
      <c r="A17" s="65">
        <v>4.0</v>
      </c>
      <c r="B17" s="84" t="s">
        <v>405</v>
      </c>
      <c r="C17" s="66" t="s">
        <v>56</v>
      </c>
      <c r="D17" s="113">
        <v>1.0</v>
      </c>
      <c r="E17" s="113"/>
      <c r="F17" s="113"/>
      <c r="G17" s="113"/>
      <c r="H17" s="104">
        <f t="shared" si="3"/>
        <v>1</v>
      </c>
      <c r="I17" s="114">
        <v>1.0</v>
      </c>
      <c r="J17" s="115"/>
      <c r="K17" s="115"/>
      <c r="L17" s="115">
        <f t="shared" ref="L17:M17" si="14">U17*(1+$L$2)</f>
        <v>0</v>
      </c>
      <c r="M17" s="115">
        <f t="shared" si="14"/>
        <v>0</v>
      </c>
      <c r="N17" s="116">
        <v>1.0</v>
      </c>
      <c r="O17" s="116"/>
      <c r="P17" s="116"/>
      <c r="Q17" s="107"/>
      <c r="R17" s="108">
        <f t="shared" si="4"/>
        <v>1</v>
      </c>
      <c r="S17" s="117"/>
      <c r="T17" s="117"/>
      <c r="U17" s="117"/>
      <c r="V17" s="117"/>
      <c r="W17" s="60"/>
      <c r="X17" s="60"/>
      <c r="Y17" s="64"/>
      <c r="AB17" s="111">
        <f t="shared" si="5"/>
        <v>0</v>
      </c>
    </row>
    <row r="18">
      <c r="A18" s="65"/>
      <c r="B18" s="118"/>
      <c r="C18" s="66" t="s">
        <v>461</v>
      </c>
      <c r="D18" s="113">
        <v>5.0</v>
      </c>
      <c r="E18" s="113"/>
      <c r="F18" s="113"/>
      <c r="G18" s="113"/>
      <c r="H18" s="104">
        <f t="shared" si="3"/>
        <v>5</v>
      </c>
      <c r="I18" s="114">
        <v>1.0</v>
      </c>
      <c r="J18" s="115"/>
      <c r="K18" s="115"/>
      <c r="L18" s="115">
        <f t="shared" ref="L18:M18" si="15">U18*(1+$L$2)</f>
        <v>0</v>
      </c>
      <c r="M18" s="115">
        <f t="shared" si="15"/>
        <v>0</v>
      </c>
      <c r="N18" s="116">
        <v>3.0</v>
      </c>
      <c r="O18" s="116">
        <v>2.0</v>
      </c>
      <c r="P18" s="116"/>
      <c r="Q18" s="107"/>
      <c r="R18" s="108">
        <f t="shared" si="4"/>
        <v>5</v>
      </c>
      <c r="S18" s="117"/>
      <c r="T18" s="117"/>
      <c r="U18" s="117"/>
      <c r="V18" s="117"/>
      <c r="W18" s="60"/>
      <c r="X18" s="60"/>
      <c r="Y18" s="86" t="s">
        <v>463</v>
      </c>
      <c r="AB18" s="111">
        <f t="shared" si="5"/>
        <v>0</v>
      </c>
    </row>
    <row r="19">
      <c r="A19" s="65"/>
      <c r="B19" s="118"/>
      <c r="C19" s="66" t="s">
        <v>464</v>
      </c>
      <c r="D19" s="113"/>
      <c r="E19" s="113"/>
      <c r="F19" s="113">
        <v>2.0</v>
      </c>
      <c r="G19" s="113"/>
      <c r="H19" s="104">
        <f t="shared" si="3"/>
        <v>2</v>
      </c>
      <c r="I19" s="114">
        <v>1.0</v>
      </c>
      <c r="J19" s="115"/>
      <c r="K19" s="115"/>
      <c r="L19" s="115">
        <f t="shared" ref="L19:M19" si="16">U19*(1+$L$2)</f>
        <v>4501875</v>
      </c>
      <c r="M19" s="115">
        <f t="shared" si="16"/>
        <v>0</v>
      </c>
      <c r="N19" s="116"/>
      <c r="O19" s="116"/>
      <c r="P19" s="116">
        <v>2.0</v>
      </c>
      <c r="Q19" s="107"/>
      <c r="R19" s="108">
        <f t="shared" si="4"/>
        <v>2</v>
      </c>
      <c r="S19" s="117"/>
      <c r="T19" s="117"/>
      <c r="U19" s="117">
        <f>85750*25*P19</f>
        <v>4287500</v>
      </c>
      <c r="V19" s="117"/>
      <c r="W19" s="60"/>
      <c r="X19" s="60"/>
      <c r="Y19" s="64"/>
      <c r="AB19" s="111">
        <f t="shared" si="5"/>
        <v>0</v>
      </c>
    </row>
    <row r="20">
      <c r="A20" s="65"/>
      <c r="B20" s="118"/>
      <c r="C20" s="66" t="s">
        <v>467</v>
      </c>
      <c r="D20" s="113"/>
      <c r="E20" s="113"/>
      <c r="F20" s="113">
        <v>1.0</v>
      </c>
      <c r="G20" s="113"/>
      <c r="H20" s="104">
        <f t="shared" si="3"/>
        <v>1</v>
      </c>
      <c r="I20" s="114">
        <v>1.0</v>
      </c>
      <c r="J20" s="115"/>
      <c r="K20" s="115"/>
      <c r="L20" s="115">
        <f t="shared" ref="L20:M20" si="17">U20*(1+$L$2)</f>
        <v>2598750</v>
      </c>
      <c r="M20" s="115">
        <f t="shared" si="17"/>
        <v>0</v>
      </c>
      <c r="N20" s="116"/>
      <c r="O20" s="116"/>
      <c r="P20" s="116">
        <v>1.0</v>
      </c>
      <c r="Q20" s="107"/>
      <c r="R20" s="108">
        <f t="shared" si="4"/>
        <v>1</v>
      </c>
      <c r="S20" s="117"/>
      <c r="T20" s="117"/>
      <c r="U20" s="117">
        <f>99000*25*P20</f>
        <v>2475000</v>
      </c>
      <c r="V20" s="117"/>
      <c r="W20" s="60"/>
      <c r="X20" s="60"/>
      <c r="Y20" s="64"/>
      <c r="AB20" s="111">
        <f t="shared" si="5"/>
        <v>0</v>
      </c>
    </row>
    <row r="21" ht="15.75" customHeight="1">
      <c r="A21" s="65"/>
      <c r="B21" s="118"/>
      <c r="C21" s="66" t="s">
        <v>470</v>
      </c>
      <c r="D21" s="113"/>
      <c r="E21" s="113"/>
      <c r="F21" s="113">
        <v>3.0</v>
      </c>
      <c r="G21" s="113"/>
      <c r="H21" s="104">
        <f t="shared" si="3"/>
        <v>3</v>
      </c>
      <c r="I21" s="114">
        <v>1.0</v>
      </c>
      <c r="J21" s="115"/>
      <c r="K21" s="115"/>
      <c r="L21" s="115">
        <f t="shared" ref="L21:M21" si="18">U21*(1+$L$2)</f>
        <v>6752812.5</v>
      </c>
      <c r="M21" s="115">
        <f t="shared" si="18"/>
        <v>0</v>
      </c>
      <c r="N21" s="116"/>
      <c r="O21" s="116"/>
      <c r="P21" s="116">
        <v>3.0</v>
      </c>
      <c r="Q21" s="107"/>
      <c r="R21" s="108">
        <f t="shared" si="4"/>
        <v>3</v>
      </c>
      <c r="S21" s="117"/>
      <c r="T21" s="117"/>
      <c r="U21" s="117">
        <f t="shared" ref="U21:U22" si="20">85750*25*P21</f>
        <v>6431250</v>
      </c>
      <c r="V21" s="117"/>
      <c r="W21" s="60"/>
      <c r="X21" s="60"/>
      <c r="Y21" s="64"/>
      <c r="AB21" s="111">
        <f t="shared" si="5"/>
        <v>0</v>
      </c>
    </row>
    <row r="22" ht="15.75" customHeight="1">
      <c r="A22" s="65"/>
      <c r="B22" s="118"/>
      <c r="C22" s="66" t="s">
        <v>471</v>
      </c>
      <c r="D22" s="113"/>
      <c r="E22" s="113"/>
      <c r="F22" s="113">
        <v>3.0</v>
      </c>
      <c r="G22" s="113"/>
      <c r="H22" s="104">
        <f t="shared" si="3"/>
        <v>3</v>
      </c>
      <c r="I22" s="114">
        <v>2.0</v>
      </c>
      <c r="J22" s="115"/>
      <c r="K22" s="115"/>
      <c r="L22" s="115">
        <f t="shared" ref="L22:M22" si="19">U22*(1+$L$2)</f>
        <v>6752812.5</v>
      </c>
      <c r="M22" s="115">
        <f t="shared" si="19"/>
        <v>0</v>
      </c>
      <c r="N22" s="116"/>
      <c r="O22" s="116"/>
      <c r="P22" s="116">
        <v>3.0</v>
      </c>
      <c r="Q22" s="107"/>
      <c r="R22" s="108">
        <f t="shared" si="4"/>
        <v>3</v>
      </c>
      <c r="S22" s="117"/>
      <c r="T22" s="117"/>
      <c r="U22" s="117">
        <f t="shared" si="20"/>
        <v>6431250</v>
      </c>
      <c r="V22" s="117"/>
      <c r="W22" s="60"/>
      <c r="X22" s="60"/>
      <c r="Y22" s="64"/>
      <c r="AB22" s="111">
        <f t="shared" si="5"/>
        <v>0</v>
      </c>
    </row>
    <row r="23" ht="15.75" customHeight="1">
      <c r="A23" s="65"/>
      <c r="B23" s="118"/>
      <c r="C23" s="66" t="s">
        <v>476</v>
      </c>
      <c r="D23" s="113"/>
      <c r="E23" s="113"/>
      <c r="F23" s="113">
        <v>3.0</v>
      </c>
      <c r="G23" s="113"/>
      <c r="H23" s="104">
        <f t="shared" si="3"/>
        <v>3</v>
      </c>
      <c r="I23" s="114">
        <v>1.0</v>
      </c>
      <c r="J23" s="115"/>
      <c r="K23" s="115"/>
      <c r="L23" s="115">
        <f t="shared" ref="L23:M23" si="21">U23*(1+$L$2)</f>
        <v>6181875</v>
      </c>
      <c r="M23" s="115">
        <f t="shared" si="21"/>
        <v>0</v>
      </c>
      <c r="N23" s="116"/>
      <c r="O23" s="116"/>
      <c r="P23" s="116">
        <v>3.0</v>
      </c>
      <c r="Q23" s="107"/>
      <c r="R23" s="108">
        <f t="shared" si="4"/>
        <v>3</v>
      </c>
      <c r="S23" s="117"/>
      <c r="T23" s="117"/>
      <c r="U23" s="117">
        <f>78500*25*P23</f>
        <v>5887500</v>
      </c>
      <c r="V23" s="117"/>
      <c r="W23" s="60"/>
      <c r="X23" s="60"/>
      <c r="Y23" s="64"/>
      <c r="AB23" s="111">
        <f t="shared" si="5"/>
        <v>0</v>
      </c>
    </row>
    <row r="24" ht="15.75" customHeight="1">
      <c r="A24" s="65"/>
      <c r="B24" s="119"/>
      <c r="C24" s="66" t="s">
        <v>434</v>
      </c>
      <c r="D24" s="113"/>
      <c r="E24" s="113"/>
      <c r="F24" s="113">
        <v>7.0</v>
      </c>
      <c r="G24" s="113"/>
      <c r="H24" s="104">
        <f t="shared" si="3"/>
        <v>7</v>
      </c>
      <c r="I24" s="114">
        <v>4.0</v>
      </c>
      <c r="J24" s="115"/>
      <c r="K24" s="115"/>
      <c r="L24" s="115">
        <f t="shared" ref="L24:M24" si="22">U24*(1+$L$2)</f>
        <v>30135000</v>
      </c>
      <c r="M24" s="115">
        <f t="shared" si="22"/>
        <v>0</v>
      </c>
      <c r="N24" s="116"/>
      <c r="O24" s="116"/>
      <c r="P24" s="116">
        <v>7.0</v>
      </c>
      <c r="Q24" s="107"/>
      <c r="R24" s="108">
        <f t="shared" si="4"/>
        <v>7</v>
      </c>
      <c r="S24" s="117"/>
      <c r="T24" s="117"/>
      <c r="U24" s="117">
        <f>164000*25*P24</f>
        <v>28700000</v>
      </c>
      <c r="V24" s="117"/>
      <c r="W24" s="60"/>
      <c r="X24" s="60"/>
      <c r="Y24" s="64"/>
      <c r="AB24" s="111">
        <f t="shared" si="5"/>
        <v>0</v>
      </c>
    </row>
    <row r="25" ht="15.75" customHeight="1">
      <c r="A25" s="65">
        <v>5.0</v>
      </c>
      <c r="B25" s="84" t="s">
        <v>65</v>
      </c>
      <c r="C25" s="123" t="s">
        <v>435</v>
      </c>
      <c r="D25" s="113">
        <v>4.0</v>
      </c>
      <c r="E25" s="113">
        <v>1.0</v>
      </c>
      <c r="F25" s="113">
        <v>1.0</v>
      </c>
      <c r="G25" s="113"/>
      <c r="H25" s="104">
        <f t="shared" si="3"/>
        <v>6</v>
      </c>
      <c r="I25" s="114">
        <v>1.0</v>
      </c>
      <c r="J25" s="115"/>
      <c r="K25" s="115"/>
      <c r="L25" s="115">
        <f t="shared" ref="L25:M25" si="23">U25*(1+$L$2)</f>
        <v>2100000</v>
      </c>
      <c r="M25" s="115">
        <f t="shared" si="23"/>
        <v>0</v>
      </c>
      <c r="N25" s="113">
        <v>4.0</v>
      </c>
      <c r="O25" s="116"/>
      <c r="P25" s="113">
        <v>1.0</v>
      </c>
      <c r="Q25" s="107"/>
      <c r="R25" s="108">
        <f t="shared" si="4"/>
        <v>5</v>
      </c>
      <c r="S25" s="117"/>
      <c r="T25" s="117"/>
      <c r="U25" s="117">
        <f>80000*25*P25</f>
        <v>2000000</v>
      </c>
      <c r="V25" s="117"/>
      <c r="W25" s="60"/>
      <c r="X25" s="60"/>
      <c r="Y25" s="64"/>
      <c r="AB25" s="111">
        <f t="shared" si="5"/>
        <v>-1</v>
      </c>
    </row>
    <row r="26" ht="15.75" customHeight="1">
      <c r="A26" s="67"/>
      <c r="B26" s="118"/>
      <c r="C26" s="131" t="s">
        <v>440</v>
      </c>
      <c r="D26" s="113">
        <v>6.0</v>
      </c>
      <c r="E26" s="113"/>
      <c r="F26" s="113"/>
      <c r="G26" s="113">
        <v>2.0</v>
      </c>
      <c r="H26" s="104">
        <f t="shared" si="3"/>
        <v>8</v>
      </c>
      <c r="I26" s="114">
        <v>3.0</v>
      </c>
      <c r="J26" s="115"/>
      <c r="K26" s="115"/>
      <c r="L26" s="115">
        <f t="shared" ref="L26:M26" si="24">U26*(1+$L$2)</f>
        <v>0</v>
      </c>
      <c r="M26" s="115">
        <f t="shared" si="24"/>
        <v>3937500</v>
      </c>
      <c r="N26" s="116">
        <v>6.0</v>
      </c>
      <c r="O26" s="116"/>
      <c r="P26" s="116"/>
      <c r="Q26" s="107">
        <v>2.0</v>
      </c>
      <c r="R26" s="108">
        <f t="shared" si="4"/>
        <v>8</v>
      </c>
      <c r="S26" s="117"/>
      <c r="T26" s="117"/>
      <c r="U26" s="117">
        <f t="shared" ref="U26:V26" si="25">75000*25*P26</f>
        <v>0</v>
      </c>
      <c r="V26" s="117">
        <f t="shared" si="25"/>
        <v>3750000</v>
      </c>
      <c r="W26" s="60"/>
      <c r="X26" s="60"/>
      <c r="Y26" s="64"/>
      <c r="AB26" s="111">
        <f t="shared" si="5"/>
        <v>0</v>
      </c>
    </row>
    <row r="27" ht="15.75" customHeight="1">
      <c r="A27" s="67"/>
      <c r="B27" s="118"/>
      <c r="C27" s="66" t="s">
        <v>445</v>
      </c>
      <c r="D27" s="113">
        <v>3.0</v>
      </c>
      <c r="E27" s="113"/>
      <c r="F27" s="113">
        <v>1.0</v>
      </c>
      <c r="G27" s="113">
        <v>3.0</v>
      </c>
      <c r="H27" s="104">
        <f t="shared" si="3"/>
        <v>7</v>
      </c>
      <c r="I27" s="114">
        <v>2.0</v>
      </c>
      <c r="J27" s="115"/>
      <c r="K27" s="115"/>
      <c r="L27" s="115">
        <f t="shared" ref="L27:M27" si="26">U27*(1+$L$2)</f>
        <v>2441250</v>
      </c>
      <c r="M27" s="115">
        <f t="shared" si="26"/>
        <v>7323750</v>
      </c>
      <c r="N27" s="116">
        <v>3.0</v>
      </c>
      <c r="O27" s="116"/>
      <c r="P27" s="116">
        <v>1.0</v>
      </c>
      <c r="Q27" s="107">
        <v>3.0</v>
      </c>
      <c r="R27" s="108">
        <f t="shared" si="4"/>
        <v>7</v>
      </c>
      <c r="S27" s="117"/>
      <c r="T27" s="117"/>
      <c r="U27" s="117">
        <f t="shared" ref="U27:V27" si="27">93000*25*P27</f>
        <v>2325000</v>
      </c>
      <c r="V27" s="117">
        <f t="shared" si="27"/>
        <v>6975000</v>
      </c>
      <c r="W27" s="60"/>
      <c r="X27" s="60"/>
      <c r="Y27" s="64"/>
      <c r="AB27" s="111">
        <f t="shared" si="5"/>
        <v>0</v>
      </c>
    </row>
    <row r="28" ht="15.0" customHeight="1">
      <c r="A28" s="67"/>
      <c r="B28" s="87"/>
      <c r="C28" s="66" t="s">
        <v>484</v>
      </c>
      <c r="D28" s="113">
        <v>1.0</v>
      </c>
      <c r="E28" s="113"/>
      <c r="F28" s="113"/>
      <c r="G28" s="113">
        <v>2.0</v>
      </c>
      <c r="H28" s="104">
        <f t="shared" si="3"/>
        <v>3</v>
      </c>
      <c r="I28" s="114">
        <v>1.0</v>
      </c>
      <c r="J28" s="115"/>
      <c r="K28" s="115"/>
      <c r="L28" s="115">
        <f t="shared" ref="L28:M28" si="28">U28*(1+$L$2)</f>
        <v>0</v>
      </c>
      <c r="M28" s="115">
        <f t="shared" si="28"/>
        <v>4882500</v>
      </c>
      <c r="N28" s="116">
        <v>1.0</v>
      </c>
      <c r="O28" s="116"/>
      <c r="P28" s="116"/>
      <c r="Q28" s="107">
        <v>2.0</v>
      </c>
      <c r="R28" s="108">
        <f t="shared" si="4"/>
        <v>3</v>
      </c>
      <c r="S28" s="117"/>
      <c r="T28" s="117"/>
      <c r="U28" s="117"/>
      <c r="V28" s="117">
        <f>93000*25*Q28</f>
        <v>4650000</v>
      </c>
      <c r="W28" s="60"/>
      <c r="X28" s="60"/>
      <c r="Y28" s="64"/>
      <c r="AB28" s="111">
        <f t="shared" si="5"/>
        <v>0</v>
      </c>
    </row>
    <row r="29" ht="15.75" customHeight="1">
      <c r="A29" s="65">
        <v>6.0</v>
      </c>
      <c r="B29" s="102" t="s">
        <v>486</v>
      </c>
      <c r="C29" s="123" t="s">
        <v>486</v>
      </c>
      <c r="D29" s="113"/>
      <c r="E29" s="113">
        <v>1.0</v>
      </c>
      <c r="F29" s="113">
        <v>1.0</v>
      </c>
      <c r="G29" s="113"/>
      <c r="H29" s="104">
        <f t="shared" si="3"/>
        <v>2</v>
      </c>
      <c r="I29" s="114">
        <v>3.0</v>
      </c>
      <c r="J29" s="115"/>
      <c r="K29" s="115"/>
      <c r="L29" s="115"/>
      <c r="M29" s="115">
        <f>V29*(1+$L$2)</f>
        <v>0</v>
      </c>
      <c r="N29" s="116"/>
      <c r="O29" s="116"/>
      <c r="P29" s="116"/>
      <c r="Q29" s="107"/>
      <c r="R29" s="108">
        <f t="shared" si="4"/>
        <v>0</v>
      </c>
      <c r="S29" s="117"/>
      <c r="T29" s="117"/>
      <c r="U29" s="117">
        <f t="shared" ref="U29:U30" si="30">91667*25*P29</f>
        <v>0</v>
      </c>
      <c r="V29" s="117"/>
      <c r="W29" s="60"/>
      <c r="X29" s="60"/>
      <c r="Y29" s="64"/>
      <c r="AB29" s="111">
        <f t="shared" si="5"/>
        <v>-1</v>
      </c>
    </row>
    <row r="30" ht="15.75" customHeight="1">
      <c r="A30" s="65">
        <v>6.0</v>
      </c>
      <c r="B30" s="102" t="s">
        <v>488</v>
      </c>
      <c r="C30" s="66" t="s">
        <v>368</v>
      </c>
      <c r="D30" s="113">
        <v>3.0</v>
      </c>
      <c r="E30" s="113"/>
      <c r="F30" s="113">
        <v>3.0</v>
      </c>
      <c r="G30" s="113"/>
      <c r="H30" s="104">
        <f t="shared" si="3"/>
        <v>6</v>
      </c>
      <c r="I30" s="114">
        <v>3.0</v>
      </c>
      <c r="J30" s="115"/>
      <c r="K30" s="115"/>
      <c r="L30" s="115">
        <f t="shared" ref="L30:M30" si="29">U30*(1+$L$2)</f>
        <v>7218776.25</v>
      </c>
      <c r="M30" s="115">
        <f t="shared" si="29"/>
        <v>0</v>
      </c>
      <c r="N30" s="116">
        <v>1.0</v>
      </c>
      <c r="O30" s="116">
        <v>2.0</v>
      </c>
      <c r="P30" s="116">
        <v>3.0</v>
      </c>
      <c r="Q30" s="107"/>
      <c r="R30" s="108">
        <f t="shared" si="4"/>
        <v>6</v>
      </c>
      <c r="S30" s="117"/>
      <c r="T30" s="117"/>
      <c r="U30" s="117">
        <f t="shared" si="30"/>
        <v>6875025</v>
      </c>
      <c r="V30" s="117"/>
      <c r="W30" s="60"/>
      <c r="X30" s="60"/>
      <c r="Y30" s="64"/>
      <c r="AB30" s="111">
        <f t="shared" si="5"/>
        <v>0</v>
      </c>
    </row>
    <row r="31" ht="15.75" customHeight="1">
      <c r="A31" s="65">
        <v>7.0</v>
      </c>
      <c r="B31" s="112" t="s">
        <v>451</v>
      </c>
      <c r="C31" s="66" t="s">
        <v>452</v>
      </c>
      <c r="D31" s="113">
        <v>10.0</v>
      </c>
      <c r="E31" s="113"/>
      <c r="F31" s="113">
        <v>5.0</v>
      </c>
      <c r="G31" s="113"/>
      <c r="H31" s="104">
        <f t="shared" si="3"/>
        <v>15</v>
      </c>
      <c r="I31" s="114">
        <v>3.0</v>
      </c>
      <c r="J31" s="115"/>
      <c r="K31" s="115"/>
      <c r="L31" s="115">
        <f t="shared" ref="L31:M31" si="31">U31*(1+$L$2)</f>
        <v>14700000</v>
      </c>
      <c r="M31" s="115">
        <f t="shared" si="31"/>
        <v>0</v>
      </c>
      <c r="N31" s="116">
        <v>8.0</v>
      </c>
      <c r="O31" s="116">
        <v>2.0</v>
      </c>
      <c r="P31" s="113">
        <v>5.0</v>
      </c>
      <c r="Q31" s="107"/>
      <c r="R31" s="108">
        <f t="shared" si="4"/>
        <v>15</v>
      </c>
      <c r="S31" s="117"/>
      <c r="T31" s="117"/>
      <c r="U31" s="117">
        <f>112000*25*P31</f>
        <v>14000000</v>
      </c>
      <c r="V31" s="117"/>
      <c r="W31" s="60"/>
      <c r="X31" s="60"/>
      <c r="Y31" s="64"/>
      <c r="AB31" s="111">
        <f t="shared" si="5"/>
        <v>0</v>
      </c>
    </row>
    <row r="32" ht="15.75" customHeight="1">
      <c r="A32" s="67"/>
      <c r="B32" s="112"/>
      <c r="C32" s="131" t="s">
        <v>453</v>
      </c>
      <c r="D32" s="113">
        <v>6.0</v>
      </c>
      <c r="E32" s="113">
        <v>1.0</v>
      </c>
      <c r="F32" s="113"/>
      <c r="G32" s="113"/>
      <c r="H32" s="104">
        <f t="shared" si="3"/>
        <v>7</v>
      </c>
      <c r="I32" s="114">
        <v>3.0</v>
      </c>
      <c r="J32" s="115"/>
      <c r="K32" s="115"/>
      <c r="L32" s="115">
        <f t="shared" ref="L32:M32" si="32">U32*(1+$L$2)</f>
        <v>0</v>
      </c>
      <c r="M32" s="115">
        <f t="shared" si="32"/>
        <v>0</v>
      </c>
      <c r="N32" s="116">
        <v>6.0</v>
      </c>
      <c r="O32" s="116"/>
      <c r="P32" s="116"/>
      <c r="Q32" s="107"/>
      <c r="R32" s="108">
        <f t="shared" si="4"/>
        <v>6</v>
      </c>
      <c r="S32" s="117"/>
      <c r="T32" s="117"/>
      <c r="U32" s="117"/>
      <c r="V32" s="117"/>
      <c r="W32" s="60"/>
      <c r="X32" s="60"/>
      <c r="Y32" s="64"/>
      <c r="AB32" s="111">
        <f t="shared" si="5"/>
        <v>-1</v>
      </c>
    </row>
    <row r="33" ht="15.75" customHeight="1">
      <c r="A33" s="58"/>
      <c r="B33" s="112" t="s">
        <v>257</v>
      </c>
      <c r="C33" s="57"/>
      <c r="D33" s="103">
        <v>2.0</v>
      </c>
      <c r="E33" s="103"/>
      <c r="F33" s="103"/>
      <c r="G33" s="103"/>
      <c r="H33" s="104">
        <f t="shared" si="3"/>
        <v>2</v>
      </c>
      <c r="I33" s="104">
        <v>1.0</v>
      </c>
      <c r="J33" s="105"/>
      <c r="K33" s="105"/>
      <c r="L33" s="115">
        <f t="shared" ref="L33:M33" si="33">U33*(1+$L$2)</f>
        <v>0</v>
      </c>
      <c r="M33" s="115">
        <f t="shared" si="33"/>
        <v>0</v>
      </c>
      <c r="N33" s="106">
        <v>2.0</v>
      </c>
      <c r="O33" s="106"/>
      <c r="P33" s="106"/>
      <c r="Q33" s="107"/>
      <c r="R33" s="108">
        <f t="shared" si="4"/>
        <v>2</v>
      </c>
      <c r="S33" s="109"/>
      <c r="T33" s="109"/>
      <c r="U33" s="109"/>
      <c r="V33" s="109"/>
      <c r="W33" s="59"/>
      <c r="X33" s="59"/>
      <c r="Y33" s="64"/>
      <c r="AB33" s="111">
        <f t="shared" si="5"/>
        <v>0</v>
      </c>
    </row>
    <row r="34" ht="15.75" customHeight="1">
      <c r="A34" s="56">
        <v>8.0</v>
      </c>
      <c r="B34" s="84" t="s">
        <v>455</v>
      </c>
      <c r="C34" s="119" t="s">
        <v>495</v>
      </c>
      <c r="D34" s="146">
        <v>5.0</v>
      </c>
      <c r="E34" s="146"/>
      <c r="F34" s="146">
        <v>1.0</v>
      </c>
      <c r="G34" s="146"/>
      <c r="H34" s="147">
        <f t="shared" si="3"/>
        <v>6</v>
      </c>
      <c r="I34" s="105">
        <v>1.0</v>
      </c>
      <c r="J34" s="105"/>
      <c r="K34" s="148">
        <f>4874132*E34</f>
        <v>0</v>
      </c>
      <c r="L34" s="115">
        <f t="shared" ref="L34:M34" si="34">U34*(1+$L$2)</f>
        <v>3648750</v>
      </c>
      <c r="M34" s="115">
        <f t="shared" si="34"/>
        <v>0</v>
      </c>
      <c r="N34" s="146">
        <v>5.0</v>
      </c>
      <c r="O34" s="146"/>
      <c r="P34" s="146">
        <v>1.0</v>
      </c>
      <c r="Q34" s="149"/>
      <c r="R34" s="149">
        <f t="shared" si="4"/>
        <v>6</v>
      </c>
      <c r="S34" s="150"/>
      <c r="T34" s="150"/>
      <c r="U34" s="150">
        <f>139000*25*P34</f>
        <v>3475000</v>
      </c>
      <c r="V34" s="150"/>
      <c r="W34" s="150"/>
      <c r="X34" s="119"/>
      <c r="Y34" s="127">
        <v>2.0</v>
      </c>
      <c r="AB34" s="111">
        <f t="shared" si="5"/>
        <v>0</v>
      </c>
    </row>
    <row r="35" ht="15.75" customHeight="1">
      <c r="A35" s="65"/>
      <c r="B35" s="118"/>
      <c r="C35" s="121" t="s">
        <v>499</v>
      </c>
      <c r="D35" s="118"/>
      <c r="E35" s="118"/>
      <c r="F35" s="151"/>
      <c r="G35" s="118"/>
      <c r="H35" s="118"/>
      <c r="I35" s="105">
        <v>3.0</v>
      </c>
      <c r="J35" s="115"/>
      <c r="K35" s="152"/>
      <c r="L35" s="115">
        <f t="shared" ref="L35:M35" si="35">U35*(1+$L$2)</f>
        <v>0</v>
      </c>
      <c r="M35" s="115">
        <f t="shared" si="35"/>
        <v>0</v>
      </c>
      <c r="N35" s="118"/>
      <c r="O35" s="118"/>
      <c r="P35" s="118"/>
      <c r="Q35" s="153"/>
      <c r="R35" s="153"/>
      <c r="S35" s="154"/>
      <c r="T35" s="154"/>
      <c r="U35" s="154"/>
      <c r="V35" s="154"/>
      <c r="W35" s="154"/>
      <c r="X35" s="121"/>
      <c r="AB35" s="111">
        <f t="shared" si="5"/>
        <v>0</v>
      </c>
    </row>
    <row r="36" ht="15.75" customHeight="1">
      <c r="A36" s="65"/>
      <c r="B36" s="118"/>
      <c r="C36" s="121" t="s">
        <v>502</v>
      </c>
      <c r="D36" s="118"/>
      <c r="E36" s="118"/>
      <c r="F36" s="151"/>
      <c r="G36" s="118"/>
      <c r="H36" s="118"/>
      <c r="I36" s="105">
        <v>2.0</v>
      </c>
      <c r="J36" s="115"/>
      <c r="K36" s="152"/>
      <c r="L36" s="115">
        <f t="shared" ref="L36:M36" si="36">U36*(1+$L$2)</f>
        <v>0</v>
      </c>
      <c r="M36" s="115">
        <f t="shared" si="36"/>
        <v>0</v>
      </c>
      <c r="N36" s="118"/>
      <c r="O36" s="118"/>
      <c r="P36" s="118"/>
      <c r="Q36" s="153"/>
      <c r="R36" s="153"/>
      <c r="S36" s="154"/>
      <c r="T36" s="154"/>
      <c r="U36" s="154"/>
      <c r="V36" s="154"/>
      <c r="W36" s="154"/>
      <c r="X36" s="121"/>
      <c r="AB36" s="111">
        <f t="shared" si="5"/>
        <v>0</v>
      </c>
    </row>
    <row r="37" ht="15.75" customHeight="1">
      <c r="A37" s="65"/>
      <c r="B37" s="118"/>
      <c r="C37" s="121" t="s">
        <v>503</v>
      </c>
      <c r="D37" s="118"/>
      <c r="E37" s="118"/>
      <c r="F37" s="151"/>
      <c r="G37" s="118"/>
      <c r="H37" s="118"/>
      <c r="I37" s="105">
        <v>3.0</v>
      </c>
      <c r="J37" s="115"/>
      <c r="K37" s="152"/>
      <c r="L37" s="115">
        <f t="shared" ref="L37:M37" si="37">U37*(1+$L$2)</f>
        <v>0</v>
      </c>
      <c r="M37" s="115">
        <f t="shared" si="37"/>
        <v>0</v>
      </c>
      <c r="N37" s="118"/>
      <c r="O37" s="118"/>
      <c r="P37" s="118"/>
      <c r="Q37" s="153"/>
      <c r="R37" s="153"/>
      <c r="S37" s="154"/>
      <c r="T37" s="154"/>
      <c r="U37" s="154"/>
      <c r="V37" s="154"/>
      <c r="W37" s="154"/>
      <c r="X37" s="121"/>
      <c r="AB37" s="111">
        <f t="shared" si="5"/>
        <v>0</v>
      </c>
    </row>
    <row r="38" ht="15.75" customHeight="1">
      <c r="A38" s="65"/>
      <c r="B38" s="118"/>
      <c r="C38" s="121" t="s">
        <v>507</v>
      </c>
      <c r="D38" s="119"/>
      <c r="E38" s="119"/>
      <c r="F38" s="56"/>
      <c r="G38" s="119"/>
      <c r="H38" s="119"/>
      <c r="I38" s="105">
        <v>1.0</v>
      </c>
      <c r="J38" s="115"/>
      <c r="K38" s="105"/>
      <c r="L38" s="115">
        <f t="shared" ref="L38:M38" si="38">U38*(1+$L$2)</f>
        <v>0</v>
      </c>
      <c r="M38" s="115">
        <f t="shared" si="38"/>
        <v>0</v>
      </c>
      <c r="N38" s="119"/>
      <c r="O38" s="119"/>
      <c r="P38" s="119"/>
      <c r="Q38" s="108"/>
      <c r="R38" s="108"/>
      <c r="S38" s="109"/>
      <c r="T38" s="109"/>
      <c r="U38" s="109"/>
      <c r="V38" s="109"/>
      <c r="W38" s="109"/>
      <c r="X38" s="121"/>
      <c r="AB38" s="111">
        <f t="shared" si="5"/>
        <v>0</v>
      </c>
    </row>
    <row r="39" ht="15.75" customHeight="1">
      <c r="A39" s="65">
        <v>3.0</v>
      </c>
      <c r="B39" s="119"/>
      <c r="C39" s="66" t="s">
        <v>511</v>
      </c>
      <c r="D39" s="113">
        <v>1.0</v>
      </c>
      <c r="E39" s="113">
        <v>1.0</v>
      </c>
      <c r="F39" s="113"/>
      <c r="G39" s="113"/>
      <c r="H39" s="104">
        <f t="shared" ref="H39:H110" si="40">SUM(D39:G39)</f>
        <v>2</v>
      </c>
      <c r="I39" s="114">
        <v>1.0</v>
      </c>
      <c r="J39" s="115"/>
      <c r="K39" s="115"/>
      <c r="L39" s="115">
        <f t="shared" ref="L39:M39" si="39">U39*(1+$L$2)</f>
        <v>0</v>
      </c>
      <c r="M39" s="115">
        <f t="shared" si="39"/>
        <v>0</v>
      </c>
      <c r="N39" s="116">
        <v>1.0</v>
      </c>
      <c r="O39" s="116">
        <v>1.0</v>
      </c>
      <c r="P39" s="116"/>
      <c r="Q39" s="107"/>
      <c r="R39" s="108">
        <f t="shared" ref="R39:R110" si="42">SUM(N39:Q39)</f>
        <v>2</v>
      </c>
      <c r="S39" s="117"/>
      <c r="T39" s="117"/>
      <c r="U39" s="117"/>
      <c r="V39" s="117"/>
      <c r="W39" s="60"/>
      <c r="X39" s="60"/>
      <c r="Y39" s="64"/>
      <c r="AB39" s="111">
        <f t="shared" si="5"/>
        <v>0</v>
      </c>
    </row>
    <row r="40" ht="15.75" customHeight="1">
      <c r="A40" s="65" t="s">
        <v>515</v>
      </c>
      <c r="B40" s="84" t="s">
        <v>465</v>
      </c>
      <c r="C40" s="121" t="s">
        <v>468</v>
      </c>
      <c r="D40" s="116">
        <v>3.0</v>
      </c>
      <c r="E40" s="116"/>
      <c r="F40" s="116">
        <v>5.0</v>
      </c>
      <c r="G40" s="116"/>
      <c r="H40" s="104">
        <f t="shared" si="40"/>
        <v>8</v>
      </c>
      <c r="I40" s="115">
        <v>3.0</v>
      </c>
      <c r="J40" s="115"/>
      <c r="K40" s="115"/>
      <c r="L40" s="115">
        <f t="shared" ref="L40:M40" si="41">U40*(1+$L$2)</f>
        <v>11494481.25</v>
      </c>
      <c r="M40" s="115">
        <f t="shared" si="41"/>
        <v>0</v>
      </c>
      <c r="N40" s="116">
        <v>3.0</v>
      </c>
      <c r="O40" s="116"/>
      <c r="P40" s="116">
        <v>5.0</v>
      </c>
      <c r="Q40" s="107"/>
      <c r="R40" s="108">
        <f t="shared" si="42"/>
        <v>8</v>
      </c>
      <c r="S40" s="155"/>
      <c r="T40" s="155"/>
      <c r="U40" s="117">
        <f t="shared" ref="U40:U42" si="44">87577*25*P40</f>
        <v>10947125</v>
      </c>
      <c r="V40" s="155"/>
      <c r="W40" s="121"/>
      <c r="X40" s="121"/>
      <c r="AB40" s="111">
        <f t="shared" si="5"/>
        <v>0</v>
      </c>
    </row>
    <row r="41" ht="15.75" customHeight="1">
      <c r="A41" s="65"/>
      <c r="B41" s="118"/>
      <c r="C41" s="121" t="s">
        <v>472</v>
      </c>
      <c r="D41" s="116">
        <v>4.0</v>
      </c>
      <c r="E41" s="116"/>
      <c r="F41" s="116">
        <v>5.0</v>
      </c>
      <c r="G41" s="116"/>
      <c r="H41" s="104">
        <f t="shared" si="40"/>
        <v>9</v>
      </c>
      <c r="I41" s="115">
        <v>2.0</v>
      </c>
      <c r="J41" s="115"/>
      <c r="K41" s="115"/>
      <c r="L41" s="115">
        <f t="shared" ref="L41:M41" si="43">U41*(1+$L$2)</f>
        <v>11494481.25</v>
      </c>
      <c r="M41" s="115">
        <f t="shared" si="43"/>
        <v>0</v>
      </c>
      <c r="N41" s="116">
        <v>3.0</v>
      </c>
      <c r="O41" s="116">
        <v>1.0</v>
      </c>
      <c r="P41" s="116">
        <v>5.0</v>
      </c>
      <c r="Q41" s="107"/>
      <c r="R41" s="108">
        <f t="shared" si="42"/>
        <v>9</v>
      </c>
      <c r="S41" s="155"/>
      <c r="T41" s="155"/>
      <c r="U41" s="117">
        <f t="shared" si="44"/>
        <v>10947125</v>
      </c>
      <c r="V41" s="155"/>
      <c r="W41" s="121"/>
      <c r="X41" s="121"/>
      <c r="AB41" s="111">
        <f t="shared" si="5"/>
        <v>0</v>
      </c>
    </row>
    <row r="42" ht="15.75" customHeight="1">
      <c r="A42" s="65"/>
      <c r="B42" s="118"/>
      <c r="C42" s="121" t="s">
        <v>519</v>
      </c>
      <c r="D42" s="116">
        <v>3.0</v>
      </c>
      <c r="E42" s="116"/>
      <c r="F42" s="116">
        <v>6.0</v>
      </c>
      <c r="G42" s="116"/>
      <c r="H42" s="104">
        <f t="shared" si="40"/>
        <v>9</v>
      </c>
      <c r="I42" s="115">
        <v>3.0</v>
      </c>
      <c r="J42" s="115"/>
      <c r="K42" s="115"/>
      <c r="L42" s="115">
        <f t="shared" ref="L42:M42" si="45">U42*(1+$L$2)</f>
        <v>13793377.5</v>
      </c>
      <c r="M42" s="115">
        <f t="shared" si="45"/>
        <v>0</v>
      </c>
      <c r="N42" s="116">
        <v>3.0</v>
      </c>
      <c r="O42" s="116"/>
      <c r="P42" s="116">
        <v>6.0</v>
      </c>
      <c r="Q42" s="107"/>
      <c r="R42" s="108">
        <f t="shared" si="42"/>
        <v>9</v>
      </c>
      <c r="S42" s="155"/>
      <c r="T42" s="155"/>
      <c r="U42" s="117">
        <f t="shared" si="44"/>
        <v>13136550</v>
      </c>
      <c r="V42" s="155"/>
      <c r="W42" s="121"/>
      <c r="X42" s="121"/>
      <c r="AB42" s="111">
        <f t="shared" si="5"/>
        <v>0</v>
      </c>
    </row>
    <row r="43" ht="15.75" customHeight="1">
      <c r="A43" s="65"/>
      <c r="B43" s="119"/>
      <c r="C43" s="121" t="s">
        <v>477</v>
      </c>
      <c r="D43" s="116"/>
      <c r="E43" s="116"/>
      <c r="F43" s="116">
        <v>5.0</v>
      </c>
      <c r="G43" s="116"/>
      <c r="H43" s="104">
        <f t="shared" si="40"/>
        <v>5</v>
      </c>
      <c r="I43" s="115">
        <v>2.0</v>
      </c>
      <c r="J43" s="115"/>
      <c r="K43" s="115"/>
      <c r="L43" s="115">
        <f>87577*25*F43</f>
        <v>10947125</v>
      </c>
      <c r="M43" s="115">
        <f t="shared" ref="M43:M45" si="46">V43*(1+$L$2)</f>
        <v>0</v>
      </c>
      <c r="N43" s="116"/>
      <c r="O43" s="116"/>
      <c r="P43" s="116"/>
      <c r="Q43" s="107"/>
      <c r="R43" s="108">
        <f t="shared" si="42"/>
        <v>0</v>
      </c>
      <c r="S43" s="155"/>
      <c r="T43" s="155"/>
      <c r="U43" s="117"/>
      <c r="V43" s="155"/>
      <c r="W43" s="121"/>
      <c r="X43" s="121"/>
      <c r="AB43" s="111">
        <f t="shared" si="5"/>
        <v>0</v>
      </c>
    </row>
    <row r="44" ht="15.75" customHeight="1">
      <c r="A44" s="65">
        <v>10.0</v>
      </c>
      <c r="B44" s="84" t="s">
        <v>479</v>
      </c>
      <c r="C44" s="121" t="s">
        <v>522</v>
      </c>
      <c r="D44" s="116"/>
      <c r="E44" s="116"/>
      <c r="F44" s="116">
        <v>5.0</v>
      </c>
      <c r="G44" s="116"/>
      <c r="H44" s="104">
        <f t="shared" si="40"/>
        <v>5</v>
      </c>
      <c r="I44" s="115">
        <v>1.0</v>
      </c>
      <c r="J44" s="115"/>
      <c r="K44" s="115"/>
      <c r="L44" s="115">
        <f t="shared" ref="L44:L45" si="47">94000*25*F44</f>
        <v>11750000</v>
      </c>
      <c r="M44" s="115">
        <f t="shared" si="46"/>
        <v>0</v>
      </c>
      <c r="N44" s="116"/>
      <c r="O44" s="116"/>
      <c r="P44" s="116"/>
      <c r="Q44" s="107"/>
      <c r="R44" s="108">
        <f t="shared" si="42"/>
        <v>0</v>
      </c>
      <c r="S44" s="155"/>
      <c r="T44" s="155"/>
      <c r="U44" s="117">
        <f>92477*25*P44</f>
        <v>0</v>
      </c>
      <c r="V44" s="155"/>
      <c r="W44" s="121"/>
      <c r="X44" s="121"/>
      <c r="Z44" s="127" t="s">
        <v>481</v>
      </c>
      <c r="AB44" s="111">
        <f t="shared" si="5"/>
        <v>0</v>
      </c>
    </row>
    <row r="45" ht="15.75" customHeight="1">
      <c r="A45" s="65"/>
      <c r="B45" s="118"/>
      <c r="C45" s="121" t="s">
        <v>526</v>
      </c>
      <c r="D45" s="116"/>
      <c r="E45" s="116"/>
      <c r="F45" s="116">
        <v>10.0</v>
      </c>
      <c r="G45" s="116"/>
      <c r="H45" s="104">
        <f t="shared" si="40"/>
        <v>10</v>
      </c>
      <c r="I45" s="115">
        <v>2.0</v>
      </c>
      <c r="J45" s="115"/>
      <c r="K45" s="115"/>
      <c r="L45" s="115">
        <f t="shared" si="47"/>
        <v>23500000</v>
      </c>
      <c r="M45" s="115">
        <f t="shared" si="46"/>
        <v>0</v>
      </c>
      <c r="N45" s="116"/>
      <c r="O45" s="116"/>
      <c r="P45" s="116"/>
      <c r="Q45" s="107"/>
      <c r="R45" s="108">
        <f t="shared" si="42"/>
        <v>0</v>
      </c>
      <c r="S45" s="155"/>
      <c r="T45" s="155"/>
      <c r="U45" s="155"/>
      <c r="V45" s="155"/>
      <c r="W45" s="121"/>
      <c r="X45" s="121"/>
      <c r="Z45" s="127" t="s">
        <v>481</v>
      </c>
      <c r="AB45" s="111">
        <f t="shared" si="5"/>
        <v>0</v>
      </c>
    </row>
    <row r="46" ht="15.75" customHeight="1">
      <c r="A46" s="65"/>
      <c r="B46" s="118"/>
      <c r="C46" s="121" t="s">
        <v>527</v>
      </c>
      <c r="D46" s="116"/>
      <c r="E46" s="116"/>
      <c r="F46" s="116">
        <v>1.0</v>
      </c>
      <c r="G46" s="116"/>
      <c r="H46" s="104">
        <f t="shared" si="40"/>
        <v>1</v>
      </c>
      <c r="I46" s="115">
        <v>1.0</v>
      </c>
      <c r="J46" s="115"/>
      <c r="K46" s="115"/>
      <c r="L46" s="115">
        <f t="shared" ref="L46:M46" si="48">U46*(1+$L$2)</f>
        <v>0</v>
      </c>
      <c r="M46" s="115">
        <f t="shared" si="48"/>
        <v>0</v>
      </c>
      <c r="N46" s="116"/>
      <c r="O46" s="116"/>
      <c r="P46" s="116"/>
      <c r="Q46" s="107"/>
      <c r="R46" s="108">
        <f t="shared" si="42"/>
        <v>0</v>
      </c>
      <c r="S46" s="155"/>
      <c r="T46" s="155"/>
      <c r="U46" s="155"/>
      <c r="V46" s="155"/>
      <c r="W46" s="121"/>
      <c r="X46" s="121"/>
      <c r="AB46" s="111">
        <f t="shared" si="5"/>
        <v>0</v>
      </c>
    </row>
    <row r="47" ht="15.75" customHeight="1">
      <c r="A47" s="65"/>
      <c r="B47" s="118"/>
      <c r="C47" s="157" t="s">
        <v>529</v>
      </c>
      <c r="D47" s="116">
        <v>2.0</v>
      </c>
      <c r="E47" s="116"/>
      <c r="F47" s="116">
        <v>1.0</v>
      </c>
      <c r="G47" s="116">
        <v>2.0</v>
      </c>
      <c r="H47" s="104">
        <f t="shared" si="40"/>
        <v>5</v>
      </c>
      <c r="I47" s="115">
        <v>1.0</v>
      </c>
      <c r="J47" s="115"/>
      <c r="K47" s="115"/>
      <c r="L47" s="115">
        <f t="shared" ref="L47:M47" si="49">U47*(1+$L$2)</f>
        <v>2467500</v>
      </c>
      <c r="M47" s="115">
        <f t="shared" si="49"/>
        <v>3675000</v>
      </c>
      <c r="N47" s="116">
        <v>1.0</v>
      </c>
      <c r="O47" s="116">
        <v>1.0</v>
      </c>
      <c r="P47" s="116">
        <v>1.0</v>
      </c>
      <c r="Q47" s="107">
        <v>2.0</v>
      </c>
      <c r="R47" s="108">
        <f t="shared" si="42"/>
        <v>5</v>
      </c>
      <c r="S47" s="155"/>
      <c r="T47" s="155"/>
      <c r="U47" s="117">
        <f t="shared" ref="U47:U49" si="51">94000*25*P47</f>
        <v>2350000</v>
      </c>
      <c r="V47" s="117">
        <f>70000*25*Q47</f>
        <v>3500000</v>
      </c>
      <c r="W47" s="121"/>
      <c r="X47" s="121"/>
      <c r="Z47" s="127" t="s">
        <v>481</v>
      </c>
      <c r="AB47" s="111">
        <f t="shared" si="5"/>
        <v>0</v>
      </c>
    </row>
    <row r="48" ht="15.75" customHeight="1">
      <c r="A48" s="158"/>
      <c r="B48" s="118"/>
      <c r="C48" s="159" t="s">
        <v>533</v>
      </c>
      <c r="D48" s="160">
        <v>1.0</v>
      </c>
      <c r="E48" s="160"/>
      <c r="F48" s="160">
        <v>4.0</v>
      </c>
      <c r="G48" s="160"/>
      <c r="H48" s="161">
        <f t="shared" si="40"/>
        <v>5</v>
      </c>
      <c r="I48" s="162">
        <v>1.0</v>
      </c>
      <c r="J48" s="162"/>
      <c r="K48" s="162"/>
      <c r="L48" s="115">
        <f t="shared" ref="L48:M48" si="50">U48*(1+$L$2)</f>
        <v>9870000</v>
      </c>
      <c r="M48" s="115">
        <f t="shared" si="50"/>
        <v>0</v>
      </c>
      <c r="N48" s="160"/>
      <c r="O48" s="160">
        <v>1.0</v>
      </c>
      <c r="P48" s="160">
        <v>4.0</v>
      </c>
      <c r="Q48" s="163"/>
      <c r="R48" s="164">
        <f t="shared" si="42"/>
        <v>5</v>
      </c>
      <c r="S48" s="165"/>
      <c r="T48" s="165"/>
      <c r="U48" s="166">
        <f t="shared" si="51"/>
        <v>9400000</v>
      </c>
      <c r="V48" s="165"/>
      <c r="W48" s="159"/>
      <c r="X48" s="159"/>
      <c r="Y48" s="168"/>
      <c r="Z48" s="168"/>
      <c r="AA48" s="168"/>
      <c r="AB48" s="111">
        <f t="shared" si="5"/>
        <v>0</v>
      </c>
    </row>
    <row r="49" ht="15.75" customHeight="1">
      <c r="A49" s="65"/>
      <c r="B49" s="118"/>
      <c r="C49" s="157" t="s">
        <v>489</v>
      </c>
      <c r="D49" s="116">
        <v>5.0</v>
      </c>
      <c r="E49" s="116"/>
      <c r="F49" s="116">
        <v>3.0</v>
      </c>
      <c r="G49" s="116"/>
      <c r="H49" s="104">
        <f t="shared" si="40"/>
        <v>8</v>
      </c>
      <c r="I49" s="115">
        <v>2.0</v>
      </c>
      <c r="J49" s="115"/>
      <c r="K49" s="115"/>
      <c r="L49" s="115">
        <f t="shared" ref="L49:M49" si="52">U49*(1+$L$2)</f>
        <v>9870000</v>
      </c>
      <c r="M49" s="115">
        <f t="shared" si="52"/>
        <v>0</v>
      </c>
      <c r="N49" s="116">
        <v>5.0</v>
      </c>
      <c r="O49" s="116"/>
      <c r="P49" s="116">
        <v>4.0</v>
      </c>
      <c r="Q49" s="107"/>
      <c r="R49" s="108">
        <f t="shared" si="42"/>
        <v>9</v>
      </c>
      <c r="S49" s="155"/>
      <c r="T49" s="155"/>
      <c r="U49" s="117">
        <f t="shared" si="51"/>
        <v>9400000</v>
      </c>
      <c r="V49" s="155"/>
      <c r="W49" s="121"/>
      <c r="X49" s="121"/>
      <c r="AB49" s="111">
        <f t="shared" si="5"/>
        <v>0</v>
      </c>
    </row>
    <row r="50" ht="15.75" customHeight="1">
      <c r="A50" s="65"/>
      <c r="B50" s="118"/>
      <c r="C50" s="121" t="s">
        <v>485</v>
      </c>
      <c r="D50" s="116"/>
      <c r="E50" s="116"/>
      <c r="F50" s="116">
        <v>4.0</v>
      </c>
      <c r="G50" s="116"/>
      <c r="H50" s="104">
        <f t="shared" si="40"/>
        <v>4</v>
      </c>
      <c r="I50" s="115">
        <v>1.0</v>
      </c>
      <c r="J50" s="115"/>
      <c r="K50" s="115"/>
      <c r="L50" s="115">
        <f t="shared" ref="L50:L52" si="53">94000*25*F50</f>
        <v>9400000</v>
      </c>
      <c r="M50" s="115">
        <f t="shared" ref="M50:M52" si="54">V50*(1+$L$2)</f>
        <v>0</v>
      </c>
      <c r="N50" s="116"/>
      <c r="O50" s="116"/>
      <c r="P50" s="116"/>
      <c r="Q50" s="107"/>
      <c r="R50" s="108">
        <f t="shared" si="42"/>
        <v>0</v>
      </c>
      <c r="S50" s="155"/>
      <c r="T50" s="155"/>
      <c r="U50" s="155"/>
      <c r="V50" s="155"/>
      <c r="W50" s="121"/>
      <c r="X50" s="121"/>
      <c r="AB50" s="111">
        <f t="shared" si="5"/>
        <v>0</v>
      </c>
    </row>
    <row r="51" ht="15.75" customHeight="1">
      <c r="A51" s="65"/>
      <c r="B51" s="118"/>
      <c r="C51" s="121" t="s">
        <v>487</v>
      </c>
      <c r="D51" s="116"/>
      <c r="E51" s="116"/>
      <c r="F51" s="116">
        <v>4.0</v>
      </c>
      <c r="G51" s="116"/>
      <c r="H51" s="104">
        <f t="shared" si="40"/>
        <v>4</v>
      </c>
      <c r="I51" s="115">
        <v>1.0</v>
      </c>
      <c r="J51" s="115"/>
      <c r="K51" s="115"/>
      <c r="L51" s="115">
        <f t="shared" si="53"/>
        <v>9400000</v>
      </c>
      <c r="M51" s="115">
        <f t="shared" si="54"/>
        <v>0</v>
      </c>
      <c r="N51" s="116"/>
      <c r="O51" s="116"/>
      <c r="P51" s="116"/>
      <c r="Q51" s="107"/>
      <c r="R51" s="108">
        <f t="shared" si="42"/>
        <v>0</v>
      </c>
      <c r="S51" s="155"/>
      <c r="T51" s="155"/>
      <c r="U51" s="155"/>
      <c r="V51" s="155"/>
      <c r="W51" s="121"/>
      <c r="X51" s="121"/>
      <c r="AB51" s="111">
        <f t="shared" si="5"/>
        <v>0</v>
      </c>
    </row>
    <row r="52" ht="15.75" customHeight="1">
      <c r="A52" s="65"/>
      <c r="B52" s="118"/>
      <c r="C52" s="121" t="s">
        <v>490</v>
      </c>
      <c r="D52" s="116"/>
      <c r="E52" s="116"/>
      <c r="F52" s="116">
        <v>3.0</v>
      </c>
      <c r="G52" s="116"/>
      <c r="H52" s="104">
        <f t="shared" si="40"/>
        <v>3</v>
      </c>
      <c r="I52" s="115">
        <v>1.0</v>
      </c>
      <c r="J52" s="115"/>
      <c r="K52" s="115"/>
      <c r="L52" s="115">
        <f t="shared" si="53"/>
        <v>7050000</v>
      </c>
      <c r="M52" s="115">
        <f t="shared" si="54"/>
        <v>0</v>
      </c>
      <c r="N52" s="116"/>
      <c r="O52" s="116"/>
      <c r="P52" s="116"/>
      <c r="Q52" s="107"/>
      <c r="R52" s="108">
        <f t="shared" si="42"/>
        <v>0</v>
      </c>
      <c r="S52" s="155"/>
      <c r="T52" s="155"/>
      <c r="U52" s="155"/>
      <c r="V52" s="155"/>
      <c r="W52" s="121"/>
      <c r="X52" s="121"/>
      <c r="AB52" s="111">
        <f t="shared" si="5"/>
        <v>0</v>
      </c>
    </row>
    <row r="53" ht="15.75" customHeight="1">
      <c r="A53" s="65"/>
      <c r="B53" s="118"/>
      <c r="C53" s="157" t="s">
        <v>544</v>
      </c>
      <c r="D53" s="116">
        <v>4.0</v>
      </c>
      <c r="E53" s="116"/>
      <c r="F53" s="116">
        <v>11.0</v>
      </c>
      <c r="G53" s="116"/>
      <c r="H53" s="104">
        <f t="shared" si="40"/>
        <v>15</v>
      </c>
      <c r="I53" s="115">
        <v>3.0</v>
      </c>
      <c r="J53" s="115"/>
      <c r="K53" s="115"/>
      <c r="L53" s="115">
        <f t="shared" ref="L53:M53" si="55">U53*(1+$L$2)</f>
        <v>27142500</v>
      </c>
      <c r="M53" s="115">
        <f t="shared" si="55"/>
        <v>0</v>
      </c>
      <c r="N53" s="116">
        <v>4.0</v>
      </c>
      <c r="O53" s="116"/>
      <c r="P53" s="116">
        <v>11.0</v>
      </c>
      <c r="Q53" s="107"/>
      <c r="R53" s="108">
        <f t="shared" si="42"/>
        <v>15</v>
      </c>
      <c r="S53" s="155"/>
      <c r="T53" s="155"/>
      <c r="U53" s="117">
        <f t="shared" ref="U53:U55" si="57">94000*25*P53</f>
        <v>25850000</v>
      </c>
      <c r="V53" s="155"/>
      <c r="W53" s="121"/>
      <c r="X53" s="121"/>
      <c r="AB53" s="111">
        <f t="shared" si="5"/>
        <v>0</v>
      </c>
    </row>
    <row r="54" ht="15.75" customHeight="1">
      <c r="A54" s="65"/>
      <c r="B54" s="118"/>
      <c r="C54" s="157" t="s">
        <v>548</v>
      </c>
      <c r="D54" s="116">
        <v>6.0</v>
      </c>
      <c r="E54" s="116"/>
      <c r="F54" s="116">
        <v>9.0</v>
      </c>
      <c r="G54" s="116"/>
      <c r="H54" s="104">
        <f t="shared" si="40"/>
        <v>15</v>
      </c>
      <c r="I54" s="115">
        <v>3.0</v>
      </c>
      <c r="J54" s="115"/>
      <c r="K54" s="115"/>
      <c r="L54" s="115">
        <f t="shared" ref="L54:M54" si="56">U54*(1+$L$2)</f>
        <v>22207500</v>
      </c>
      <c r="M54" s="115">
        <f t="shared" si="56"/>
        <v>0</v>
      </c>
      <c r="N54" s="116">
        <v>6.0</v>
      </c>
      <c r="O54" s="116"/>
      <c r="P54" s="116">
        <v>9.0</v>
      </c>
      <c r="Q54" s="107"/>
      <c r="R54" s="108">
        <f t="shared" si="42"/>
        <v>15</v>
      </c>
      <c r="S54" s="155"/>
      <c r="T54" s="155"/>
      <c r="U54" s="117">
        <f t="shared" si="57"/>
        <v>21150000</v>
      </c>
      <c r="V54" s="155"/>
      <c r="W54" s="121"/>
      <c r="X54" s="121"/>
      <c r="AB54" s="111">
        <f t="shared" si="5"/>
        <v>0</v>
      </c>
    </row>
    <row r="55" ht="15.75" customHeight="1">
      <c r="A55" s="65"/>
      <c r="B55" s="118"/>
      <c r="C55" s="157" t="s">
        <v>552</v>
      </c>
      <c r="D55" s="116"/>
      <c r="E55" s="116"/>
      <c r="F55" s="116">
        <v>1.0</v>
      </c>
      <c r="G55" s="116"/>
      <c r="H55" s="104">
        <f t="shared" si="40"/>
        <v>1</v>
      </c>
      <c r="I55" s="115"/>
      <c r="J55" s="115"/>
      <c r="K55" s="115"/>
      <c r="L55" s="115">
        <f t="shared" ref="L55:M55" si="58">U55*(1+$L$2)</f>
        <v>2467500</v>
      </c>
      <c r="M55" s="115">
        <f t="shared" si="58"/>
        <v>0</v>
      </c>
      <c r="N55" s="116"/>
      <c r="O55" s="116"/>
      <c r="P55" s="116">
        <v>1.0</v>
      </c>
      <c r="Q55" s="107"/>
      <c r="R55" s="108">
        <f t="shared" si="42"/>
        <v>1</v>
      </c>
      <c r="S55" s="155"/>
      <c r="T55" s="155"/>
      <c r="U55" s="117">
        <f t="shared" si="57"/>
        <v>2350000</v>
      </c>
      <c r="V55" s="155"/>
      <c r="W55" s="121"/>
      <c r="X55" s="121"/>
      <c r="AB55" s="111">
        <f t="shared" si="5"/>
        <v>0</v>
      </c>
    </row>
    <row r="56" ht="15.75" customHeight="1">
      <c r="A56" s="65"/>
      <c r="B56" s="118"/>
      <c r="C56" s="174" t="s">
        <v>555</v>
      </c>
      <c r="D56" s="116">
        <v>4.0</v>
      </c>
      <c r="E56" s="116">
        <v>1.0</v>
      </c>
      <c r="F56" s="116"/>
      <c r="G56" s="116"/>
      <c r="H56" s="104">
        <f t="shared" si="40"/>
        <v>5</v>
      </c>
      <c r="I56" s="115">
        <v>3.0</v>
      </c>
      <c r="J56" s="115"/>
      <c r="K56" s="115"/>
      <c r="L56" s="115">
        <f t="shared" ref="L56:M56" si="59">U56*(1+$L$2)</f>
        <v>0</v>
      </c>
      <c r="M56" s="115">
        <f t="shared" si="59"/>
        <v>0</v>
      </c>
      <c r="N56" s="116">
        <v>2.0</v>
      </c>
      <c r="O56" s="116">
        <v>2.0</v>
      </c>
      <c r="P56" s="116"/>
      <c r="Q56" s="107"/>
      <c r="R56" s="108">
        <f t="shared" si="42"/>
        <v>4</v>
      </c>
      <c r="S56" s="155"/>
      <c r="T56" s="155"/>
      <c r="U56" s="155"/>
      <c r="V56" s="155"/>
      <c r="W56" s="121"/>
      <c r="X56" s="121"/>
      <c r="AB56" s="111">
        <f t="shared" si="5"/>
        <v>-1</v>
      </c>
    </row>
    <row r="57" ht="15.75" customHeight="1">
      <c r="A57" s="70">
        <v>11.0</v>
      </c>
      <c r="B57" s="175" t="s">
        <v>491</v>
      </c>
      <c r="C57" s="157" t="s">
        <v>557</v>
      </c>
      <c r="D57" s="116">
        <v>3.0</v>
      </c>
      <c r="E57" s="116"/>
      <c r="F57" s="116">
        <v>3.0</v>
      </c>
      <c r="G57" s="116">
        <v>18.0</v>
      </c>
      <c r="H57" s="104">
        <f t="shared" si="40"/>
        <v>24</v>
      </c>
      <c r="I57" s="115">
        <v>3.0</v>
      </c>
      <c r="J57" s="115"/>
      <c r="K57" s="115"/>
      <c r="L57" s="115">
        <f t="shared" ref="L57:M57" si="60">U57*(1+$L$2)</f>
        <v>6778642.5</v>
      </c>
      <c r="M57" s="115">
        <f t="shared" si="60"/>
        <v>33075000</v>
      </c>
      <c r="N57" s="116">
        <v>3.0</v>
      </c>
      <c r="O57" s="116"/>
      <c r="P57" s="116">
        <v>3.0</v>
      </c>
      <c r="Q57" s="107">
        <v>18.0</v>
      </c>
      <c r="R57" s="108">
        <f t="shared" si="42"/>
        <v>24</v>
      </c>
      <c r="S57" s="177"/>
      <c r="T57" s="177"/>
      <c r="U57" s="177">
        <f t="shared" ref="U57:U110" si="62">86078*25*P57</f>
        <v>6455850</v>
      </c>
      <c r="V57" s="177">
        <f t="shared" ref="V57:V110" si="63">70000*25*Q57</f>
        <v>31500000</v>
      </c>
      <c r="W57" s="144"/>
      <c r="X57" s="144"/>
      <c r="Y57" s="78" t="s">
        <v>560</v>
      </c>
      <c r="Z57" s="127" t="s">
        <v>494</v>
      </c>
      <c r="AB57" s="111">
        <f t="shared" si="5"/>
        <v>0</v>
      </c>
    </row>
    <row r="58" ht="15.75" customHeight="1">
      <c r="A58" s="70"/>
      <c r="B58" s="118"/>
      <c r="C58" s="157" t="s">
        <v>497</v>
      </c>
      <c r="D58" s="116">
        <v>1.0</v>
      </c>
      <c r="E58" s="116"/>
      <c r="F58" s="116">
        <v>2.0</v>
      </c>
      <c r="G58" s="116">
        <v>6.0</v>
      </c>
      <c r="H58" s="104">
        <f t="shared" si="40"/>
        <v>9</v>
      </c>
      <c r="I58" s="115">
        <v>3.0</v>
      </c>
      <c r="J58" s="115"/>
      <c r="K58" s="115"/>
      <c r="L58" s="115">
        <f t="shared" ref="L58:M58" si="61">U58*(1+$L$2)</f>
        <v>4519095</v>
      </c>
      <c r="M58" s="115">
        <f t="shared" si="61"/>
        <v>11025000</v>
      </c>
      <c r="N58" s="116">
        <v>1.0</v>
      </c>
      <c r="O58" s="116"/>
      <c r="P58" s="116">
        <v>2.0</v>
      </c>
      <c r="Q58" s="107">
        <v>6.0</v>
      </c>
      <c r="R58" s="108">
        <f t="shared" si="42"/>
        <v>9</v>
      </c>
      <c r="S58" s="177"/>
      <c r="T58" s="177"/>
      <c r="U58" s="177">
        <f t="shared" si="62"/>
        <v>4303900</v>
      </c>
      <c r="V58" s="177">
        <f t="shared" si="63"/>
        <v>10500000</v>
      </c>
      <c r="W58" s="144"/>
      <c r="X58" s="144"/>
      <c r="Y58" s="78" t="s">
        <v>493</v>
      </c>
      <c r="AB58" s="111">
        <f t="shared" si="5"/>
        <v>0</v>
      </c>
    </row>
    <row r="59" ht="15.75" customHeight="1">
      <c r="A59" s="70"/>
      <c r="B59" s="118"/>
      <c r="C59" s="157" t="s">
        <v>501</v>
      </c>
      <c r="D59" s="116"/>
      <c r="E59" s="116"/>
      <c r="F59" s="116">
        <v>3.0</v>
      </c>
      <c r="G59" s="116"/>
      <c r="H59" s="104">
        <f t="shared" si="40"/>
        <v>3</v>
      </c>
      <c r="I59" s="115">
        <v>1.0</v>
      </c>
      <c r="J59" s="115"/>
      <c r="K59" s="115"/>
      <c r="L59" s="115">
        <f>86078*25*F59</f>
        <v>6455850</v>
      </c>
      <c r="M59" s="115">
        <f>V59*(1+$L$2)</f>
        <v>0</v>
      </c>
      <c r="N59" s="116"/>
      <c r="O59" s="116"/>
      <c r="P59" s="116"/>
      <c r="Q59" s="107"/>
      <c r="R59" s="108">
        <f t="shared" si="42"/>
        <v>0</v>
      </c>
      <c r="S59" s="177"/>
      <c r="T59" s="177"/>
      <c r="U59" s="177">
        <f t="shared" si="62"/>
        <v>0</v>
      </c>
      <c r="V59" s="177">
        <f t="shared" si="63"/>
        <v>0</v>
      </c>
      <c r="W59" s="144"/>
      <c r="X59" s="144"/>
      <c r="Y59" s="78" t="s">
        <v>493</v>
      </c>
      <c r="AB59" s="111">
        <f t="shared" si="5"/>
        <v>0</v>
      </c>
    </row>
    <row r="60" ht="15.75" customHeight="1">
      <c r="A60" s="70"/>
      <c r="B60" s="118"/>
      <c r="C60" s="157" t="s">
        <v>505</v>
      </c>
      <c r="D60" s="116">
        <v>1.0</v>
      </c>
      <c r="E60" s="116"/>
      <c r="F60" s="116">
        <v>2.0</v>
      </c>
      <c r="G60" s="116">
        <v>3.0</v>
      </c>
      <c r="H60" s="104">
        <f t="shared" si="40"/>
        <v>6</v>
      </c>
      <c r="I60" s="115">
        <v>3.0</v>
      </c>
      <c r="J60" s="115"/>
      <c r="K60" s="115"/>
      <c r="L60" s="115">
        <f t="shared" ref="L60:M60" si="64">U60*(1+$L$2)</f>
        <v>4519095</v>
      </c>
      <c r="M60" s="115">
        <f t="shared" si="64"/>
        <v>5512500</v>
      </c>
      <c r="N60" s="116">
        <v>1.0</v>
      </c>
      <c r="O60" s="116"/>
      <c r="P60" s="116">
        <v>2.0</v>
      </c>
      <c r="Q60" s="107">
        <v>3.0</v>
      </c>
      <c r="R60" s="108">
        <f t="shared" si="42"/>
        <v>6</v>
      </c>
      <c r="S60" s="177"/>
      <c r="T60" s="177"/>
      <c r="U60" s="177">
        <f t="shared" si="62"/>
        <v>4303900</v>
      </c>
      <c r="V60" s="177">
        <f t="shared" si="63"/>
        <v>5250000</v>
      </c>
      <c r="W60" s="144"/>
      <c r="X60" s="144"/>
      <c r="Y60" s="78" t="s">
        <v>560</v>
      </c>
      <c r="Z60" s="127" t="s">
        <v>565</v>
      </c>
      <c r="AB60" s="111">
        <f t="shared" si="5"/>
        <v>0</v>
      </c>
    </row>
    <row r="61" ht="15.75" customHeight="1">
      <c r="A61" s="70"/>
      <c r="B61" s="118"/>
      <c r="C61" s="157" t="s">
        <v>510</v>
      </c>
      <c r="D61" s="116"/>
      <c r="E61" s="116"/>
      <c r="F61" s="116">
        <v>3.0</v>
      </c>
      <c r="G61" s="116">
        <v>3.0</v>
      </c>
      <c r="H61" s="104">
        <f t="shared" si="40"/>
        <v>6</v>
      </c>
      <c r="I61" s="115">
        <v>3.0</v>
      </c>
      <c r="J61" s="115"/>
      <c r="K61" s="115"/>
      <c r="L61" s="115">
        <f t="shared" ref="L61:M61" si="65">U61*(1+$L$2)</f>
        <v>6778642.5</v>
      </c>
      <c r="M61" s="115">
        <f t="shared" si="65"/>
        <v>5512500</v>
      </c>
      <c r="N61" s="116"/>
      <c r="O61" s="116"/>
      <c r="P61" s="116">
        <v>3.0</v>
      </c>
      <c r="Q61" s="107">
        <v>3.0</v>
      </c>
      <c r="R61" s="108">
        <f t="shared" si="42"/>
        <v>6</v>
      </c>
      <c r="S61" s="177"/>
      <c r="T61" s="177"/>
      <c r="U61" s="177">
        <f t="shared" si="62"/>
        <v>6455850</v>
      </c>
      <c r="V61" s="177">
        <f t="shared" si="63"/>
        <v>5250000</v>
      </c>
      <c r="W61" s="144"/>
      <c r="X61" s="144"/>
      <c r="Y61" s="78" t="s">
        <v>560</v>
      </c>
      <c r="AB61" s="111">
        <f t="shared" si="5"/>
        <v>0</v>
      </c>
    </row>
    <row r="62" ht="15.75" customHeight="1">
      <c r="A62" s="70"/>
      <c r="B62" s="118"/>
      <c r="C62" s="157" t="s">
        <v>514</v>
      </c>
      <c r="D62" s="116"/>
      <c r="E62" s="116"/>
      <c r="F62" s="116">
        <v>7.0</v>
      </c>
      <c r="G62" s="116"/>
      <c r="H62" s="104">
        <f t="shared" si="40"/>
        <v>7</v>
      </c>
      <c r="I62" s="115">
        <v>3.0</v>
      </c>
      <c r="J62" s="115"/>
      <c r="K62" s="115"/>
      <c r="L62" s="115">
        <f>86078*25*F62</f>
        <v>15063650</v>
      </c>
      <c r="M62" s="115">
        <f>V62*(1+$L$2)</f>
        <v>0</v>
      </c>
      <c r="N62" s="116"/>
      <c r="O62" s="116"/>
      <c r="P62" s="116"/>
      <c r="Q62" s="107"/>
      <c r="R62" s="108">
        <f t="shared" si="42"/>
        <v>0</v>
      </c>
      <c r="S62" s="177"/>
      <c r="T62" s="177"/>
      <c r="U62" s="177">
        <f t="shared" si="62"/>
        <v>0</v>
      </c>
      <c r="V62" s="177">
        <f t="shared" si="63"/>
        <v>0</v>
      </c>
      <c r="W62" s="144"/>
      <c r="X62" s="144"/>
      <c r="Y62" s="78" t="s">
        <v>560</v>
      </c>
      <c r="AB62" s="111">
        <f t="shared" si="5"/>
        <v>0</v>
      </c>
    </row>
    <row r="63" ht="15.75" customHeight="1">
      <c r="A63" s="70"/>
      <c r="B63" s="118"/>
      <c r="C63" s="157" t="s">
        <v>516</v>
      </c>
      <c r="D63" s="116">
        <v>1.0</v>
      </c>
      <c r="E63" s="116"/>
      <c r="F63" s="116">
        <v>2.0</v>
      </c>
      <c r="G63" s="116">
        <v>3.0</v>
      </c>
      <c r="H63" s="104">
        <f t="shared" si="40"/>
        <v>6</v>
      </c>
      <c r="I63" s="115">
        <v>3.0</v>
      </c>
      <c r="J63" s="115"/>
      <c r="K63" s="115"/>
      <c r="L63" s="115">
        <f t="shared" ref="L63:M63" si="66">U63*(1+$L$2)</f>
        <v>4519095</v>
      </c>
      <c r="M63" s="115">
        <f t="shared" si="66"/>
        <v>5512500</v>
      </c>
      <c r="N63" s="116">
        <v>1.0</v>
      </c>
      <c r="O63" s="116"/>
      <c r="P63" s="116">
        <v>2.0</v>
      </c>
      <c r="Q63" s="107">
        <v>3.0</v>
      </c>
      <c r="R63" s="108">
        <f t="shared" si="42"/>
        <v>6</v>
      </c>
      <c r="S63" s="177"/>
      <c r="T63" s="177"/>
      <c r="U63" s="177">
        <f t="shared" si="62"/>
        <v>4303900</v>
      </c>
      <c r="V63" s="177">
        <f t="shared" si="63"/>
        <v>5250000</v>
      </c>
      <c r="W63" s="144"/>
      <c r="X63" s="144"/>
      <c r="Y63" s="78" t="s">
        <v>493</v>
      </c>
      <c r="Z63" s="127" t="s">
        <v>518</v>
      </c>
      <c r="AB63" s="111">
        <f t="shared" si="5"/>
        <v>0</v>
      </c>
    </row>
    <row r="64" ht="15.0" customHeight="1">
      <c r="A64" s="70"/>
      <c r="B64" s="118"/>
      <c r="C64" s="157" t="s">
        <v>520</v>
      </c>
      <c r="D64" s="116"/>
      <c r="E64" s="116"/>
      <c r="F64" s="116"/>
      <c r="G64" s="116">
        <v>4.0</v>
      </c>
      <c r="H64" s="104">
        <f t="shared" si="40"/>
        <v>4</v>
      </c>
      <c r="I64" s="115">
        <v>2.0</v>
      </c>
      <c r="J64" s="115"/>
      <c r="K64" s="115"/>
      <c r="L64" s="115">
        <f t="shared" ref="L64:M64" si="67">U64*(1+$L$2)</f>
        <v>0</v>
      </c>
      <c r="M64" s="115">
        <f t="shared" si="67"/>
        <v>7350000</v>
      </c>
      <c r="N64" s="116"/>
      <c r="O64" s="116"/>
      <c r="P64" s="116"/>
      <c r="Q64" s="107">
        <v>4.0</v>
      </c>
      <c r="R64" s="108">
        <f t="shared" si="42"/>
        <v>4</v>
      </c>
      <c r="S64" s="177"/>
      <c r="T64" s="177"/>
      <c r="U64" s="177">
        <f t="shared" si="62"/>
        <v>0</v>
      </c>
      <c r="V64" s="177">
        <f t="shared" si="63"/>
        <v>7000000</v>
      </c>
      <c r="W64" s="144"/>
      <c r="X64" s="144"/>
      <c r="Y64" s="78" t="s">
        <v>493</v>
      </c>
      <c r="AB64" s="111">
        <f t="shared" si="5"/>
        <v>0</v>
      </c>
    </row>
    <row r="65" ht="15.75" customHeight="1">
      <c r="A65" s="70"/>
      <c r="B65" s="118"/>
      <c r="C65" s="157" t="s">
        <v>572</v>
      </c>
      <c r="D65" s="116"/>
      <c r="E65" s="116"/>
      <c r="F65" s="116"/>
      <c r="G65" s="116">
        <v>9.0</v>
      </c>
      <c r="H65" s="104">
        <f t="shared" si="40"/>
        <v>9</v>
      </c>
      <c r="I65" s="115">
        <v>3.0</v>
      </c>
      <c r="J65" s="115"/>
      <c r="K65" s="115"/>
      <c r="L65" s="115">
        <f t="shared" ref="L65:M65" si="68">U65*(1+$L$2)</f>
        <v>0</v>
      </c>
      <c r="M65" s="115">
        <f t="shared" si="68"/>
        <v>16537500</v>
      </c>
      <c r="N65" s="116"/>
      <c r="O65" s="116"/>
      <c r="P65" s="116"/>
      <c r="Q65" s="107">
        <v>9.0</v>
      </c>
      <c r="R65" s="108">
        <f t="shared" si="42"/>
        <v>9</v>
      </c>
      <c r="S65" s="177"/>
      <c r="T65" s="177"/>
      <c r="U65" s="177">
        <f t="shared" si="62"/>
        <v>0</v>
      </c>
      <c r="V65" s="177">
        <f t="shared" si="63"/>
        <v>15750000</v>
      </c>
      <c r="W65" s="144"/>
      <c r="X65" s="144"/>
      <c r="Y65" s="78" t="s">
        <v>493</v>
      </c>
      <c r="AB65" s="111">
        <f t="shared" si="5"/>
        <v>0</v>
      </c>
    </row>
    <row r="66" ht="15.75" customHeight="1">
      <c r="A66" s="70"/>
      <c r="B66" s="118"/>
      <c r="C66" s="157" t="s">
        <v>574</v>
      </c>
      <c r="D66" s="116">
        <v>1.0</v>
      </c>
      <c r="E66" s="116"/>
      <c r="F66" s="116">
        <v>2.0</v>
      </c>
      <c r="G66" s="116">
        <v>3.0</v>
      </c>
      <c r="H66" s="104">
        <f t="shared" si="40"/>
        <v>6</v>
      </c>
      <c r="I66" s="115">
        <v>3.0</v>
      </c>
      <c r="J66" s="115"/>
      <c r="K66" s="115"/>
      <c r="L66" s="115">
        <f t="shared" ref="L66:M66" si="69">U66*(1+$L$2)</f>
        <v>2259547.5</v>
      </c>
      <c r="M66" s="115">
        <f t="shared" si="69"/>
        <v>7350000</v>
      </c>
      <c r="N66" s="116">
        <v>1.0</v>
      </c>
      <c r="O66" s="116"/>
      <c r="P66" s="116">
        <v>1.0</v>
      </c>
      <c r="Q66" s="107">
        <v>4.0</v>
      </c>
      <c r="R66" s="108">
        <f t="shared" si="42"/>
        <v>6</v>
      </c>
      <c r="S66" s="177"/>
      <c r="T66" s="177"/>
      <c r="U66" s="177">
        <f t="shared" si="62"/>
        <v>2151950</v>
      </c>
      <c r="V66" s="177">
        <f t="shared" si="63"/>
        <v>7000000</v>
      </c>
      <c r="W66" s="144"/>
      <c r="X66" s="144"/>
      <c r="Y66" s="78" t="s">
        <v>493</v>
      </c>
      <c r="AB66" s="111">
        <f t="shared" si="5"/>
        <v>0</v>
      </c>
    </row>
    <row r="67" ht="15.75" customHeight="1">
      <c r="A67" s="70"/>
      <c r="B67" s="118"/>
      <c r="C67" s="157" t="s">
        <v>573</v>
      </c>
      <c r="D67" s="116"/>
      <c r="E67" s="116"/>
      <c r="F67" s="116">
        <v>1.0</v>
      </c>
      <c r="G67" s="116"/>
      <c r="H67" s="104">
        <f t="shared" si="40"/>
        <v>1</v>
      </c>
      <c r="I67" s="115">
        <v>1.0</v>
      </c>
      <c r="J67" s="115"/>
      <c r="K67" s="115"/>
      <c r="L67" s="115">
        <f t="shared" ref="L67:M67" si="70">U67*(1+$L$2)</f>
        <v>2259547.5</v>
      </c>
      <c r="M67" s="115">
        <f t="shared" si="70"/>
        <v>0</v>
      </c>
      <c r="N67" s="116"/>
      <c r="O67" s="116"/>
      <c r="P67" s="116">
        <v>1.0</v>
      </c>
      <c r="Q67" s="107"/>
      <c r="R67" s="108">
        <f t="shared" si="42"/>
        <v>1</v>
      </c>
      <c r="S67" s="177"/>
      <c r="T67" s="177"/>
      <c r="U67" s="177">
        <f t="shared" si="62"/>
        <v>2151950</v>
      </c>
      <c r="V67" s="177">
        <f t="shared" si="63"/>
        <v>0</v>
      </c>
      <c r="W67" s="144"/>
      <c r="X67" s="144"/>
      <c r="Y67" s="78" t="s">
        <v>493</v>
      </c>
      <c r="AB67" s="111">
        <f t="shared" si="5"/>
        <v>0</v>
      </c>
    </row>
    <row r="68" ht="15.75" customHeight="1">
      <c r="A68" s="70"/>
      <c r="B68" s="118"/>
      <c r="C68" s="157" t="s">
        <v>555</v>
      </c>
      <c r="D68" s="116">
        <v>5.0</v>
      </c>
      <c r="E68" s="116"/>
      <c r="F68" s="116"/>
      <c r="G68" s="116"/>
      <c r="H68" s="104">
        <f t="shared" si="40"/>
        <v>5</v>
      </c>
      <c r="I68" s="115">
        <v>3.0</v>
      </c>
      <c r="J68" s="115"/>
      <c r="K68" s="115"/>
      <c r="L68" s="115">
        <f t="shared" ref="L68:M68" si="71">U68*(1+$L$2)</f>
        <v>0</v>
      </c>
      <c r="M68" s="115">
        <f t="shared" si="71"/>
        <v>0</v>
      </c>
      <c r="N68" s="116">
        <v>4.0</v>
      </c>
      <c r="O68" s="116">
        <v>1.0</v>
      </c>
      <c r="P68" s="116"/>
      <c r="Q68" s="107"/>
      <c r="R68" s="108">
        <f t="shared" si="42"/>
        <v>5</v>
      </c>
      <c r="S68" s="177"/>
      <c r="T68" s="177"/>
      <c r="U68" s="177">
        <f t="shared" si="62"/>
        <v>0</v>
      </c>
      <c r="V68" s="177">
        <f t="shared" si="63"/>
        <v>0</v>
      </c>
      <c r="W68" s="144"/>
      <c r="X68" s="144"/>
      <c r="Y68" s="78" t="s">
        <v>493</v>
      </c>
      <c r="AB68" s="111">
        <f t="shared" si="5"/>
        <v>0</v>
      </c>
    </row>
    <row r="69" ht="15.75" customHeight="1">
      <c r="A69" s="70"/>
      <c r="B69" s="118"/>
      <c r="C69" s="157" t="s">
        <v>580</v>
      </c>
      <c r="D69" s="116"/>
      <c r="E69" s="116"/>
      <c r="F69" s="116"/>
      <c r="G69" s="116">
        <v>60.0</v>
      </c>
      <c r="H69" s="104">
        <f t="shared" si="40"/>
        <v>60</v>
      </c>
      <c r="I69" s="115">
        <v>2.0</v>
      </c>
      <c r="J69" s="115"/>
      <c r="K69" s="115"/>
      <c r="L69" s="115">
        <f t="shared" ref="L69:M69" si="72">U69*(1+$L$2)</f>
        <v>0</v>
      </c>
      <c r="M69" s="115">
        <f t="shared" si="72"/>
        <v>110250000</v>
      </c>
      <c r="N69" s="116"/>
      <c r="O69" s="116"/>
      <c r="P69" s="116"/>
      <c r="Q69" s="107">
        <v>60.0</v>
      </c>
      <c r="R69" s="108">
        <f t="shared" si="42"/>
        <v>60</v>
      </c>
      <c r="S69" s="177"/>
      <c r="T69" s="177"/>
      <c r="U69" s="177">
        <f t="shared" si="62"/>
        <v>0</v>
      </c>
      <c r="V69" s="177">
        <f t="shared" si="63"/>
        <v>105000000</v>
      </c>
      <c r="W69" s="144"/>
      <c r="X69" s="144"/>
      <c r="Y69" s="78" t="s">
        <v>583</v>
      </c>
      <c r="Z69" s="127" t="s">
        <v>565</v>
      </c>
      <c r="AB69" s="111">
        <f t="shared" si="5"/>
        <v>0</v>
      </c>
    </row>
    <row r="70" ht="15.75" customHeight="1">
      <c r="A70" s="70"/>
      <c r="B70" s="118"/>
      <c r="C70" s="157" t="s">
        <v>570</v>
      </c>
      <c r="D70" s="116"/>
      <c r="E70" s="116"/>
      <c r="F70" s="116">
        <v>2.0</v>
      </c>
      <c r="G70" s="116"/>
      <c r="H70" s="104">
        <f t="shared" si="40"/>
        <v>2</v>
      </c>
      <c r="I70" s="115">
        <v>1.0</v>
      </c>
      <c r="J70" s="115"/>
      <c r="K70" s="115"/>
      <c r="L70" s="115">
        <f t="shared" ref="L70:M70" si="73">U70*(1+$L$2)</f>
        <v>2259547.5</v>
      </c>
      <c r="M70" s="115">
        <f t="shared" si="73"/>
        <v>1837500</v>
      </c>
      <c r="N70" s="116"/>
      <c r="O70" s="116"/>
      <c r="P70" s="116">
        <v>1.0</v>
      </c>
      <c r="Q70" s="107">
        <v>1.0</v>
      </c>
      <c r="R70" s="108">
        <f t="shared" si="42"/>
        <v>2</v>
      </c>
      <c r="S70" s="177"/>
      <c r="T70" s="177"/>
      <c r="U70" s="177">
        <f t="shared" si="62"/>
        <v>2151950</v>
      </c>
      <c r="V70" s="177">
        <f t="shared" si="63"/>
        <v>1750000</v>
      </c>
      <c r="W70" s="144"/>
      <c r="X70" s="144"/>
      <c r="Y70" s="78" t="s">
        <v>493</v>
      </c>
      <c r="AB70" s="111">
        <f t="shared" si="5"/>
        <v>0</v>
      </c>
    </row>
    <row r="71" ht="15.75" customHeight="1">
      <c r="A71" s="70"/>
      <c r="B71" s="118"/>
      <c r="C71" s="157" t="s">
        <v>587</v>
      </c>
      <c r="D71" s="116"/>
      <c r="E71" s="116"/>
      <c r="F71" s="116"/>
      <c r="G71" s="116">
        <v>3.0</v>
      </c>
      <c r="H71" s="104">
        <f t="shared" si="40"/>
        <v>3</v>
      </c>
      <c r="I71" s="115">
        <v>3.0</v>
      </c>
      <c r="J71" s="115"/>
      <c r="K71" s="115"/>
      <c r="L71" s="115">
        <f t="shared" ref="L71:M71" si="74">U71*(1+$L$2)</f>
        <v>0</v>
      </c>
      <c r="M71" s="115">
        <f t="shared" si="74"/>
        <v>5512500</v>
      </c>
      <c r="N71" s="116"/>
      <c r="O71" s="116"/>
      <c r="P71" s="116"/>
      <c r="Q71" s="107">
        <v>3.0</v>
      </c>
      <c r="R71" s="108">
        <f t="shared" si="42"/>
        <v>3</v>
      </c>
      <c r="S71" s="177"/>
      <c r="T71" s="177"/>
      <c r="U71" s="177">
        <f t="shared" si="62"/>
        <v>0</v>
      </c>
      <c r="V71" s="177">
        <f t="shared" si="63"/>
        <v>5250000</v>
      </c>
      <c r="W71" s="144"/>
      <c r="X71" s="144"/>
      <c r="Y71" s="78" t="s">
        <v>493</v>
      </c>
      <c r="AB71" s="111">
        <f t="shared" si="5"/>
        <v>0</v>
      </c>
    </row>
    <row r="72" ht="15.75" customHeight="1">
      <c r="A72" s="70"/>
      <c r="B72" s="118"/>
      <c r="C72" s="157" t="s">
        <v>590</v>
      </c>
      <c r="D72" s="116"/>
      <c r="E72" s="116"/>
      <c r="F72" s="116"/>
      <c r="G72" s="116">
        <v>12.0</v>
      </c>
      <c r="H72" s="104">
        <f t="shared" si="40"/>
        <v>12</v>
      </c>
      <c r="I72" s="115">
        <v>2.0</v>
      </c>
      <c r="J72" s="115"/>
      <c r="K72" s="115"/>
      <c r="L72" s="115">
        <f t="shared" ref="L72:M72" si="75">U72*(1+$L$2)</f>
        <v>0</v>
      </c>
      <c r="M72" s="115">
        <f t="shared" si="75"/>
        <v>22050000</v>
      </c>
      <c r="N72" s="116"/>
      <c r="O72" s="116"/>
      <c r="P72" s="116"/>
      <c r="Q72" s="107">
        <v>12.0</v>
      </c>
      <c r="R72" s="108">
        <f t="shared" si="42"/>
        <v>12</v>
      </c>
      <c r="S72" s="177"/>
      <c r="T72" s="177"/>
      <c r="U72" s="177">
        <f t="shared" si="62"/>
        <v>0</v>
      </c>
      <c r="V72" s="177">
        <f t="shared" si="63"/>
        <v>21000000</v>
      </c>
      <c r="W72" s="144"/>
      <c r="X72" s="144"/>
      <c r="Y72" s="78" t="s">
        <v>583</v>
      </c>
      <c r="AB72" s="111">
        <f t="shared" si="5"/>
        <v>0</v>
      </c>
    </row>
    <row r="73" ht="15.75" customHeight="1">
      <c r="A73" s="70"/>
      <c r="B73" s="118"/>
      <c r="C73" s="157" t="s">
        <v>593</v>
      </c>
      <c r="D73" s="116">
        <v>1.0</v>
      </c>
      <c r="E73" s="116"/>
      <c r="F73" s="116"/>
      <c r="G73" s="116">
        <v>1.0</v>
      </c>
      <c r="H73" s="104">
        <f t="shared" si="40"/>
        <v>2</v>
      </c>
      <c r="I73" s="115">
        <v>1.0</v>
      </c>
      <c r="J73" s="115"/>
      <c r="K73" s="115"/>
      <c r="L73" s="115">
        <f t="shared" ref="L73:M73" si="76">U73*(1+$L$2)</f>
        <v>0</v>
      </c>
      <c r="M73" s="115">
        <f t="shared" si="76"/>
        <v>1837500</v>
      </c>
      <c r="N73" s="116">
        <v>1.0</v>
      </c>
      <c r="O73" s="116"/>
      <c r="P73" s="116"/>
      <c r="Q73" s="107">
        <v>1.0</v>
      </c>
      <c r="R73" s="108">
        <f t="shared" si="42"/>
        <v>2</v>
      </c>
      <c r="S73" s="177"/>
      <c r="T73" s="177"/>
      <c r="U73" s="177">
        <f t="shared" si="62"/>
        <v>0</v>
      </c>
      <c r="V73" s="177">
        <f t="shared" si="63"/>
        <v>1750000</v>
      </c>
      <c r="W73" s="144"/>
      <c r="X73" s="144"/>
      <c r="Y73" s="78" t="s">
        <v>493</v>
      </c>
      <c r="AB73" s="111">
        <f t="shared" si="5"/>
        <v>0</v>
      </c>
    </row>
    <row r="74" ht="15.75" customHeight="1">
      <c r="A74" s="70"/>
      <c r="B74" s="118"/>
      <c r="C74" s="157" t="s">
        <v>594</v>
      </c>
      <c r="D74" s="116"/>
      <c r="E74" s="116"/>
      <c r="F74" s="116">
        <v>1.0</v>
      </c>
      <c r="G74" s="116">
        <v>1.0</v>
      </c>
      <c r="H74" s="104">
        <f t="shared" si="40"/>
        <v>2</v>
      </c>
      <c r="I74" s="115">
        <v>1.0</v>
      </c>
      <c r="J74" s="115"/>
      <c r="K74" s="115"/>
      <c r="L74" s="115">
        <f t="shared" ref="L74:L78" si="77">86078*25*F74</f>
        <v>2151950</v>
      </c>
      <c r="M74" s="115">
        <f t="shared" ref="M74:M79" si="78">70000*25*G74</f>
        <v>1750000</v>
      </c>
      <c r="N74" s="116"/>
      <c r="O74" s="116"/>
      <c r="P74" s="116"/>
      <c r="Q74" s="107"/>
      <c r="R74" s="108">
        <f t="shared" si="42"/>
        <v>0</v>
      </c>
      <c r="S74" s="177"/>
      <c r="T74" s="177"/>
      <c r="U74" s="177">
        <f t="shared" si="62"/>
        <v>0</v>
      </c>
      <c r="V74" s="177">
        <f t="shared" si="63"/>
        <v>0</v>
      </c>
      <c r="W74" s="144"/>
      <c r="X74" s="144"/>
      <c r="Y74" s="78" t="s">
        <v>493</v>
      </c>
      <c r="AB74" s="111">
        <f t="shared" si="5"/>
        <v>0</v>
      </c>
    </row>
    <row r="75" ht="15.75" customHeight="1">
      <c r="A75" s="70"/>
      <c r="B75" s="118"/>
      <c r="C75" s="157" t="s">
        <v>596</v>
      </c>
      <c r="D75" s="116"/>
      <c r="E75" s="116"/>
      <c r="F75" s="116">
        <v>3.0</v>
      </c>
      <c r="G75" s="116">
        <v>9.0</v>
      </c>
      <c r="H75" s="104">
        <f t="shared" si="40"/>
        <v>12</v>
      </c>
      <c r="I75" s="115">
        <v>3.0</v>
      </c>
      <c r="J75" s="115"/>
      <c r="K75" s="115"/>
      <c r="L75" s="115">
        <f t="shared" si="77"/>
        <v>6455850</v>
      </c>
      <c r="M75" s="115">
        <f t="shared" si="78"/>
        <v>15750000</v>
      </c>
      <c r="N75" s="116"/>
      <c r="O75" s="116"/>
      <c r="P75" s="116"/>
      <c r="Q75" s="107"/>
      <c r="R75" s="108">
        <f t="shared" si="42"/>
        <v>0</v>
      </c>
      <c r="S75" s="177"/>
      <c r="T75" s="177"/>
      <c r="U75" s="177">
        <f t="shared" si="62"/>
        <v>0</v>
      </c>
      <c r="V75" s="177">
        <f t="shared" si="63"/>
        <v>0</v>
      </c>
      <c r="W75" s="144"/>
      <c r="X75" s="144"/>
      <c r="Y75" s="78"/>
      <c r="AB75" s="111">
        <f t="shared" si="5"/>
        <v>0</v>
      </c>
    </row>
    <row r="76" ht="15.75" customHeight="1">
      <c r="A76" s="70"/>
      <c r="B76" s="118"/>
      <c r="C76" s="157" t="s">
        <v>599</v>
      </c>
      <c r="D76" s="116"/>
      <c r="E76" s="116"/>
      <c r="F76" s="116">
        <v>3.0</v>
      </c>
      <c r="G76" s="116">
        <v>9.0</v>
      </c>
      <c r="H76" s="104">
        <f t="shared" si="40"/>
        <v>12</v>
      </c>
      <c r="I76" s="115">
        <v>3.0</v>
      </c>
      <c r="J76" s="115"/>
      <c r="K76" s="115"/>
      <c r="L76" s="115">
        <f t="shared" si="77"/>
        <v>6455850</v>
      </c>
      <c r="M76" s="115">
        <f t="shared" si="78"/>
        <v>15750000</v>
      </c>
      <c r="N76" s="116"/>
      <c r="O76" s="116"/>
      <c r="P76" s="116"/>
      <c r="Q76" s="107"/>
      <c r="R76" s="108">
        <f t="shared" si="42"/>
        <v>0</v>
      </c>
      <c r="S76" s="177"/>
      <c r="T76" s="177"/>
      <c r="U76" s="177">
        <f t="shared" si="62"/>
        <v>0</v>
      </c>
      <c r="V76" s="177">
        <f t="shared" si="63"/>
        <v>0</v>
      </c>
      <c r="W76" s="144"/>
      <c r="X76" s="144"/>
      <c r="Y76" s="78"/>
      <c r="AB76" s="111">
        <f t="shared" si="5"/>
        <v>0</v>
      </c>
    </row>
    <row r="77" ht="15.75" customHeight="1">
      <c r="A77" s="70"/>
      <c r="B77" s="118"/>
      <c r="C77" s="157" t="s">
        <v>596</v>
      </c>
      <c r="D77" s="116"/>
      <c r="E77" s="116"/>
      <c r="F77" s="116">
        <v>3.0</v>
      </c>
      <c r="G77" s="116">
        <v>9.0</v>
      </c>
      <c r="H77" s="104">
        <f t="shared" si="40"/>
        <v>12</v>
      </c>
      <c r="I77" s="115">
        <v>3.0</v>
      </c>
      <c r="J77" s="115"/>
      <c r="K77" s="115"/>
      <c r="L77" s="115">
        <f t="shared" si="77"/>
        <v>6455850</v>
      </c>
      <c r="M77" s="115">
        <f t="shared" si="78"/>
        <v>15750000</v>
      </c>
      <c r="N77" s="116"/>
      <c r="O77" s="116"/>
      <c r="P77" s="116"/>
      <c r="Q77" s="107"/>
      <c r="R77" s="108">
        <f t="shared" si="42"/>
        <v>0</v>
      </c>
      <c r="S77" s="177"/>
      <c r="T77" s="177"/>
      <c r="U77" s="177">
        <f t="shared" si="62"/>
        <v>0</v>
      </c>
      <c r="V77" s="177">
        <f t="shared" si="63"/>
        <v>0</v>
      </c>
      <c r="W77" s="144"/>
      <c r="X77" s="144"/>
      <c r="Y77" s="78"/>
      <c r="AB77" s="111">
        <f t="shared" si="5"/>
        <v>0</v>
      </c>
    </row>
    <row r="78" ht="15.75" customHeight="1">
      <c r="A78" s="70"/>
      <c r="B78" s="118"/>
      <c r="C78" s="157" t="s">
        <v>602</v>
      </c>
      <c r="D78" s="116"/>
      <c r="E78" s="116"/>
      <c r="F78" s="116">
        <v>3.0</v>
      </c>
      <c r="G78" s="116">
        <v>9.0</v>
      </c>
      <c r="H78" s="104">
        <f t="shared" si="40"/>
        <v>12</v>
      </c>
      <c r="I78" s="115">
        <v>3.0</v>
      </c>
      <c r="J78" s="115"/>
      <c r="K78" s="115"/>
      <c r="L78" s="115">
        <f t="shared" si="77"/>
        <v>6455850</v>
      </c>
      <c r="M78" s="115">
        <f t="shared" si="78"/>
        <v>15750000</v>
      </c>
      <c r="N78" s="116"/>
      <c r="O78" s="116"/>
      <c r="P78" s="116"/>
      <c r="Q78" s="107"/>
      <c r="R78" s="108">
        <f t="shared" si="42"/>
        <v>0</v>
      </c>
      <c r="S78" s="177"/>
      <c r="T78" s="177"/>
      <c r="U78" s="177">
        <f t="shared" si="62"/>
        <v>0</v>
      </c>
      <c r="V78" s="177">
        <f t="shared" si="63"/>
        <v>0</v>
      </c>
      <c r="W78" s="144"/>
      <c r="X78" s="144"/>
      <c r="Y78" s="78"/>
      <c r="AB78" s="111">
        <f t="shared" si="5"/>
        <v>0</v>
      </c>
    </row>
    <row r="79" ht="15.75" customHeight="1">
      <c r="A79" s="70"/>
      <c r="B79" s="118"/>
      <c r="C79" s="157" t="s">
        <v>597</v>
      </c>
      <c r="D79" s="116"/>
      <c r="E79" s="116"/>
      <c r="F79" s="116">
        <v>2.0</v>
      </c>
      <c r="G79" s="116"/>
      <c r="H79" s="104">
        <f t="shared" si="40"/>
        <v>2</v>
      </c>
      <c r="I79" s="115">
        <v>2.0</v>
      </c>
      <c r="J79" s="115"/>
      <c r="K79" s="115"/>
      <c r="L79" s="115">
        <f t="shared" ref="L79:L81" si="79">U79*(1+$L$2)</f>
        <v>4519095</v>
      </c>
      <c r="M79" s="115">
        <f t="shared" si="78"/>
        <v>0</v>
      </c>
      <c r="N79" s="116"/>
      <c r="O79" s="116"/>
      <c r="P79" s="116">
        <v>2.0</v>
      </c>
      <c r="Q79" s="107"/>
      <c r="R79" s="108">
        <f t="shared" si="42"/>
        <v>2</v>
      </c>
      <c r="S79" s="177"/>
      <c r="T79" s="177"/>
      <c r="U79" s="177">
        <f t="shared" si="62"/>
        <v>4303900</v>
      </c>
      <c r="V79" s="177">
        <f t="shared" si="63"/>
        <v>0</v>
      </c>
      <c r="W79" s="144"/>
      <c r="X79" s="144"/>
      <c r="Y79" s="78" t="s">
        <v>493</v>
      </c>
      <c r="AB79" s="111">
        <f t="shared" si="5"/>
        <v>0</v>
      </c>
    </row>
    <row r="80" ht="15.75" customHeight="1">
      <c r="A80" s="70"/>
      <c r="B80" s="119"/>
      <c r="C80" s="157" t="s">
        <v>605</v>
      </c>
      <c r="D80" s="116"/>
      <c r="E80" s="116"/>
      <c r="F80" s="116">
        <v>3.0</v>
      </c>
      <c r="G80" s="116">
        <v>3.0</v>
      </c>
      <c r="H80" s="104">
        <f t="shared" si="40"/>
        <v>6</v>
      </c>
      <c r="I80" s="115">
        <v>3.0</v>
      </c>
      <c r="J80" s="115"/>
      <c r="K80" s="115"/>
      <c r="L80" s="115">
        <f t="shared" si="79"/>
        <v>6778642.5</v>
      </c>
      <c r="M80" s="115">
        <f t="shared" ref="M80:M82" si="80">V80*(1+$L$2)</f>
        <v>5512500</v>
      </c>
      <c r="N80" s="116"/>
      <c r="O80" s="116"/>
      <c r="P80" s="116">
        <v>3.0</v>
      </c>
      <c r="Q80" s="107">
        <v>3.0</v>
      </c>
      <c r="R80" s="108">
        <f t="shared" si="42"/>
        <v>6</v>
      </c>
      <c r="S80" s="177"/>
      <c r="T80" s="177"/>
      <c r="U80" s="177">
        <f t="shared" si="62"/>
        <v>6455850</v>
      </c>
      <c r="V80" s="177">
        <f t="shared" si="63"/>
        <v>5250000</v>
      </c>
      <c r="W80" s="144"/>
      <c r="X80" s="144"/>
      <c r="Y80" s="78" t="s">
        <v>493</v>
      </c>
      <c r="AB80" s="111">
        <f t="shared" si="5"/>
        <v>0</v>
      </c>
    </row>
    <row r="81" ht="15.75" customHeight="1">
      <c r="A81" s="65"/>
      <c r="B81" s="196" t="s">
        <v>524</v>
      </c>
      <c r="C81" s="157" t="s">
        <v>525</v>
      </c>
      <c r="D81" s="116"/>
      <c r="E81" s="116"/>
      <c r="F81" s="116">
        <v>1.0</v>
      </c>
      <c r="G81" s="116">
        <v>6.0</v>
      </c>
      <c r="H81" s="104">
        <f t="shared" si="40"/>
        <v>7</v>
      </c>
      <c r="I81" s="115">
        <v>1.0</v>
      </c>
      <c r="J81" s="115"/>
      <c r="K81" s="115"/>
      <c r="L81" s="115">
        <f t="shared" si="79"/>
        <v>2259547.5</v>
      </c>
      <c r="M81" s="115">
        <f t="shared" si="80"/>
        <v>11025000</v>
      </c>
      <c r="N81" s="116"/>
      <c r="O81" s="116"/>
      <c r="P81" s="116">
        <v>1.0</v>
      </c>
      <c r="Q81" s="107">
        <v>6.0</v>
      </c>
      <c r="R81" s="108">
        <f t="shared" si="42"/>
        <v>7</v>
      </c>
      <c r="S81" s="155"/>
      <c r="T81" s="155"/>
      <c r="U81" s="165">
        <f t="shared" si="62"/>
        <v>2151950</v>
      </c>
      <c r="V81" s="165">
        <f t="shared" si="63"/>
        <v>10500000</v>
      </c>
      <c r="W81" s="121"/>
      <c r="X81" s="121"/>
      <c r="Y81" s="127" t="s">
        <v>508</v>
      </c>
      <c r="AB81" s="111">
        <f t="shared" si="5"/>
        <v>0</v>
      </c>
    </row>
    <row r="82" ht="14.25" customHeight="1">
      <c r="A82" s="65"/>
      <c r="B82" s="118"/>
      <c r="C82" s="157" t="s">
        <v>530</v>
      </c>
      <c r="D82" s="116"/>
      <c r="E82" s="116"/>
      <c r="F82" s="116">
        <v>2.0</v>
      </c>
      <c r="G82" s="116"/>
      <c r="H82" s="104">
        <f t="shared" si="40"/>
        <v>2</v>
      </c>
      <c r="I82" s="115">
        <v>2.0</v>
      </c>
      <c r="J82" s="115"/>
      <c r="K82" s="115"/>
      <c r="L82" s="115">
        <f>86078*25*F82</f>
        <v>4303900</v>
      </c>
      <c r="M82" s="115">
        <f t="shared" si="80"/>
        <v>0</v>
      </c>
      <c r="N82" s="116"/>
      <c r="O82" s="116"/>
      <c r="P82" s="116"/>
      <c r="Q82" s="107"/>
      <c r="R82" s="108">
        <f t="shared" si="42"/>
        <v>0</v>
      </c>
      <c r="S82" s="155"/>
      <c r="T82" s="155"/>
      <c r="U82" s="165">
        <f t="shared" si="62"/>
        <v>0</v>
      </c>
      <c r="V82" s="165">
        <f t="shared" si="63"/>
        <v>0</v>
      </c>
      <c r="W82" s="121"/>
      <c r="X82" s="121"/>
      <c r="Y82" s="127" t="s">
        <v>508</v>
      </c>
      <c r="AB82" s="111">
        <f t="shared" si="5"/>
        <v>0</v>
      </c>
    </row>
    <row r="83" ht="14.25" customHeight="1">
      <c r="A83" s="65"/>
      <c r="B83" s="118"/>
      <c r="C83" s="157" t="s">
        <v>534</v>
      </c>
      <c r="D83" s="116">
        <v>1.0</v>
      </c>
      <c r="E83" s="116"/>
      <c r="F83" s="116">
        <v>1.0</v>
      </c>
      <c r="G83" s="116">
        <v>2.0</v>
      </c>
      <c r="H83" s="104">
        <f t="shared" si="40"/>
        <v>4</v>
      </c>
      <c r="I83" s="115">
        <v>2.0</v>
      </c>
      <c r="J83" s="115"/>
      <c r="K83" s="115"/>
      <c r="L83" s="115">
        <f t="shared" ref="L83:M83" si="81">U83*(1+$L$2)</f>
        <v>2259547.5</v>
      </c>
      <c r="M83" s="115">
        <f t="shared" si="81"/>
        <v>3675000</v>
      </c>
      <c r="N83" s="116">
        <v>1.0</v>
      </c>
      <c r="O83" s="116"/>
      <c r="P83" s="116">
        <v>1.0</v>
      </c>
      <c r="Q83" s="107">
        <v>2.0</v>
      </c>
      <c r="R83" s="108">
        <f t="shared" si="42"/>
        <v>4</v>
      </c>
      <c r="S83" s="155"/>
      <c r="T83" s="155"/>
      <c r="U83" s="165">
        <f t="shared" si="62"/>
        <v>2151950</v>
      </c>
      <c r="V83" s="165">
        <f t="shared" si="63"/>
        <v>3500000</v>
      </c>
      <c r="W83" s="121"/>
      <c r="X83" s="121"/>
      <c r="Y83" s="127" t="s">
        <v>493</v>
      </c>
      <c r="AB83" s="111">
        <f t="shared" si="5"/>
        <v>0</v>
      </c>
    </row>
    <row r="84" ht="14.25" customHeight="1">
      <c r="A84" s="65"/>
      <c r="B84" s="118"/>
      <c r="C84" s="157" t="s">
        <v>535</v>
      </c>
      <c r="D84" s="116"/>
      <c r="E84" s="116"/>
      <c r="F84" s="116">
        <v>4.0</v>
      </c>
      <c r="G84" s="116"/>
      <c r="H84" s="104">
        <f t="shared" si="40"/>
        <v>4</v>
      </c>
      <c r="I84" s="115">
        <v>2.0</v>
      </c>
      <c r="J84" s="115"/>
      <c r="K84" s="115"/>
      <c r="L84" s="115">
        <f>86078*25*F84</f>
        <v>8607800</v>
      </c>
      <c r="M84" s="115">
        <f>V84*(1+$L$2)</f>
        <v>0</v>
      </c>
      <c r="N84" s="116"/>
      <c r="O84" s="116"/>
      <c r="P84" s="116"/>
      <c r="Q84" s="107"/>
      <c r="R84" s="108">
        <f t="shared" si="42"/>
        <v>0</v>
      </c>
      <c r="S84" s="155"/>
      <c r="T84" s="155"/>
      <c r="U84" s="165">
        <f t="shared" si="62"/>
        <v>0</v>
      </c>
      <c r="V84" s="165">
        <f t="shared" si="63"/>
        <v>0</v>
      </c>
      <c r="W84" s="121"/>
      <c r="X84" s="121"/>
      <c r="Y84" s="127" t="s">
        <v>508</v>
      </c>
      <c r="AB84" s="111">
        <f t="shared" si="5"/>
        <v>0</v>
      </c>
    </row>
    <row r="85" ht="14.25" customHeight="1">
      <c r="A85" s="65"/>
      <c r="B85" s="118"/>
      <c r="C85" s="174" t="s">
        <v>536</v>
      </c>
      <c r="D85" s="116"/>
      <c r="E85" s="116"/>
      <c r="F85" s="88">
        <v>2.0</v>
      </c>
      <c r="G85" s="116">
        <v>2.0</v>
      </c>
      <c r="H85" s="104">
        <f t="shared" si="40"/>
        <v>4</v>
      </c>
      <c r="I85" s="115">
        <v>2.0</v>
      </c>
      <c r="J85" s="115"/>
      <c r="K85" s="115"/>
      <c r="L85" s="115">
        <f t="shared" ref="L85:M85" si="82">U85*(1+$L$2)</f>
        <v>4519095</v>
      </c>
      <c r="M85" s="115">
        <f t="shared" si="82"/>
        <v>3675000</v>
      </c>
      <c r="N85" s="116"/>
      <c r="O85" s="116"/>
      <c r="P85" s="116">
        <v>2.0</v>
      </c>
      <c r="Q85" s="107">
        <v>2.0</v>
      </c>
      <c r="R85" s="108">
        <f t="shared" si="42"/>
        <v>4</v>
      </c>
      <c r="S85" s="155"/>
      <c r="T85" s="155"/>
      <c r="U85" s="165">
        <f t="shared" si="62"/>
        <v>4303900</v>
      </c>
      <c r="V85" s="165">
        <f t="shared" si="63"/>
        <v>3500000</v>
      </c>
      <c r="W85" s="121"/>
      <c r="X85" s="121"/>
      <c r="Y85" s="127" t="s">
        <v>560</v>
      </c>
      <c r="AB85" s="111">
        <f t="shared" si="5"/>
        <v>0</v>
      </c>
    </row>
    <row r="86" ht="13.5" customHeight="1">
      <c r="A86" s="65"/>
      <c r="B86" s="118"/>
      <c r="C86" s="157" t="s">
        <v>539</v>
      </c>
      <c r="D86" s="116"/>
      <c r="E86" s="116"/>
      <c r="F86" s="116">
        <v>2.0</v>
      </c>
      <c r="G86" s="116"/>
      <c r="H86" s="104">
        <f t="shared" si="40"/>
        <v>2</v>
      </c>
      <c r="I86" s="115">
        <v>1.0</v>
      </c>
      <c r="J86" s="115"/>
      <c r="K86" s="115"/>
      <c r="L86" s="115">
        <f>86078*25*F86</f>
        <v>4303900</v>
      </c>
      <c r="M86" s="115">
        <f>V86*(1+$L$2)</f>
        <v>0</v>
      </c>
      <c r="N86" s="116"/>
      <c r="O86" s="116"/>
      <c r="P86" s="116"/>
      <c r="Q86" s="107"/>
      <c r="R86" s="108">
        <f t="shared" si="42"/>
        <v>0</v>
      </c>
      <c r="S86" s="155"/>
      <c r="T86" s="155"/>
      <c r="U86" s="165">
        <f t="shared" si="62"/>
        <v>0</v>
      </c>
      <c r="V86" s="165">
        <f t="shared" si="63"/>
        <v>0</v>
      </c>
      <c r="W86" s="121"/>
      <c r="X86" s="121"/>
      <c r="Y86" s="127" t="s">
        <v>560</v>
      </c>
      <c r="AB86" s="111">
        <f t="shared" si="5"/>
        <v>0</v>
      </c>
    </row>
    <row r="87" ht="14.25" customHeight="1">
      <c r="A87" s="65"/>
      <c r="B87" s="118"/>
      <c r="C87" s="157" t="s">
        <v>540</v>
      </c>
      <c r="D87" s="116">
        <v>1.0</v>
      </c>
      <c r="E87" s="116"/>
      <c r="F87" s="116">
        <v>1.0</v>
      </c>
      <c r="G87" s="116">
        <v>2.0</v>
      </c>
      <c r="H87" s="104">
        <f t="shared" si="40"/>
        <v>4</v>
      </c>
      <c r="I87" s="115">
        <v>2.0</v>
      </c>
      <c r="J87" s="115"/>
      <c r="K87" s="115"/>
      <c r="L87" s="115">
        <f t="shared" ref="L87:M87" si="83">U87*(1+$L$2)</f>
        <v>2259547.5</v>
      </c>
      <c r="M87" s="115">
        <f t="shared" si="83"/>
        <v>3675000</v>
      </c>
      <c r="N87" s="116">
        <v>1.0</v>
      </c>
      <c r="O87" s="116"/>
      <c r="P87" s="116">
        <v>1.0</v>
      </c>
      <c r="Q87" s="107">
        <v>2.0</v>
      </c>
      <c r="R87" s="108">
        <f t="shared" si="42"/>
        <v>4</v>
      </c>
      <c r="S87" s="155"/>
      <c r="T87" s="155"/>
      <c r="U87" s="165">
        <f t="shared" si="62"/>
        <v>2151950</v>
      </c>
      <c r="V87" s="165">
        <f t="shared" si="63"/>
        <v>3500000</v>
      </c>
      <c r="W87" s="121"/>
      <c r="X87" s="121"/>
      <c r="Y87" s="127" t="s">
        <v>493</v>
      </c>
      <c r="AB87" s="111">
        <f t="shared" si="5"/>
        <v>0</v>
      </c>
    </row>
    <row r="88" ht="14.25" customHeight="1">
      <c r="A88" s="65"/>
      <c r="B88" s="118"/>
      <c r="C88" s="157" t="s">
        <v>543</v>
      </c>
      <c r="D88" s="116"/>
      <c r="E88" s="116"/>
      <c r="F88" s="116"/>
      <c r="G88" s="116">
        <v>2.0</v>
      </c>
      <c r="H88" s="104">
        <f t="shared" si="40"/>
        <v>2</v>
      </c>
      <c r="I88" s="115">
        <v>1.0</v>
      </c>
      <c r="J88" s="115"/>
      <c r="K88" s="115"/>
      <c r="L88" s="115">
        <f t="shared" ref="L88:L89" si="84">U88*(1+$L$2)</f>
        <v>0</v>
      </c>
      <c r="M88" s="115">
        <f>70000*25*G88</f>
        <v>3500000</v>
      </c>
      <c r="N88" s="116"/>
      <c r="O88" s="116"/>
      <c r="P88" s="116"/>
      <c r="Q88" s="107"/>
      <c r="R88" s="108">
        <f t="shared" si="42"/>
        <v>0</v>
      </c>
      <c r="S88" s="155"/>
      <c r="T88" s="155"/>
      <c r="U88" s="165">
        <f t="shared" si="62"/>
        <v>0</v>
      </c>
      <c r="V88" s="165">
        <f t="shared" si="63"/>
        <v>0</v>
      </c>
      <c r="W88" s="121"/>
      <c r="X88" s="121"/>
      <c r="Y88" s="127" t="s">
        <v>560</v>
      </c>
      <c r="AB88" s="111">
        <f t="shared" si="5"/>
        <v>0</v>
      </c>
    </row>
    <row r="89" ht="14.25" customHeight="1">
      <c r="A89" s="65"/>
      <c r="B89" s="118"/>
      <c r="C89" s="157" t="s">
        <v>611</v>
      </c>
      <c r="D89" s="116"/>
      <c r="E89" s="116"/>
      <c r="F89" s="116">
        <v>2.0</v>
      </c>
      <c r="G89" s="116">
        <v>2.0</v>
      </c>
      <c r="H89" s="104">
        <f t="shared" si="40"/>
        <v>4</v>
      </c>
      <c r="I89" s="115">
        <v>2.0</v>
      </c>
      <c r="J89" s="115"/>
      <c r="K89" s="115"/>
      <c r="L89" s="115">
        <f t="shared" si="84"/>
        <v>4519095</v>
      </c>
      <c r="M89" s="115">
        <f>V89*(1+$L$2)</f>
        <v>3675000</v>
      </c>
      <c r="N89" s="116"/>
      <c r="O89" s="116"/>
      <c r="P89" s="116">
        <v>2.0</v>
      </c>
      <c r="Q89" s="107">
        <v>2.0</v>
      </c>
      <c r="R89" s="108">
        <f t="shared" si="42"/>
        <v>4</v>
      </c>
      <c r="S89" s="155"/>
      <c r="T89" s="155"/>
      <c r="U89" s="165">
        <f t="shared" si="62"/>
        <v>4303900</v>
      </c>
      <c r="V89" s="165">
        <f t="shared" si="63"/>
        <v>3500000</v>
      </c>
      <c r="W89" s="121"/>
      <c r="X89" s="121"/>
      <c r="Y89" s="127" t="s">
        <v>508</v>
      </c>
      <c r="AB89" s="111">
        <f t="shared" si="5"/>
        <v>0</v>
      </c>
    </row>
    <row r="90" ht="14.25" customHeight="1">
      <c r="A90" s="65"/>
      <c r="B90" s="118"/>
      <c r="C90" s="157" t="s">
        <v>559</v>
      </c>
      <c r="D90" s="116"/>
      <c r="E90" s="116"/>
      <c r="F90" s="116">
        <v>1.0</v>
      </c>
      <c r="G90" s="116">
        <v>2.0</v>
      </c>
      <c r="H90" s="104">
        <f t="shared" si="40"/>
        <v>3</v>
      </c>
      <c r="I90" s="115">
        <v>2.0</v>
      </c>
      <c r="J90" s="115"/>
      <c r="K90" s="115"/>
      <c r="L90" s="115">
        <f>86078*25*F90</f>
        <v>2151950</v>
      </c>
      <c r="M90" s="115">
        <f t="shared" ref="M90:M91" si="85">70000*25*G90</f>
        <v>3500000</v>
      </c>
      <c r="N90" s="116"/>
      <c r="O90" s="116"/>
      <c r="P90" s="116"/>
      <c r="Q90" s="107"/>
      <c r="R90" s="108">
        <f t="shared" si="42"/>
        <v>0</v>
      </c>
      <c r="S90" s="155"/>
      <c r="T90" s="155"/>
      <c r="U90" s="165">
        <f t="shared" si="62"/>
        <v>0</v>
      </c>
      <c r="V90" s="165">
        <f t="shared" si="63"/>
        <v>0</v>
      </c>
      <c r="W90" s="121"/>
      <c r="X90" s="121"/>
      <c r="Y90" s="127" t="s">
        <v>508</v>
      </c>
      <c r="AB90" s="111">
        <f t="shared" si="5"/>
        <v>0</v>
      </c>
    </row>
    <row r="91" ht="14.25" customHeight="1">
      <c r="A91" s="65"/>
      <c r="B91" s="118"/>
      <c r="C91" s="157" t="s">
        <v>561</v>
      </c>
      <c r="D91" s="116"/>
      <c r="E91" s="116"/>
      <c r="F91" s="116"/>
      <c r="G91" s="116">
        <v>3.0</v>
      </c>
      <c r="H91" s="104">
        <f t="shared" si="40"/>
        <v>3</v>
      </c>
      <c r="I91" s="115">
        <v>3.0</v>
      </c>
      <c r="J91" s="115"/>
      <c r="K91" s="115"/>
      <c r="L91" s="115">
        <f t="shared" ref="L91:L97" si="86">U91*(1+$L$2)</f>
        <v>0</v>
      </c>
      <c r="M91" s="115">
        <f t="shared" si="85"/>
        <v>5250000</v>
      </c>
      <c r="N91" s="116"/>
      <c r="O91" s="116"/>
      <c r="P91" s="116"/>
      <c r="Q91" s="107"/>
      <c r="R91" s="108">
        <f t="shared" si="42"/>
        <v>0</v>
      </c>
      <c r="S91" s="155"/>
      <c r="T91" s="155"/>
      <c r="U91" s="165">
        <f t="shared" si="62"/>
        <v>0</v>
      </c>
      <c r="V91" s="165">
        <f t="shared" si="63"/>
        <v>0</v>
      </c>
      <c r="W91" s="121"/>
      <c r="X91" s="121"/>
      <c r="Y91" s="127" t="s">
        <v>508</v>
      </c>
      <c r="AB91" s="111">
        <f t="shared" si="5"/>
        <v>0</v>
      </c>
    </row>
    <row r="92" ht="14.25" customHeight="1">
      <c r="A92" s="65"/>
      <c r="B92" s="118"/>
      <c r="C92" s="157" t="s">
        <v>616</v>
      </c>
      <c r="D92" s="116"/>
      <c r="E92" s="116"/>
      <c r="F92" s="116">
        <v>2.0</v>
      </c>
      <c r="G92" s="116">
        <v>2.0</v>
      </c>
      <c r="H92" s="104">
        <f t="shared" si="40"/>
        <v>4</v>
      </c>
      <c r="I92" s="115">
        <v>2.0</v>
      </c>
      <c r="J92" s="115"/>
      <c r="K92" s="115"/>
      <c r="L92" s="115">
        <f t="shared" si="86"/>
        <v>4519095</v>
      </c>
      <c r="M92" s="115">
        <f t="shared" ref="M92:M97" si="87">V92*(1+$L$2)</f>
        <v>3675000</v>
      </c>
      <c r="N92" s="116"/>
      <c r="O92" s="116"/>
      <c r="P92" s="116">
        <v>2.0</v>
      </c>
      <c r="Q92" s="107">
        <v>2.0</v>
      </c>
      <c r="R92" s="108">
        <f t="shared" si="42"/>
        <v>4</v>
      </c>
      <c r="S92" s="155"/>
      <c r="T92" s="155"/>
      <c r="U92" s="165">
        <f t="shared" si="62"/>
        <v>4303900</v>
      </c>
      <c r="V92" s="165">
        <f t="shared" si="63"/>
        <v>3500000</v>
      </c>
      <c r="W92" s="121"/>
      <c r="X92" s="121"/>
      <c r="Y92" s="127" t="s">
        <v>493</v>
      </c>
      <c r="AB92" s="111">
        <f t="shared" si="5"/>
        <v>0</v>
      </c>
    </row>
    <row r="93" ht="13.5" customHeight="1">
      <c r="A93" s="65"/>
      <c r="B93" s="118"/>
      <c r="C93" s="157" t="s">
        <v>562</v>
      </c>
      <c r="D93" s="116">
        <v>1.0</v>
      </c>
      <c r="E93" s="116"/>
      <c r="F93" s="116">
        <v>1.0</v>
      </c>
      <c r="G93" s="116">
        <v>4.0</v>
      </c>
      <c r="H93" s="104">
        <f t="shared" si="40"/>
        <v>6</v>
      </c>
      <c r="I93" s="115">
        <v>2.0</v>
      </c>
      <c r="J93" s="115"/>
      <c r="K93" s="115"/>
      <c r="L93" s="115">
        <f t="shared" si="86"/>
        <v>2259547.5</v>
      </c>
      <c r="M93" s="115">
        <f t="shared" si="87"/>
        <v>7350000</v>
      </c>
      <c r="N93" s="116">
        <v>1.0</v>
      </c>
      <c r="O93" s="116"/>
      <c r="P93" s="116">
        <v>1.0</v>
      </c>
      <c r="Q93" s="107">
        <v>4.0</v>
      </c>
      <c r="R93" s="108">
        <f t="shared" si="42"/>
        <v>6</v>
      </c>
      <c r="S93" s="155"/>
      <c r="T93" s="155"/>
      <c r="U93" s="165">
        <f t="shared" si="62"/>
        <v>2151950</v>
      </c>
      <c r="V93" s="165">
        <f t="shared" si="63"/>
        <v>7000000</v>
      </c>
      <c r="W93" s="121"/>
      <c r="X93" s="121"/>
      <c r="Y93" s="127" t="s">
        <v>493</v>
      </c>
      <c r="AB93" s="111">
        <f t="shared" si="5"/>
        <v>0</v>
      </c>
    </row>
    <row r="94" ht="13.5" customHeight="1">
      <c r="A94" s="65"/>
      <c r="B94" s="118"/>
      <c r="C94" s="157" t="s">
        <v>620</v>
      </c>
      <c r="D94" s="116"/>
      <c r="E94" s="116"/>
      <c r="F94" s="116"/>
      <c r="G94" s="116">
        <v>11.0</v>
      </c>
      <c r="H94" s="104">
        <f t="shared" si="40"/>
        <v>11</v>
      </c>
      <c r="I94" s="115">
        <v>2.0</v>
      </c>
      <c r="J94" s="115"/>
      <c r="K94" s="115"/>
      <c r="L94" s="115">
        <f t="shared" si="86"/>
        <v>0</v>
      </c>
      <c r="M94" s="115">
        <f t="shared" si="87"/>
        <v>20212500</v>
      </c>
      <c r="N94" s="116"/>
      <c r="O94" s="116"/>
      <c r="P94" s="116"/>
      <c r="Q94" s="107">
        <v>11.0</v>
      </c>
      <c r="R94" s="108">
        <f t="shared" si="42"/>
        <v>11</v>
      </c>
      <c r="S94" s="155"/>
      <c r="T94" s="155"/>
      <c r="U94" s="165">
        <f t="shared" si="62"/>
        <v>0</v>
      </c>
      <c r="V94" s="165">
        <f t="shared" si="63"/>
        <v>19250000</v>
      </c>
      <c r="W94" s="121"/>
      <c r="X94" s="121"/>
      <c r="Y94" s="127" t="s">
        <v>493</v>
      </c>
      <c r="AB94" s="111">
        <f t="shared" si="5"/>
        <v>0</v>
      </c>
    </row>
    <row r="95" ht="14.25" customHeight="1">
      <c r="A95" s="65"/>
      <c r="B95" s="118"/>
      <c r="C95" s="157" t="s">
        <v>622</v>
      </c>
      <c r="D95" s="116"/>
      <c r="E95" s="116"/>
      <c r="F95" s="116"/>
      <c r="G95" s="116">
        <v>5.0</v>
      </c>
      <c r="H95" s="104">
        <f t="shared" si="40"/>
        <v>5</v>
      </c>
      <c r="I95" s="115">
        <v>1.0</v>
      </c>
      <c r="J95" s="115"/>
      <c r="K95" s="115"/>
      <c r="L95" s="115">
        <f t="shared" si="86"/>
        <v>0</v>
      </c>
      <c r="M95" s="115">
        <f t="shared" si="87"/>
        <v>9187500</v>
      </c>
      <c r="N95" s="116"/>
      <c r="O95" s="116"/>
      <c r="P95" s="116"/>
      <c r="Q95" s="107">
        <v>5.0</v>
      </c>
      <c r="R95" s="108">
        <f t="shared" si="42"/>
        <v>5</v>
      </c>
      <c r="S95" s="155"/>
      <c r="T95" s="155"/>
      <c r="U95" s="165">
        <f t="shared" si="62"/>
        <v>0</v>
      </c>
      <c r="V95" s="165">
        <f t="shared" si="63"/>
        <v>8750000</v>
      </c>
      <c r="W95" s="121"/>
      <c r="X95" s="121"/>
      <c r="Y95" s="127" t="s">
        <v>493</v>
      </c>
      <c r="AB95" s="111">
        <f t="shared" si="5"/>
        <v>0</v>
      </c>
    </row>
    <row r="96" ht="14.25" customHeight="1">
      <c r="A96" s="65"/>
      <c r="B96" s="118"/>
      <c r="C96" s="157" t="s">
        <v>566</v>
      </c>
      <c r="D96" s="116"/>
      <c r="E96" s="116"/>
      <c r="F96" s="116"/>
      <c r="G96" s="116">
        <v>2.0</v>
      </c>
      <c r="H96" s="104">
        <f t="shared" si="40"/>
        <v>2</v>
      </c>
      <c r="I96" s="115">
        <v>1.0</v>
      </c>
      <c r="J96" s="115"/>
      <c r="K96" s="115"/>
      <c r="L96" s="115">
        <f t="shared" si="86"/>
        <v>2259547.5</v>
      </c>
      <c r="M96" s="115">
        <f t="shared" si="87"/>
        <v>1837500</v>
      </c>
      <c r="N96" s="116"/>
      <c r="O96" s="116"/>
      <c r="P96" s="116">
        <v>1.0</v>
      </c>
      <c r="Q96" s="107">
        <v>1.0</v>
      </c>
      <c r="R96" s="108">
        <f t="shared" si="42"/>
        <v>2</v>
      </c>
      <c r="S96" s="155"/>
      <c r="T96" s="155"/>
      <c r="U96" s="165">
        <f t="shared" si="62"/>
        <v>2151950</v>
      </c>
      <c r="V96" s="165">
        <f t="shared" si="63"/>
        <v>1750000</v>
      </c>
      <c r="W96" s="121"/>
      <c r="X96" s="121"/>
      <c r="Y96" s="127" t="s">
        <v>493</v>
      </c>
      <c r="AB96" s="111">
        <f t="shared" si="5"/>
        <v>0</v>
      </c>
    </row>
    <row r="97" ht="14.25" customHeight="1">
      <c r="A97" s="65"/>
      <c r="B97" s="118"/>
      <c r="C97" s="157" t="s">
        <v>584</v>
      </c>
      <c r="D97" s="116"/>
      <c r="E97" s="116"/>
      <c r="F97" s="116">
        <v>2.0</v>
      </c>
      <c r="G97" s="116">
        <v>2.0</v>
      </c>
      <c r="H97" s="104">
        <f t="shared" si="40"/>
        <v>4</v>
      </c>
      <c r="I97" s="115">
        <v>2.0</v>
      </c>
      <c r="J97" s="115"/>
      <c r="K97" s="115"/>
      <c r="L97" s="115">
        <f t="shared" si="86"/>
        <v>4519095</v>
      </c>
      <c r="M97" s="115">
        <f t="shared" si="87"/>
        <v>3675000</v>
      </c>
      <c r="N97" s="116"/>
      <c r="O97" s="116"/>
      <c r="P97" s="116">
        <v>2.0</v>
      </c>
      <c r="Q97" s="107">
        <v>2.0</v>
      </c>
      <c r="R97" s="108">
        <f t="shared" si="42"/>
        <v>4</v>
      </c>
      <c r="S97" s="155"/>
      <c r="T97" s="155"/>
      <c r="U97" s="165">
        <f t="shared" si="62"/>
        <v>4303900</v>
      </c>
      <c r="V97" s="165">
        <f t="shared" si="63"/>
        <v>3500000</v>
      </c>
      <c r="W97" s="121"/>
      <c r="X97" s="121"/>
      <c r="Y97" s="127" t="s">
        <v>493</v>
      </c>
      <c r="AB97" s="111">
        <f t="shared" si="5"/>
        <v>0</v>
      </c>
    </row>
    <row r="98" ht="14.25" customHeight="1">
      <c r="A98" s="65"/>
      <c r="B98" s="118"/>
      <c r="C98" s="157" t="s">
        <v>588</v>
      </c>
      <c r="D98" s="116"/>
      <c r="E98" s="116"/>
      <c r="F98" s="116">
        <v>2.0</v>
      </c>
      <c r="G98" s="116">
        <v>2.0</v>
      </c>
      <c r="H98" s="104">
        <f t="shared" si="40"/>
        <v>4</v>
      </c>
      <c r="I98" s="115">
        <v>2.0</v>
      </c>
      <c r="J98" s="115"/>
      <c r="K98" s="115"/>
      <c r="L98" s="115">
        <f t="shared" ref="L98:L99" si="88">86078*25*F98</f>
        <v>4303900</v>
      </c>
      <c r="M98" s="115">
        <f t="shared" ref="M98:M99" si="89">70000*25*G98</f>
        <v>3500000</v>
      </c>
      <c r="N98" s="116"/>
      <c r="O98" s="116"/>
      <c r="P98" s="116"/>
      <c r="Q98" s="107"/>
      <c r="R98" s="108">
        <f t="shared" si="42"/>
        <v>0</v>
      </c>
      <c r="S98" s="155"/>
      <c r="T98" s="155"/>
      <c r="U98" s="165">
        <f t="shared" si="62"/>
        <v>0</v>
      </c>
      <c r="V98" s="165">
        <f t="shared" si="63"/>
        <v>0</v>
      </c>
      <c r="W98" s="121"/>
      <c r="X98" s="121"/>
      <c r="Y98" s="127"/>
      <c r="AB98" s="111">
        <f t="shared" si="5"/>
        <v>0</v>
      </c>
    </row>
    <row r="99" ht="14.25" customHeight="1">
      <c r="A99" s="65"/>
      <c r="B99" s="118"/>
      <c r="C99" s="157" t="s">
        <v>627</v>
      </c>
      <c r="D99" s="116"/>
      <c r="E99" s="116"/>
      <c r="F99" s="116">
        <v>2.0</v>
      </c>
      <c r="G99" s="116">
        <v>2.0</v>
      </c>
      <c r="H99" s="104">
        <f t="shared" si="40"/>
        <v>4</v>
      </c>
      <c r="I99" s="115">
        <v>2.0</v>
      </c>
      <c r="J99" s="115"/>
      <c r="K99" s="115"/>
      <c r="L99" s="115">
        <f t="shared" si="88"/>
        <v>4303900</v>
      </c>
      <c r="M99" s="115">
        <f t="shared" si="89"/>
        <v>3500000</v>
      </c>
      <c r="N99" s="116"/>
      <c r="O99" s="116"/>
      <c r="P99" s="116"/>
      <c r="Q99" s="107"/>
      <c r="R99" s="108">
        <f t="shared" si="42"/>
        <v>0</v>
      </c>
      <c r="S99" s="155"/>
      <c r="T99" s="155"/>
      <c r="U99" s="165">
        <f t="shared" si="62"/>
        <v>0</v>
      </c>
      <c r="V99" s="165">
        <f t="shared" si="63"/>
        <v>0</v>
      </c>
      <c r="W99" s="121"/>
      <c r="X99" s="121"/>
      <c r="Y99" s="127"/>
      <c r="AB99" s="111">
        <f t="shared" si="5"/>
        <v>0</v>
      </c>
    </row>
    <row r="100" ht="13.5" customHeight="1">
      <c r="A100" s="65"/>
      <c r="B100" s="118"/>
      <c r="C100" s="157" t="s">
        <v>631</v>
      </c>
      <c r="D100" s="116"/>
      <c r="E100" s="116"/>
      <c r="F100" s="116"/>
      <c r="G100" s="116">
        <v>1.0</v>
      </c>
      <c r="H100" s="104">
        <f t="shared" si="40"/>
        <v>1</v>
      </c>
      <c r="I100" s="115">
        <v>2.0</v>
      </c>
      <c r="J100" s="115"/>
      <c r="K100" s="115"/>
      <c r="L100" s="115">
        <f t="shared" ref="L100:M100" si="90">U100*(1+$L$2)</f>
        <v>0</v>
      </c>
      <c r="M100" s="115">
        <f t="shared" si="90"/>
        <v>1837500</v>
      </c>
      <c r="N100" s="116"/>
      <c r="O100" s="116"/>
      <c r="P100" s="116"/>
      <c r="Q100" s="107">
        <v>1.0</v>
      </c>
      <c r="R100" s="108">
        <f t="shared" si="42"/>
        <v>1</v>
      </c>
      <c r="S100" s="155"/>
      <c r="T100" s="155"/>
      <c r="U100" s="165">
        <f t="shared" si="62"/>
        <v>0</v>
      </c>
      <c r="V100" s="165">
        <f t="shared" si="63"/>
        <v>1750000</v>
      </c>
      <c r="W100" s="121"/>
      <c r="X100" s="121"/>
      <c r="Y100" s="127" t="s">
        <v>493</v>
      </c>
      <c r="AB100" s="111">
        <f t="shared" si="5"/>
        <v>0</v>
      </c>
    </row>
    <row r="101" ht="13.5" customHeight="1">
      <c r="A101" s="65"/>
      <c r="B101" s="118"/>
      <c r="C101" s="157" t="s">
        <v>636</v>
      </c>
      <c r="D101" s="116"/>
      <c r="E101" s="116"/>
      <c r="F101" s="116"/>
      <c r="G101" s="116">
        <v>18.0</v>
      </c>
      <c r="H101" s="104">
        <f t="shared" si="40"/>
        <v>18</v>
      </c>
      <c r="I101" s="115">
        <v>2.0</v>
      </c>
      <c r="J101" s="115"/>
      <c r="K101" s="115"/>
      <c r="L101" s="115">
        <f t="shared" ref="L101:M101" si="91">U101*(1+$L$2)</f>
        <v>0</v>
      </c>
      <c r="M101" s="115">
        <f t="shared" si="91"/>
        <v>33075000</v>
      </c>
      <c r="N101" s="116"/>
      <c r="O101" s="116"/>
      <c r="P101" s="116"/>
      <c r="Q101" s="107">
        <v>18.0</v>
      </c>
      <c r="R101" s="108">
        <f t="shared" si="42"/>
        <v>18</v>
      </c>
      <c r="S101" s="155"/>
      <c r="T101" s="155"/>
      <c r="U101" s="165">
        <f t="shared" si="62"/>
        <v>0</v>
      </c>
      <c r="V101" s="165">
        <f t="shared" si="63"/>
        <v>31500000</v>
      </c>
      <c r="W101" s="121"/>
      <c r="X101" s="121"/>
      <c r="Y101" s="127" t="s">
        <v>493</v>
      </c>
      <c r="AB101" s="111">
        <f t="shared" si="5"/>
        <v>0</v>
      </c>
    </row>
    <row r="102" ht="13.5" customHeight="1">
      <c r="A102" s="65"/>
      <c r="B102" s="118"/>
      <c r="C102" s="157" t="s">
        <v>580</v>
      </c>
      <c r="D102" s="116"/>
      <c r="E102" s="116"/>
      <c r="F102" s="116"/>
      <c r="G102" s="116">
        <v>8.0</v>
      </c>
      <c r="H102" s="104">
        <f t="shared" si="40"/>
        <v>8</v>
      </c>
      <c r="I102" s="115">
        <v>2.0</v>
      </c>
      <c r="J102" s="115"/>
      <c r="K102" s="115"/>
      <c r="L102" s="115">
        <f t="shared" ref="L102:L109" si="92">U102*(1+$L$2)</f>
        <v>0</v>
      </c>
      <c r="M102" s="115">
        <f t="shared" ref="M102:M103" si="93">70000*25*G102</f>
        <v>14000000</v>
      </c>
      <c r="N102" s="116"/>
      <c r="O102" s="116"/>
      <c r="P102" s="116"/>
      <c r="Q102" s="107"/>
      <c r="R102" s="108">
        <f t="shared" si="42"/>
        <v>0</v>
      </c>
      <c r="S102" s="155"/>
      <c r="T102" s="155"/>
      <c r="U102" s="165">
        <f t="shared" si="62"/>
        <v>0</v>
      </c>
      <c r="V102" s="165">
        <f t="shared" si="63"/>
        <v>0</v>
      </c>
      <c r="W102" s="121"/>
      <c r="X102" s="121"/>
      <c r="Y102" s="127" t="s">
        <v>508</v>
      </c>
      <c r="AB102" s="111">
        <f t="shared" si="5"/>
        <v>0</v>
      </c>
    </row>
    <row r="103" ht="14.25" customHeight="1">
      <c r="A103" s="65"/>
      <c r="B103" s="118"/>
      <c r="C103" s="157" t="s">
        <v>591</v>
      </c>
      <c r="D103" s="116"/>
      <c r="E103" s="116"/>
      <c r="F103" s="116"/>
      <c r="G103" s="116">
        <v>3.0</v>
      </c>
      <c r="H103" s="104">
        <f t="shared" si="40"/>
        <v>3</v>
      </c>
      <c r="I103" s="115">
        <v>1.0</v>
      </c>
      <c r="J103" s="115"/>
      <c r="K103" s="115"/>
      <c r="L103" s="115">
        <f t="shared" si="92"/>
        <v>0</v>
      </c>
      <c r="M103" s="115">
        <f t="shared" si="93"/>
        <v>5250000</v>
      </c>
      <c r="N103" s="116"/>
      <c r="O103" s="116"/>
      <c r="P103" s="116"/>
      <c r="Q103" s="107"/>
      <c r="R103" s="108">
        <f t="shared" si="42"/>
        <v>0</v>
      </c>
      <c r="S103" s="155"/>
      <c r="T103" s="155"/>
      <c r="U103" s="165">
        <f t="shared" si="62"/>
        <v>0</v>
      </c>
      <c r="V103" s="165">
        <f t="shared" si="63"/>
        <v>0</v>
      </c>
      <c r="W103" s="121"/>
      <c r="X103" s="121"/>
      <c r="Y103" s="127" t="s">
        <v>508</v>
      </c>
      <c r="AB103" s="111">
        <f t="shared" si="5"/>
        <v>0</v>
      </c>
    </row>
    <row r="104" ht="14.25" customHeight="1">
      <c r="A104" s="65"/>
      <c r="B104" s="118"/>
      <c r="C104" s="157" t="s">
        <v>555</v>
      </c>
      <c r="D104" s="116">
        <v>1.0</v>
      </c>
      <c r="E104" s="116"/>
      <c r="F104" s="116"/>
      <c r="G104" s="116"/>
      <c r="H104" s="104">
        <f t="shared" si="40"/>
        <v>1</v>
      </c>
      <c r="I104" s="115">
        <v>2.0</v>
      </c>
      <c r="J104" s="115"/>
      <c r="K104" s="115"/>
      <c r="L104" s="115">
        <f t="shared" si="92"/>
        <v>0</v>
      </c>
      <c r="M104" s="115">
        <f t="shared" ref="M104:M105" si="94">V104*(1+$L$2)</f>
        <v>0</v>
      </c>
      <c r="N104" s="116">
        <v>1.0</v>
      </c>
      <c r="O104" s="116"/>
      <c r="P104" s="116"/>
      <c r="Q104" s="107"/>
      <c r="R104" s="108">
        <f t="shared" si="42"/>
        <v>1</v>
      </c>
      <c r="S104" s="155"/>
      <c r="T104" s="155"/>
      <c r="U104" s="165">
        <f t="shared" si="62"/>
        <v>0</v>
      </c>
      <c r="V104" s="165">
        <f t="shared" si="63"/>
        <v>0</v>
      </c>
      <c r="W104" s="121"/>
      <c r="X104" s="121"/>
      <c r="Y104" s="127" t="s">
        <v>493</v>
      </c>
      <c r="AB104" s="111">
        <f t="shared" si="5"/>
        <v>0</v>
      </c>
    </row>
    <row r="105" ht="14.25" customHeight="1">
      <c r="A105" s="65"/>
      <c r="B105" s="118"/>
      <c r="C105" s="157" t="s">
        <v>595</v>
      </c>
      <c r="D105" s="116"/>
      <c r="E105" s="116"/>
      <c r="F105" s="116">
        <v>1.0</v>
      </c>
      <c r="G105" s="116"/>
      <c r="H105" s="104">
        <f t="shared" si="40"/>
        <v>1</v>
      </c>
      <c r="I105" s="115">
        <v>1.0</v>
      </c>
      <c r="J105" s="115"/>
      <c r="K105" s="115"/>
      <c r="L105" s="115">
        <f t="shared" si="92"/>
        <v>2259547.5</v>
      </c>
      <c r="M105" s="115">
        <f t="shared" si="94"/>
        <v>0</v>
      </c>
      <c r="N105" s="116"/>
      <c r="O105" s="116"/>
      <c r="P105" s="116">
        <v>1.0</v>
      </c>
      <c r="Q105" s="107"/>
      <c r="R105" s="108">
        <f t="shared" si="42"/>
        <v>1</v>
      </c>
      <c r="S105" s="155"/>
      <c r="T105" s="155"/>
      <c r="U105" s="165">
        <f t="shared" si="62"/>
        <v>2151950</v>
      </c>
      <c r="V105" s="165">
        <f t="shared" si="63"/>
        <v>0</v>
      </c>
      <c r="W105" s="121"/>
      <c r="X105" s="121"/>
      <c r="Y105" s="127" t="s">
        <v>493</v>
      </c>
      <c r="AB105" s="111">
        <f t="shared" si="5"/>
        <v>0</v>
      </c>
    </row>
    <row r="106" ht="14.25" customHeight="1">
      <c r="A106" s="65"/>
      <c r="B106" s="118"/>
      <c r="C106" s="157" t="s">
        <v>642</v>
      </c>
      <c r="D106" s="116"/>
      <c r="E106" s="116"/>
      <c r="F106" s="116"/>
      <c r="G106" s="116">
        <v>1.0</v>
      </c>
      <c r="H106" s="104">
        <f t="shared" si="40"/>
        <v>1</v>
      </c>
      <c r="I106" s="115">
        <v>1.0</v>
      </c>
      <c r="J106" s="115"/>
      <c r="K106" s="115"/>
      <c r="L106" s="115">
        <f t="shared" si="92"/>
        <v>0</v>
      </c>
      <c r="M106" s="115">
        <f>70000*25*G106</f>
        <v>1750000</v>
      </c>
      <c r="N106" s="116"/>
      <c r="O106" s="116"/>
      <c r="P106" s="116"/>
      <c r="Q106" s="107"/>
      <c r="R106" s="108">
        <f t="shared" si="42"/>
        <v>0</v>
      </c>
      <c r="S106" s="155"/>
      <c r="T106" s="155"/>
      <c r="U106" s="165">
        <f t="shared" si="62"/>
        <v>0</v>
      </c>
      <c r="V106" s="165">
        <f t="shared" si="63"/>
        <v>0</v>
      </c>
      <c r="W106" s="121"/>
      <c r="X106" s="121"/>
      <c r="Y106" s="127" t="s">
        <v>493</v>
      </c>
      <c r="AB106" s="111">
        <f t="shared" si="5"/>
        <v>0</v>
      </c>
    </row>
    <row r="107" ht="14.25" customHeight="1">
      <c r="A107" s="65"/>
      <c r="B107" s="118"/>
      <c r="C107" s="157" t="s">
        <v>643</v>
      </c>
      <c r="D107" s="116"/>
      <c r="E107" s="116"/>
      <c r="F107" s="116"/>
      <c r="G107" s="116">
        <v>4.0</v>
      </c>
      <c r="H107" s="104">
        <f t="shared" si="40"/>
        <v>4</v>
      </c>
      <c r="I107" s="115">
        <v>2.0</v>
      </c>
      <c r="J107" s="115"/>
      <c r="K107" s="115"/>
      <c r="L107" s="115">
        <f t="shared" si="92"/>
        <v>0</v>
      </c>
      <c r="M107" s="115">
        <f>V107*(1+$L$2)</f>
        <v>9187500</v>
      </c>
      <c r="N107" s="116"/>
      <c r="O107" s="116"/>
      <c r="P107" s="116"/>
      <c r="Q107" s="107">
        <v>5.0</v>
      </c>
      <c r="R107" s="108">
        <f t="shared" si="42"/>
        <v>5</v>
      </c>
      <c r="S107" s="155"/>
      <c r="T107" s="155"/>
      <c r="U107" s="165">
        <f t="shared" si="62"/>
        <v>0</v>
      </c>
      <c r="V107" s="165">
        <f t="shared" si="63"/>
        <v>8750000</v>
      </c>
      <c r="W107" s="121"/>
      <c r="X107" s="121"/>
      <c r="Y107" s="127" t="s">
        <v>508</v>
      </c>
      <c r="AB107" s="111">
        <f t="shared" si="5"/>
        <v>0</v>
      </c>
    </row>
    <row r="108" ht="14.25" customHeight="1">
      <c r="A108" s="65"/>
      <c r="B108" s="119"/>
      <c r="C108" s="157" t="s">
        <v>645</v>
      </c>
      <c r="D108" s="116"/>
      <c r="E108" s="116"/>
      <c r="F108" s="116"/>
      <c r="G108" s="116">
        <v>4.0</v>
      </c>
      <c r="H108" s="104">
        <f t="shared" si="40"/>
        <v>4</v>
      </c>
      <c r="I108" s="115">
        <v>2.0</v>
      </c>
      <c r="J108" s="115"/>
      <c r="K108" s="115"/>
      <c r="L108" s="115">
        <f t="shared" si="92"/>
        <v>0</v>
      </c>
      <c r="M108" s="115">
        <f t="shared" ref="M108:M109" si="95">70000*25*G108</f>
        <v>7000000</v>
      </c>
      <c r="N108" s="116"/>
      <c r="O108" s="116"/>
      <c r="P108" s="116"/>
      <c r="Q108" s="107"/>
      <c r="R108" s="108">
        <f t="shared" si="42"/>
        <v>0</v>
      </c>
      <c r="S108" s="155"/>
      <c r="T108" s="155"/>
      <c r="U108" s="165">
        <f t="shared" si="62"/>
        <v>0</v>
      </c>
      <c r="V108" s="165">
        <f t="shared" si="63"/>
        <v>0</v>
      </c>
      <c r="W108" s="121"/>
      <c r="X108" s="121"/>
      <c r="Y108" s="127" t="s">
        <v>508</v>
      </c>
      <c r="AB108" s="111">
        <f t="shared" si="5"/>
        <v>0</v>
      </c>
    </row>
    <row r="109" ht="14.25" customHeight="1">
      <c r="A109" s="65"/>
      <c r="B109" s="157" t="s">
        <v>604</v>
      </c>
      <c r="C109" s="121"/>
      <c r="D109" s="116"/>
      <c r="E109" s="116"/>
      <c r="F109" s="116"/>
      <c r="G109" s="116">
        <v>6.0</v>
      </c>
      <c r="H109" s="104">
        <f t="shared" si="40"/>
        <v>6</v>
      </c>
      <c r="I109" s="115">
        <v>3.0</v>
      </c>
      <c r="J109" s="115"/>
      <c r="K109" s="115"/>
      <c r="L109" s="115">
        <f t="shared" si="92"/>
        <v>0</v>
      </c>
      <c r="M109" s="115">
        <f t="shared" si="95"/>
        <v>10500000</v>
      </c>
      <c r="N109" s="116"/>
      <c r="O109" s="116"/>
      <c r="P109" s="116"/>
      <c r="Q109" s="107"/>
      <c r="R109" s="108">
        <f t="shared" si="42"/>
        <v>0</v>
      </c>
      <c r="S109" s="155"/>
      <c r="T109" s="155"/>
      <c r="U109" s="165">
        <f t="shared" si="62"/>
        <v>0</v>
      </c>
      <c r="V109" s="165">
        <f t="shared" si="63"/>
        <v>0</v>
      </c>
      <c r="W109" s="121"/>
      <c r="X109" s="121"/>
      <c r="Y109" s="127" t="s">
        <v>493</v>
      </c>
      <c r="AB109" s="111">
        <f t="shared" si="5"/>
        <v>0</v>
      </c>
    </row>
    <row r="110" ht="14.25" customHeight="1">
      <c r="A110" s="121"/>
      <c r="B110" s="157" t="s">
        <v>646</v>
      </c>
      <c r="C110" s="121"/>
      <c r="D110" s="116"/>
      <c r="E110" s="116"/>
      <c r="F110" s="116">
        <v>1.0</v>
      </c>
      <c r="G110" s="116"/>
      <c r="H110" s="104">
        <f t="shared" si="40"/>
        <v>1</v>
      </c>
      <c r="I110" s="115">
        <v>2.0</v>
      </c>
      <c r="J110" s="115"/>
      <c r="K110" s="115"/>
      <c r="L110" s="115">
        <f>4874132*F110</f>
        <v>4874132</v>
      </c>
      <c r="M110" s="115">
        <f>V110*(1+$L$2)</f>
        <v>3675000</v>
      </c>
      <c r="N110" s="116"/>
      <c r="O110" s="116"/>
      <c r="P110" s="116"/>
      <c r="Q110" s="107">
        <v>2.0</v>
      </c>
      <c r="R110" s="108">
        <f t="shared" si="42"/>
        <v>2</v>
      </c>
      <c r="S110" s="155"/>
      <c r="T110" s="155"/>
      <c r="U110" s="165">
        <f t="shared" si="62"/>
        <v>0</v>
      </c>
      <c r="V110" s="165">
        <f t="shared" si="63"/>
        <v>3500000</v>
      </c>
      <c r="W110" s="121"/>
      <c r="X110" s="121"/>
      <c r="Y110" s="127" t="s">
        <v>493</v>
      </c>
      <c r="Z110" s="127" t="s">
        <v>607</v>
      </c>
      <c r="AB110" s="111">
        <f t="shared" si="5"/>
        <v>0</v>
      </c>
    </row>
    <row r="111" ht="14.25" customHeight="1">
      <c r="D111" s="24"/>
      <c r="E111" s="24"/>
      <c r="F111" s="125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15"/>
      <c r="T111" s="215"/>
      <c r="U111" s="215"/>
      <c r="V111" s="215"/>
    </row>
    <row r="112" ht="14.25" customHeight="1">
      <c r="D112" s="125">
        <f t="shared" ref="D112:H112" si="96">SUBTOTAL(9,D6:D110)</f>
        <v>119</v>
      </c>
      <c r="E112" s="125">
        <f t="shared" si="96"/>
        <v>11</v>
      </c>
      <c r="F112" s="125">
        <f t="shared" si="96"/>
        <v>182</v>
      </c>
      <c r="G112" s="125">
        <f t="shared" si="96"/>
        <v>270</v>
      </c>
      <c r="H112" s="125">
        <f t="shared" si="96"/>
        <v>582</v>
      </c>
      <c r="I112" s="125"/>
      <c r="J112" s="125">
        <f>SUBTOTAL(9,J6:J110)</f>
        <v>0</v>
      </c>
      <c r="K112" s="125"/>
      <c r="L112" s="125">
        <f t="shared" ref="L112:S112" si="97">SUBTOTAL(9,L6:L110)</f>
        <v>443387813.3</v>
      </c>
      <c r="M112" s="125">
        <f t="shared" si="97"/>
        <v>500631250</v>
      </c>
      <c r="N112" s="125">
        <f t="shared" si="97"/>
        <v>101</v>
      </c>
      <c r="O112" s="125">
        <f t="shared" si="97"/>
        <v>23</v>
      </c>
      <c r="P112" s="125">
        <f t="shared" si="97"/>
        <v>114</v>
      </c>
      <c r="Q112" s="125">
        <f t="shared" si="97"/>
        <v>204</v>
      </c>
      <c r="R112" s="201">
        <f t="shared" si="97"/>
        <v>442</v>
      </c>
      <c r="S112" s="216">
        <f t="shared" si="97"/>
        <v>0</v>
      </c>
      <c r="T112" s="216"/>
      <c r="U112" s="125">
        <f t="shared" ref="U112:X112" si="98">SUBTOTAL(9,U6:U110)</f>
        <v>275234625</v>
      </c>
      <c r="V112" s="125">
        <f t="shared" si="98"/>
        <v>360125000</v>
      </c>
      <c r="W112" s="125">
        <f t="shared" si="98"/>
        <v>0</v>
      </c>
      <c r="X112" s="125">
        <f t="shared" si="98"/>
        <v>0</v>
      </c>
    </row>
    <row r="113" ht="14.25" customHeight="1">
      <c r="F113" s="88"/>
      <c r="P113" s="125" t="str">
        <f>#REF!-R112</f>
        <v>#REF!</v>
      </c>
      <c r="Q113" s="194"/>
      <c r="R113" s="194" t="str">
        <f>R112/#REF!</f>
        <v>#REF!</v>
      </c>
      <c r="S113" s="89"/>
      <c r="T113" s="89"/>
      <c r="U113" s="89"/>
      <c r="V113" s="89"/>
    </row>
    <row r="114" ht="14.25" customHeight="1">
      <c r="F114" s="88"/>
      <c r="S114" s="89"/>
      <c r="T114" s="89"/>
      <c r="U114" s="89"/>
      <c r="V114" s="89"/>
    </row>
    <row r="115" ht="14.25" customHeight="1">
      <c r="F115" s="88"/>
      <c r="S115" s="89"/>
      <c r="T115" s="89"/>
      <c r="U115" s="89"/>
      <c r="V115" s="89"/>
    </row>
    <row r="116" ht="14.25" customHeight="1">
      <c r="F116" s="88"/>
      <c r="S116" s="89"/>
      <c r="T116" s="89"/>
      <c r="U116" s="89"/>
      <c r="V116" s="89"/>
    </row>
    <row r="117" ht="14.25" customHeight="1">
      <c r="F117" s="88"/>
      <c r="S117" s="89"/>
      <c r="T117" s="89"/>
      <c r="U117" s="89"/>
      <c r="V117" s="89"/>
    </row>
    <row r="118" ht="14.25" customHeight="1">
      <c r="F118" s="88"/>
      <c r="S118" s="89"/>
      <c r="T118" s="89"/>
      <c r="U118" s="89"/>
      <c r="V118" s="89"/>
    </row>
    <row r="119" ht="14.25" customHeight="1">
      <c r="F119" s="88"/>
      <c r="S119" s="89"/>
      <c r="T119" s="89"/>
      <c r="U119" s="89"/>
      <c r="V119" s="89"/>
    </row>
    <row r="120" ht="14.25" customHeight="1">
      <c r="F120" s="88"/>
      <c r="S120" s="89"/>
      <c r="T120" s="89"/>
      <c r="U120" s="89"/>
      <c r="V120" s="89"/>
    </row>
    <row r="121" ht="14.25" customHeight="1">
      <c r="F121" s="88"/>
      <c r="S121" s="89"/>
      <c r="T121" s="89"/>
      <c r="U121" s="89"/>
      <c r="V121" s="89"/>
    </row>
    <row r="122" ht="14.25" customHeight="1">
      <c r="F122" s="88"/>
      <c r="S122" s="89"/>
      <c r="T122" s="89"/>
      <c r="U122" s="89"/>
      <c r="V122" s="89"/>
    </row>
    <row r="123" ht="14.25" customHeight="1">
      <c r="F123" s="88"/>
      <c r="S123" s="89"/>
      <c r="T123" s="89"/>
      <c r="U123" s="89"/>
      <c r="V123" s="89"/>
    </row>
    <row r="124" ht="14.25" customHeight="1">
      <c r="F124" s="88"/>
      <c r="S124" s="89"/>
      <c r="T124" s="89"/>
      <c r="U124" s="89"/>
      <c r="V124" s="89"/>
    </row>
    <row r="125" ht="14.25" customHeight="1">
      <c r="F125" s="88"/>
      <c r="S125" s="89"/>
      <c r="T125" s="89"/>
      <c r="U125" s="89"/>
      <c r="V125" s="89"/>
    </row>
    <row r="126" ht="14.25" customHeight="1">
      <c r="F126" s="88"/>
      <c r="S126" s="89"/>
      <c r="T126" s="89"/>
      <c r="U126" s="89"/>
      <c r="V126" s="89"/>
    </row>
    <row r="127" ht="14.25" customHeight="1">
      <c r="F127" s="88"/>
      <c r="S127" s="89"/>
      <c r="T127" s="89"/>
      <c r="U127" s="89"/>
      <c r="V127" s="89"/>
    </row>
    <row r="128" ht="14.25" customHeight="1">
      <c r="F128" s="88"/>
      <c r="S128" s="89"/>
      <c r="T128" s="89"/>
      <c r="U128" s="89"/>
      <c r="V128" s="89"/>
    </row>
    <row r="129" ht="14.25" customHeight="1">
      <c r="F129" s="88"/>
      <c r="S129" s="89"/>
      <c r="T129" s="89"/>
      <c r="U129" s="89"/>
      <c r="V129" s="89"/>
    </row>
    <row r="130" ht="14.25" customHeight="1">
      <c r="F130" s="88"/>
      <c r="S130" s="89"/>
      <c r="T130" s="89"/>
      <c r="U130" s="89"/>
      <c r="V130" s="89"/>
    </row>
    <row r="131" ht="14.25" customHeight="1">
      <c r="F131" s="88"/>
      <c r="S131" s="89"/>
      <c r="T131" s="89"/>
      <c r="U131" s="89"/>
      <c r="V131" s="89"/>
    </row>
    <row r="132" ht="14.25" customHeight="1">
      <c r="F132" s="88"/>
      <c r="S132" s="89"/>
      <c r="T132" s="89"/>
      <c r="U132" s="89"/>
      <c r="V132" s="89"/>
    </row>
    <row r="133" ht="14.25" customHeight="1">
      <c r="F133" s="88"/>
      <c r="S133" s="89"/>
      <c r="T133" s="89"/>
      <c r="U133" s="89"/>
      <c r="V133" s="89"/>
    </row>
    <row r="134" ht="14.25" customHeight="1">
      <c r="F134" s="88"/>
      <c r="S134" s="89"/>
      <c r="T134" s="89"/>
      <c r="U134" s="89"/>
      <c r="V134" s="89"/>
    </row>
    <row r="135" ht="14.25" customHeight="1">
      <c r="F135" s="88"/>
      <c r="S135" s="89"/>
      <c r="T135" s="89"/>
      <c r="U135" s="89"/>
      <c r="V135" s="89"/>
    </row>
    <row r="136" ht="14.25" customHeight="1">
      <c r="F136" s="88"/>
      <c r="S136" s="89"/>
      <c r="T136" s="89"/>
      <c r="U136" s="89"/>
      <c r="V136" s="89"/>
    </row>
    <row r="137" ht="14.25" customHeight="1">
      <c r="F137" s="88"/>
      <c r="S137" s="89"/>
      <c r="T137" s="89"/>
      <c r="U137" s="89"/>
      <c r="V137" s="89"/>
    </row>
    <row r="138" ht="14.25" customHeight="1">
      <c r="F138" s="88"/>
      <c r="S138" s="89"/>
      <c r="T138" s="89"/>
      <c r="U138" s="89"/>
      <c r="V138" s="89"/>
    </row>
    <row r="139" ht="14.25" customHeight="1">
      <c r="F139" s="88"/>
      <c r="S139" s="89"/>
      <c r="T139" s="89"/>
      <c r="U139" s="89"/>
      <c r="V139" s="89"/>
    </row>
    <row r="140" ht="14.25" customHeight="1">
      <c r="F140" s="88"/>
      <c r="S140" s="89"/>
      <c r="T140" s="89"/>
      <c r="U140" s="89"/>
      <c r="V140" s="89"/>
    </row>
    <row r="141" ht="14.25" customHeight="1">
      <c r="F141" s="88"/>
      <c r="S141" s="89"/>
      <c r="T141" s="89"/>
      <c r="U141" s="89"/>
      <c r="V141" s="89"/>
    </row>
    <row r="142" ht="14.25" customHeight="1">
      <c r="F142" s="88"/>
      <c r="S142" s="89"/>
      <c r="T142" s="89"/>
      <c r="U142" s="89"/>
      <c r="V142" s="89"/>
    </row>
    <row r="143" ht="14.25" customHeight="1">
      <c r="F143" s="88"/>
      <c r="S143" s="89"/>
      <c r="T143" s="89"/>
      <c r="U143" s="89"/>
      <c r="V143" s="89"/>
    </row>
    <row r="144" ht="14.25" customHeight="1">
      <c r="F144" s="88"/>
      <c r="S144" s="89"/>
      <c r="T144" s="89"/>
      <c r="U144" s="89"/>
      <c r="V144" s="89"/>
    </row>
    <row r="145" ht="14.25" customHeight="1">
      <c r="F145" s="88"/>
      <c r="S145" s="89"/>
      <c r="T145" s="89"/>
      <c r="U145" s="89"/>
      <c r="V145" s="89"/>
    </row>
    <row r="146" ht="14.25" customHeight="1">
      <c r="F146" s="88"/>
      <c r="S146" s="89"/>
      <c r="T146" s="89"/>
      <c r="U146" s="89"/>
      <c r="V146" s="89"/>
    </row>
    <row r="147" ht="14.25" customHeight="1">
      <c r="F147" s="88"/>
      <c r="S147" s="89"/>
      <c r="T147" s="89"/>
      <c r="U147" s="89"/>
      <c r="V147" s="89"/>
    </row>
    <row r="148" ht="14.25" customHeight="1">
      <c r="F148" s="88"/>
      <c r="S148" s="89"/>
      <c r="T148" s="89"/>
      <c r="U148" s="89"/>
      <c r="V148" s="89"/>
    </row>
    <row r="149" ht="14.25" customHeight="1">
      <c r="F149" s="88"/>
      <c r="S149" s="89"/>
      <c r="T149" s="89"/>
      <c r="U149" s="89"/>
      <c r="V149" s="89"/>
    </row>
    <row r="150" ht="14.25" customHeight="1">
      <c r="F150" s="88"/>
      <c r="S150" s="89"/>
      <c r="T150" s="89"/>
      <c r="U150" s="89"/>
      <c r="V150" s="89"/>
    </row>
    <row r="151" ht="14.25" customHeight="1">
      <c r="F151" s="88"/>
      <c r="S151" s="89"/>
      <c r="T151" s="89"/>
      <c r="U151" s="89"/>
      <c r="V151" s="89"/>
    </row>
    <row r="152" ht="14.25" customHeight="1">
      <c r="F152" s="88"/>
      <c r="S152" s="89"/>
      <c r="T152" s="89"/>
      <c r="U152" s="89"/>
      <c r="V152" s="89"/>
    </row>
    <row r="153" ht="14.25" customHeight="1">
      <c r="F153" s="88"/>
      <c r="S153" s="89"/>
      <c r="T153" s="89"/>
      <c r="U153" s="89"/>
      <c r="V153" s="89"/>
    </row>
    <row r="154" ht="14.25" customHeight="1">
      <c r="F154" s="88"/>
      <c r="S154" s="89"/>
      <c r="T154" s="89"/>
      <c r="U154" s="89"/>
      <c r="V154" s="89"/>
    </row>
    <row r="155" ht="14.25" customHeight="1">
      <c r="F155" s="88"/>
      <c r="S155" s="89"/>
      <c r="T155" s="89"/>
      <c r="U155" s="89"/>
      <c r="V155" s="89"/>
    </row>
    <row r="156" ht="14.25" customHeight="1">
      <c r="F156" s="88"/>
      <c r="S156" s="89"/>
      <c r="T156" s="89"/>
      <c r="U156" s="89"/>
      <c r="V156" s="89"/>
    </row>
    <row r="157" ht="14.25" customHeight="1">
      <c r="F157" s="88"/>
      <c r="S157" s="89"/>
      <c r="T157" s="89"/>
      <c r="U157" s="89"/>
      <c r="V157" s="89"/>
    </row>
    <row r="158" ht="14.25" customHeight="1">
      <c r="F158" s="88"/>
      <c r="S158" s="89"/>
      <c r="T158" s="89"/>
      <c r="U158" s="89"/>
      <c r="V158" s="89"/>
    </row>
    <row r="159" ht="14.25" customHeight="1">
      <c r="F159" s="88"/>
      <c r="S159" s="89"/>
      <c r="T159" s="89"/>
      <c r="U159" s="89"/>
      <c r="V159" s="89"/>
    </row>
    <row r="160" ht="14.25" customHeight="1">
      <c r="F160" s="88"/>
      <c r="S160" s="89"/>
      <c r="T160" s="89"/>
      <c r="U160" s="89"/>
      <c r="V160" s="89"/>
    </row>
    <row r="161" ht="14.25" customHeight="1">
      <c r="F161" s="88"/>
      <c r="S161" s="89"/>
      <c r="T161" s="89"/>
      <c r="U161" s="89"/>
      <c r="V161" s="89"/>
    </row>
    <row r="162" ht="14.25" customHeight="1">
      <c r="F162" s="88"/>
      <c r="S162" s="89"/>
      <c r="T162" s="89"/>
      <c r="U162" s="89"/>
      <c r="V162" s="89"/>
    </row>
    <row r="163" ht="14.25" customHeight="1">
      <c r="F163" s="88"/>
      <c r="S163" s="89"/>
      <c r="T163" s="89"/>
      <c r="U163" s="89"/>
      <c r="V163" s="89"/>
    </row>
    <row r="164" ht="14.25" customHeight="1">
      <c r="F164" s="88"/>
      <c r="S164" s="89"/>
      <c r="T164" s="89"/>
      <c r="U164" s="89"/>
      <c r="V164" s="89"/>
    </row>
    <row r="165" ht="14.25" customHeight="1">
      <c r="F165" s="88"/>
      <c r="S165" s="89"/>
      <c r="T165" s="89"/>
      <c r="U165" s="89"/>
      <c r="V165" s="89"/>
    </row>
    <row r="166" ht="14.25" customHeight="1">
      <c r="F166" s="88"/>
      <c r="S166" s="89"/>
      <c r="T166" s="89"/>
      <c r="U166" s="89"/>
      <c r="V166" s="89"/>
    </row>
    <row r="167" ht="14.25" customHeight="1">
      <c r="F167" s="88"/>
      <c r="S167" s="89"/>
      <c r="T167" s="89"/>
      <c r="U167" s="89"/>
      <c r="V167" s="89"/>
    </row>
    <row r="168" ht="14.25" customHeight="1">
      <c r="F168" s="88"/>
      <c r="S168" s="89"/>
      <c r="T168" s="89"/>
      <c r="U168" s="89"/>
      <c r="V168" s="89"/>
    </row>
    <row r="169" ht="14.25" customHeight="1">
      <c r="F169" s="88"/>
      <c r="S169" s="89"/>
      <c r="T169" s="89"/>
      <c r="U169" s="89"/>
      <c r="V169" s="89"/>
    </row>
    <row r="170" ht="14.25" customHeight="1">
      <c r="F170" s="88"/>
      <c r="S170" s="89"/>
      <c r="T170" s="89"/>
      <c r="U170" s="89"/>
      <c r="V170" s="89"/>
    </row>
    <row r="171" ht="14.25" customHeight="1">
      <c r="F171" s="88"/>
      <c r="S171" s="89"/>
      <c r="T171" s="89"/>
      <c r="U171" s="89"/>
      <c r="V171" s="89"/>
    </row>
    <row r="172" ht="14.25" customHeight="1">
      <c r="F172" s="88"/>
      <c r="S172" s="89"/>
      <c r="T172" s="89"/>
      <c r="U172" s="89"/>
      <c r="V172" s="89"/>
    </row>
    <row r="173" ht="14.25" customHeight="1">
      <c r="F173" s="88"/>
      <c r="S173" s="89"/>
      <c r="T173" s="89"/>
      <c r="U173" s="89"/>
      <c r="V173" s="89"/>
    </row>
    <row r="174" ht="14.25" customHeight="1">
      <c r="F174" s="88"/>
      <c r="S174" s="89"/>
      <c r="T174" s="89"/>
      <c r="U174" s="89"/>
      <c r="V174" s="89"/>
    </row>
    <row r="175" ht="14.25" customHeight="1">
      <c r="F175" s="88"/>
      <c r="S175" s="89"/>
      <c r="T175" s="89"/>
      <c r="U175" s="89"/>
      <c r="V175" s="89"/>
    </row>
    <row r="176" ht="14.25" customHeight="1">
      <c r="F176" s="88"/>
      <c r="S176" s="89"/>
      <c r="T176" s="89"/>
      <c r="U176" s="89"/>
      <c r="V176" s="89"/>
    </row>
    <row r="177" ht="14.25" customHeight="1">
      <c r="F177" s="88"/>
      <c r="S177" s="89"/>
      <c r="T177" s="89"/>
      <c r="U177" s="89"/>
      <c r="V177" s="89"/>
    </row>
    <row r="178" ht="14.25" customHeight="1">
      <c r="F178" s="88"/>
      <c r="S178" s="89"/>
      <c r="T178" s="89"/>
      <c r="U178" s="89"/>
      <c r="V178" s="89"/>
    </row>
    <row r="179" ht="14.25" customHeight="1">
      <c r="F179" s="88"/>
      <c r="S179" s="89"/>
      <c r="T179" s="89"/>
      <c r="U179" s="89"/>
      <c r="V179" s="89"/>
    </row>
    <row r="180" ht="14.25" customHeight="1">
      <c r="F180" s="88"/>
      <c r="S180" s="89"/>
      <c r="T180" s="89"/>
      <c r="U180" s="89"/>
      <c r="V180" s="89"/>
    </row>
    <row r="181" ht="14.25" customHeight="1">
      <c r="F181" s="88"/>
      <c r="S181" s="89"/>
      <c r="T181" s="89"/>
      <c r="U181" s="89"/>
      <c r="V181" s="89"/>
    </row>
    <row r="182" ht="14.25" customHeight="1">
      <c r="F182" s="88"/>
      <c r="S182" s="89"/>
      <c r="T182" s="89"/>
      <c r="U182" s="89"/>
      <c r="V182" s="89"/>
    </row>
    <row r="183" ht="14.25" customHeight="1">
      <c r="F183" s="88"/>
      <c r="S183" s="89"/>
      <c r="T183" s="89"/>
      <c r="U183" s="89"/>
      <c r="V183" s="89"/>
    </row>
    <row r="184" ht="14.25" customHeight="1">
      <c r="F184" s="88"/>
      <c r="S184" s="89"/>
      <c r="T184" s="89"/>
      <c r="U184" s="89"/>
      <c r="V184" s="89"/>
    </row>
    <row r="185" ht="14.25" customHeight="1">
      <c r="F185" s="88"/>
      <c r="S185" s="89"/>
      <c r="T185" s="89"/>
      <c r="U185" s="89"/>
      <c r="V185" s="89"/>
    </row>
    <row r="186" ht="14.25" customHeight="1">
      <c r="F186" s="88"/>
      <c r="S186" s="89"/>
      <c r="T186" s="89"/>
      <c r="U186" s="89"/>
      <c r="V186" s="89"/>
    </row>
    <row r="187" ht="14.25" customHeight="1">
      <c r="F187" s="88"/>
      <c r="S187" s="89"/>
      <c r="T187" s="89"/>
      <c r="U187" s="89"/>
      <c r="V187" s="89"/>
    </row>
    <row r="188" ht="14.25" customHeight="1">
      <c r="F188" s="88"/>
      <c r="S188" s="89"/>
      <c r="T188" s="89"/>
      <c r="U188" s="89"/>
      <c r="V188" s="89"/>
    </row>
    <row r="189" ht="14.25" customHeight="1">
      <c r="F189" s="88"/>
      <c r="S189" s="89"/>
      <c r="T189" s="89"/>
      <c r="U189" s="89"/>
      <c r="V189" s="89"/>
    </row>
    <row r="190" ht="14.25" customHeight="1">
      <c r="F190" s="88"/>
      <c r="S190" s="89"/>
      <c r="T190" s="89"/>
      <c r="U190" s="89"/>
      <c r="V190" s="89"/>
    </row>
    <row r="191" ht="14.25" customHeight="1">
      <c r="F191" s="88"/>
      <c r="S191" s="89"/>
      <c r="T191" s="89"/>
      <c r="U191" s="89"/>
      <c r="V191" s="89"/>
    </row>
    <row r="192" ht="14.25" customHeight="1">
      <c r="F192" s="88"/>
      <c r="S192" s="89"/>
      <c r="T192" s="89"/>
      <c r="U192" s="89"/>
      <c r="V192" s="89"/>
    </row>
    <row r="193" ht="14.25" customHeight="1">
      <c r="F193" s="88"/>
      <c r="S193" s="89"/>
      <c r="T193" s="89"/>
      <c r="U193" s="89"/>
      <c r="V193" s="89"/>
    </row>
    <row r="194" ht="14.25" customHeight="1">
      <c r="F194" s="88"/>
      <c r="S194" s="89"/>
      <c r="T194" s="89"/>
      <c r="U194" s="89"/>
      <c r="V194" s="89"/>
    </row>
    <row r="195" ht="14.25" customHeight="1">
      <c r="F195" s="88"/>
      <c r="S195" s="89"/>
      <c r="T195" s="89"/>
      <c r="U195" s="89"/>
      <c r="V195" s="89"/>
    </row>
    <row r="196" ht="14.25" customHeight="1">
      <c r="F196" s="88"/>
      <c r="S196" s="89"/>
      <c r="T196" s="89"/>
      <c r="U196" s="89"/>
      <c r="V196" s="89"/>
    </row>
    <row r="197" ht="14.25" customHeight="1">
      <c r="F197" s="88"/>
      <c r="S197" s="89"/>
      <c r="T197" s="89"/>
      <c r="U197" s="89"/>
      <c r="V197" s="89"/>
    </row>
    <row r="198" ht="14.25" customHeight="1">
      <c r="F198" s="88"/>
      <c r="S198" s="89"/>
      <c r="T198" s="89"/>
      <c r="U198" s="89"/>
      <c r="V198" s="89"/>
    </row>
    <row r="199" ht="14.25" customHeight="1">
      <c r="F199" s="88"/>
      <c r="S199" s="89"/>
      <c r="T199" s="89"/>
      <c r="U199" s="89"/>
      <c r="V199" s="89"/>
    </row>
    <row r="200" ht="14.25" customHeight="1">
      <c r="F200" s="88"/>
      <c r="S200" s="89"/>
      <c r="T200" s="89"/>
      <c r="U200" s="89"/>
      <c r="V200" s="89"/>
    </row>
    <row r="201" ht="14.25" customHeight="1">
      <c r="F201" s="88"/>
      <c r="S201" s="89"/>
      <c r="T201" s="89"/>
      <c r="U201" s="89"/>
      <c r="V201" s="89"/>
    </row>
    <row r="202" ht="14.25" customHeight="1">
      <c r="F202" s="88"/>
      <c r="S202" s="89"/>
      <c r="T202" s="89"/>
      <c r="U202" s="89"/>
      <c r="V202" s="89"/>
    </row>
    <row r="203" ht="14.25" customHeight="1">
      <c r="F203" s="88"/>
      <c r="S203" s="89"/>
      <c r="T203" s="89"/>
      <c r="U203" s="89"/>
      <c r="V203" s="89"/>
    </row>
    <row r="204" ht="14.25" customHeight="1">
      <c r="F204" s="88"/>
      <c r="S204" s="89"/>
      <c r="T204" s="89"/>
      <c r="U204" s="89"/>
      <c r="V204" s="89"/>
    </row>
    <row r="205" ht="14.25" customHeight="1">
      <c r="F205" s="88"/>
      <c r="S205" s="89"/>
      <c r="T205" s="89"/>
      <c r="U205" s="89"/>
      <c r="V205" s="89"/>
    </row>
    <row r="206" ht="14.25" customHeight="1">
      <c r="F206" s="88"/>
      <c r="S206" s="89"/>
      <c r="T206" s="89"/>
      <c r="U206" s="89"/>
      <c r="V206" s="89"/>
    </row>
    <row r="207" ht="14.25" customHeight="1">
      <c r="F207" s="88"/>
      <c r="S207" s="89"/>
      <c r="T207" s="89"/>
      <c r="U207" s="89"/>
      <c r="V207" s="89"/>
    </row>
    <row r="208" ht="14.25" customHeight="1">
      <c r="F208" s="88"/>
      <c r="S208" s="89"/>
      <c r="T208" s="89"/>
      <c r="U208" s="89"/>
      <c r="V208" s="89"/>
    </row>
    <row r="209" ht="14.25" customHeight="1">
      <c r="F209" s="88"/>
      <c r="S209" s="89"/>
      <c r="T209" s="89"/>
      <c r="U209" s="89"/>
      <c r="V209" s="89"/>
    </row>
    <row r="210" ht="14.25" customHeight="1">
      <c r="F210" s="88"/>
      <c r="S210" s="89"/>
      <c r="T210" s="89"/>
      <c r="U210" s="89"/>
      <c r="V210" s="89"/>
    </row>
    <row r="211" ht="14.25" customHeight="1">
      <c r="F211" s="88"/>
      <c r="S211" s="89"/>
      <c r="T211" s="89"/>
      <c r="U211" s="89"/>
      <c r="V211" s="89"/>
    </row>
    <row r="212" ht="14.25" customHeight="1">
      <c r="F212" s="88"/>
      <c r="S212" s="89"/>
      <c r="T212" s="89"/>
      <c r="U212" s="89"/>
      <c r="V212" s="89"/>
    </row>
    <row r="213" ht="14.25" customHeight="1">
      <c r="F213" s="88"/>
      <c r="S213" s="89"/>
      <c r="T213" s="89"/>
      <c r="U213" s="89"/>
      <c r="V213" s="89"/>
    </row>
    <row r="214" ht="14.25" customHeight="1">
      <c r="F214" s="88"/>
      <c r="S214" s="89"/>
      <c r="T214" s="89"/>
      <c r="U214" s="89"/>
      <c r="V214" s="89"/>
    </row>
    <row r="215" ht="14.25" customHeight="1">
      <c r="F215" s="88"/>
      <c r="S215" s="89"/>
      <c r="T215" s="89"/>
      <c r="U215" s="89"/>
      <c r="V215" s="89"/>
    </row>
    <row r="216" ht="14.25" customHeight="1">
      <c r="F216" s="88"/>
      <c r="S216" s="89"/>
      <c r="T216" s="89"/>
      <c r="U216" s="89"/>
      <c r="V216" s="89"/>
    </row>
    <row r="217" ht="14.25" customHeight="1">
      <c r="F217" s="88"/>
      <c r="S217" s="89"/>
      <c r="T217" s="89"/>
      <c r="U217" s="89"/>
      <c r="V217" s="89"/>
    </row>
    <row r="218" ht="14.25" customHeight="1">
      <c r="F218" s="88"/>
      <c r="S218" s="89"/>
      <c r="T218" s="89"/>
      <c r="U218" s="89"/>
      <c r="V218" s="89"/>
    </row>
    <row r="219" ht="14.25" customHeight="1">
      <c r="F219" s="88"/>
      <c r="S219" s="89"/>
      <c r="T219" s="89"/>
      <c r="U219" s="89"/>
      <c r="V219" s="89"/>
    </row>
    <row r="220" ht="14.25" customHeight="1">
      <c r="F220" s="88"/>
      <c r="S220" s="89"/>
      <c r="T220" s="89"/>
      <c r="U220" s="89"/>
      <c r="V220" s="89"/>
    </row>
    <row r="221" ht="14.25" customHeight="1">
      <c r="F221" s="88"/>
      <c r="S221" s="89"/>
      <c r="T221" s="89"/>
      <c r="U221" s="89"/>
      <c r="V221" s="89"/>
    </row>
    <row r="222" ht="14.25" customHeight="1">
      <c r="F222" s="88"/>
      <c r="S222" s="89"/>
      <c r="T222" s="89"/>
      <c r="U222" s="89"/>
      <c r="V222" s="89"/>
    </row>
    <row r="223" ht="14.25" customHeight="1">
      <c r="F223" s="88"/>
      <c r="S223" s="89"/>
      <c r="T223" s="89"/>
      <c r="U223" s="89"/>
      <c r="V223" s="89"/>
    </row>
    <row r="224" ht="14.25" customHeight="1">
      <c r="F224" s="88"/>
      <c r="S224" s="89"/>
      <c r="T224" s="89"/>
      <c r="U224" s="89"/>
      <c r="V224" s="89"/>
    </row>
    <row r="225" ht="14.25" customHeight="1">
      <c r="F225" s="88"/>
      <c r="S225" s="89"/>
      <c r="T225" s="89"/>
      <c r="U225" s="89"/>
      <c r="V225" s="89"/>
    </row>
    <row r="226" ht="14.25" customHeight="1">
      <c r="F226" s="88"/>
      <c r="S226" s="89"/>
      <c r="T226" s="89"/>
      <c r="U226" s="89"/>
      <c r="V226" s="89"/>
    </row>
    <row r="227" ht="14.25" customHeight="1">
      <c r="F227" s="88"/>
      <c r="S227" s="89"/>
      <c r="T227" s="89"/>
      <c r="U227" s="89"/>
      <c r="V227" s="89"/>
    </row>
    <row r="228" ht="14.25" customHeight="1">
      <c r="F228" s="88"/>
      <c r="S228" s="89"/>
      <c r="T228" s="89"/>
      <c r="U228" s="89"/>
      <c r="V228" s="89"/>
    </row>
    <row r="229" ht="14.25" customHeight="1">
      <c r="F229" s="88"/>
      <c r="S229" s="89"/>
      <c r="T229" s="89"/>
      <c r="U229" s="89"/>
      <c r="V229" s="89"/>
    </row>
    <row r="230" ht="14.25" customHeight="1">
      <c r="F230" s="88"/>
      <c r="S230" s="89"/>
      <c r="T230" s="89"/>
      <c r="U230" s="89"/>
      <c r="V230" s="89"/>
    </row>
    <row r="231" ht="14.25" customHeight="1">
      <c r="F231" s="88"/>
      <c r="S231" s="89"/>
      <c r="T231" s="89"/>
      <c r="U231" s="89"/>
      <c r="V231" s="89"/>
    </row>
    <row r="232" ht="14.25" customHeight="1">
      <c r="F232" s="88"/>
      <c r="S232" s="89"/>
      <c r="T232" s="89"/>
      <c r="U232" s="89"/>
      <c r="V232" s="89"/>
    </row>
    <row r="233" ht="14.25" customHeight="1">
      <c r="F233" s="88"/>
      <c r="S233" s="89"/>
      <c r="T233" s="89"/>
      <c r="U233" s="89"/>
      <c r="V233" s="89"/>
    </row>
    <row r="234" ht="14.25" customHeight="1">
      <c r="F234" s="88"/>
      <c r="S234" s="89"/>
      <c r="T234" s="89"/>
      <c r="U234" s="89"/>
      <c r="V234" s="89"/>
    </row>
    <row r="235" ht="14.25" customHeight="1">
      <c r="F235" s="88"/>
      <c r="S235" s="89"/>
      <c r="T235" s="89"/>
      <c r="U235" s="89"/>
      <c r="V235" s="89"/>
    </row>
    <row r="236" ht="14.25" customHeight="1">
      <c r="F236" s="88"/>
      <c r="S236" s="89"/>
      <c r="T236" s="89"/>
      <c r="U236" s="89"/>
      <c r="V236" s="89"/>
    </row>
    <row r="237" ht="14.25" customHeight="1">
      <c r="F237" s="88"/>
      <c r="S237" s="89"/>
      <c r="T237" s="89"/>
      <c r="U237" s="89"/>
      <c r="V237" s="89"/>
    </row>
    <row r="238" ht="14.25" customHeight="1">
      <c r="F238" s="88"/>
      <c r="S238" s="89"/>
      <c r="T238" s="89"/>
      <c r="U238" s="89"/>
      <c r="V238" s="89"/>
    </row>
    <row r="239" ht="14.25" customHeight="1">
      <c r="F239" s="88"/>
      <c r="S239" s="89"/>
      <c r="T239" s="89"/>
      <c r="U239" s="89"/>
      <c r="V239" s="89"/>
    </row>
    <row r="240" ht="14.25" customHeight="1">
      <c r="F240" s="88"/>
      <c r="S240" s="89"/>
      <c r="T240" s="89"/>
      <c r="U240" s="89"/>
      <c r="V240" s="89"/>
    </row>
    <row r="241" ht="14.25" customHeight="1">
      <c r="F241" s="88"/>
      <c r="S241" s="89"/>
      <c r="T241" s="89"/>
      <c r="U241" s="89"/>
      <c r="V241" s="89"/>
    </row>
    <row r="242" ht="14.25" customHeight="1">
      <c r="F242" s="88"/>
      <c r="S242" s="89"/>
      <c r="T242" s="89"/>
      <c r="U242" s="89"/>
      <c r="V242" s="89"/>
    </row>
    <row r="243" ht="14.25" customHeight="1">
      <c r="F243" s="88"/>
      <c r="S243" s="89"/>
      <c r="T243" s="89"/>
      <c r="U243" s="89"/>
      <c r="V243" s="89"/>
    </row>
    <row r="244" ht="14.25" customHeight="1">
      <c r="F244" s="88"/>
      <c r="S244" s="89"/>
      <c r="T244" s="89"/>
      <c r="U244" s="89"/>
      <c r="V244" s="89"/>
    </row>
    <row r="245" ht="14.25" customHeight="1">
      <c r="F245" s="88"/>
      <c r="S245" s="89"/>
      <c r="T245" s="89"/>
      <c r="U245" s="89"/>
      <c r="V245" s="89"/>
    </row>
    <row r="246" ht="14.25" customHeight="1">
      <c r="F246" s="88"/>
      <c r="S246" s="89"/>
      <c r="T246" s="89"/>
      <c r="U246" s="89"/>
      <c r="V246" s="89"/>
    </row>
    <row r="247" ht="14.25" customHeight="1">
      <c r="F247" s="88"/>
      <c r="S247" s="89"/>
      <c r="T247" s="89"/>
      <c r="U247" s="89"/>
      <c r="V247" s="89"/>
    </row>
    <row r="248" ht="14.25" customHeight="1">
      <c r="F248" s="88"/>
      <c r="S248" s="89"/>
      <c r="T248" s="89"/>
      <c r="U248" s="89"/>
      <c r="V248" s="89"/>
    </row>
    <row r="249" ht="14.25" customHeight="1">
      <c r="F249" s="88"/>
      <c r="S249" s="89"/>
      <c r="T249" s="89"/>
      <c r="U249" s="89"/>
      <c r="V249" s="89"/>
    </row>
    <row r="250" ht="14.25" customHeight="1">
      <c r="F250" s="88"/>
      <c r="S250" s="89"/>
      <c r="T250" s="89"/>
      <c r="U250" s="89"/>
      <c r="V250" s="89"/>
    </row>
    <row r="251" ht="14.25" customHeight="1">
      <c r="F251" s="88"/>
      <c r="S251" s="89"/>
      <c r="T251" s="89"/>
      <c r="U251" s="89"/>
      <c r="V251" s="89"/>
    </row>
    <row r="252" ht="14.25" customHeight="1">
      <c r="F252" s="88"/>
      <c r="S252" s="89"/>
      <c r="T252" s="89"/>
      <c r="U252" s="89"/>
      <c r="V252" s="89"/>
    </row>
    <row r="253" ht="14.25" customHeight="1">
      <c r="F253" s="88"/>
      <c r="S253" s="89"/>
      <c r="T253" s="89"/>
      <c r="U253" s="89"/>
      <c r="V253" s="89"/>
    </row>
    <row r="254" ht="14.25" customHeight="1">
      <c r="F254" s="88"/>
      <c r="S254" s="89"/>
      <c r="T254" s="89"/>
      <c r="U254" s="89"/>
      <c r="V254" s="89"/>
    </row>
    <row r="255" ht="14.25" customHeight="1">
      <c r="F255" s="88"/>
      <c r="S255" s="89"/>
      <c r="T255" s="89"/>
      <c r="U255" s="89"/>
      <c r="V255" s="89"/>
    </row>
    <row r="256" ht="14.25" customHeight="1">
      <c r="F256" s="88"/>
      <c r="S256" s="89"/>
      <c r="T256" s="89"/>
      <c r="U256" s="89"/>
      <c r="V256" s="89"/>
    </row>
    <row r="257" ht="14.25" customHeight="1">
      <c r="F257" s="88"/>
      <c r="S257" s="89"/>
      <c r="T257" s="89"/>
      <c r="U257" s="89"/>
      <c r="V257" s="89"/>
    </row>
    <row r="258" ht="14.25" customHeight="1">
      <c r="F258" s="88"/>
      <c r="S258" s="89"/>
      <c r="T258" s="89"/>
      <c r="U258" s="89"/>
      <c r="V258" s="89"/>
    </row>
    <row r="259" ht="14.25" customHeight="1">
      <c r="F259" s="88"/>
      <c r="S259" s="89"/>
      <c r="T259" s="89"/>
      <c r="U259" s="89"/>
      <c r="V259" s="89"/>
    </row>
    <row r="260" ht="14.25" customHeight="1">
      <c r="F260" s="88"/>
      <c r="S260" s="89"/>
      <c r="T260" s="89"/>
      <c r="U260" s="89"/>
      <c r="V260" s="89"/>
    </row>
    <row r="261" ht="14.25" customHeight="1">
      <c r="F261" s="88"/>
      <c r="S261" s="89"/>
      <c r="T261" s="89"/>
      <c r="U261" s="89"/>
      <c r="V261" s="89"/>
    </row>
    <row r="262" ht="14.25" customHeight="1">
      <c r="F262" s="88"/>
      <c r="S262" s="89"/>
      <c r="T262" s="89"/>
      <c r="U262" s="89"/>
      <c r="V262" s="89"/>
    </row>
    <row r="263" ht="14.25" customHeight="1">
      <c r="F263" s="88"/>
      <c r="S263" s="89"/>
      <c r="T263" s="89"/>
      <c r="U263" s="89"/>
      <c r="V263" s="89"/>
    </row>
    <row r="264" ht="14.25" customHeight="1">
      <c r="F264" s="88"/>
      <c r="S264" s="89"/>
      <c r="T264" s="89"/>
      <c r="U264" s="89"/>
      <c r="V264" s="89"/>
    </row>
    <row r="265" ht="14.25" customHeight="1">
      <c r="F265" s="88"/>
      <c r="S265" s="89"/>
      <c r="T265" s="89"/>
      <c r="U265" s="89"/>
      <c r="V265" s="89"/>
    </row>
    <row r="266" ht="14.25" customHeight="1">
      <c r="F266" s="88"/>
      <c r="S266" s="89"/>
      <c r="T266" s="89"/>
      <c r="U266" s="89"/>
      <c r="V266" s="89"/>
    </row>
    <row r="267" ht="14.25" customHeight="1">
      <c r="F267" s="88"/>
      <c r="S267" s="89"/>
      <c r="T267" s="89"/>
      <c r="U267" s="89"/>
      <c r="V267" s="89"/>
    </row>
    <row r="268" ht="14.25" customHeight="1">
      <c r="F268" s="88"/>
      <c r="S268" s="89"/>
      <c r="T268" s="89"/>
      <c r="U268" s="89"/>
      <c r="V268" s="89"/>
    </row>
    <row r="269" ht="14.25" customHeight="1">
      <c r="F269" s="88"/>
      <c r="S269" s="89"/>
      <c r="T269" s="89"/>
      <c r="U269" s="89"/>
      <c r="V269" s="89"/>
    </row>
    <row r="270" ht="14.25" customHeight="1">
      <c r="F270" s="88"/>
      <c r="S270" s="89"/>
      <c r="T270" s="89"/>
      <c r="U270" s="89"/>
      <c r="V270" s="89"/>
    </row>
    <row r="271" ht="14.25" customHeight="1">
      <c r="F271" s="88"/>
      <c r="S271" s="89"/>
      <c r="T271" s="89"/>
      <c r="U271" s="89"/>
      <c r="V271" s="89"/>
    </row>
    <row r="272" ht="14.25" customHeight="1">
      <c r="F272" s="88"/>
      <c r="S272" s="89"/>
      <c r="T272" s="89"/>
      <c r="U272" s="89"/>
      <c r="V272" s="89"/>
    </row>
    <row r="273" ht="14.25" customHeight="1">
      <c r="F273" s="88"/>
      <c r="S273" s="89"/>
      <c r="T273" s="89"/>
      <c r="U273" s="89"/>
      <c r="V273" s="89"/>
    </row>
    <row r="274" ht="14.25" customHeight="1">
      <c r="F274" s="88"/>
      <c r="S274" s="89"/>
      <c r="T274" s="89"/>
      <c r="U274" s="89"/>
      <c r="V274" s="89"/>
    </row>
    <row r="275" ht="14.25" customHeight="1">
      <c r="F275" s="88"/>
      <c r="S275" s="89"/>
      <c r="T275" s="89"/>
      <c r="U275" s="89"/>
      <c r="V275" s="89"/>
    </row>
    <row r="276" ht="14.25" customHeight="1">
      <c r="F276" s="88"/>
      <c r="S276" s="89"/>
      <c r="T276" s="89"/>
      <c r="U276" s="89"/>
      <c r="V276" s="89"/>
    </row>
    <row r="277" ht="14.25" customHeight="1">
      <c r="F277" s="88"/>
      <c r="S277" s="89"/>
      <c r="T277" s="89"/>
      <c r="U277" s="89"/>
      <c r="V277" s="89"/>
    </row>
    <row r="278" ht="14.25" customHeight="1">
      <c r="F278" s="88"/>
      <c r="S278" s="89"/>
      <c r="T278" s="89"/>
      <c r="U278" s="89"/>
      <c r="V278" s="89"/>
    </row>
    <row r="279" ht="14.25" customHeight="1">
      <c r="F279" s="88"/>
      <c r="S279" s="89"/>
      <c r="T279" s="89"/>
      <c r="U279" s="89"/>
      <c r="V279" s="89"/>
    </row>
    <row r="280" ht="14.25" customHeight="1">
      <c r="F280" s="88"/>
      <c r="S280" s="89"/>
      <c r="T280" s="89"/>
      <c r="U280" s="89"/>
      <c r="V280" s="89"/>
    </row>
    <row r="281" ht="14.25" customHeight="1">
      <c r="F281" s="88"/>
      <c r="S281" s="89"/>
      <c r="T281" s="89"/>
      <c r="U281" s="89"/>
      <c r="V281" s="89"/>
    </row>
    <row r="282" ht="14.25" customHeight="1">
      <c r="F282" s="88"/>
      <c r="S282" s="89"/>
      <c r="T282" s="89"/>
      <c r="U282" s="89"/>
      <c r="V282" s="89"/>
    </row>
    <row r="283" ht="14.25" customHeight="1">
      <c r="F283" s="88"/>
      <c r="S283" s="89"/>
      <c r="T283" s="89"/>
      <c r="U283" s="89"/>
      <c r="V283" s="89"/>
    </row>
    <row r="284" ht="14.25" customHeight="1">
      <c r="F284" s="88"/>
      <c r="S284" s="89"/>
      <c r="T284" s="89"/>
      <c r="U284" s="89"/>
      <c r="V284" s="89"/>
    </row>
    <row r="285" ht="14.25" customHeight="1">
      <c r="F285" s="88"/>
      <c r="S285" s="89"/>
      <c r="T285" s="89"/>
      <c r="U285" s="89"/>
      <c r="V285" s="89"/>
    </row>
    <row r="286" ht="14.25" customHeight="1">
      <c r="F286" s="88"/>
      <c r="S286" s="89"/>
      <c r="T286" s="89"/>
      <c r="U286" s="89"/>
      <c r="V286" s="89"/>
    </row>
    <row r="287" ht="14.25" customHeight="1">
      <c r="F287" s="88"/>
      <c r="S287" s="89"/>
      <c r="T287" s="89"/>
      <c r="U287" s="89"/>
      <c r="V287" s="89"/>
    </row>
    <row r="288" ht="14.25" customHeight="1">
      <c r="F288" s="88"/>
      <c r="S288" s="89"/>
      <c r="T288" s="89"/>
      <c r="U288" s="89"/>
      <c r="V288" s="89"/>
    </row>
    <row r="289" ht="14.25" customHeight="1">
      <c r="F289" s="88"/>
      <c r="S289" s="89"/>
      <c r="T289" s="89"/>
      <c r="U289" s="89"/>
      <c r="V289" s="89"/>
    </row>
    <row r="290" ht="14.25" customHeight="1">
      <c r="F290" s="88"/>
      <c r="S290" s="89"/>
      <c r="T290" s="89"/>
      <c r="U290" s="89"/>
      <c r="V290" s="89"/>
    </row>
    <row r="291" ht="14.25" customHeight="1">
      <c r="F291" s="88"/>
      <c r="S291" s="89"/>
      <c r="T291" s="89"/>
      <c r="U291" s="89"/>
      <c r="V291" s="89"/>
    </row>
    <row r="292" ht="14.25" customHeight="1">
      <c r="F292" s="88"/>
      <c r="S292" s="89"/>
      <c r="T292" s="89"/>
      <c r="U292" s="89"/>
      <c r="V292" s="89"/>
    </row>
    <row r="293" ht="14.25" customHeight="1">
      <c r="F293" s="88"/>
      <c r="S293" s="89"/>
      <c r="T293" s="89"/>
      <c r="U293" s="89"/>
      <c r="V293" s="89"/>
    </row>
    <row r="294" ht="14.25" customHeight="1">
      <c r="F294" s="88"/>
      <c r="S294" s="89"/>
      <c r="T294" s="89"/>
      <c r="U294" s="89"/>
      <c r="V294" s="89"/>
    </row>
    <row r="295" ht="14.25" customHeight="1">
      <c r="F295" s="88"/>
      <c r="S295" s="89"/>
      <c r="T295" s="89"/>
      <c r="U295" s="89"/>
      <c r="V295" s="89"/>
    </row>
    <row r="296" ht="14.25" customHeight="1">
      <c r="F296" s="88"/>
      <c r="S296" s="89"/>
      <c r="T296" s="89"/>
      <c r="U296" s="89"/>
      <c r="V296" s="89"/>
    </row>
    <row r="297" ht="14.25" customHeight="1">
      <c r="F297" s="88"/>
      <c r="S297" s="89"/>
      <c r="T297" s="89"/>
      <c r="U297" s="89"/>
      <c r="V297" s="89"/>
    </row>
    <row r="298" ht="14.25" customHeight="1">
      <c r="F298" s="88"/>
      <c r="S298" s="89"/>
      <c r="T298" s="89"/>
      <c r="U298" s="89"/>
      <c r="V298" s="89"/>
    </row>
    <row r="299" ht="14.25" customHeight="1">
      <c r="F299" s="88"/>
      <c r="S299" s="89"/>
      <c r="T299" s="89"/>
      <c r="U299" s="89"/>
      <c r="V299" s="89"/>
    </row>
    <row r="300" ht="14.25" customHeight="1">
      <c r="F300" s="88"/>
      <c r="S300" s="89"/>
      <c r="T300" s="89"/>
      <c r="U300" s="89"/>
      <c r="V300" s="89"/>
    </row>
    <row r="301" ht="14.25" customHeight="1">
      <c r="F301" s="88"/>
      <c r="S301" s="89"/>
      <c r="T301" s="89"/>
      <c r="U301" s="89"/>
      <c r="V301" s="89"/>
    </row>
    <row r="302" ht="14.25" customHeight="1">
      <c r="F302" s="88"/>
      <c r="S302" s="89"/>
      <c r="T302" s="89"/>
      <c r="U302" s="89"/>
      <c r="V302" s="89"/>
    </row>
    <row r="303" ht="14.25" customHeight="1">
      <c r="F303" s="88"/>
      <c r="S303" s="89"/>
      <c r="T303" s="89"/>
      <c r="U303" s="89"/>
      <c r="V303" s="89"/>
    </row>
    <row r="304" ht="14.25" customHeight="1">
      <c r="F304" s="88"/>
      <c r="S304" s="89"/>
      <c r="T304" s="89"/>
      <c r="U304" s="89"/>
      <c r="V304" s="89"/>
    </row>
    <row r="305" ht="14.25" customHeight="1">
      <c r="F305" s="88"/>
      <c r="S305" s="89"/>
      <c r="T305" s="89"/>
      <c r="U305" s="89"/>
      <c r="V305" s="89"/>
    </row>
    <row r="306" ht="14.25" customHeight="1">
      <c r="F306" s="88"/>
      <c r="S306" s="89"/>
      <c r="T306" s="89"/>
      <c r="U306" s="89"/>
      <c r="V306" s="89"/>
    </row>
    <row r="307" ht="14.25" customHeight="1">
      <c r="F307" s="88"/>
      <c r="S307" s="89"/>
      <c r="T307" s="89"/>
      <c r="U307" s="89"/>
      <c r="V307" s="89"/>
    </row>
    <row r="308" ht="14.25" customHeight="1">
      <c r="F308" s="88"/>
      <c r="S308" s="89"/>
      <c r="T308" s="89"/>
      <c r="U308" s="89"/>
      <c r="V308" s="89"/>
    </row>
    <row r="309" ht="14.25" customHeight="1">
      <c r="F309" s="88"/>
      <c r="S309" s="89"/>
      <c r="T309" s="89"/>
      <c r="U309" s="89"/>
      <c r="V309" s="89"/>
    </row>
    <row r="310" ht="14.25" customHeight="1">
      <c r="F310" s="88"/>
      <c r="S310" s="89"/>
      <c r="T310" s="89"/>
      <c r="U310" s="89"/>
      <c r="V310" s="89"/>
    </row>
    <row r="311" ht="14.25" customHeight="1">
      <c r="F311" s="88"/>
      <c r="S311" s="89"/>
      <c r="T311" s="89"/>
      <c r="U311" s="89"/>
      <c r="V311" s="89"/>
    </row>
    <row r="312" ht="14.25" customHeight="1">
      <c r="F312" s="88"/>
      <c r="S312" s="89"/>
      <c r="T312" s="89"/>
      <c r="U312" s="89"/>
      <c r="V312" s="89"/>
    </row>
    <row r="313" ht="14.25" customHeight="1">
      <c r="F313" s="88"/>
      <c r="S313" s="89"/>
      <c r="T313" s="89"/>
      <c r="U313" s="89"/>
      <c r="V313" s="89"/>
    </row>
    <row r="314" ht="15.75" customHeight="1">
      <c r="F314" s="88"/>
      <c r="S314" s="89"/>
      <c r="T314" s="89"/>
      <c r="U314" s="89"/>
      <c r="V314" s="89"/>
    </row>
    <row r="315" ht="15.75" customHeight="1">
      <c r="F315" s="88"/>
      <c r="S315" s="89"/>
      <c r="T315" s="89"/>
      <c r="U315" s="89"/>
      <c r="V315" s="89"/>
    </row>
    <row r="316" ht="15.75" customHeight="1">
      <c r="F316" s="88"/>
      <c r="S316" s="89"/>
      <c r="T316" s="89"/>
      <c r="U316" s="89"/>
      <c r="V316" s="89"/>
    </row>
    <row r="317" ht="15.75" customHeight="1">
      <c r="F317" s="88"/>
      <c r="S317" s="89"/>
      <c r="T317" s="89"/>
      <c r="U317" s="89"/>
      <c r="V317" s="89"/>
    </row>
    <row r="318" ht="15.75" customHeight="1">
      <c r="F318" s="88"/>
      <c r="S318" s="89"/>
      <c r="T318" s="89"/>
      <c r="U318" s="89"/>
      <c r="V318" s="89"/>
    </row>
    <row r="319" ht="15.75" customHeight="1">
      <c r="F319" s="88"/>
      <c r="S319" s="89"/>
      <c r="T319" s="89"/>
      <c r="U319" s="89"/>
      <c r="V319" s="89"/>
    </row>
    <row r="320" ht="15.75" customHeight="1">
      <c r="F320" s="88"/>
      <c r="S320" s="89"/>
      <c r="T320" s="89"/>
      <c r="U320" s="89"/>
      <c r="V320" s="89"/>
    </row>
    <row r="321" ht="15.75" customHeight="1">
      <c r="F321" s="88"/>
      <c r="S321" s="89"/>
      <c r="T321" s="89"/>
      <c r="U321" s="89"/>
      <c r="V321" s="89"/>
    </row>
    <row r="322" ht="15.75" customHeight="1">
      <c r="F322" s="88"/>
      <c r="S322" s="89"/>
      <c r="T322" s="89"/>
      <c r="U322" s="89"/>
      <c r="V322" s="89"/>
    </row>
    <row r="323" ht="15.75" customHeight="1">
      <c r="F323" s="88"/>
      <c r="S323" s="89"/>
      <c r="T323" s="89"/>
      <c r="U323" s="89"/>
      <c r="V323" s="89"/>
    </row>
    <row r="324" ht="15.75" customHeight="1">
      <c r="F324" s="88"/>
      <c r="S324" s="89"/>
      <c r="T324" s="89"/>
      <c r="U324" s="89"/>
      <c r="V324" s="89"/>
    </row>
    <row r="325" ht="15.75" customHeight="1">
      <c r="F325" s="88"/>
      <c r="S325" s="89"/>
      <c r="T325" s="89"/>
      <c r="U325" s="89"/>
      <c r="V325" s="89"/>
    </row>
    <row r="326" ht="15.75" customHeight="1">
      <c r="F326" s="88"/>
      <c r="S326" s="89"/>
      <c r="T326" s="89"/>
      <c r="U326" s="89"/>
      <c r="V326" s="89"/>
    </row>
    <row r="327" ht="15.75" customHeight="1">
      <c r="F327" s="88"/>
      <c r="S327" s="89"/>
      <c r="T327" s="89"/>
      <c r="U327" s="89"/>
      <c r="V327" s="89"/>
    </row>
    <row r="328" ht="15.75" customHeight="1">
      <c r="F328" s="88"/>
      <c r="S328" s="89"/>
      <c r="T328" s="89"/>
      <c r="U328" s="89"/>
      <c r="V328" s="89"/>
    </row>
    <row r="329" ht="15.75" customHeight="1">
      <c r="F329" s="88"/>
      <c r="S329" s="89"/>
      <c r="T329" s="89"/>
      <c r="U329" s="89"/>
      <c r="V329" s="89"/>
    </row>
    <row r="330" ht="15.75" customHeight="1">
      <c r="F330" s="88"/>
      <c r="S330" s="89"/>
      <c r="T330" s="89"/>
      <c r="U330" s="89"/>
      <c r="V330" s="89"/>
    </row>
    <row r="331" ht="15.75" customHeight="1">
      <c r="F331" s="88"/>
      <c r="S331" s="89"/>
      <c r="T331" s="89"/>
      <c r="U331" s="89"/>
      <c r="V331" s="89"/>
    </row>
    <row r="332" ht="15.75" customHeight="1">
      <c r="F332" s="88"/>
      <c r="S332" s="89"/>
      <c r="T332" s="89"/>
      <c r="U332" s="89"/>
      <c r="V332" s="89"/>
    </row>
    <row r="333" ht="15.75" customHeight="1">
      <c r="F333" s="88"/>
      <c r="S333" s="89"/>
      <c r="T333" s="89"/>
      <c r="U333" s="89"/>
      <c r="V333" s="89"/>
    </row>
    <row r="334" ht="15.75" customHeight="1">
      <c r="F334" s="88"/>
      <c r="S334" s="89"/>
      <c r="T334" s="89"/>
      <c r="U334" s="89"/>
      <c r="V334" s="89"/>
    </row>
    <row r="335" ht="15.75" customHeight="1">
      <c r="F335" s="88"/>
      <c r="S335" s="89"/>
      <c r="T335" s="89"/>
      <c r="U335" s="89"/>
      <c r="V335" s="89"/>
    </row>
    <row r="336" ht="15.75" customHeight="1">
      <c r="F336" s="88"/>
      <c r="S336" s="89"/>
      <c r="T336" s="89"/>
      <c r="U336" s="89"/>
      <c r="V336" s="89"/>
    </row>
    <row r="337" ht="15.75" customHeight="1">
      <c r="F337" s="88"/>
      <c r="S337" s="89"/>
      <c r="T337" s="89"/>
      <c r="U337" s="89"/>
      <c r="V337" s="89"/>
    </row>
    <row r="338" ht="15.75" customHeight="1">
      <c r="F338" s="88"/>
      <c r="S338" s="89"/>
      <c r="T338" s="89"/>
      <c r="U338" s="89"/>
      <c r="V338" s="89"/>
    </row>
    <row r="339" ht="15.75" customHeight="1">
      <c r="F339" s="88"/>
      <c r="S339" s="89"/>
      <c r="T339" s="89"/>
      <c r="U339" s="89"/>
      <c r="V339" s="89"/>
    </row>
    <row r="340" ht="15.75" customHeight="1">
      <c r="F340" s="88"/>
      <c r="S340" s="89"/>
      <c r="T340" s="89"/>
      <c r="U340" s="89"/>
      <c r="V340" s="89"/>
    </row>
    <row r="341" ht="15.75" customHeight="1">
      <c r="F341" s="88"/>
      <c r="S341" s="89"/>
      <c r="T341" s="89"/>
      <c r="U341" s="89"/>
      <c r="V341" s="89"/>
    </row>
    <row r="342" ht="15.75" customHeight="1">
      <c r="F342" s="88"/>
      <c r="S342" s="89"/>
      <c r="T342" s="89"/>
      <c r="U342" s="89"/>
      <c r="V342" s="89"/>
    </row>
    <row r="343" ht="15.75" customHeight="1">
      <c r="F343" s="88"/>
      <c r="S343" s="89"/>
      <c r="T343" s="89"/>
      <c r="U343" s="89"/>
      <c r="V343" s="89"/>
    </row>
    <row r="344" ht="15.75" customHeight="1">
      <c r="F344" s="88"/>
      <c r="S344" s="89"/>
      <c r="T344" s="89"/>
      <c r="U344" s="89"/>
      <c r="V344" s="89"/>
    </row>
    <row r="345" ht="15.75" customHeight="1">
      <c r="F345" s="88"/>
      <c r="S345" s="89"/>
      <c r="T345" s="89"/>
      <c r="U345" s="89"/>
      <c r="V345" s="89"/>
    </row>
    <row r="346" ht="15.75" customHeight="1">
      <c r="F346" s="88"/>
      <c r="S346" s="89"/>
      <c r="T346" s="89"/>
      <c r="U346" s="89"/>
      <c r="V346" s="89"/>
    </row>
    <row r="347" ht="15.75" customHeight="1">
      <c r="F347" s="88"/>
      <c r="S347" s="89"/>
      <c r="T347" s="89"/>
      <c r="U347" s="89"/>
      <c r="V347" s="89"/>
    </row>
    <row r="348" ht="15.75" customHeight="1">
      <c r="F348" s="88"/>
      <c r="S348" s="89"/>
      <c r="T348" s="89"/>
      <c r="U348" s="89"/>
      <c r="V348" s="89"/>
    </row>
    <row r="349" ht="15.75" customHeight="1">
      <c r="F349" s="88"/>
      <c r="S349" s="89"/>
      <c r="T349" s="89"/>
      <c r="U349" s="89"/>
      <c r="V349" s="89"/>
    </row>
    <row r="350" ht="15.75" customHeight="1">
      <c r="F350" s="88"/>
      <c r="S350" s="89"/>
      <c r="T350" s="89"/>
      <c r="U350" s="89"/>
      <c r="V350" s="89"/>
    </row>
    <row r="351" ht="15.75" customHeight="1">
      <c r="F351" s="88"/>
      <c r="S351" s="89"/>
      <c r="T351" s="89"/>
      <c r="U351" s="89"/>
      <c r="V351" s="89"/>
    </row>
    <row r="352" ht="15.75" customHeight="1">
      <c r="F352" s="88"/>
      <c r="S352" s="89"/>
      <c r="T352" s="89"/>
      <c r="U352" s="89"/>
      <c r="V352" s="89"/>
    </row>
    <row r="353" ht="15.75" customHeight="1">
      <c r="F353" s="88"/>
      <c r="S353" s="89"/>
      <c r="T353" s="89"/>
      <c r="U353" s="89"/>
      <c r="V353" s="89"/>
    </row>
    <row r="354" ht="15.75" customHeight="1">
      <c r="F354" s="88"/>
      <c r="S354" s="89"/>
      <c r="T354" s="89"/>
      <c r="U354" s="89"/>
      <c r="V354" s="89"/>
    </row>
    <row r="355" ht="15.75" customHeight="1">
      <c r="F355" s="88"/>
      <c r="S355" s="89"/>
      <c r="T355" s="89"/>
      <c r="U355" s="89"/>
      <c r="V355" s="89"/>
    </row>
    <row r="356" ht="15.75" customHeight="1">
      <c r="F356" s="88"/>
      <c r="S356" s="89"/>
      <c r="T356" s="89"/>
      <c r="U356" s="89"/>
      <c r="V356" s="89"/>
    </row>
    <row r="357" ht="15.75" customHeight="1">
      <c r="F357" s="88"/>
      <c r="S357" s="89"/>
      <c r="T357" s="89"/>
      <c r="U357" s="89"/>
      <c r="V357" s="89"/>
    </row>
    <row r="358" ht="15.75" customHeight="1">
      <c r="F358" s="88"/>
      <c r="S358" s="89"/>
      <c r="T358" s="89"/>
      <c r="U358" s="89"/>
      <c r="V358" s="89"/>
    </row>
    <row r="359" ht="15.75" customHeight="1">
      <c r="F359" s="88"/>
      <c r="S359" s="89"/>
      <c r="T359" s="89"/>
      <c r="U359" s="89"/>
      <c r="V359" s="89"/>
    </row>
    <row r="360" ht="15.75" customHeight="1">
      <c r="F360" s="88"/>
      <c r="S360" s="89"/>
      <c r="T360" s="89"/>
      <c r="U360" s="89"/>
      <c r="V360" s="89"/>
    </row>
    <row r="361" ht="15.75" customHeight="1">
      <c r="F361" s="88"/>
      <c r="S361" s="89"/>
      <c r="T361" s="89"/>
      <c r="U361" s="89"/>
      <c r="V361" s="89"/>
    </row>
    <row r="362" ht="15.75" customHeight="1">
      <c r="F362" s="88"/>
      <c r="S362" s="89"/>
      <c r="T362" s="89"/>
      <c r="U362" s="89"/>
      <c r="V362" s="89"/>
    </row>
    <row r="363" ht="15.75" customHeight="1">
      <c r="F363" s="88"/>
      <c r="S363" s="89"/>
      <c r="T363" s="89"/>
      <c r="U363" s="89"/>
      <c r="V363" s="89"/>
    </row>
    <row r="364" ht="15.75" customHeight="1">
      <c r="F364" s="88"/>
      <c r="S364" s="89"/>
      <c r="T364" s="89"/>
      <c r="U364" s="89"/>
      <c r="V364" s="89"/>
    </row>
    <row r="365" ht="15.75" customHeight="1">
      <c r="F365" s="88"/>
      <c r="S365" s="89"/>
      <c r="T365" s="89"/>
      <c r="U365" s="89"/>
      <c r="V365" s="89"/>
    </row>
    <row r="366" ht="15.75" customHeight="1">
      <c r="F366" s="88"/>
      <c r="S366" s="89"/>
      <c r="T366" s="89"/>
      <c r="U366" s="89"/>
      <c r="V366" s="89"/>
    </row>
    <row r="367" ht="15.75" customHeight="1">
      <c r="F367" s="88"/>
      <c r="S367" s="89"/>
      <c r="T367" s="89"/>
      <c r="U367" s="89"/>
      <c r="V367" s="89"/>
    </row>
    <row r="368" ht="15.75" customHeight="1">
      <c r="F368" s="88"/>
      <c r="S368" s="89"/>
      <c r="T368" s="89"/>
      <c r="U368" s="89"/>
      <c r="V368" s="89"/>
    </row>
    <row r="369" ht="15.75" customHeight="1">
      <c r="F369" s="88"/>
      <c r="S369" s="89"/>
      <c r="T369" s="89"/>
      <c r="U369" s="89"/>
      <c r="V369" s="89"/>
    </row>
    <row r="370" ht="15.75" customHeight="1">
      <c r="F370" s="88"/>
      <c r="S370" s="89"/>
      <c r="T370" s="89"/>
      <c r="U370" s="89"/>
      <c r="V370" s="89"/>
    </row>
    <row r="371" ht="15.75" customHeight="1">
      <c r="F371" s="88"/>
      <c r="S371" s="89"/>
      <c r="T371" s="89"/>
      <c r="U371" s="89"/>
      <c r="V371" s="89"/>
    </row>
    <row r="372" ht="15.75" customHeight="1">
      <c r="F372" s="88"/>
      <c r="S372" s="89"/>
      <c r="T372" s="89"/>
      <c r="U372" s="89"/>
      <c r="V372" s="89"/>
    </row>
    <row r="373" ht="15.75" customHeight="1">
      <c r="F373" s="88"/>
      <c r="S373" s="89"/>
      <c r="T373" s="89"/>
      <c r="U373" s="89"/>
      <c r="V373" s="89"/>
    </row>
    <row r="374" ht="15.75" customHeight="1">
      <c r="F374" s="88"/>
      <c r="S374" s="89"/>
      <c r="T374" s="89"/>
      <c r="U374" s="89"/>
      <c r="V374" s="89"/>
    </row>
    <row r="375" ht="15.75" customHeight="1">
      <c r="F375" s="88"/>
      <c r="S375" s="89"/>
      <c r="T375" s="89"/>
      <c r="U375" s="89"/>
      <c r="V375" s="89"/>
    </row>
    <row r="376" ht="15.75" customHeight="1">
      <c r="F376" s="88"/>
      <c r="S376" s="89"/>
      <c r="T376" s="89"/>
      <c r="U376" s="89"/>
      <c r="V376" s="89"/>
    </row>
    <row r="377" ht="15.75" customHeight="1">
      <c r="F377" s="88"/>
      <c r="S377" s="89"/>
      <c r="T377" s="89"/>
      <c r="U377" s="89"/>
      <c r="V377" s="89"/>
    </row>
    <row r="378" ht="15.75" customHeight="1">
      <c r="F378" s="88"/>
      <c r="S378" s="89"/>
      <c r="T378" s="89"/>
      <c r="U378" s="89"/>
      <c r="V378" s="89"/>
    </row>
    <row r="379" ht="15.75" customHeight="1">
      <c r="F379" s="88"/>
      <c r="S379" s="89"/>
      <c r="T379" s="89"/>
      <c r="U379" s="89"/>
      <c r="V379" s="89"/>
    </row>
    <row r="380" ht="15.75" customHeight="1">
      <c r="F380" s="88"/>
      <c r="S380" s="89"/>
      <c r="T380" s="89"/>
      <c r="U380" s="89"/>
      <c r="V380" s="89"/>
    </row>
    <row r="381" ht="15.75" customHeight="1">
      <c r="F381" s="88"/>
      <c r="S381" s="89"/>
      <c r="T381" s="89"/>
      <c r="U381" s="89"/>
      <c r="V381" s="89"/>
    </row>
    <row r="382" ht="15.75" customHeight="1">
      <c r="F382" s="88"/>
      <c r="S382" s="89"/>
      <c r="T382" s="89"/>
      <c r="U382" s="89"/>
      <c r="V382" s="89"/>
    </row>
    <row r="383" ht="15.75" customHeight="1">
      <c r="F383" s="88"/>
      <c r="S383" s="89"/>
      <c r="T383" s="89"/>
      <c r="U383" s="89"/>
      <c r="V383" s="89"/>
    </row>
    <row r="384" ht="15.75" customHeight="1">
      <c r="F384" s="88"/>
      <c r="S384" s="89"/>
      <c r="T384" s="89"/>
      <c r="U384" s="89"/>
      <c r="V384" s="89"/>
    </row>
    <row r="385" ht="15.75" customHeight="1">
      <c r="F385" s="88"/>
      <c r="S385" s="89"/>
      <c r="T385" s="89"/>
      <c r="U385" s="89"/>
      <c r="V385" s="89"/>
    </row>
    <row r="386" ht="15.75" customHeight="1">
      <c r="F386" s="88"/>
      <c r="S386" s="89"/>
      <c r="T386" s="89"/>
      <c r="U386" s="89"/>
      <c r="V386" s="89"/>
    </row>
    <row r="387" ht="15.75" customHeight="1">
      <c r="F387" s="88"/>
      <c r="S387" s="89"/>
      <c r="T387" s="89"/>
      <c r="U387" s="89"/>
      <c r="V387" s="89"/>
    </row>
    <row r="388" ht="15.75" customHeight="1">
      <c r="F388" s="88"/>
      <c r="S388" s="89"/>
      <c r="T388" s="89"/>
      <c r="U388" s="89"/>
      <c r="V388" s="89"/>
    </row>
    <row r="389" ht="15.75" customHeight="1">
      <c r="F389" s="88"/>
      <c r="S389" s="89"/>
      <c r="T389" s="89"/>
      <c r="U389" s="89"/>
      <c r="V389" s="89"/>
    </row>
    <row r="390" ht="15.75" customHeight="1">
      <c r="F390" s="88"/>
      <c r="S390" s="89"/>
      <c r="T390" s="89"/>
      <c r="U390" s="89"/>
      <c r="V390" s="89"/>
    </row>
    <row r="391" ht="15.75" customHeight="1">
      <c r="F391" s="88"/>
      <c r="S391" s="89"/>
      <c r="T391" s="89"/>
      <c r="U391" s="89"/>
      <c r="V391" s="89"/>
    </row>
    <row r="392" ht="15.75" customHeight="1">
      <c r="F392" s="88"/>
      <c r="S392" s="89"/>
      <c r="T392" s="89"/>
      <c r="U392" s="89"/>
      <c r="V392" s="89"/>
    </row>
    <row r="393" ht="15.75" customHeight="1">
      <c r="F393" s="88"/>
      <c r="S393" s="89"/>
      <c r="T393" s="89"/>
      <c r="U393" s="89"/>
      <c r="V393" s="89"/>
    </row>
    <row r="394" ht="15.75" customHeight="1">
      <c r="F394" s="88"/>
      <c r="S394" s="89"/>
      <c r="T394" s="89"/>
      <c r="U394" s="89"/>
      <c r="V394" s="89"/>
    </row>
    <row r="395" ht="15.75" customHeight="1">
      <c r="F395" s="88"/>
      <c r="S395" s="89"/>
      <c r="T395" s="89"/>
      <c r="U395" s="89"/>
      <c r="V395" s="89"/>
    </row>
    <row r="396" ht="15.75" customHeight="1">
      <c r="F396" s="88"/>
      <c r="S396" s="89"/>
      <c r="T396" s="89"/>
      <c r="U396" s="89"/>
      <c r="V396" s="89"/>
    </row>
    <row r="397" ht="15.75" customHeight="1">
      <c r="F397" s="88"/>
      <c r="S397" s="89"/>
      <c r="T397" s="89"/>
      <c r="U397" s="89"/>
      <c r="V397" s="89"/>
    </row>
    <row r="398" ht="15.75" customHeight="1">
      <c r="F398" s="88"/>
      <c r="S398" s="89"/>
      <c r="T398" s="89"/>
      <c r="U398" s="89"/>
      <c r="V398" s="89"/>
    </row>
    <row r="399" ht="15.75" customHeight="1">
      <c r="F399" s="88"/>
      <c r="S399" s="89"/>
      <c r="T399" s="89"/>
      <c r="U399" s="89"/>
      <c r="V399" s="89"/>
    </row>
    <row r="400" ht="15.75" customHeight="1">
      <c r="F400" s="88"/>
      <c r="S400" s="89"/>
      <c r="T400" s="89"/>
      <c r="U400" s="89"/>
      <c r="V400" s="89"/>
    </row>
    <row r="401" ht="15.75" customHeight="1">
      <c r="F401" s="88"/>
      <c r="S401" s="89"/>
      <c r="T401" s="89"/>
      <c r="U401" s="89"/>
      <c r="V401" s="89"/>
    </row>
    <row r="402" ht="15.75" customHeight="1">
      <c r="F402" s="88"/>
      <c r="S402" s="89"/>
      <c r="T402" s="89"/>
      <c r="U402" s="89"/>
      <c r="V402" s="89"/>
    </row>
    <row r="403" ht="15.75" customHeight="1">
      <c r="F403" s="88"/>
      <c r="S403" s="89"/>
      <c r="T403" s="89"/>
      <c r="U403" s="89"/>
      <c r="V403" s="89"/>
    </row>
    <row r="404" ht="15.75" customHeight="1">
      <c r="F404" s="88"/>
      <c r="S404" s="89"/>
      <c r="T404" s="89"/>
      <c r="U404" s="89"/>
      <c r="V404" s="89"/>
    </row>
    <row r="405" ht="15.75" customHeight="1">
      <c r="F405" s="88"/>
      <c r="S405" s="89"/>
      <c r="T405" s="89"/>
      <c r="U405" s="89"/>
      <c r="V405" s="89"/>
    </row>
    <row r="406" ht="15.75" customHeight="1">
      <c r="F406" s="88"/>
      <c r="S406" s="89"/>
      <c r="T406" s="89"/>
      <c r="U406" s="89"/>
      <c r="V406" s="89"/>
    </row>
    <row r="407" ht="15.75" customHeight="1">
      <c r="F407" s="88"/>
      <c r="S407" s="89"/>
      <c r="T407" s="89"/>
      <c r="U407" s="89"/>
      <c r="V407" s="89"/>
    </row>
    <row r="408" ht="15.75" customHeight="1">
      <c r="F408" s="88"/>
      <c r="S408" s="89"/>
      <c r="T408" s="89"/>
      <c r="U408" s="89"/>
      <c r="V408" s="89"/>
    </row>
    <row r="409" ht="15.75" customHeight="1">
      <c r="F409" s="88"/>
      <c r="S409" s="89"/>
      <c r="T409" s="89"/>
      <c r="U409" s="89"/>
      <c r="V409" s="89"/>
    </row>
    <row r="410" ht="15.75" customHeight="1">
      <c r="F410" s="88"/>
      <c r="S410" s="89"/>
      <c r="T410" s="89"/>
      <c r="U410" s="89"/>
      <c r="V410" s="89"/>
    </row>
    <row r="411" ht="15.75" customHeight="1">
      <c r="F411" s="88"/>
      <c r="S411" s="89"/>
      <c r="T411" s="89"/>
      <c r="U411" s="89"/>
      <c r="V411" s="89"/>
    </row>
    <row r="412" ht="15.75" customHeight="1">
      <c r="F412" s="88"/>
      <c r="S412" s="89"/>
      <c r="T412" s="89"/>
      <c r="U412" s="89"/>
      <c r="V412" s="89"/>
    </row>
    <row r="413" ht="15.75" customHeight="1">
      <c r="F413" s="88"/>
      <c r="S413" s="89"/>
      <c r="T413" s="89"/>
      <c r="U413" s="89"/>
      <c r="V413" s="89"/>
    </row>
    <row r="414" ht="15.75" customHeight="1">
      <c r="F414" s="88"/>
      <c r="S414" s="89"/>
      <c r="T414" s="89"/>
      <c r="U414" s="89"/>
      <c r="V414" s="89"/>
    </row>
    <row r="415" ht="15.75" customHeight="1">
      <c r="F415" s="88"/>
      <c r="S415" s="89"/>
      <c r="T415" s="89"/>
      <c r="U415" s="89"/>
      <c r="V415" s="89"/>
    </row>
    <row r="416" ht="15.75" customHeight="1">
      <c r="F416" s="88"/>
      <c r="S416" s="89"/>
      <c r="T416" s="89"/>
      <c r="U416" s="89"/>
      <c r="V416" s="89"/>
    </row>
    <row r="417" ht="15.75" customHeight="1">
      <c r="F417" s="88"/>
      <c r="S417" s="89"/>
      <c r="T417" s="89"/>
      <c r="U417" s="89"/>
      <c r="V417" s="89"/>
    </row>
    <row r="418" ht="15.75" customHeight="1">
      <c r="F418" s="88"/>
      <c r="S418" s="89"/>
      <c r="T418" s="89"/>
      <c r="U418" s="89"/>
      <c r="V418" s="89"/>
    </row>
    <row r="419" ht="15.75" customHeight="1">
      <c r="F419" s="88"/>
      <c r="S419" s="89"/>
      <c r="T419" s="89"/>
      <c r="U419" s="89"/>
      <c r="V419" s="89"/>
    </row>
    <row r="420" ht="15.75" customHeight="1">
      <c r="F420" s="88"/>
      <c r="S420" s="89"/>
      <c r="T420" s="89"/>
      <c r="U420" s="89"/>
      <c r="V420" s="89"/>
    </row>
    <row r="421" ht="15.75" customHeight="1">
      <c r="F421" s="88"/>
      <c r="S421" s="89"/>
      <c r="T421" s="89"/>
      <c r="U421" s="89"/>
      <c r="V421" s="89"/>
    </row>
    <row r="422" ht="15.75" customHeight="1">
      <c r="F422" s="88"/>
      <c r="S422" s="89"/>
      <c r="T422" s="89"/>
      <c r="U422" s="89"/>
      <c r="V422" s="89"/>
    </row>
    <row r="423" ht="15.75" customHeight="1">
      <c r="F423" s="88"/>
      <c r="S423" s="89"/>
      <c r="T423" s="89"/>
      <c r="U423" s="89"/>
      <c r="V423" s="89"/>
    </row>
    <row r="424" ht="15.75" customHeight="1">
      <c r="F424" s="88"/>
      <c r="S424" s="89"/>
      <c r="T424" s="89"/>
      <c r="U424" s="89"/>
      <c r="V424" s="89"/>
    </row>
    <row r="425" ht="15.75" customHeight="1">
      <c r="F425" s="88"/>
      <c r="S425" s="89"/>
      <c r="T425" s="89"/>
      <c r="U425" s="89"/>
      <c r="V425" s="89"/>
    </row>
    <row r="426" ht="15.75" customHeight="1">
      <c r="F426" s="88"/>
      <c r="S426" s="89"/>
      <c r="T426" s="89"/>
      <c r="U426" s="89"/>
      <c r="V426" s="89"/>
    </row>
    <row r="427" ht="15.75" customHeight="1">
      <c r="F427" s="88"/>
      <c r="S427" s="89"/>
      <c r="T427" s="89"/>
      <c r="U427" s="89"/>
      <c r="V427" s="89"/>
    </row>
    <row r="428" ht="15.75" customHeight="1">
      <c r="F428" s="88"/>
      <c r="S428" s="89"/>
      <c r="T428" s="89"/>
      <c r="U428" s="89"/>
      <c r="V428" s="89"/>
    </row>
    <row r="429" ht="15.75" customHeight="1">
      <c r="F429" s="88"/>
      <c r="S429" s="89"/>
      <c r="T429" s="89"/>
      <c r="U429" s="89"/>
      <c r="V429" s="89"/>
    </row>
    <row r="430" ht="15.75" customHeight="1">
      <c r="F430" s="88"/>
      <c r="S430" s="89"/>
      <c r="T430" s="89"/>
      <c r="U430" s="89"/>
      <c r="V430" s="89"/>
    </row>
    <row r="431" ht="15.75" customHeight="1">
      <c r="F431" s="88"/>
      <c r="S431" s="89"/>
      <c r="T431" s="89"/>
      <c r="U431" s="89"/>
      <c r="V431" s="89"/>
    </row>
    <row r="432" ht="15.75" customHeight="1">
      <c r="F432" s="88"/>
      <c r="S432" s="89"/>
      <c r="T432" s="89"/>
      <c r="U432" s="89"/>
      <c r="V432" s="89"/>
    </row>
    <row r="433" ht="15.75" customHeight="1">
      <c r="F433" s="88"/>
      <c r="S433" s="89"/>
      <c r="T433" s="89"/>
      <c r="U433" s="89"/>
      <c r="V433" s="89"/>
    </row>
    <row r="434" ht="15.75" customHeight="1">
      <c r="F434" s="88"/>
      <c r="S434" s="89"/>
      <c r="T434" s="89"/>
      <c r="U434" s="89"/>
      <c r="V434" s="89"/>
    </row>
    <row r="435" ht="15.75" customHeight="1">
      <c r="F435" s="88"/>
      <c r="S435" s="89"/>
      <c r="T435" s="89"/>
      <c r="U435" s="89"/>
      <c r="V435" s="89"/>
    </row>
    <row r="436" ht="15.75" customHeight="1">
      <c r="F436" s="88"/>
      <c r="S436" s="89"/>
      <c r="T436" s="89"/>
      <c r="U436" s="89"/>
      <c r="V436" s="89"/>
    </row>
    <row r="437" ht="15.75" customHeight="1">
      <c r="F437" s="88"/>
      <c r="S437" s="89"/>
      <c r="T437" s="89"/>
      <c r="U437" s="89"/>
      <c r="V437" s="89"/>
    </row>
    <row r="438" ht="15.75" customHeight="1">
      <c r="F438" s="88"/>
      <c r="S438" s="89"/>
      <c r="T438" s="89"/>
      <c r="U438" s="89"/>
      <c r="V438" s="89"/>
    </row>
    <row r="439" ht="15.75" customHeight="1">
      <c r="F439" s="88"/>
      <c r="S439" s="89"/>
      <c r="T439" s="89"/>
      <c r="U439" s="89"/>
      <c r="V439" s="89"/>
    </row>
    <row r="440" ht="15.75" customHeight="1">
      <c r="F440" s="88"/>
      <c r="S440" s="89"/>
      <c r="T440" s="89"/>
      <c r="U440" s="89"/>
      <c r="V440" s="89"/>
    </row>
    <row r="441" ht="15.75" customHeight="1">
      <c r="F441" s="88"/>
      <c r="S441" s="89"/>
      <c r="T441" s="89"/>
      <c r="U441" s="89"/>
      <c r="V441" s="89"/>
    </row>
    <row r="442" ht="15.75" customHeight="1">
      <c r="F442" s="88"/>
      <c r="S442" s="89"/>
      <c r="T442" s="89"/>
      <c r="U442" s="89"/>
      <c r="V442" s="89"/>
    </row>
    <row r="443" ht="15.75" customHeight="1">
      <c r="F443" s="88"/>
      <c r="S443" s="89"/>
      <c r="T443" s="89"/>
      <c r="U443" s="89"/>
      <c r="V443" s="89"/>
    </row>
    <row r="444" ht="15.75" customHeight="1">
      <c r="F444" s="88"/>
      <c r="S444" s="89"/>
      <c r="T444" s="89"/>
      <c r="U444" s="89"/>
      <c r="V444" s="89"/>
    </row>
    <row r="445" ht="15.75" customHeight="1">
      <c r="F445" s="88"/>
      <c r="S445" s="89"/>
      <c r="T445" s="89"/>
      <c r="U445" s="89"/>
      <c r="V445" s="89"/>
    </row>
    <row r="446" ht="15.75" customHeight="1">
      <c r="F446" s="88"/>
      <c r="S446" s="89"/>
      <c r="T446" s="89"/>
      <c r="U446" s="89"/>
      <c r="V446" s="89"/>
    </row>
    <row r="447" ht="15.75" customHeight="1">
      <c r="F447" s="88"/>
      <c r="S447" s="89"/>
      <c r="T447" s="89"/>
      <c r="U447" s="89"/>
      <c r="V447" s="89"/>
    </row>
    <row r="448" ht="15.75" customHeight="1">
      <c r="F448" s="88"/>
      <c r="S448" s="89"/>
      <c r="T448" s="89"/>
      <c r="U448" s="89"/>
      <c r="V448" s="89"/>
    </row>
    <row r="449" ht="15.75" customHeight="1">
      <c r="F449" s="88"/>
      <c r="S449" s="89"/>
      <c r="T449" s="89"/>
      <c r="U449" s="89"/>
      <c r="V449" s="89"/>
    </row>
    <row r="450" ht="15.75" customHeight="1">
      <c r="F450" s="88"/>
      <c r="S450" s="89"/>
      <c r="T450" s="89"/>
      <c r="U450" s="89"/>
      <c r="V450" s="89"/>
    </row>
    <row r="451" ht="15.75" customHeight="1">
      <c r="F451" s="88"/>
      <c r="S451" s="89"/>
      <c r="T451" s="89"/>
      <c r="U451" s="89"/>
      <c r="V451" s="89"/>
    </row>
    <row r="452" ht="15.75" customHeight="1">
      <c r="F452" s="88"/>
      <c r="S452" s="89"/>
      <c r="T452" s="89"/>
      <c r="U452" s="89"/>
      <c r="V452" s="89"/>
    </row>
    <row r="453" ht="15.75" customHeight="1">
      <c r="F453" s="88"/>
      <c r="S453" s="89"/>
      <c r="T453" s="89"/>
      <c r="U453" s="89"/>
      <c r="V453" s="89"/>
    </row>
    <row r="454" ht="15.75" customHeight="1">
      <c r="F454" s="88"/>
      <c r="S454" s="89"/>
      <c r="T454" s="89"/>
      <c r="U454" s="89"/>
      <c r="V454" s="89"/>
    </row>
    <row r="455" ht="15.75" customHeight="1">
      <c r="F455" s="88"/>
      <c r="S455" s="89"/>
      <c r="T455" s="89"/>
      <c r="U455" s="89"/>
      <c r="V455" s="89"/>
    </row>
    <row r="456" ht="15.75" customHeight="1">
      <c r="F456" s="88"/>
      <c r="S456" s="89"/>
      <c r="T456" s="89"/>
      <c r="U456" s="89"/>
      <c r="V456" s="89"/>
    </row>
    <row r="457" ht="15.75" customHeight="1">
      <c r="F457" s="88"/>
      <c r="S457" s="89"/>
      <c r="T457" s="89"/>
      <c r="U457" s="89"/>
      <c r="V457" s="89"/>
    </row>
    <row r="458" ht="15.75" customHeight="1">
      <c r="F458" s="88"/>
      <c r="S458" s="89"/>
      <c r="T458" s="89"/>
      <c r="U458" s="89"/>
      <c r="V458" s="89"/>
    </row>
    <row r="459" ht="15.75" customHeight="1">
      <c r="F459" s="88"/>
      <c r="S459" s="89"/>
      <c r="T459" s="89"/>
      <c r="U459" s="89"/>
      <c r="V459" s="89"/>
    </row>
    <row r="460" ht="15.75" customHeight="1">
      <c r="F460" s="88"/>
      <c r="S460" s="89"/>
      <c r="T460" s="89"/>
      <c r="U460" s="89"/>
      <c r="V460" s="89"/>
    </row>
    <row r="461" ht="15.75" customHeight="1">
      <c r="F461" s="88"/>
      <c r="S461" s="89"/>
      <c r="T461" s="89"/>
      <c r="U461" s="89"/>
      <c r="V461" s="89"/>
    </row>
    <row r="462" ht="15.75" customHeight="1">
      <c r="F462" s="88"/>
      <c r="S462" s="89"/>
      <c r="T462" s="89"/>
      <c r="U462" s="89"/>
      <c r="V462" s="89"/>
    </row>
    <row r="463" ht="15.75" customHeight="1">
      <c r="F463" s="88"/>
      <c r="S463" s="89"/>
      <c r="T463" s="89"/>
      <c r="U463" s="89"/>
      <c r="V463" s="89"/>
    </row>
    <row r="464" ht="15.75" customHeight="1">
      <c r="F464" s="88"/>
      <c r="S464" s="89"/>
      <c r="T464" s="89"/>
      <c r="U464" s="89"/>
      <c r="V464" s="89"/>
    </row>
    <row r="465" ht="15.75" customHeight="1">
      <c r="F465" s="88"/>
      <c r="S465" s="89"/>
      <c r="T465" s="89"/>
      <c r="U465" s="89"/>
      <c r="V465" s="89"/>
    </row>
    <row r="466" ht="15.75" customHeight="1">
      <c r="F466" s="88"/>
      <c r="S466" s="89"/>
      <c r="T466" s="89"/>
      <c r="U466" s="89"/>
      <c r="V466" s="89"/>
    </row>
    <row r="467" ht="15.75" customHeight="1">
      <c r="F467" s="88"/>
      <c r="S467" s="89"/>
      <c r="T467" s="89"/>
      <c r="U467" s="89"/>
      <c r="V467" s="89"/>
    </row>
    <row r="468" ht="15.75" customHeight="1">
      <c r="F468" s="88"/>
      <c r="S468" s="89"/>
      <c r="T468" s="89"/>
      <c r="U468" s="89"/>
      <c r="V468" s="89"/>
    </row>
    <row r="469" ht="15.75" customHeight="1">
      <c r="F469" s="88"/>
      <c r="S469" s="89"/>
      <c r="T469" s="89"/>
      <c r="U469" s="89"/>
      <c r="V469" s="89"/>
    </row>
    <row r="470" ht="15.75" customHeight="1">
      <c r="F470" s="88"/>
      <c r="S470" s="89"/>
      <c r="T470" s="89"/>
      <c r="U470" s="89"/>
      <c r="V470" s="89"/>
    </row>
    <row r="471" ht="15.75" customHeight="1">
      <c r="F471" s="88"/>
      <c r="S471" s="89"/>
      <c r="T471" s="89"/>
      <c r="U471" s="89"/>
      <c r="V471" s="89"/>
    </row>
    <row r="472" ht="15.75" customHeight="1">
      <c r="F472" s="88"/>
      <c r="S472" s="89"/>
      <c r="T472" s="89"/>
      <c r="U472" s="89"/>
      <c r="V472" s="89"/>
    </row>
    <row r="473" ht="15.75" customHeight="1">
      <c r="F473" s="88"/>
      <c r="S473" s="89"/>
      <c r="T473" s="89"/>
      <c r="U473" s="89"/>
      <c r="V473" s="89"/>
    </row>
    <row r="474" ht="15.75" customHeight="1">
      <c r="F474" s="88"/>
      <c r="S474" s="89"/>
      <c r="T474" s="89"/>
      <c r="U474" s="89"/>
      <c r="V474" s="89"/>
    </row>
    <row r="475" ht="15.75" customHeight="1">
      <c r="F475" s="88"/>
      <c r="S475" s="89"/>
      <c r="T475" s="89"/>
      <c r="U475" s="89"/>
      <c r="V475" s="89"/>
    </row>
    <row r="476" ht="15.75" customHeight="1">
      <c r="F476" s="88"/>
      <c r="S476" s="89"/>
      <c r="T476" s="89"/>
      <c r="U476" s="89"/>
      <c r="V476" s="89"/>
    </row>
    <row r="477" ht="15.75" customHeight="1">
      <c r="F477" s="88"/>
      <c r="S477" s="89"/>
      <c r="T477" s="89"/>
      <c r="U477" s="89"/>
      <c r="V477" s="89"/>
    </row>
    <row r="478" ht="15.75" customHeight="1">
      <c r="F478" s="88"/>
      <c r="S478" s="89"/>
      <c r="T478" s="89"/>
      <c r="U478" s="89"/>
      <c r="V478" s="89"/>
    </row>
    <row r="479" ht="15.75" customHeight="1">
      <c r="F479" s="88"/>
      <c r="S479" s="89"/>
      <c r="T479" s="89"/>
      <c r="U479" s="89"/>
      <c r="V479" s="89"/>
    </row>
    <row r="480" ht="15.75" customHeight="1">
      <c r="F480" s="88"/>
      <c r="S480" s="89"/>
      <c r="T480" s="89"/>
      <c r="U480" s="89"/>
      <c r="V480" s="89"/>
    </row>
    <row r="481" ht="15.75" customHeight="1">
      <c r="F481" s="88"/>
      <c r="S481" s="89"/>
      <c r="T481" s="89"/>
      <c r="U481" s="89"/>
      <c r="V481" s="89"/>
    </row>
    <row r="482" ht="15.75" customHeight="1">
      <c r="F482" s="88"/>
      <c r="S482" s="89"/>
      <c r="T482" s="89"/>
      <c r="U482" s="89"/>
      <c r="V482" s="89"/>
    </row>
    <row r="483" ht="15.75" customHeight="1">
      <c r="F483" s="88"/>
      <c r="S483" s="89"/>
      <c r="T483" s="89"/>
      <c r="U483" s="89"/>
      <c r="V483" s="89"/>
    </row>
    <row r="484" ht="15.75" customHeight="1">
      <c r="F484" s="88"/>
      <c r="S484" s="89"/>
      <c r="T484" s="89"/>
      <c r="U484" s="89"/>
      <c r="V484" s="89"/>
    </row>
    <row r="485" ht="15.75" customHeight="1">
      <c r="F485" s="88"/>
      <c r="S485" s="89"/>
      <c r="T485" s="89"/>
      <c r="U485" s="89"/>
      <c r="V485" s="89"/>
    </row>
    <row r="486" ht="15.75" customHeight="1">
      <c r="F486" s="88"/>
      <c r="S486" s="89"/>
      <c r="T486" s="89"/>
      <c r="U486" s="89"/>
      <c r="V486" s="89"/>
    </row>
    <row r="487" ht="15.75" customHeight="1">
      <c r="F487" s="88"/>
      <c r="S487" s="89"/>
      <c r="T487" s="89"/>
      <c r="U487" s="89"/>
      <c r="V487" s="89"/>
    </row>
    <row r="488" ht="15.75" customHeight="1">
      <c r="F488" s="88"/>
      <c r="S488" s="89"/>
      <c r="T488" s="89"/>
      <c r="U488" s="89"/>
      <c r="V488" s="89"/>
    </row>
    <row r="489" ht="15.75" customHeight="1">
      <c r="F489" s="88"/>
      <c r="S489" s="89"/>
      <c r="T489" s="89"/>
      <c r="U489" s="89"/>
      <c r="V489" s="89"/>
    </row>
    <row r="490" ht="15.75" customHeight="1">
      <c r="F490" s="88"/>
      <c r="S490" s="89"/>
      <c r="T490" s="89"/>
      <c r="U490" s="89"/>
      <c r="V490" s="89"/>
    </row>
    <row r="491" ht="15.75" customHeight="1">
      <c r="F491" s="88"/>
      <c r="S491" s="89"/>
      <c r="T491" s="89"/>
      <c r="U491" s="89"/>
      <c r="V491" s="89"/>
    </row>
    <row r="492" ht="15.75" customHeight="1">
      <c r="F492" s="88"/>
      <c r="S492" s="89"/>
      <c r="T492" s="89"/>
      <c r="U492" s="89"/>
      <c r="V492" s="89"/>
    </row>
    <row r="493" ht="15.75" customHeight="1">
      <c r="F493" s="88"/>
      <c r="S493" s="89"/>
      <c r="T493" s="89"/>
      <c r="U493" s="89"/>
      <c r="V493" s="89"/>
    </row>
    <row r="494" ht="15.75" customHeight="1">
      <c r="F494" s="88"/>
      <c r="S494" s="89"/>
      <c r="T494" s="89"/>
      <c r="U494" s="89"/>
      <c r="V494" s="89"/>
    </row>
    <row r="495" ht="15.75" customHeight="1">
      <c r="F495" s="88"/>
      <c r="S495" s="89"/>
      <c r="T495" s="89"/>
      <c r="U495" s="89"/>
      <c r="V495" s="89"/>
    </row>
    <row r="496" ht="15.75" customHeight="1">
      <c r="F496" s="88"/>
      <c r="S496" s="89"/>
      <c r="T496" s="89"/>
      <c r="U496" s="89"/>
      <c r="V496" s="89"/>
    </row>
    <row r="497" ht="15.75" customHeight="1">
      <c r="F497" s="88"/>
      <c r="S497" s="89"/>
      <c r="T497" s="89"/>
      <c r="U497" s="89"/>
      <c r="V497" s="89"/>
    </row>
    <row r="498" ht="15.75" customHeight="1">
      <c r="F498" s="88"/>
      <c r="S498" s="89"/>
      <c r="T498" s="89"/>
      <c r="U498" s="89"/>
      <c r="V498" s="89"/>
    </row>
    <row r="499" ht="15.75" customHeight="1">
      <c r="F499" s="88"/>
      <c r="S499" s="89"/>
      <c r="T499" s="89"/>
      <c r="U499" s="89"/>
      <c r="V499" s="89"/>
    </row>
    <row r="500" ht="15.75" customHeight="1">
      <c r="F500" s="88"/>
      <c r="S500" s="89"/>
      <c r="T500" s="89"/>
      <c r="U500" s="89"/>
      <c r="V500" s="89"/>
    </row>
    <row r="501" ht="15.75" customHeight="1">
      <c r="F501" s="88"/>
      <c r="S501" s="89"/>
      <c r="T501" s="89"/>
      <c r="U501" s="89"/>
      <c r="V501" s="89"/>
    </row>
    <row r="502" ht="15.75" customHeight="1">
      <c r="F502" s="88"/>
      <c r="S502" s="89"/>
      <c r="T502" s="89"/>
      <c r="U502" s="89"/>
      <c r="V502" s="89"/>
    </row>
    <row r="503" ht="15.75" customHeight="1">
      <c r="F503" s="88"/>
      <c r="S503" s="89"/>
      <c r="T503" s="89"/>
      <c r="U503" s="89"/>
      <c r="V503" s="89"/>
    </row>
    <row r="504" ht="15.75" customHeight="1">
      <c r="F504" s="88"/>
      <c r="S504" s="89"/>
      <c r="T504" s="89"/>
      <c r="U504" s="89"/>
      <c r="V504" s="89"/>
    </row>
    <row r="505" ht="15.75" customHeight="1">
      <c r="F505" s="88"/>
      <c r="S505" s="89"/>
      <c r="T505" s="89"/>
      <c r="U505" s="89"/>
      <c r="V505" s="89"/>
    </row>
    <row r="506" ht="15.75" customHeight="1">
      <c r="F506" s="88"/>
      <c r="S506" s="89"/>
      <c r="T506" s="89"/>
      <c r="U506" s="89"/>
      <c r="V506" s="89"/>
    </row>
    <row r="507" ht="15.75" customHeight="1">
      <c r="F507" s="88"/>
      <c r="S507" s="89"/>
      <c r="T507" s="89"/>
      <c r="U507" s="89"/>
      <c r="V507" s="89"/>
    </row>
    <row r="508" ht="15.75" customHeight="1">
      <c r="F508" s="88"/>
      <c r="S508" s="89"/>
      <c r="T508" s="89"/>
      <c r="U508" s="89"/>
      <c r="V508" s="89"/>
    </row>
    <row r="509" ht="15.75" customHeight="1">
      <c r="F509" s="88"/>
      <c r="S509" s="89"/>
      <c r="T509" s="89"/>
      <c r="U509" s="89"/>
      <c r="V509" s="89"/>
    </row>
    <row r="510" ht="15.75" customHeight="1">
      <c r="F510" s="88"/>
      <c r="S510" s="89"/>
      <c r="T510" s="89"/>
      <c r="U510" s="89"/>
      <c r="V510" s="89"/>
    </row>
    <row r="511" ht="15.75" customHeight="1">
      <c r="F511" s="88"/>
      <c r="S511" s="89"/>
      <c r="T511" s="89"/>
      <c r="U511" s="89"/>
      <c r="V511" s="89"/>
    </row>
    <row r="512" ht="15.75" customHeight="1">
      <c r="F512" s="88"/>
      <c r="S512" s="89"/>
      <c r="T512" s="89"/>
      <c r="U512" s="89"/>
      <c r="V512" s="89"/>
    </row>
    <row r="513" ht="15.75" customHeight="1">
      <c r="F513" s="88"/>
      <c r="S513" s="89"/>
      <c r="T513" s="89"/>
      <c r="U513" s="89"/>
      <c r="V513" s="89"/>
    </row>
    <row r="514" ht="15.75" customHeight="1">
      <c r="F514" s="88"/>
      <c r="S514" s="89"/>
      <c r="T514" s="89"/>
      <c r="U514" s="89"/>
      <c r="V514" s="89"/>
    </row>
    <row r="515" ht="15.75" customHeight="1">
      <c r="F515" s="88"/>
      <c r="S515" s="89"/>
      <c r="T515" s="89"/>
      <c r="U515" s="89"/>
      <c r="V515" s="89"/>
    </row>
    <row r="516" ht="15.75" customHeight="1">
      <c r="F516" s="88"/>
      <c r="S516" s="89"/>
      <c r="T516" s="89"/>
      <c r="U516" s="89"/>
      <c r="V516" s="89"/>
    </row>
    <row r="517" ht="15.75" customHeight="1">
      <c r="F517" s="88"/>
      <c r="S517" s="89"/>
      <c r="T517" s="89"/>
      <c r="U517" s="89"/>
      <c r="V517" s="89"/>
    </row>
    <row r="518" ht="15.75" customHeight="1">
      <c r="F518" s="88"/>
      <c r="S518" s="89"/>
      <c r="T518" s="89"/>
      <c r="U518" s="89"/>
      <c r="V518" s="89"/>
    </row>
    <row r="519" ht="15.75" customHeight="1">
      <c r="F519" s="88"/>
      <c r="S519" s="89"/>
      <c r="T519" s="89"/>
      <c r="U519" s="89"/>
      <c r="V519" s="89"/>
    </row>
    <row r="520" ht="15.75" customHeight="1">
      <c r="F520" s="88"/>
      <c r="S520" s="89"/>
      <c r="T520" s="89"/>
      <c r="U520" s="89"/>
      <c r="V520" s="89"/>
    </row>
    <row r="521" ht="15.75" customHeight="1">
      <c r="F521" s="88"/>
      <c r="S521" s="89"/>
      <c r="T521" s="89"/>
      <c r="U521" s="89"/>
      <c r="V521" s="89"/>
    </row>
    <row r="522" ht="15.75" customHeight="1">
      <c r="F522" s="88"/>
      <c r="S522" s="89"/>
      <c r="T522" s="89"/>
      <c r="U522" s="89"/>
      <c r="V522" s="89"/>
    </row>
    <row r="523" ht="15.75" customHeight="1">
      <c r="F523" s="88"/>
      <c r="S523" s="89"/>
      <c r="T523" s="89"/>
      <c r="U523" s="89"/>
      <c r="V523" s="89"/>
    </row>
    <row r="524" ht="15.75" customHeight="1">
      <c r="F524" s="88"/>
      <c r="S524" s="89"/>
      <c r="T524" s="89"/>
      <c r="U524" s="89"/>
      <c r="V524" s="89"/>
    </row>
    <row r="525" ht="15.75" customHeight="1">
      <c r="F525" s="88"/>
      <c r="S525" s="89"/>
      <c r="T525" s="89"/>
      <c r="U525" s="89"/>
      <c r="V525" s="89"/>
    </row>
    <row r="526" ht="15.75" customHeight="1">
      <c r="F526" s="88"/>
      <c r="S526" s="89"/>
      <c r="T526" s="89"/>
      <c r="U526" s="89"/>
      <c r="V526" s="89"/>
    </row>
    <row r="527" ht="15.75" customHeight="1">
      <c r="F527" s="88"/>
      <c r="S527" s="89"/>
      <c r="T527" s="89"/>
      <c r="U527" s="89"/>
      <c r="V527" s="89"/>
    </row>
    <row r="528" ht="15.75" customHeight="1">
      <c r="F528" s="88"/>
      <c r="S528" s="89"/>
      <c r="T528" s="89"/>
      <c r="U528" s="89"/>
      <c r="V528" s="89"/>
    </row>
    <row r="529" ht="15.75" customHeight="1">
      <c r="F529" s="88"/>
      <c r="S529" s="89"/>
      <c r="T529" s="89"/>
      <c r="U529" s="89"/>
      <c r="V529" s="89"/>
    </row>
    <row r="530" ht="15.75" customHeight="1">
      <c r="F530" s="88"/>
      <c r="S530" s="89"/>
      <c r="T530" s="89"/>
      <c r="U530" s="89"/>
      <c r="V530" s="89"/>
    </row>
    <row r="531" ht="15.75" customHeight="1">
      <c r="F531" s="88"/>
      <c r="S531" s="89"/>
      <c r="T531" s="89"/>
      <c r="U531" s="89"/>
      <c r="V531" s="89"/>
    </row>
    <row r="532" ht="15.75" customHeight="1">
      <c r="F532" s="88"/>
      <c r="S532" s="89"/>
      <c r="T532" s="89"/>
      <c r="U532" s="89"/>
      <c r="V532" s="89"/>
    </row>
    <row r="533" ht="15.75" customHeight="1">
      <c r="F533" s="88"/>
      <c r="S533" s="89"/>
      <c r="T533" s="89"/>
      <c r="U533" s="89"/>
      <c r="V533" s="89"/>
    </row>
    <row r="534" ht="15.75" customHeight="1">
      <c r="F534" s="88"/>
      <c r="S534" s="89"/>
      <c r="T534" s="89"/>
      <c r="U534" s="89"/>
      <c r="V534" s="89"/>
    </row>
    <row r="535" ht="15.75" customHeight="1">
      <c r="F535" s="88"/>
      <c r="S535" s="89"/>
      <c r="T535" s="89"/>
      <c r="U535" s="89"/>
      <c r="V535" s="89"/>
    </row>
    <row r="536" ht="15.75" customHeight="1">
      <c r="F536" s="88"/>
      <c r="S536" s="89"/>
      <c r="T536" s="89"/>
      <c r="U536" s="89"/>
      <c r="V536" s="89"/>
    </row>
    <row r="537" ht="15.75" customHeight="1">
      <c r="F537" s="88"/>
      <c r="S537" s="89"/>
      <c r="T537" s="89"/>
      <c r="U537" s="89"/>
      <c r="V537" s="89"/>
    </row>
    <row r="538" ht="15.75" customHeight="1">
      <c r="F538" s="88"/>
      <c r="S538" s="89"/>
      <c r="T538" s="89"/>
      <c r="U538" s="89"/>
      <c r="V538" s="89"/>
    </row>
    <row r="539" ht="15.75" customHeight="1">
      <c r="F539" s="88"/>
      <c r="S539" s="89"/>
      <c r="T539" s="89"/>
      <c r="U539" s="89"/>
      <c r="V539" s="89"/>
    </row>
    <row r="540" ht="15.75" customHeight="1">
      <c r="F540" s="88"/>
      <c r="S540" s="89"/>
      <c r="T540" s="89"/>
      <c r="U540" s="89"/>
      <c r="V540" s="89"/>
    </row>
    <row r="541" ht="15.75" customHeight="1">
      <c r="F541" s="88"/>
      <c r="S541" s="89"/>
      <c r="T541" s="89"/>
      <c r="U541" s="89"/>
      <c r="V541" s="89"/>
    </row>
    <row r="542" ht="15.75" customHeight="1">
      <c r="F542" s="88"/>
      <c r="S542" s="89"/>
      <c r="T542" s="89"/>
      <c r="U542" s="89"/>
      <c r="V542" s="89"/>
    </row>
    <row r="543" ht="15.75" customHeight="1">
      <c r="F543" s="88"/>
      <c r="S543" s="89"/>
      <c r="T543" s="89"/>
      <c r="U543" s="89"/>
      <c r="V543" s="89"/>
    </row>
    <row r="544" ht="15.75" customHeight="1">
      <c r="F544" s="88"/>
      <c r="S544" s="89"/>
      <c r="T544" s="89"/>
      <c r="U544" s="89"/>
      <c r="V544" s="89"/>
    </row>
    <row r="545" ht="15.75" customHeight="1">
      <c r="F545" s="88"/>
      <c r="S545" s="89"/>
      <c r="T545" s="89"/>
      <c r="U545" s="89"/>
      <c r="V545" s="89"/>
    </row>
    <row r="546" ht="15.75" customHeight="1">
      <c r="F546" s="88"/>
      <c r="S546" s="89"/>
      <c r="T546" s="89"/>
      <c r="U546" s="89"/>
      <c r="V546" s="89"/>
    </row>
    <row r="547" ht="15.75" customHeight="1">
      <c r="F547" s="88"/>
      <c r="S547" s="89"/>
      <c r="T547" s="89"/>
      <c r="U547" s="89"/>
      <c r="V547" s="89"/>
    </row>
    <row r="548" ht="15.75" customHeight="1">
      <c r="F548" s="88"/>
      <c r="S548" s="89"/>
      <c r="T548" s="89"/>
      <c r="U548" s="89"/>
      <c r="V548" s="89"/>
    </row>
    <row r="549" ht="15.75" customHeight="1">
      <c r="F549" s="88"/>
      <c r="S549" s="89"/>
      <c r="T549" s="89"/>
      <c r="U549" s="89"/>
      <c r="V549" s="89"/>
    </row>
    <row r="550" ht="15.75" customHeight="1">
      <c r="F550" s="88"/>
      <c r="S550" s="89"/>
      <c r="T550" s="89"/>
      <c r="U550" s="89"/>
      <c r="V550" s="89"/>
    </row>
    <row r="551" ht="15.75" customHeight="1">
      <c r="F551" s="88"/>
      <c r="S551" s="89"/>
      <c r="T551" s="89"/>
      <c r="U551" s="89"/>
      <c r="V551" s="89"/>
    </row>
    <row r="552" ht="15.75" customHeight="1">
      <c r="F552" s="88"/>
      <c r="S552" s="89"/>
      <c r="T552" s="89"/>
      <c r="U552" s="89"/>
      <c r="V552" s="89"/>
    </row>
    <row r="553" ht="15.75" customHeight="1">
      <c r="F553" s="88"/>
      <c r="S553" s="89"/>
      <c r="T553" s="89"/>
      <c r="U553" s="89"/>
      <c r="V553" s="89"/>
    </row>
    <row r="554" ht="15.75" customHeight="1">
      <c r="F554" s="88"/>
      <c r="S554" s="89"/>
      <c r="T554" s="89"/>
      <c r="U554" s="89"/>
      <c r="V554" s="89"/>
    </row>
    <row r="555" ht="15.75" customHeight="1">
      <c r="F555" s="88"/>
      <c r="S555" s="89"/>
      <c r="T555" s="89"/>
      <c r="U555" s="89"/>
      <c r="V555" s="89"/>
    </row>
    <row r="556" ht="15.75" customHeight="1">
      <c r="F556" s="88"/>
      <c r="S556" s="89"/>
      <c r="T556" s="89"/>
      <c r="U556" s="89"/>
      <c r="V556" s="89"/>
    </row>
    <row r="557" ht="15.75" customHeight="1">
      <c r="F557" s="88"/>
      <c r="S557" s="89"/>
      <c r="T557" s="89"/>
      <c r="U557" s="89"/>
      <c r="V557" s="89"/>
    </row>
    <row r="558" ht="15.75" customHeight="1">
      <c r="F558" s="88"/>
      <c r="S558" s="89"/>
      <c r="T558" s="89"/>
      <c r="U558" s="89"/>
      <c r="V558" s="89"/>
    </row>
    <row r="559" ht="15.75" customHeight="1">
      <c r="F559" s="88"/>
      <c r="S559" s="89"/>
      <c r="T559" s="89"/>
      <c r="U559" s="89"/>
      <c r="V559" s="89"/>
    </row>
    <row r="560" ht="15.75" customHeight="1">
      <c r="F560" s="88"/>
      <c r="S560" s="89"/>
      <c r="T560" s="89"/>
      <c r="U560" s="89"/>
      <c r="V560" s="89"/>
    </row>
    <row r="561" ht="15.75" customHeight="1">
      <c r="F561" s="88"/>
      <c r="S561" s="89"/>
      <c r="T561" s="89"/>
      <c r="U561" s="89"/>
      <c r="V561" s="89"/>
    </row>
    <row r="562" ht="15.75" customHeight="1">
      <c r="F562" s="88"/>
      <c r="S562" s="89"/>
      <c r="T562" s="89"/>
      <c r="U562" s="89"/>
      <c r="V562" s="89"/>
    </row>
    <row r="563" ht="15.75" customHeight="1">
      <c r="F563" s="88"/>
      <c r="S563" s="89"/>
      <c r="T563" s="89"/>
      <c r="U563" s="89"/>
      <c r="V563" s="89"/>
    </row>
    <row r="564" ht="15.75" customHeight="1">
      <c r="F564" s="88"/>
      <c r="S564" s="89"/>
      <c r="T564" s="89"/>
      <c r="U564" s="89"/>
      <c r="V564" s="89"/>
    </row>
    <row r="565" ht="15.75" customHeight="1">
      <c r="F565" s="88"/>
      <c r="S565" s="89"/>
      <c r="T565" s="89"/>
      <c r="U565" s="89"/>
      <c r="V565" s="89"/>
    </row>
    <row r="566" ht="15.75" customHeight="1">
      <c r="F566" s="88"/>
      <c r="S566" s="89"/>
      <c r="T566" s="89"/>
      <c r="U566" s="89"/>
      <c r="V566" s="89"/>
    </row>
    <row r="567" ht="15.75" customHeight="1">
      <c r="F567" s="88"/>
      <c r="S567" s="89"/>
      <c r="T567" s="89"/>
      <c r="U567" s="89"/>
      <c r="V567" s="89"/>
    </row>
    <row r="568" ht="15.75" customHeight="1">
      <c r="F568" s="88"/>
      <c r="S568" s="89"/>
      <c r="T568" s="89"/>
      <c r="U568" s="89"/>
      <c r="V568" s="89"/>
    </row>
    <row r="569" ht="15.75" customHeight="1">
      <c r="F569" s="88"/>
      <c r="S569" s="89"/>
      <c r="T569" s="89"/>
      <c r="U569" s="89"/>
      <c r="V569" s="89"/>
    </row>
    <row r="570" ht="15.75" customHeight="1">
      <c r="F570" s="88"/>
      <c r="S570" s="89"/>
      <c r="T570" s="89"/>
      <c r="U570" s="89"/>
      <c r="V570" s="89"/>
    </row>
    <row r="571" ht="15.75" customHeight="1">
      <c r="F571" s="88"/>
      <c r="S571" s="89"/>
      <c r="T571" s="89"/>
      <c r="U571" s="89"/>
      <c r="V571" s="89"/>
    </row>
    <row r="572" ht="15.75" customHeight="1">
      <c r="F572" s="88"/>
      <c r="S572" s="89"/>
      <c r="T572" s="89"/>
      <c r="U572" s="89"/>
      <c r="V572" s="89"/>
    </row>
    <row r="573" ht="15.75" customHeight="1">
      <c r="F573" s="88"/>
      <c r="S573" s="89"/>
      <c r="T573" s="89"/>
      <c r="U573" s="89"/>
      <c r="V573" s="89"/>
    </row>
    <row r="574" ht="15.75" customHeight="1">
      <c r="F574" s="88"/>
      <c r="S574" s="89"/>
      <c r="T574" s="89"/>
      <c r="U574" s="89"/>
      <c r="V574" s="89"/>
    </row>
    <row r="575" ht="15.75" customHeight="1">
      <c r="F575" s="88"/>
      <c r="S575" s="89"/>
      <c r="T575" s="89"/>
      <c r="U575" s="89"/>
      <c r="V575" s="89"/>
    </row>
    <row r="576" ht="15.75" customHeight="1">
      <c r="F576" s="88"/>
      <c r="S576" s="89"/>
      <c r="T576" s="89"/>
      <c r="U576" s="89"/>
      <c r="V576" s="89"/>
    </row>
    <row r="577" ht="15.75" customHeight="1">
      <c r="F577" s="88"/>
      <c r="S577" s="89"/>
      <c r="T577" s="89"/>
      <c r="U577" s="89"/>
      <c r="V577" s="89"/>
    </row>
    <row r="578" ht="15.75" customHeight="1">
      <c r="F578" s="88"/>
      <c r="S578" s="89"/>
      <c r="T578" s="89"/>
      <c r="U578" s="89"/>
      <c r="V578" s="89"/>
    </row>
    <row r="579" ht="15.75" customHeight="1">
      <c r="F579" s="88"/>
      <c r="S579" s="89"/>
      <c r="T579" s="89"/>
      <c r="U579" s="89"/>
      <c r="V579" s="89"/>
    </row>
    <row r="580" ht="15.75" customHeight="1">
      <c r="F580" s="88"/>
      <c r="S580" s="89"/>
      <c r="T580" s="89"/>
      <c r="U580" s="89"/>
      <c r="V580" s="89"/>
    </row>
    <row r="581" ht="15.75" customHeight="1">
      <c r="F581" s="88"/>
      <c r="S581" s="89"/>
      <c r="T581" s="89"/>
      <c r="U581" s="89"/>
      <c r="V581" s="89"/>
    </row>
    <row r="582" ht="15.75" customHeight="1">
      <c r="F582" s="88"/>
      <c r="S582" s="89"/>
      <c r="T582" s="89"/>
      <c r="U582" s="89"/>
      <c r="V582" s="89"/>
    </row>
    <row r="583" ht="15.75" customHeight="1">
      <c r="F583" s="88"/>
      <c r="S583" s="89"/>
      <c r="T583" s="89"/>
      <c r="U583" s="89"/>
      <c r="V583" s="89"/>
    </row>
    <row r="584" ht="15.75" customHeight="1">
      <c r="F584" s="88"/>
      <c r="S584" s="89"/>
      <c r="T584" s="89"/>
      <c r="U584" s="89"/>
      <c r="V584" s="89"/>
    </row>
    <row r="585" ht="15.75" customHeight="1">
      <c r="F585" s="88"/>
      <c r="S585" s="89"/>
      <c r="T585" s="89"/>
      <c r="U585" s="89"/>
      <c r="V585" s="89"/>
    </row>
    <row r="586" ht="15.75" customHeight="1">
      <c r="F586" s="88"/>
      <c r="S586" s="89"/>
      <c r="T586" s="89"/>
      <c r="U586" s="89"/>
      <c r="V586" s="89"/>
    </row>
    <row r="587" ht="15.75" customHeight="1">
      <c r="F587" s="88"/>
      <c r="S587" s="89"/>
      <c r="T587" s="89"/>
      <c r="U587" s="89"/>
      <c r="V587" s="89"/>
    </row>
    <row r="588" ht="15.75" customHeight="1">
      <c r="F588" s="88"/>
      <c r="S588" s="89"/>
      <c r="T588" s="89"/>
      <c r="U588" s="89"/>
      <c r="V588" s="89"/>
    </row>
    <row r="589" ht="15.75" customHeight="1">
      <c r="F589" s="88"/>
      <c r="S589" s="89"/>
      <c r="T589" s="89"/>
      <c r="U589" s="89"/>
      <c r="V589" s="89"/>
    </row>
    <row r="590" ht="15.75" customHeight="1">
      <c r="F590" s="88"/>
      <c r="S590" s="89"/>
      <c r="T590" s="89"/>
      <c r="U590" s="89"/>
      <c r="V590" s="89"/>
    </row>
    <row r="591" ht="15.75" customHeight="1">
      <c r="F591" s="88"/>
      <c r="S591" s="89"/>
      <c r="T591" s="89"/>
      <c r="U591" s="89"/>
      <c r="V591" s="89"/>
    </row>
    <row r="592" ht="15.75" customHeight="1">
      <c r="F592" s="88"/>
      <c r="S592" s="89"/>
      <c r="T592" s="89"/>
      <c r="U592" s="89"/>
      <c r="V592" s="89"/>
    </row>
    <row r="593" ht="15.75" customHeight="1">
      <c r="F593" s="88"/>
      <c r="S593" s="89"/>
      <c r="T593" s="89"/>
      <c r="U593" s="89"/>
      <c r="V593" s="89"/>
    </row>
    <row r="594" ht="15.75" customHeight="1">
      <c r="F594" s="88"/>
      <c r="S594" s="89"/>
      <c r="T594" s="89"/>
      <c r="U594" s="89"/>
      <c r="V594" s="89"/>
    </row>
    <row r="595" ht="15.75" customHeight="1">
      <c r="F595" s="88"/>
      <c r="S595" s="89"/>
      <c r="T595" s="89"/>
      <c r="U595" s="89"/>
      <c r="V595" s="89"/>
    </row>
    <row r="596" ht="15.75" customHeight="1">
      <c r="F596" s="88"/>
      <c r="S596" s="89"/>
      <c r="T596" s="89"/>
      <c r="U596" s="89"/>
      <c r="V596" s="89"/>
    </row>
    <row r="597" ht="15.75" customHeight="1">
      <c r="F597" s="88"/>
      <c r="S597" s="89"/>
      <c r="T597" s="89"/>
      <c r="U597" s="89"/>
      <c r="V597" s="89"/>
    </row>
    <row r="598" ht="15.75" customHeight="1">
      <c r="F598" s="88"/>
      <c r="S598" s="89"/>
      <c r="T598" s="89"/>
      <c r="U598" s="89"/>
      <c r="V598" s="89"/>
    </row>
    <row r="599" ht="15.75" customHeight="1">
      <c r="F599" s="88"/>
      <c r="S599" s="89"/>
      <c r="T599" s="89"/>
      <c r="U599" s="89"/>
      <c r="V599" s="89"/>
    </row>
    <row r="600" ht="15.75" customHeight="1">
      <c r="F600" s="88"/>
      <c r="S600" s="89"/>
      <c r="T600" s="89"/>
      <c r="U600" s="89"/>
      <c r="V600" s="89"/>
    </row>
    <row r="601" ht="15.75" customHeight="1">
      <c r="F601" s="88"/>
      <c r="S601" s="89"/>
      <c r="T601" s="89"/>
      <c r="U601" s="89"/>
      <c r="V601" s="89"/>
    </row>
    <row r="602" ht="15.75" customHeight="1">
      <c r="F602" s="88"/>
      <c r="S602" s="89"/>
      <c r="T602" s="89"/>
      <c r="U602" s="89"/>
      <c r="V602" s="89"/>
    </row>
    <row r="603" ht="15.75" customHeight="1">
      <c r="F603" s="88"/>
      <c r="S603" s="89"/>
      <c r="T603" s="89"/>
      <c r="U603" s="89"/>
      <c r="V603" s="89"/>
    </row>
    <row r="604" ht="15.75" customHeight="1">
      <c r="F604" s="88"/>
      <c r="S604" s="89"/>
      <c r="T604" s="89"/>
      <c r="U604" s="89"/>
      <c r="V604" s="89"/>
    </row>
    <row r="605" ht="15.75" customHeight="1">
      <c r="F605" s="88"/>
      <c r="S605" s="89"/>
      <c r="T605" s="89"/>
      <c r="U605" s="89"/>
      <c r="V605" s="89"/>
    </row>
    <row r="606" ht="15.75" customHeight="1">
      <c r="F606" s="88"/>
      <c r="S606" s="89"/>
      <c r="T606" s="89"/>
      <c r="U606" s="89"/>
      <c r="V606" s="89"/>
    </row>
    <row r="607" ht="15.75" customHeight="1">
      <c r="F607" s="88"/>
      <c r="S607" s="89"/>
      <c r="T607" s="89"/>
      <c r="U607" s="89"/>
      <c r="V607" s="89"/>
    </row>
    <row r="608" ht="15.75" customHeight="1">
      <c r="F608" s="88"/>
      <c r="S608" s="89"/>
      <c r="T608" s="89"/>
      <c r="U608" s="89"/>
      <c r="V608" s="89"/>
    </row>
    <row r="609" ht="15.75" customHeight="1">
      <c r="F609" s="88"/>
      <c r="S609" s="89"/>
      <c r="T609" s="89"/>
      <c r="U609" s="89"/>
      <c r="V609" s="89"/>
    </row>
    <row r="610" ht="15.75" customHeight="1">
      <c r="F610" s="88"/>
      <c r="S610" s="89"/>
      <c r="T610" s="89"/>
      <c r="U610" s="89"/>
      <c r="V610" s="89"/>
    </row>
    <row r="611" ht="15.75" customHeight="1">
      <c r="F611" s="88"/>
      <c r="S611" s="89"/>
      <c r="T611" s="89"/>
      <c r="U611" s="89"/>
      <c r="V611" s="89"/>
    </row>
    <row r="612" ht="15.75" customHeight="1">
      <c r="F612" s="88"/>
      <c r="S612" s="89"/>
      <c r="T612" s="89"/>
      <c r="U612" s="89"/>
      <c r="V612" s="89"/>
    </row>
    <row r="613" ht="15.75" customHeight="1">
      <c r="F613" s="88"/>
      <c r="S613" s="89"/>
      <c r="T613" s="89"/>
      <c r="U613" s="89"/>
      <c r="V613" s="89"/>
    </row>
    <row r="614" ht="15.75" customHeight="1">
      <c r="F614" s="88"/>
      <c r="S614" s="89"/>
      <c r="T614" s="89"/>
      <c r="U614" s="89"/>
      <c r="V614" s="89"/>
    </row>
    <row r="615" ht="15.75" customHeight="1">
      <c r="F615" s="88"/>
      <c r="S615" s="89"/>
      <c r="T615" s="89"/>
      <c r="U615" s="89"/>
      <c r="V615" s="89"/>
    </row>
    <row r="616" ht="15.75" customHeight="1">
      <c r="F616" s="88"/>
      <c r="S616" s="89"/>
      <c r="T616" s="89"/>
      <c r="U616" s="89"/>
      <c r="V616" s="89"/>
    </row>
    <row r="617" ht="15.75" customHeight="1">
      <c r="F617" s="88"/>
      <c r="S617" s="89"/>
      <c r="T617" s="89"/>
      <c r="U617" s="89"/>
      <c r="V617" s="89"/>
    </row>
    <row r="618" ht="15.75" customHeight="1">
      <c r="F618" s="88"/>
      <c r="S618" s="89"/>
      <c r="T618" s="89"/>
      <c r="U618" s="89"/>
      <c r="V618" s="89"/>
    </row>
    <row r="619" ht="15.75" customHeight="1">
      <c r="F619" s="88"/>
      <c r="S619" s="89"/>
      <c r="T619" s="89"/>
      <c r="U619" s="89"/>
      <c r="V619" s="89"/>
    </row>
    <row r="620" ht="15.75" customHeight="1">
      <c r="F620" s="88"/>
      <c r="S620" s="89"/>
      <c r="T620" s="89"/>
      <c r="U620" s="89"/>
      <c r="V620" s="89"/>
    </row>
    <row r="621" ht="15.75" customHeight="1">
      <c r="F621" s="88"/>
      <c r="S621" s="89"/>
      <c r="T621" s="89"/>
      <c r="U621" s="89"/>
      <c r="V621" s="89"/>
    </row>
    <row r="622" ht="15.75" customHeight="1">
      <c r="F622" s="88"/>
      <c r="S622" s="89"/>
      <c r="T622" s="89"/>
      <c r="U622" s="89"/>
      <c r="V622" s="89"/>
    </row>
    <row r="623" ht="15.75" customHeight="1">
      <c r="F623" s="88"/>
      <c r="S623" s="89"/>
      <c r="T623" s="89"/>
      <c r="U623" s="89"/>
      <c r="V623" s="89"/>
    </row>
    <row r="624" ht="15.75" customHeight="1">
      <c r="F624" s="88"/>
      <c r="S624" s="89"/>
      <c r="T624" s="89"/>
      <c r="U624" s="89"/>
      <c r="V624" s="89"/>
    </row>
    <row r="625" ht="15.75" customHeight="1">
      <c r="F625" s="88"/>
      <c r="S625" s="89"/>
      <c r="T625" s="89"/>
      <c r="U625" s="89"/>
      <c r="V625" s="89"/>
    </row>
    <row r="626" ht="15.75" customHeight="1">
      <c r="F626" s="88"/>
      <c r="S626" s="89"/>
      <c r="T626" s="89"/>
      <c r="U626" s="89"/>
      <c r="V626" s="89"/>
    </row>
    <row r="627" ht="15.75" customHeight="1">
      <c r="F627" s="88"/>
      <c r="S627" s="89"/>
      <c r="T627" s="89"/>
      <c r="U627" s="89"/>
      <c r="V627" s="89"/>
    </row>
    <row r="628" ht="15.75" customHeight="1">
      <c r="F628" s="88"/>
      <c r="S628" s="89"/>
      <c r="T628" s="89"/>
      <c r="U628" s="89"/>
      <c r="V628" s="89"/>
    </row>
    <row r="629" ht="15.75" customHeight="1">
      <c r="F629" s="88"/>
      <c r="S629" s="89"/>
      <c r="T629" s="89"/>
      <c r="U629" s="89"/>
      <c r="V629" s="89"/>
    </row>
    <row r="630" ht="15.75" customHeight="1">
      <c r="F630" s="88"/>
      <c r="S630" s="89"/>
      <c r="T630" s="89"/>
      <c r="U630" s="89"/>
      <c r="V630" s="89"/>
    </row>
    <row r="631" ht="15.75" customHeight="1">
      <c r="F631" s="88"/>
      <c r="S631" s="89"/>
      <c r="T631" s="89"/>
      <c r="U631" s="89"/>
      <c r="V631" s="89"/>
    </row>
    <row r="632" ht="15.75" customHeight="1">
      <c r="F632" s="88"/>
      <c r="S632" s="89"/>
      <c r="T632" s="89"/>
      <c r="U632" s="89"/>
      <c r="V632" s="89"/>
    </row>
    <row r="633" ht="15.75" customHeight="1">
      <c r="F633" s="88"/>
      <c r="S633" s="89"/>
      <c r="T633" s="89"/>
      <c r="U633" s="89"/>
      <c r="V633" s="89"/>
    </row>
    <row r="634" ht="15.75" customHeight="1">
      <c r="F634" s="88"/>
      <c r="S634" s="89"/>
      <c r="T634" s="89"/>
      <c r="U634" s="89"/>
      <c r="V634" s="89"/>
    </row>
    <row r="635" ht="15.75" customHeight="1">
      <c r="F635" s="88"/>
      <c r="S635" s="89"/>
      <c r="T635" s="89"/>
      <c r="U635" s="89"/>
      <c r="V635" s="89"/>
    </row>
    <row r="636" ht="15.75" customHeight="1">
      <c r="F636" s="88"/>
      <c r="S636" s="89"/>
      <c r="T636" s="89"/>
      <c r="U636" s="89"/>
      <c r="V636" s="89"/>
    </row>
    <row r="637" ht="15.75" customHeight="1">
      <c r="F637" s="88"/>
      <c r="S637" s="89"/>
      <c r="T637" s="89"/>
      <c r="U637" s="89"/>
      <c r="V637" s="89"/>
    </row>
    <row r="638" ht="15.75" customHeight="1">
      <c r="F638" s="88"/>
      <c r="S638" s="89"/>
      <c r="T638" s="89"/>
      <c r="U638" s="89"/>
      <c r="V638" s="89"/>
    </row>
    <row r="639" ht="15.75" customHeight="1">
      <c r="F639" s="88"/>
      <c r="S639" s="89"/>
      <c r="T639" s="89"/>
      <c r="U639" s="89"/>
      <c r="V639" s="89"/>
    </row>
    <row r="640" ht="15.75" customHeight="1">
      <c r="F640" s="88"/>
      <c r="S640" s="89"/>
      <c r="T640" s="89"/>
      <c r="U640" s="89"/>
      <c r="V640" s="89"/>
    </row>
    <row r="641" ht="15.75" customHeight="1">
      <c r="F641" s="88"/>
      <c r="S641" s="89"/>
      <c r="T641" s="89"/>
      <c r="U641" s="89"/>
      <c r="V641" s="89"/>
    </row>
    <row r="642" ht="15.75" customHeight="1">
      <c r="F642" s="88"/>
      <c r="S642" s="89"/>
      <c r="T642" s="89"/>
      <c r="U642" s="89"/>
      <c r="V642" s="89"/>
    </row>
    <row r="643" ht="15.75" customHeight="1">
      <c r="F643" s="88"/>
      <c r="S643" s="89"/>
      <c r="T643" s="89"/>
      <c r="U643" s="89"/>
      <c r="V643" s="89"/>
    </row>
    <row r="644" ht="15.75" customHeight="1">
      <c r="F644" s="88"/>
      <c r="S644" s="89"/>
      <c r="T644" s="89"/>
      <c r="U644" s="89"/>
      <c r="V644" s="89"/>
    </row>
    <row r="645" ht="15.75" customHeight="1">
      <c r="F645" s="88"/>
      <c r="S645" s="89"/>
      <c r="T645" s="89"/>
      <c r="U645" s="89"/>
      <c r="V645" s="89"/>
    </row>
    <row r="646" ht="15.75" customHeight="1">
      <c r="F646" s="88"/>
      <c r="S646" s="89"/>
      <c r="T646" s="89"/>
      <c r="U646" s="89"/>
      <c r="V646" s="89"/>
    </row>
    <row r="647" ht="15.75" customHeight="1">
      <c r="F647" s="88"/>
      <c r="S647" s="89"/>
      <c r="T647" s="89"/>
      <c r="U647" s="89"/>
      <c r="V647" s="89"/>
    </row>
    <row r="648" ht="15.75" customHeight="1">
      <c r="F648" s="88"/>
      <c r="S648" s="89"/>
      <c r="T648" s="89"/>
      <c r="U648" s="89"/>
      <c r="V648" s="89"/>
    </row>
    <row r="649" ht="15.75" customHeight="1">
      <c r="F649" s="88"/>
      <c r="S649" s="89"/>
      <c r="T649" s="89"/>
      <c r="U649" s="89"/>
      <c r="V649" s="89"/>
    </row>
    <row r="650" ht="15.75" customHeight="1">
      <c r="F650" s="88"/>
      <c r="S650" s="89"/>
      <c r="T650" s="89"/>
      <c r="U650" s="89"/>
      <c r="V650" s="89"/>
    </row>
    <row r="651" ht="15.75" customHeight="1">
      <c r="F651" s="88"/>
      <c r="S651" s="89"/>
      <c r="T651" s="89"/>
      <c r="U651" s="89"/>
      <c r="V651" s="89"/>
    </row>
    <row r="652" ht="15.75" customHeight="1">
      <c r="F652" s="88"/>
      <c r="S652" s="89"/>
      <c r="T652" s="89"/>
      <c r="U652" s="89"/>
      <c r="V652" s="89"/>
    </row>
    <row r="653" ht="15.75" customHeight="1">
      <c r="F653" s="88"/>
      <c r="S653" s="89"/>
      <c r="T653" s="89"/>
      <c r="U653" s="89"/>
      <c r="V653" s="89"/>
    </row>
    <row r="654" ht="15.75" customHeight="1">
      <c r="F654" s="88"/>
      <c r="S654" s="89"/>
      <c r="T654" s="89"/>
      <c r="U654" s="89"/>
      <c r="V654" s="89"/>
    </row>
    <row r="655" ht="15.75" customHeight="1">
      <c r="F655" s="88"/>
      <c r="S655" s="89"/>
      <c r="T655" s="89"/>
      <c r="U655" s="89"/>
      <c r="V655" s="89"/>
    </row>
    <row r="656" ht="15.75" customHeight="1">
      <c r="F656" s="88"/>
      <c r="S656" s="89"/>
      <c r="T656" s="89"/>
      <c r="U656" s="89"/>
      <c r="V656" s="89"/>
    </row>
    <row r="657" ht="15.75" customHeight="1">
      <c r="F657" s="88"/>
      <c r="S657" s="89"/>
      <c r="T657" s="89"/>
      <c r="U657" s="89"/>
      <c r="V657" s="89"/>
    </row>
    <row r="658" ht="15.75" customHeight="1">
      <c r="F658" s="88"/>
      <c r="S658" s="89"/>
      <c r="T658" s="89"/>
      <c r="U658" s="89"/>
      <c r="V658" s="89"/>
    </row>
    <row r="659" ht="15.75" customHeight="1">
      <c r="F659" s="88"/>
      <c r="S659" s="89"/>
      <c r="T659" s="89"/>
      <c r="U659" s="89"/>
      <c r="V659" s="89"/>
    </row>
    <row r="660" ht="15.75" customHeight="1">
      <c r="F660" s="88"/>
      <c r="S660" s="89"/>
      <c r="T660" s="89"/>
      <c r="U660" s="89"/>
      <c r="V660" s="89"/>
    </row>
    <row r="661" ht="15.75" customHeight="1">
      <c r="F661" s="88"/>
      <c r="S661" s="89"/>
      <c r="T661" s="89"/>
      <c r="U661" s="89"/>
      <c r="V661" s="89"/>
    </row>
    <row r="662" ht="15.75" customHeight="1">
      <c r="F662" s="88"/>
      <c r="S662" s="89"/>
      <c r="T662" s="89"/>
      <c r="U662" s="89"/>
      <c r="V662" s="89"/>
    </row>
    <row r="663" ht="15.75" customHeight="1">
      <c r="F663" s="88"/>
      <c r="S663" s="89"/>
      <c r="T663" s="89"/>
      <c r="U663" s="89"/>
      <c r="V663" s="89"/>
    </row>
    <row r="664" ht="15.75" customHeight="1">
      <c r="F664" s="88"/>
      <c r="S664" s="89"/>
      <c r="T664" s="89"/>
      <c r="U664" s="89"/>
      <c r="V664" s="89"/>
    </row>
    <row r="665" ht="15.75" customHeight="1">
      <c r="F665" s="88"/>
      <c r="S665" s="89"/>
      <c r="T665" s="89"/>
      <c r="U665" s="89"/>
      <c r="V665" s="89"/>
    </row>
    <row r="666" ht="15.75" customHeight="1">
      <c r="F666" s="88"/>
      <c r="S666" s="89"/>
      <c r="T666" s="89"/>
      <c r="U666" s="89"/>
      <c r="V666" s="89"/>
    </row>
    <row r="667" ht="15.75" customHeight="1">
      <c r="F667" s="88"/>
      <c r="S667" s="89"/>
      <c r="T667" s="89"/>
      <c r="U667" s="89"/>
      <c r="V667" s="89"/>
    </row>
    <row r="668" ht="15.75" customHeight="1">
      <c r="F668" s="88"/>
      <c r="S668" s="89"/>
      <c r="T668" s="89"/>
      <c r="U668" s="89"/>
      <c r="V668" s="89"/>
    </row>
    <row r="669" ht="15.75" customHeight="1">
      <c r="F669" s="88"/>
      <c r="S669" s="89"/>
      <c r="T669" s="89"/>
      <c r="U669" s="89"/>
      <c r="V669" s="89"/>
    </row>
    <row r="670" ht="15.75" customHeight="1">
      <c r="F670" s="88"/>
      <c r="S670" s="89"/>
      <c r="T670" s="89"/>
      <c r="U670" s="89"/>
      <c r="V670" s="89"/>
    </row>
    <row r="671" ht="15.75" customHeight="1">
      <c r="F671" s="88"/>
      <c r="S671" s="89"/>
      <c r="T671" s="89"/>
      <c r="U671" s="89"/>
      <c r="V671" s="89"/>
    </row>
    <row r="672" ht="15.75" customHeight="1">
      <c r="F672" s="88"/>
      <c r="S672" s="89"/>
      <c r="T672" s="89"/>
      <c r="U672" s="89"/>
      <c r="V672" s="89"/>
    </row>
    <row r="673" ht="15.75" customHeight="1">
      <c r="F673" s="88"/>
      <c r="S673" s="89"/>
      <c r="T673" s="89"/>
      <c r="U673" s="89"/>
      <c r="V673" s="89"/>
    </row>
    <row r="674" ht="15.75" customHeight="1">
      <c r="F674" s="88"/>
      <c r="S674" s="89"/>
      <c r="T674" s="89"/>
      <c r="U674" s="89"/>
      <c r="V674" s="89"/>
    </row>
    <row r="675" ht="15.75" customHeight="1">
      <c r="F675" s="88"/>
      <c r="S675" s="89"/>
      <c r="T675" s="89"/>
      <c r="U675" s="89"/>
      <c r="V675" s="89"/>
    </row>
    <row r="676" ht="15.75" customHeight="1">
      <c r="F676" s="88"/>
      <c r="S676" s="89"/>
      <c r="T676" s="89"/>
      <c r="U676" s="89"/>
      <c r="V676" s="89"/>
    </row>
    <row r="677" ht="15.75" customHeight="1">
      <c r="F677" s="88"/>
      <c r="S677" s="89"/>
      <c r="T677" s="89"/>
      <c r="U677" s="89"/>
      <c r="V677" s="89"/>
    </row>
    <row r="678" ht="15.75" customHeight="1">
      <c r="F678" s="88"/>
      <c r="S678" s="89"/>
      <c r="T678" s="89"/>
      <c r="U678" s="89"/>
      <c r="V678" s="89"/>
    </row>
    <row r="679" ht="15.75" customHeight="1">
      <c r="F679" s="88"/>
      <c r="S679" s="89"/>
      <c r="T679" s="89"/>
      <c r="U679" s="89"/>
      <c r="V679" s="89"/>
    </row>
    <row r="680" ht="15.75" customHeight="1">
      <c r="F680" s="88"/>
      <c r="S680" s="89"/>
      <c r="T680" s="89"/>
      <c r="U680" s="89"/>
      <c r="V680" s="89"/>
    </row>
    <row r="681" ht="15.75" customHeight="1">
      <c r="F681" s="88"/>
      <c r="S681" s="89"/>
      <c r="T681" s="89"/>
      <c r="U681" s="89"/>
      <c r="V681" s="89"/>
    </row>
    <row r="682" ht="15.75" customHeight="1">
      <c r="F682" s="88"/>
      <c r="S682" s="89"/>
      <c r="T682" s="89"/>
      <c r="U682" s="89"/>
      <c r="V682" s="89"/>
    </row>
    <row r="683" ht="15.75" customHeight="1">
      <c r="F683" s="88"/>
      <c r="S683" s="89"/>
      <c r="T683" s="89"/>
      <c r="U683" s="89"/>
      <c r="V683" s="89"/>
    </row>
    <row r="684" ht="15.75" customHeight="1">
      <c r="F684" s="88"/>
      <c r="S684" s="89"/>
      <c r="T684" s="89"/>
      <c r="U684" s="89"/>
      <c r="V684" s="89"/>
    </row>
    <row r="685" ht="15.75" customHeight="1">
      <c r="F685" s="88"/>
      <c r="S685" s="89"/>
      <c r="T685" s="89"/>
      <c r="U685" s="89"/>
      <c r="V685" s="89"/>
    </row>
    <row r="686" ht="15.75" customHeight="1">
      <c r="F686" s="88"/>
      <c r="S686" s="89"/>
      <c r="T686" s="89"/>
      <c r="U686" s="89"/>
      <c r="V686" s="89"/>
    </row>
    <row r="687" ht="15.75" customHeight="1">
      <c r="F687" s="88"/>
      <c r="S687" s="89"/>
      <c r="T687" s="89"/>
      <c r="U687" s="89"/>
      <c r="V687" s="89"/>
    </row>
    <row r="688" ht="15.75" customHeight="1">
      <c r="F688" s="88"/>
      <c r="S688" s="89"/>
      <c r="T688" s="89"/>
      <c r="U688" s="89"/>
      <c r="V688" s="89"/>
    </row>
    <row r="689" ht="15.75" customHeight="1">
      <c r="F689" s="88"/>
      <c r="S689" s="89"/>
      <c r="T689" s="89"/>
      <c r="U689" s="89"/>
      <c r="V689" s="89"/>
    </row>
    <row r="690" ht="15.75" customHeight="1">
      <c r="F690" s="88"/>
      <c r="S690" s="89"/>
      <c r="T690" s="89"/>
      <c r="U690" s="89"/>
      <c r="V690" s="89"/>
    </row>
    <row r="691" ht="15.75" customHeight="1">
      <c r="F691" s="88"/>
      <c r="S691" s="89"/>
      <c r="T691" s="89"/>
      <c r="U691" s="89"/>
      <c r="V691" s="89"/>
    </row>
    <row r="692" ht="15.75" customHeight="1">
      <c r="F692" s="88"/>
      <c r="S692" s="89"/>
      <c r="T692" s="89"/>
      <c r="U692" s="89"/>
      <c r="V692" s="89"/>
    </row>
    <row r="693" ht="15.75" customHeight="1">
      <c r="F693" s="88"/>
      <c r="S693" s="89"/>
      <c r="T693" s="89"/>
      <c r="U693" s="89"/>
      <c r="V693" s="89"/>
    </row>
    <row r="694" ht="15.75" customHeight="1">
      <c r="F694" s="88"/>
      <c r="S694" s="89"/>
      <c r="T694" s="89"/>
      <c r="U694" s="89"/>
      <c r="V694" s="89"/>
    </row>
    <row r="695" ht="15.75" customHeight="1">
      <c r="F695" s="88"/>
      <c r="S695" s="89"/>
      <c r="T695" s="89"/>
      <c r="U695" s="89"/>
      <c r="V695" s="89"/>
    </row>
    <row r="696" ht="15.75" customHeight="1">
      <c r="F696" s="88"/>
      <c r="S696" s="89"/>
      <c r="T696" s="89"/>
      <c r="U696" s="89"/>
      <c r="V696" s="89"/>
    </row>
    <row r="697" ht="15.75" customHeight="1">
      <c r="F697" s="88"/>
      <c r="S697" s="89"/>
      <c r="T697" s="89"/>
      <c r="U697" s="89"/>
      <c r="V697" s="89"/>
    </row>
    <row r="698" ht="15.75" customHeight="1">
      <c r="F698" s="88"/>
      <c r="S698" s="89"/>
      <c r="T698" s="89"/>
      <c r="U698" s="89"/>
      <c r="V698" s="89"/>
    </row>
    <row r="699" ht="15.75" customHeight="1">
      <c r="F699" s="88"/>
      <c r="S699" s="89"/>
      <c r="T699" s="89"/>
      <c r="U699" s="89"/>
      <c r="V699" s="89"/>
    </row>
    <row r="700" ht="15.75" customHeight="1">
      <c r="F700" s="88"/>
      <c r="S700" s="89"/>
      <c r="T700" s="89"/>
      <c r="U700" s="89"/>
      <c r="V700" s="89"/>
    </row>
    <row r="701" ht="15.75" customHeight="1">
      <c r="F701" s="88"/>
      <c r="S701" s="89"/>
      <c r="T701" s="89"/>
      <c r="U701" s="89"/>
      <c r="V701" s="89"/>
    </row>
    <row r="702" ht="15.75" customHeight="1">
      <c r="F702" s="88"/>
      <c r="S702" s="89"/>
      <c r="T702" s="89"/>
      <c r="U702" s="89"/>
      <c r="V702" s="89"/>
    </row>
    <row r="703" ht="15.75" customHeight="1">
      <c r="F703" s="88"/>
      <c r="S703" s="89"/>
      <c r="T703" s="89"/>
      <c r="U703" s="89"/>
      <c r="V703" s="89"/>
    </row>
    <row r="704" ht="15.75" customHeight="1">
      <c r="F704" s="88"/>
      <c r="S704" s="89"/>
      <c r="T704" s="89"/>
      <c r="U704" s="89"/>
      <c r="V704" s="89"/>
    </row>
    <row r="705" ht="15.75" customHeight="1">
      <c r="F705" s="88"/>
      <c r="S705" s="89"/>
      <c r="T705" s="89"/>
      <c r="U705" s="89"/>
      <c r="V705" s="89"/>
    </row>
    <row r="706" ht="15.75" customHeight="1">
      <c r="F706" s="88"/>
      <c r="S706" s="89"/>
      <c r="T706" s="89"/>
      <c r="U706" s="89"/>
      <c r="V706" s="89"/>
    </row>
    <row r="707" ht="15.75" customHeight="1">
      <c r="F707" s="88"/>
      <c r="S707" s="89"/>
      <c r="T707" s="89"/>
      <c r="U707" s="89"/>
      <c r="V707" s="89"/>
    </row>
    <row r="708" ht="15.75" customHeight="1">
      <c r="F708" s="88"/>
      <c r="S708" s="89"/>
      <c r="T708" s="89"/>
      <c r="U708" s="89"/>
      <c r="V708" s="89"/>
    </row>
    <row r="709" ht="15.75" customHeight="1">
      <c r="F709" s="88"/>
      <c r="S709" s="89"/>
      <c r="T709" s="89"/>
      <c r="U709" s="89"/>
      <c r="V709" s="89"/>
    </row>
    <row r="710" ht="15.75" customHeight="1">
      <c r="F710" s="88"/>
      <c r="S710" s="89"/>
      <c r="T710" s="89"/>
      <c r="U710" s="89"/>
      <c r="V710" s="89"/>
    </row>
    <row r="711" ht="15.75" customHeight="1">
      <c r="F711" s="88"/>
      <c r="S711" s="89"/>
      <c r="T711" s="89"/>
      <c r="U711" s="89"/>
      <c r="V711" s="89"/>
    </row>
    <row r="712" ht="15.75" customHeight="1">
      <c r="F712" s="88"/>
      <c r="S712" s="89"/>
      <c r="T712" s="89"/>
      <c r="U712" s="89"/>
      <c r="V712" s="89"/>
    </row>
    <row r="713" ht="15.75" customHeight="1">
      <c r="F713" s="88"/>
      <c r="S713" s="89"/>
      <c r="T713" s="89"/>
      <c r="U713" s="89"/>
      <c r="V713" s="89"/>
    </row>
    <row r="714" ht="15.75" customHeight="1">
      <c r="F714" s="88"/>
      <c r="S714" s="89"/>
      <c r="T714" s="89"/>
      <c r="U714" s="89"/>
      <c r="V714" s="89"/>
    </row>
    <row r="715" ht="15.75" customHeight="1">
      <c r="F715" s="88"/>
      <c r="S715" s="89"/>
      <c r="T715" s="89"/>
      <c r="U715" s="89"/>
      <c r="V715" s="89"/>
    </row>
    <row r="716" ht="15.75" customHeight="1">
      <c r="F716" s="88"/>
      <c r="S716" s="89"/>
      <c r="T716" s="89"/>
      <c r="U716" s="89"/>
      <c r="V716" s="89"/>
    </row>
    <row r="717" ht="15.75" customHeight="1">
      <c r="F717" s="88"/>
      <c r="S717" s="89"/>
      <c r="T717" s="89"/>
      <c r="U717" s="89"/>
      <c r="V717" s="89"/>
    </row>
    <row r="718" ht="15.75" customHeight="1">
      <c r="F718" s="88"/>
      <c r="S718" s="89"/>
      <c r="T718" s="89"/>
      <c r="U718" s="89"/>
      <c r="V718" s="89"/>
    </row>
    <row r="719" ht="15.75" customHeight="1">
      <c r="F719" s="88"/>
      <c r="S719" s="89"/>
      <c r="T719" s="89"/>
      <c r="U719" s="89"/>
      <c r="V719" s="89"/>
    </row>
    <row r="720" ht="15.75" customHeight="1">
      <c r="F720" s="88"/>
      <c r="S720" s="89"/>
      <c r="T720" s="89"/>
      <c r="U720" s="89"/>
      <c r="V720" s="89"/>
    </row>
    <row r="721" ht="15.75" customHeight="1">
      <c r="F721" s="88"/>
      <c r="S721" s="89"/>
      <c r="T721" s="89"/>
      <c r="U721" s="89"/>
      <c r="V721" s="89"/>
    </row>
    <row r="722" ht="15.75" customHeight="1">
      <c r="F722" s="88"/>
      <c r="S722" s="89"/>
      <c r="T722" s="89"/>
      <c r="U722" s="89"/>
      <c r="V722" s="89"/>
    </row>
    <row r="723" ht="15.75" customHeight="1">
      <c r="F723" s="88"/>
      <c r="S723" s="89"/>
      <c r="T723" s="89"/>
      <c r="U723" s="89"/>
      <c r="V723" s="89"/>
    </row>
    <row r="724" ht="15.75" customHeight="1">
      <c r="F724" s="88"/>
      <c r="S724" s="89"/>
      <c r="T724" s="89"/>
      <c r="U724" s="89"/>
      <c r="V724" s="89"/>
    </row>
    <row r="725" ht="15.75" customHeight="1">
      <c r="F725" s="88"/>
      <c r="S725" s="89"/>
      <c r="T725" s="89"/>
      <c r="U725" s="89"/>
      <c r="V725" s="89"/>
    </row>
    <row r="726" ht="15.75" customHeight="1">
      <c r="F726" s="88"/>
      <c r="S726" s="89"/>
      <c r="T726" s="89"/>
      <c r="U726" s="89"/>
      <c r="V726" s="89"/>
    </row>
    <row r="727" ht="15.75" customHeight="1">
      <c r="F727" s="88"/>
      <c r="S727" s="89"/>
      <c r="T727" s="89"/>
      <c r="U727" s="89"/>
      <c r="V727" s="89"/>
    </row>
    <row r="728" ht="15.75" customHeight="1">
      <c r="F728" s="88"/>
      <c r="S728" s="89"/>
      <c r="T728" s="89"/>
      <c r="U728" s="89"/>
      <c r="V728" s="89"/>
    </row>
    <row r="729" ht="15.75" customHeight="1">
      <c r="F729" s="88"/>
      <c r="S729" s="89"/>
      <c r="T729" s="89"/>
      <c r="U729" s="89"/>
      <c r="V729" s="89"/>
    </row>
    <row r="730" ht="15.75" customHeight="1">
      <c r="F730" s="88"/>
      <c r="S730" s="89"/>
      <c r="T730" s="89"/>
      <c r="U730" s="89"/>
      <c r="V730" s="89"/>
    </row>
    <row r="731" ht="15.75" customHeight="1">
      <c r="F731" s="88"/>
      <c r="S731" s="89"/>
      <c r="T731" s="89"/>
      <c r="U731" s="89"/>
      <c r="V731" s="89"/>
    </row>
    <row r="732" ht="15.75" customHeight="1">
      <c r="F732" s="88"/>
      <c r="S732" s="89"/>
      <c r="T732" s="89"/>
      <c r="U732" s="89"/>
      <c r="V732" s="89"/>
    </row>
    <row r="733" ht="15.75" customHeight="1">
      <c r="F733" s="88"/>
      <c r="S733" s="89"/>
      <c r="T733" s="89"/>
      <c r="U733" s="89"/>
      <c r="V733" s="89"/>
    </row>
    <row r="734" ht="15.75" customHeight="1">
      <c r="F734" s="88"/>
      <c r="S734" s="89"/>
      <c r="T734" s="89"/>
      <c r="U734" s="89"/>
      <c r="V734" s="89"/>
    </row>
    <row r="735" ht="15.75" customHeight="1">
      <c r="F735" s="88"/>
      <c r="S735" s="89"/>
      <c r="T735" s="89"/>
      <c r="U735" s="89"/>
      <c r="V735" s="89"/>
    </row>
    <row r="736" ht="15.75" customHeight="1">
      <c r="F736" s="88"/>
      <c r="S736" s="89"/>
      <c r="T736" s="89"/>
      <c r="U736" s="89"/>
      <c r="V736" s="89"/>
    </row>
    <row r="737" ht="15.75" customHeight="1">
      <c r="F737" s="88"/>
      <c r="S737" s="89"/>
      <c r="T737" s="89"/>
      <c r="U737" s="89"/>
      <c r="V737" s="89"/>
    </row>
    <row r="738" ht="15.75" customHeight="1">
      <c r="F738" s="88"/>
      <c r="S738" s="89"/>
      <c r="T738" s="89"/>
      <c r="U738" s="89"/>
      <c r="V738" s="89"/>
    </row>
    <row r="739" ht="15.75" customHeight="1">
      <c r="F739" s="88"/>
      <c r="S739" s="89"/>
      <c r="T739" s="89"/>
      <c r="U739" s="89"/>
      <c r="V739" s="89"/>
    </row>
    <row r="740" ht="15.75" customHeight="1">
      <c r="F740" s="88"/>
      <c r="S740" s="89"/>
      <c r="T740" s="89"/>
      <c r="U740" s="89"/>
      <c r="V740" s="89"/>
    </row>
    <row r="741" ht="15.75" customHeight="1">
      <c r="F741" s="88"/>
      <c r="S741" s="89"/>
      <c r="T741" s="89"/>
      <c r="U741" s="89"/>
      <c r="V741" s="89"/>
    </row>
    <row r="742" ht="15.75" customHeight="1">
      <c r="F742" s="88"/>
      <c r="S742" s="89"/>
      <c r="T742" s="89"/>
      <c r="U742" s="89"/>
      <c r="V742" s="89"/>
    </row>
    <row r="743" ht="15.75" customHeight="1">
      <c r="F743" s="88"/>
      <c r="S743" s="89"/>
      <c r="T743" s="89"/>
      <c r="U743" s="89"/>
      <c r="V743" s="89"/>
    </row>
    <row r="744" ht="15.75" customHeight="1">
      <c r="F744" s="88"/>
      <c r="S744" s="89"/>
      <c r="T744" s="89"/>
      <c r="U744" s="89"/>
      <c r="V744" s="89"/>
    </row>
    <row r="745" ht="15.75" customHeight="1">
      <c r="F745" s="88"/>
      <c r="S745" s="89"/>
      <c r="T745" s="89"/>
      <c r="U745" s="89"/>
      <c r="V745" s="89"/>
    </row>
    <row r="746" ht="15.75" customHeight="1">
      <c r="F746" s="88"/>
      <c r="S746" s="89"/>
      <c r="T746" s="89"/>
      <c r="U746" s="89"/>
      <c r="V746" s="89"/>
    </row>
    <row r="747" ht="15.75" customHeight="1">
      <c r="F747" s="88"/>
      <c r="S747" s="89"/>
      <c r="T747" s="89"/>
      <c r="U747" s="89"/>
      <c r="V747" s="89"/>
    </row>
    <row r="748" ht="15.75" customHeight="1">
      <c r="F748" s="88"/>
      <c r="S748" s="89"/>
      <c r="T748" s="89"/>
      <c r="U748" s="89"/>
      <c r="V748" s="89"/>
    </row>
    <row r="749" ht="15.75" customHeight="1">
      <c r="F749" s="88"/>
      <c r="S749" s="89"/>
      <c r="T749" s="89"/>
      <c r="U749" s="89"/>
      <c r="V749" s="89"/>
    </row>
    <row r="750" ht="15.75" customHeight="1">
      <c r="F750" s="88"/>
      <c r="S750" s="89"/>
      <c r="T750" s="89"/>
      <c r="U750" s="89"/>
      <c r="V750" s="89"/>
    </row>
    <row r="751" ht="15.75" customHeight="1">
      <c r="F751" s="88"/>
      <c r="S751" s="89"/>
      <c r="T751" s="89"/>
      <c r="U751" s="89"/>
      <c r="V751" s="89"/>
    </row>
    <row r="752" ht="15.75" customHeight="1">
      <c r="F752" s="88"/>
      <c r="S752" s="89"/>
      <c r="T752" s="89"/>
      <c r="U752" s="89"/>
      <c r="V752" s="89"/>
    </row>
    <row r="753" ht="15.75" customHeight="1">
      <c r="F753" s="88"/>
      <c r="S753" s="89"/>
      <c r="T753" s="89"/>
      <c r="U753" s="89"/>
      <c r="V753" s="89"/>
    </row>
    <row r="754" ht="15.75" customHeight="1">
      <c r="F754" s="88"/>
      <c r="S754" s="89"/>
      <c r="T754" s="89"/>
      <c r="U754" s="89"/>
      <c r="V754" s="89"/>
    </row>
    <row r="755" ht="15.75" customHeight="1">
      <c r="F755" s="88"/>
      <c r="S755" s="89"/>
      <c r="T755" s="89"/>
      <c r="U755" s="89"/>
      <c r="V755" s="89"/>
    </row>
    <row r="756" ht="15.75" customHeight="1">
      <c r="F756" s="88"/>
      <c r="S756" s="89"/>
      <c r="T756" s="89"/>
      <c r="U756" s="89"/>
      <c r="V756" s="89"/>
    </row>
    <row r="757" ht="15.75" customHeight="1">
      <c r="F757" s="88"/>
      <c r="S757" s="89"/>
      <c r="T757" s="89"/>
      <c r="U757" s="89"/>
      <c r="V757" s="89"/>
    </row>
    <row r="758" ht="15.75" customHeight="1">
      <c r="F758" s="88"/>
      <c r="S758" s="89"/>
      <c r="T758" s="89"/>
      <c r="U758" s="89"/>
      <c r="V758" s="89"/>
    </row>
    <row r="759" ht="15.75" customHeight="1">
      <c r="F759" s="88"/>
      <c r="S759" s="89"/>
      <c r="T759" s="89"/>
      <c r="U759" s="89"/>
      <c r="V759" s="89"/>
    </row>
    <row r="760" ht="15.75" customHeight="1">
      <c r="F760" s="88"/>
      <c r="S760" s="89"/>
      <c r="T760" s="89"/>
      <c r="U760" s="89"/>
      <c r="V760" s="89"/>
    </row>
    <row r="761" ht="15.75" customHeight="1">
      <c r="F761" s="88"/>
      <c r="S761" s="89"/>
      <c r="T761" s="89"/>
      <c r="U761" s="89"/>
      <c r="V761" s="89"/>
    </row>
    <row r="762" ht="15.75" customHeight="1">
      <c r="F762" s="88"/>
      <c r="S762" s="89"/>
      <c r="T762" s="89"/>
      <c r="U762" s="89"/>
      <c r="V762" s="89"/>
    </row>
    <row r="763" ht="15.75" customHeight="1">
      <c r="F763" s="88"/>
      <c r="S763" s="89"/>
      <c r="T763" s="89"/>
      <c r="U763" s="89"/>
      <c r="V763" s="89"/>
    </row>
    <row r="764" ht="15.75" customHeight="1">
      <c r="F764" s="88"/>
      <c r="S764" s="89"/>
      <c r="T764" s="89"/>
      <c r="U764" s="89"/>
      <c r="V764" s="89"/>
    </row>
    <row r="765" ht="15.75" customHeight="1">
      <c r="F765" s="88"/>
      <c r="S765" s="89"/>
      <c r="T765" s="89"/>
      <c r="U765" s="89"/>
      <c r="V765" s="89"/>
    </row>
    <row r="766" ht="15.75" customHeight="1">
      <c r="F766" s="88"/>
      <c r="S766" s="89"/>
      <c r="T766" s="89"/>
      <c r="U766" s="89"/>
      <c r="V766" s="89"/>
    </row>
    <row r="767" ht="15.75" customHeight="1">
      <c r="F767" s="88"/>
      <c r="S767" s="89"/>
      <c r="T767" s="89"/>
      <c r="U767" s="89"/>
      <c r="V767" s="89"/>
    </row>
    <row r="768" ht="15.75" customHeight="1">
      <c r="F768" s="88"/>
      <c r="S768" s="89"/>
      <c r="T768" s="89"/>
      <c r="U768" s="89"/>
      <c r="V768" s="89"/>
    </row>
    <row r="769" ht="15.75" customHeight="1">
      <c r="F769" s="88"/>
      <c r="S769" s="89"/>
      <c r="T769" s="89"/>
      <c r="U769" s="89"/>
      <c r="V769" s="89"/>
    </row>
    <row r="770" ht="15.75" customHeight="1">
      <c r="F770" s="88"/>
      <c r="S770" s="89"/>
      <c r="T770" s="89"/>
      <c r="U770" s="89"/>
      <c r="V770" s="89"/>
    </row>
    <row r="771" ht="15.75" customHeight="1">
      <c r="F771" s="88"/>
      <c r="S771" s="89"/>
      <c r="T771" s="89"/>
      <c r="U771" s="89"/>
      <c r="V771" s="89"/>
    </row>
    <row r="772" ht="15.75" customHeight="1">
      <c r="F772" s="88"/>
      <c r="S772" s="89"/>
      <c r="T772" s="89"/>
      <c r="U772" s="89"/>
      <c r="V772" s="89"/>
    </row>
    <row r="773" ht="15.75" customHeight="1">
      <c r="F773" s="88"/>
      <c r="S773" s="89"/>
      <c r="T773" s="89"/>
      <c r="U773" s="89"/>
      <c r="V773" s="89"/>
    </row>
    <row r="774" ht="15.75" customHeight="1">
      <c r="F774" s="88"/>
      <c r="S774" s="89"/>
      <c r="T774" s="89"/>
      <c r="U774" s="89"/>
      <c r="V774" s="89"/>
    </row>
    <row r="775" ht="15.75" customHeight="1">
      <c r="F775" s="88"/>
      <c r="S775" s="89"/>
      <c r="T775" s="89"/>
      <c r="U775" s="89"/>
      <c r="V775" s="89"/>
    </row>
    <row r="776" ht="15.75" customHeight="1">
      <c r="F776" s="88"/>
      <c r="S776" s="89"/>
      <c r="T776" s="89"/>
      <c r="U776" s="89"/>
      <c r="V776" s="89"/>
    </row>
    <row r="777" ht="15.75" customHeight="1">
      <c r="F777" s="88"/>
      <c r="S777" s="89"/>
      <c r="T777" s="89"/>
      <c r="U777" s="89"/>
      <c r="V777" s="89"/>
    </row>
    <row r="778" ht="15.75" customHeight="1">
      <c r="F778" s="88"/>
      <c r="S778" s="89"/>
      <c r="T778" s="89"/>
      <c r="U778" s="89"/>
      <c r="V778" s="89"/>
    </row>
    <row r="779" ht="15.75" customHeight="1">
      <c r="F779" s="88"/>
      <c r="S779" s="89"/>
      <c r="T779" s="89"/>
      <c r="U779" s="89"/>
      <c r="V779" s="89"/>
    </row>
    <row r="780" ht="15.75" customHeight="1">
      <c r="F780" s="88"/>
      <c r="S780" s="89"/>
      <c r="T780" s="89"/>
      <c r="U780" s="89"/>
      <c r="V780" s="89"/>
    </row>
    <row r="781" ht="15.75" customHeight="1">
      <c r="F781" s="88"/>
      <c r="S781" s="89"/>
      <c r="T781" s="89"/>
      <c r="U781" s="89"/>
      <c r="V781" s="89"/>
    </row>
    <row r="782" ht="15.75" customHeight="1">
      <c r="F782" s="88"/>
      <c r="S782" s="89"/>
      <c r="T782" s="89"/>
      <c r="U782" s="89"/>
      <c r="V782" s="89"/>
    </row>
    <row r="783" ht="15.75" customHeight="1">
      <c r="F783" s="88"/>
      <c r="S783" s="89"/>
      <c r="T783" s="89"/>
      <c r="U783" s="89"/>
      <c r="V783" s="89"/>
    </row>
    <row r="784" ht="15.75" customHeight="1">
      <c r="F784" s="88"/>
      <c r="S784" s="89"/>
      <c r="T784" s="89"/>
      <c r="U784" s="89"/>
      <c r="V784" s="89"/>
    </row>
    <row r="785" ht="15.75" customHeight="1">
      <c r="F785" s="88"/>
      <c r="S785" s="89"/>
      <c r="T785" s="89"/>
      <c r="U785" s="89"/>
      <c r="V785" s="89"/>
    </row>
    <row r="786" ht="15.75" customHeight="1">
      <c r="F786" s="88"/>
      <c r="S786" s="89"/>
      <c r="T786" s="89"/>
      <c r="U786" s="89"/>
      <c r="V786" s="89"/>
    </row>
    <row r="787" ht="15.75" customHeight="1">
      <c r="F787" s="88"/>
      <c r="S787" s="89"/>
      <c r="T787" s="89"/>
      <c r="U787" s="89"/>
      <c r="V787" s="89"/>
    </row>
    <row r="788" ht="15.75" customHeight="1">
      <c r="F788" s="88"/>
      <c r="S788" s="89"/>
      <c r="T788" s="89"/>
      <c r="U788" s="89"/>
      <c r="V788" s="89"/>
    </row>
    <row r="789" ht="15.75" customHeight="1">
      <c r="F789" s="88"/>
      <c r="S789" s="89"/>
      <c r="T789" s="89"/>
      <c r="U789" s="89"/>
      <c r="V789" s="89"/>
    </row>
    <row r="790" ht="15.75" customHeight="1">
      <c r="F790" s="88"/>
      <c r="S790" s="89"/>
      <c r="T790" s="89"/>
      <c r="U790" s="89"/>
      <c r="V790" s="89"/>
    </row>
    <row r="791" ht="15.75" customHeight="1">
      <c r="F791" s="88"/>
      <c r="S791" s="89"/>
      <c r="T791" s="89"/>
      <c r="U791" s="89"/>
      <c r="V791" s="89"/>
    </row>
    <row r="792" ht="15.75" customHeight="1">
      <c r="F792" s="88"/>
      <c r="S792" s="89"/>
      <c r="T792" s="89"/>
      <c r="U792" s="89"/>
      <c r="V792" s="89"/>
    </row>
    <row r="793" ht="15.75" customHeight="1">
      <c r="F793" s="88"/>
      <c r="S793" s="89"/>
      <c r="T793" s="89"/>
      <c r="U793" s="89"/>
      <c r="V793" s="89"/>
    </row>
    <row r="794" ht="15.75" customHeight="1">
      <c r="F794" s="88"/>
      <c r="S794" s="89"/>
      <c r="T794" s="89"/>
      <c r="U794" s="89"/>
      <c r="V794" s="89"/>
    </row>
    <row r="795" ht="15.75" customHeight="1">
      <c r="F795" s="88"/>
      <c r="S795" s="89"/>
      <c r="T795" s="89"/>
      <c r="U795" s="89"/>
      <c r="V795" s="89"/>
    </row>
    <row r="796" ht="15.75" customHeight="1">
      <c r="F796" s="88"/>
      <c r="S796" s="89"/>
      <c r="T796" s="89"/>
      <c r="U796" s="89"/>
      <c r="V796" s="89"/>
    </row>
    <row r="797" ht="15.75" customHeight="1">
      <c r="F797" s="88"/>
      <c r="S797" s="89"/>
      <c r="T797" s="89"/>
      <c r="U797" s="89"/>
      <c r="V797" s="89"/>
    </row>
    <row r="798" ht="15.75" customHeight="1">
      <c r="F798" s="88"/>
      <c r="S798" s="89"/>
      <c r="T798" s="89"/>
      <c r="U798" s="89"/>
      <c r="V798" s="89"/>
    </row>
    <row r="799" ht="15.75" customHeight="1">
      <c r="F799" s="88"/>
      <c r="S799" s="89"/>
      <c r="T799" s="89"/>
      <c r="U799" s="89"/>
      <c r="V799" s="89"/>
    </row>
    <row r="800" ht="15.75" customHeight="1">
      <c r="F800" s="88"/>
      <c r="S800" s="89"/>
      <c r="T800" s="89"/>
      <c r="U800" s="89"/>
      <c r="V800" s="89"/>
    </row>
    <row r="801" ht="15.75" customHeight="1">
      <c r="F801" s="88"/>
      <c r="S801" s="89"/>
      <c r="T801" s="89"/>
      <c r="U801" s="89"/>
      <c r="V801" s="89"/>
    </row>
    <row r="802" ht="15.75" customHeight="1">
      <c r="F802" s="88"/>
      <c r="S802" s="89"/>
      <c r="T802" s="89"/>
      <c r="U802" s="89"/>
      <c r="V802" s="89"/>
    </row>
    <row r="803" ht="15.75" customHeight="1">
      <c r="F803" s="88"/>
      <c r="S803" s="89"/>
      <c r="T803" s="89"/>
      <c r="U803" s="89"/>
      <c r="V803" s="89"/>
    </row>
    <row r="804" ht="15.75" customHeight="1">
      <c r="F804" s="88"/>
      <c r="S804" s="89"/>
      <c r="T804" s="89"/>
      <c r="U804" s="89"/>
      <c r="V804" s="89"/>
    </row>
    <row r="805" ht="15.75" customHeight="1">
      <c r="F805" s="88"/>
      <c r="S805" s="89"/>
      <c r="T805" s="89"/>
      <c r="U805" s="89"/>
      <c r="V805" s="89"/>
    </row>
    <row r="806" ht="15.75" customHeight="1">
      <c r="F806" s="88"/>
      <c r="S806" s="89"/>
      <c r="T806" s="89"/>
      <c r="U806" s="89"/>
      <c r="V806" s="89"/>
    </row>
    <row r="807" ht="15.75" customHeight="1">
      <c r="F807" s="88"/>
      <c r="S807" s="89"/>
      <c r="T807" s="89"/>
      <c r="U807" s="89"/>
      <c r="V807" s="89"/>
    </row>
    <row r="808" ht="15.75" customHeight="1">
      <c r="F808" s="88"/>
      <c r="S808" s="89"/>
      <c r="T808" s="89"/>
      <c r="U808" s="89"/>
      <c r="V808" s="89"/>
    </row>
    <row r="809" ht="15.75" customHeight="1">
      <c r="F809" s="88"/>
      <c r="S809" s="89"/>
      <c r="T809" s="89"/>
      <c r="U809" s="89"/>
      <c r="V809" s="89"/>
    </row>
    <row r="810" ht="15.75" customHeight="1">
      <c r="F810" s="88"/>
      <c r="S810" s="89"/>
      <c r="T810" s="89"/>
      <c r="U810" s="89"/>
      <c r="V810" s="89"/>
    </row>
    <row r="811" ht="15.75" customHeight="1">
      <c r="F811" s="88"/>
      <c r="S811" s="89"/>
      <c r="T811" s="89"/>
      <c r="U811" s="89"/>
      <c r="V811" s="89"/>
    </row>
    <row r="812" ht="15.75" customHeight="1">
      <c r="F812" s="88"/>
      <c r="S812" s="89"/>
      <c r="T812" s="89"/>
      <c r="U812" s="89"/>
      <c r="V812" s="89"/>
    </row>
    <row r="813" ht="15.75" customHeight="1">
      <c r="F813" s="88"/>
      <c r="S813" s="89"/>
      <c r="T813" s="89"/>
      <c r="U813" s="89"/>
      <c r="V813" s="89"/>
    </row>
    <row r="814" ht="15.75" customHeight="1">
      <c r="F814" s="88"/>
      <c r="S814" s="89"/>
      <c r="T814" s="89"/>
      <c r="U814" s="89"/>
      <c r="V814" s="89"/>
    </row>
    <row r="815" ht="15.75" customHeight="1">
      <c r="F815" s="88"/>
      <c r="S815" s="89"/>
      <c r="T815" s="89"/>
      <c r="U815" s="89"/>
      <c r="V815" s="89"/>
    </row>
    <row r="816" ht="15.75" customHeight="1">
      <c r="F816" s="88"/>
      <c r="S816" s="89"/>
      <c r="T816" s="89"/>
      <c r="U816" s="89"/>
      <c r="V816" s="89"/>
    </row>
    <row r="817" ht="15.75" customHeight="1">
      <c r="F817" s="88"/>
      <c r="S817" s="89"/>
      <c r="T817" s="89"/>
      <c r="U817" s="89"/>
      <c r="V817" s="89"/>
    </row>
    <row r="818" ht="15.75" customHeight="1">
      <c r="F818" s="88"/>
      <c r="S818" s="89"/>
      <c r="T818" s="89"/>
      <c r="U818" s="89"/>
      <c r="V818" s="89"/>
    </row>
    <row r="819" ht="15.75" customHeight="1">
      <c r="F819" s="88"/>
      <c r="S819" s="89"/>
      <c r="T819" s="89"/>
      <c r="U819" s="89"/>
      <c r="V819" s="89"/>
    </row>
    <row r="820" ht="15.75" customHeight="1">
      <c r="F820" s="88"/>
      <c r="S820" s="89"/>
      <c r="T820" s="89"/>
      <c r="U820" s="89"/>
      <c r="V820" s="89"/>
    </row>
    <row r="821" ht="15.75" customHeight="1">
      <c r="F821" s="88"/>
      <c r="S821" s="89"/>
      <c r="T821" s="89"/>
      <c r="U821" s="89"/>
      <c r="V821" s="89"/>
    </row>
    <row r="822" ht="15.75" customHeight="1">
      <c r="F822" s="88"/>
      <c r="S822" s="89"/>
      <c r="T822" s="89"/>
      <c r="U822" s="89"/>
      <c r="V822" s="89"/>
    </row>
    <row r="823" ht="15.75" customHeight="1">
      <c r="F823" s="88"/>
      <c r="S823" s="89"/>
      <c r="T823" s="89"/>
      <c r="U823" s="89"/>
      <c r="V823" s="89"/>
    </row>
    <row r="824" ht="15.75" customHeight="1">
      <c r="F824" s="88"/>
      <c r="S824" s="89"/>
      <c r="T824" s="89"/>
      <c r="U824" s="89"/>
      <c r="V824" s="89"/>
    </row>
    <row r="825" ht="15.75" customHeight="1">
      <c r="F825" s="88"/>
      <c r="S825" s="89"/>
      <c r="T825" s="89"/>
      <c r="U825" s="89"/>
      <c r="V825" s="89"/>
    </row>
    <row r="826" ht="15.75" customHeight="1">
      <c r="F826" s="88"/>
      <c r="S826" s="89"/>
      <c r="T826" s="89"/>
      <c r="U826" s="89"/>
      <c r="V826" s="89"/>
    </row>
    <row r="827" ht="15.75" customHeight="1">
      <c r="F827" s="88"/>
      <c r="S827" s="89"/>
      <c r="T827" s="89"/>
      <c r="U827" s="89"/>
      <c r="V827" s="89"/>
    </row>
    <row r="828" ht="15.75" customHeight="1">
      <c r="F828" s="88"/>
      <c r="S828" s="89"/>
      <c r="T828" s="89"/>
      <c r="U828" s="89"/>
      <c r="V828" s="89"/>
    </row>
    <row r="829" ht="15.75" customHeight="1">
      <c r="F829" s="88"/>
      <c r="S829" s="89"/>
      <c r="T829" s="89"/>
      <c r="U829" s="89"/>
      <c r="V829" s="89"/>
    </row>
    <row r="830" ht="15.75" customHeight="1">
      <c r="F830" s="88"/>
      <c r="S830" s="89"/>
      <c r="T830" s="89"/>
      <c r="U830" s="89"/>
      <c r="V830" s="89"/>
    </row>
    <row r="831" ht="15.75" customHeight="1">
      <c r="F831" s="88"/>
      <c r="S831" s="89"/>
      <c r="T831" s="89"/>
      <c r="U831" s="89"/>
      <c r="V831" s="89"/>
    </row>
    <row r="832" ht="15.75" customHeight="1">
      <c r="F832" s="88"/>
      <c r="S832" s="89"/>
      <c r="T832" s="89"/>
      <c r="U832" s="89"/>
      <c r="V832" s="89"/>
    </row>
    <row r="833" ht="15.75" customHeight="1">
      <c r="F833" s="88"/>
      <c r="S833" s="89"/>
      <c r="T833" s="89"/>
      <c r="U833" s="89"/>
      <c r="V833" s="89"/>
    </row>
    <row r="834" ht="15.75" customHeight="1">
      <c r="F834" s="88"/>
      <c r="S834" s="89"/>
      <c r="T834" s="89"/>
      <c r="U834" s="89"/>
      <c r="V834" s="89"/>
    </row>
    <row r="835" ht="15.75" customHeight="1">
      <c r="F835" s="88"/>
      <c r="S835" s="89"/>
      <c r="T835" s="89"/>
      <c r="U835" s="89"/>
      <c r="V835" s="89"/>
    </row>
    <row r="836" ht="15.75" customHeight="1">
      <c r="F836" s="88"/>
      <c r="S836" s="89"/>
      <c r="T836" s="89"/>
      <c r="U836" s="89"/>
      <c r="V836" s="89"/>
    </row>
    <row r="837" ht="15.75" customHeight="1">
      <c r="F837" s="88"/>
      <c r="S837" s="89"/>
      <c r="T837" s="89"/>
      <c r="U837" s="89"/>
      <c r="V837" s="89"/>
    </row>
    <row r="838" ht="15.75" customHeight="1">
      <c r="F838" s="88"/>
      <c r="S838" s="89"/>
      <c r="T838" s="89"/>
      <c r="U838" s="89"/>
      <c r="V838" s="89"/>
    </row>
    <row r="839" ht="15.75" customHeight="1">
      <c r="F839" s="88"/>
      <c r="S839" s="89"/>
      <c r="T839" s="89"/>
      <c r="U839" s="89"/>
      <c r="V839" s="89"/>
    </row>
    <row r="840" ht="15.75" customHeight="1">
      <c r="F840" s="88"/>
      <c r="S840" s="89"/>
      <c r="T840" s="89"/>
      <c r="U840" s="89"/>
      <c r="V840" s="89"/>
    </row>
    <row r="841" ht="15.75" customHeight="1">
      <c r="F841" s="88"/>
      <c r="S841" s="89"/>
      <c r="T841" s="89"/>
      <c r="U841" s="89"/>
      <c r="V841" s="89"/>
    </row>
    <row r="842" ht="15.75" customHeight="1">
      <c r="F842" s="88"/>
      <c r="S842" s="89"/>
      <c r="T842" s="89"/>
      <c r="U842" s="89"/>
      <c r="V842" s="89"/>
    </row>
    <row r="843" ht="15.75" customHeight="1">
      <c r="F843" s="88"/>
      <c r="S843" s="89"/>
      <c r="T843" s="89"/>
      <c r="U843" s="89"/>
      <c r="V843" s="89"/>
    </row>
    <row r="844" ht="15.75" customHeight="1">
      <c r="F844" s="88"/>
      <c r="S844" s="89"/>
      <c r="T844" s="89"/>
      <c r="U844" s="89"/>
      <c r="V844" s="89"/>
    </row>
    <row r="845" ht="15.75" customHeight="1">
      <c r="F845" s="88"/>
      <c r="S845" s="89"/>
      <c r="T845" s="89"/>
      <c r="U845" s="89"/>
      <c r="V845" s="89"/>
    </row>
    <row r="846" ht="15.75" customHeight="1">
      <c r="F846" s="88"/>
      <c r="S846" s="89"/>
      <c r="T846" s="89"/>
      <c r="U846" s="89"/>
      <c r="V846" s="89"/>
    </row>
    <row r="847" ht="15.75" customHeight="1">
      <c r="F847" s="88"/>
      <c r="S847" s="89"/>
      <c r="T847" s="89"/>
      <c r="U847" s="89"/>
      <c r="V847" s="89"/>
    </row>
    <row r="848" ht="15.75" customHeight="1">
      <c r="F848" s="88"/>
      <c r="S848" s="89"/>
      <c r="T848" s="89"/>
      <c r="U848" s="89"/>
      <c r="V848" s="89"/>
    </row>
    <row r="849" ht="15.75" customHeight="1">
      <c r="F849" s="88"/>
      <c r="S849" s="89"/>
      <c r="T849" s="89"/>
      <c r="U849" s="89"/>
      <c r="V849" s="89"/>
    </row>
    <row r="850" ht="15.75" customHeight="1">
      <c r="F850" s="88"/>
      <c r="S850" s="89"/>
      <c r="T850" s="89"/>
      <c r="U850" s="89"/>
      <c r="V850" s="89"/>
    </row>
    <row r="851" ht="15.75" customHeight="1">
      <c r="F851" s="88"/>
      <c r="S851" s="89"/>
      <c r="T851" s="89"/>
      <c r="U851" s="89"/>
      <c r="V851" s="89"/>
    </row>
    <row r="852" ht="15.75" customHeight="1">
      <c r="F852" s="88"/>
      <c r="S852" s="89"/>
      <c r="T852" s="89"/>
      <c r="U852" s="89"/>
      <c r="V852" s="89"/>
    </row>
    <row r="853" ht="15.75" customHeight="1">
      <c r="F853" s="88"/>
      <c r="S853" s="89"/>
      <c r="T853" s="89"/>
      <c r="U853" s="89"/>
      <c r="V853" s="89"/>
    </row>
    <row r="854" ht="15.75" customHeight="1">
      <c r="F854" s="88"/>
      <c r="S854" s="89"/>
      <c r="T854" s="89"/>
      <c r="U854" s="89"/>
      <c r="V854" s="89"/>
    </row>
    <row r="855" ht="15.75" customHeight="1">
      <c r="F855" s="88"/>
      <c r="S855" s="89"/>
      <c r="T855" s="89"/>
      <c r="U855" s="89"/>
      <c r="V855" s="89"/>
    </row>
    <row r="856" ht="15.75" customHeight="1">
      <c r="F856" s="88"/>
      <c r="S856" s="89"/>
      <c r="T856" s="89"/>
      <c r="U856" s="89"/>
      <c r="V856" s="89"/>
    </row>
    <row r="857" ht="15.75" customHeight="1">
      <c r="F857" s="88"/>
      <c r="S857" s="89"/>
      <c r="T857" s="89"/>
      <c r="U857" s="89"/>
      <c r="V857" s="89"/>
    </row>
    <row r="858" ht="15.75" customHeight="1">
      <c r="F858" s="88"/>
      <c r="S858" s="89"/>
      <c r="T858" s="89"/>
      <c r="U858" s="89"/>
      <c r="V858" s="89"/>
    </row>
    <row r="859" ht="15.75" customHeight="1">
      <c r="F859" s="88"/>
      <c r="S859" s="89"/>
      <c r="T859" s="89"/>
      <c r="U859" s="89"/>
      <c r="V859" s="89"/>
    </row>
    <row r="860" ht="15.75" customHeight="1">
      <c r="F860" s="88"/>
      <c r="S860" s="89"/>
      <c r="T860" s="89"/>
      <c r="U860" s="89"/>
      <c r="V860" s="89"/>
    </row>
    <row r="861" ht="15.75" customHeight="1">
      <c r="F861" s="88"/>
      <c r="S861" s="89"/>
      <c r="T861" s="89"/>
      <c r="U861" s="89"/>
      <c r="V861" s="89"/>
    </row>
    <row r="862" ht="15.75" customHeight="1">
      <c r="F862" s="88"/>
      <c r="S862" s="89"/>
      <c r="T862" s="89"/>
      <c r="U862" s="89"/>
      <c r="V862" s="89"/>
    </row>
    <row r="863" ht="15.75" customHeight="1">
      <c r="F863" s="88"/>
      <c r="S863" s="89"/>
      <c r="T863" s="89"/>
      <c r="U863" s="89"/>
      <c r="V863" s="89"/>
    </row>
    <row r="864" ht="15.75" customHeight="1">
      <c r="F864" s="88"/>
      <c r="S864" s="89"/>
      <c r="T864" s="89"/>
      <c r="U864" s="89"/>
      <c r="V864" s="89"/>
    </row>
    <row r="865" ht="15.75" customHeight="1">
      <c r="F865" s="88"/>
      <c r="S865" s="89"/>
      <c r="T865" s="89"/>
      <c r="U865" s="89"/>
      <c r="V865" s="89"/>
    </row>
    <row r="866" ht="15.75" customHeight="1">
      <c r="F866" s="88"/>
      <c r="S866" s="89"/>
      <c r="T866" s="89"/>
      <c r="U866" s="89"/>
      <c r="V866" s="89"/>
    </row>
    <row r="867" ht="15.75" customHeight="1">
      <c r="F867" s="88"/>
      <c r="S867" s="89"/>
      <c r="T867" s="89"/>
      <c r="U867" s="89"/>
      <c r="V867" s="89"/>
    </row>
    <row r="868" ht="15.75" customHeight="1">
      <c r="F868" s="88"/>
      <c r="S868" s="89"/>
      <c r="T868" s="89"/>
      <c r="U868" s="89"/>
      <c r="V868" s="89"/>
    </row>
    <row r="869" ht="15.75" customHeight="1">
      <c r="F869" s="88"/>
      <c r="S869" s="89"/>
      <c r="T869" s="89"/>
      <c r="U869" s="89"/>
      <c r="V869" s="89"/>
    </row>
    <row r="870" ht="15.75" customHeight="1">
      <c r="F870" s="88"/>
      <c r="S870" s="89"/>
      <c r="T870" s="89"/>
      <c r="U870" s="89"/>
      <c r="V870" s="89"/>
    </row>
    <row r="871" ht="15.75" customHeight="1">
      <c r="F871" s="88"/>
      <c r="S871" s="89"/>
      <c r="T871" s="89"/>
      <c r="U871" s="89"/>
      <c r="V871" s="89"/>
    </row>
    <row r="872" ht="15.75" customHeight="1">
      <c r="F872" s="88"/>
      <c r="S872" s="89"/>
      <c r="T872" s="89"/>
      <c r="U872" s="89"/>
      <c r="V872" s="89"/>
    </row>
    <row r="873" ht="15.75" customHeight="1">
      <c r="F873" s="88"/>
      <c r="S873" s="89"/>
      <c r="T873" s="89"/>
      <c r="U873" s="89"/>
      <c r="V873" s="89"/>
    </row>
    <row r="874" ht="15.75" customHeight="1">
      <c r="F874" s="88"/>
      <c r="S874" s="89"/>
      <c r="T874" s="89"/>
      <c r="U874" s="89"/>
      <c r="V874" s="89"/>
    </row>
    <row r="875" ht="15.75" customHeight="1">
      <c r="F875" s="88"/>
      <c r="S875" s="89"/>
      <c r="T875" s="89"/>
      <c r="U875" s="89"/>
      <c r="V875" s="89"/>
    </row>
    <row r="876" ht="15.75" customHeight="1">
      <c r="F876" s="88"/>
      <c r="S876" s="89"/>
      <c r="T876" s="89"/>
      <c r="U876" s="89"/>
      <c r="V876" s="89"/>
    </row>
    <row r="877" ht="15.75" customHeight="1">
      <c r="F877" s="88"/>
      <c r="S877" s="89"/>
      <c r="T877" s="89"/>
      <c r="U877" s="89"/>
      <c r="V877" s="89"/>
    </row>
    <row r="878" ht="15.75" customHeight="1">
      <c r="F878" s="88"/>
      <c r="S878" s="89"/>
      <c r="T878" s="89"/>
      <c r="U878" s="89"/>
      <c r="V878" s="89"/>
    </row>
    <row r="879" ht="15.75" customHeight="1">
      <c r="F879" s="88"/>
      <c r="S879" s="89"/>
      <c r="T879" s="89"/>
      <c r="U879" s="89"/>
      <c r="V879" s="89"/>
    </row>
    <row r="880" ht="15.75" customHeight="1">
      <c r="F880" s="88"/>
      <c r="S880" s="89"/>
      <c r="T880" s="89"/>
      <c r="U880" s="89"/>
      <c r="V880" s="89"/>
    </row>
    <row r="881" ht="15.75" customHeight="1">
      <c r="F881" s="88"/>
      <c r="S881" s="89"/>
      <c r="T881" s="89"/>
      <c r="U881" s="89"/>
      <c r="V881" s="89"/>
    </row>
    <row r="882" ht="15.75" customHeight="1">
      <c r="F882" s="88"/>
      <c r="S882" s="89"/>
      <c r="T882" s="89"/>
      <c r="U882" s="89"/>
      <c r="V882" s="89"/>
    </row>
    <row r="883" ht="15.75" customHeight="1">
      <c r="F883" s="88"/>
      <c r="S883" s="89"/>
      <c r="T883" s="89"/>
      <c r="U883" s="89"/>
      <c r="V883" s="89"/>
    </row>
    <row r="884" ht="15.75" customHeight="1">
      <c r="F884" s="88"/>
      <c r="S884" s="89"/>
      <c r="T884" s="89"/>
      <c r="U884" s="89"/>
      <c r="V884" s="89"/>
    </row>
    <row r="885" ht="15.75" customHeight="1">
      <c r="F885" s="88"/>
      <c r="S885" s="89"/>
      <c r="T885" s="89"/>
      <c r="U885" s="89"/>
      <c r="V885" s="89"/>
    </row>
    <row r="886" ht="15.75" customHeight="1">
      <c r="F886" s="88"/>
      <c r="S886" s="89"/>
      <c r="T886" s="89"/>
      <c r="U886" s="89"/>
      <c r="V886" s="89"/>
    </row>
    <row r="887" ht="15.75" customHeight="1">
      <c r="F887" s="88"/>
      <c r="S887" s="89"/>
      <c r="T887" s="89"/>
      <c r="U887" s="89"/>
      <c r="V887" s="89"/>
    </row>
    <row r="888" ht="15.75" customHeight="1">
      <c r="F888" s="88"/>
      <c r="S888" s="89"/>
      <c r="T888" s="89"/>
      <c r="U888" s="89"/>
      <c r="V888" s="89"/>
    </row>
    <row r="889" ht="15.75" customHeight="1">
      <c r="F889" s="88"/>
      <c r="S889" s="89"/>
      <c r="T889" s="89"/>
      <c r="U889" s="89"/>
      <c r="V889" s="89"/>
    </row>
    <row r="890" ht="15.75" customHeight="1">
      <c r="F890" s="88"/>
      <c r="S890" s="89"/>
      <c r="T890" s="89"/>
      <c r="U890" s="89"/>
      <c r="V890" s="89"/>
    </row>
    <row r="891" ht="15.75" customHeight="1">
      <c r="F891" s="88"/>
      <c r="S891" s="89"/>
      <c r="T891" s="89"/>
      <c r="U891" s="89"/>
      <c r="V891" s="89"/>
    </row>
    <row r="892" ht="15.75" customHeight="1">
      <c r="F892" s="88"/>
      <c r="S892" s="89"/>
      <c r="T892" s="89"/>
      <c r="U892" s="89"/>
      <c r="V892" s="89"/>
    </row>
    <row r="893" ht="15.75" customHeight="1">
      <c r="F893" s="88"/>
      <c r="S893" s="89"/>
      <c r="T893" s="89"/>
      <c r="U893" s="89"/>
      <c r="V893" s="89"/>
    </row>
    <row r="894" ht="15.75" customHeight="1">
      <c r="F894" s="88"/>
      <c r="S894" s="89"/>
      <c r="T894" s="89"/>
      <c r="U894" s="89"/>
      <c r="V894" s="89"/>
    </row>
    <row r="895" ht="15.75" customHeight="1">
      <c r="F895" s="88"/>
      <c r="S895" s="89"/>
      <c r="T895" s="89"/>
      <c r="U895" s="89"/>
      <c r="V895" s="89"/>
    </row>
    <row r="896" ht="15.75" customHeight="1">
      <c r="F896" s="88"/>
      <c r="S896" s="89"/>
      <c r="T896" s="89"/>
      <c r="U896" s="89"/>
      <c r="V896" s="89"/>
    </row>
    <row r="897" ht="15.75" customHeight="1">
      <c r="F897" s="88"/>
      <c r="S897" s="89"/>
      <c r="T897" s="89"/>
      <c r="U897" s="89"/>
      <c r="V897" s="89"/>
    </row>
    <row r="898" ht="15.75" customHeight="1">
      <c r="F898" s="88"/>
      <c r="S898" s="89"/>
      <c r="T898" s="89"/>
      <c r="U898" s="89"/>
      <c r="V898" s="89"/>
    </row>
    <row r="899" ht="15.75" customHeight="1">
      <c r="F899" s="88"/>
      <c r="S899" s="89"/>
      <c r="T899" s="89"/>
      <c r="U899" s="89"/>
      <c r="V899" s="89"/>
    </row>
    <row r="900" ht="15.75" customHeight="1">
      <c r="F900" s="88"/>
      <c r="S900" s="89"/>
      <c r="T900" s="89"/>
      <c r="U900" s="89"/>
      <c r="V900" s="89"/>
    </row>
    <row r="901" ht="15.75" customHeight="1">
      <c r="F901" s="88"/>
      <c r="S901" s="89"/>
      <c r="T901" s="89"/>
      <c r="U901" s="89"/>
      <c r="V901" s="89"/>
    </row>
    <row r="902" ht="15.75" customHeight="1">
      <c r="F902" s="88"/>
      <c r="S902" s="89"/>
      <c r="T902" s="89"/>
      <c r="U902" s="89"/>
      <c r="V902" s="89"/>
    </row>
    <row r="903" ht="15.75" customHeight="1">
      <c r="F903" s="88"/>
      <c r="S903" s="89"/>
      <c r="T903" s="89"/>
      <c r="U903" s="89"/>
      <c r="V903" s="89"/>
    </row>
    <row r="904" ht="15.75" customHeight="1">
      <c r="F904" s="88"/>
      <c r="S904" s="89"/>
      <c r="T904" s="89"/>
      <c r="U904" s="89"/>
      <c r="V904" s="89"/>
    </row>
    <row r="905" ht="15.75" customHeight="1">
      <c r="F905" s="88"/>
      <c r="S905" s="89"/>
      <c r="T905" s="89"/>
      <c r="U905" s="89"/>
      <c r="V905" s="89"/>
    </row>
    <row r="906" ht="15.75" customHeight="1">
      <c r="F906" s="88"/>
      <c r="S906" s="89"/>
      <c r="T906" s="89"/>
      <c r="U906" s="89"/>
      <c r="V906" s="89"/>
    </row>
    <row r="907" ht="15.75" customHeight="1">
      <c r="F907" s="88"/>
      <c r="S907" s="89"/>
      <c r="T907" s="89"/>
      <c r="U907" s="89"/>
      <c r="V907" s="89"/>
    </row>
    <row r="908" ht="15.75" customHeight="1">
      <c r="F908" s="88"/>
      <c r="S908" s="89"/>
      <c r="T908" s="89"/>
      <c r="U908" s="89"/>
      <c r="V908" s="89"/>
    </row>
    <row r="909" ht="15.75" customHeight="1">
      <c r="F909" s="88"/>
      <c r="S909" s="89"/>
      <c r="T909" s="89"/>
      <c r="U909" s="89"/>
      <c r="V909" s="89"/>
    </row>
    <row r="910" ht="15.75" customHeight="1">
      <c r="F910" s="88"/>
      <c r="S910" s="89"/>
      <c r="T910" s="89"/>
      <c r="U910" s="89"/>
      <c r="V910" s="89"/>
    </row>
    <row r="911" ht="15.75" customHeight="1">
      <c r="F911" s="88"/>
      <c r="S911" s="89"/>
      <c r="T911" s="89"/>
      <c r="U911" s="89"/>
      <c r="V911" s="89"/>
    </row>
    <row r="912" ht="15.75" customHeight="1">
      <c r="F912" s="88"/>
      <c r="S912" s="89"/>
      <c r="T912" s="89"/>
      <c r="U912" s="89"/>
      <c r="V912" s="89"/>
    </row>
    <row r="913" ht="15.75" customHeight="1">
      <c r="F913" s="88"/>
      <c r="S913" s="89"/>
      <c r="T913" s="89"/>
      <c r="U913" s="89"/>
      <c r="V913" s="89"/>
    </row>
    <row r="914" ht="15.75" customHeight="1">
      <c r="F914" s="88"/>
      <c r="S914" s="89"/>
      <c r="T914" s="89"/>
      <c r="U914" s="89"/>
      <c r="V914" s="89"/>
    </row>
    <row r="915" ht="15.75" customHeight="1">
      <c r="F915" s="88"/>
      <c r="S915" s="89"/>
      <c r="T915" s="89"/>
      <c r="U915" s="89"/>
      <c r="V915" s="89"/>
    </row>
    <row r="916" ht="15.75" customHeight="1">
      <c r="F916" s="88"/>
      <c r="S916" s="89"/>
      <c r="T916" s="89"/>
      <c r="U916" s="89"/>
      <c r="V916" s="89"/>
    </row>
    <row r="917" ht="15.75" customHeight="1">
      <c r="F917" s="88"/>
      <c r="S917" s="89"/>
      <c r="T917" s="89"/>
      <c r="U917" s="89"/>
      <c r="V917" s="89"/>
    </row>
    <row r="918" ht="15.75" customHeight="1">
      <c r="F918" s="88"/>
      <c r="S918" s="89"/>
      <c r="T918" s="89"/>
      <c r="U918" s="89"/>
      <c r="V918" s="89"/>
    </row>
    <row r="919" ht="15.75" customHeight="1">
      <c r="F919" s="88"/>
      <c r="S919" s="89"/>
      <c r="T919" s="89"/>
      <c r="U919" s="89"/>
      <c r="V919" s="89"/>
    </row>
    <row r="920" ht="15.75" customHeight="1">
      <c r="F920" s="88"/>
      <c r="S920" s="89"/>
      <c r="T920" s="89"/>
      <c r="U920" s="89"/>
      <c r="V920" s="89"/>
    </row>
    <row r="921" ht="15.75" customHeight="1">
      <c r="F921" s="88"/>
      <c r="S921" s="89"/>
      <c r="T921" s="89"/>
      <c r="U921" s="89"/>
      <c r="V921" s="89"/>
    </row>
    <row r="922" ht="15.75" customHeight="1">
      <c r="F922" s="88"/>
      <c r="S922" s="89"/>
      <c r="T922" s="89"/>
      <c r="U922" s="89"/>
      <c r="V922" s="89"/>
    </row>
    <row r="923" ht="15.75" customHeight="1">
      <c r="F923" s="88"/>
      <c r="S923" s="89"/>
      <c r="T923" s="89"/>
      <c r="U923" s="89"/>
      <c r="V923" s="89"/>
    </row>
    <row r="924" ht="15.75" customHeight="1">
      <c r="F924" s="88"/>
      <c r="S924" s="89"/>
      <c r="T924" s="89"/>
      <c r="U924" s="89"/>
      <c r="V924" s="89"/>
    </row>
    <row r="925" ht="15.75" customHeight="1">
      <c r="F925" s="88"/>
      <c r="S925" s="89"/>
      <c r="T925" s="89"/>
      <c r="U925" s="89"/>
      <c r="V925" s="89"/>
    </row>
    <row r="926" ht="15.75" customHeight="1">
      <c r="F926" s="88"/>
      <c r="S926" s="89"/>
      <c r="T926" s="89"/>
      <c r="U926" s="89"/>
      <c r="V926" s="89"/>
    </row>
    <row r="927" ht="15.75" customHeight="1">
      <c r="F927" s="88"/>
      <c r="S927" s="89"/>
      <c r="T927" s="89"/>
      <c r="U927" s="89"/>
      <c r="V927" s="89"/>
    </row>
    <row r="928" ht="15.75" customHeight="1">
      <c r="F928" s="88"/>
      <c r="S928" s="89"/>
      <c r="T928" s="89"/>
      <c r="U928" s="89"/>
      <c r="V928" s="89"/>
    </row>
    <row r="929" ht="15.75" customHeight="1">
      <c r="F929" s="88"/>
      <c r="S929" s="89"/>
      <c r="T929" s="89"/>
      <c r="U929" s="89"/>
      <c r="V929" s="89"/>
    </row>
    <row r="930" ht="15.75" customHeight="1">
      <c r="F930" s="88"/>
      <c r="S930" s="89"/>
      <c r="T930" s="89"/>
      <c r="U930" s="89"/>
      <c r="V930" s="89"/>
    </row>
    <row r="931" ht="15.75" customHeight="1">
      <c r="F931" s="88"/>
      <c r="S931" s="89"/>
      <c r="T931" s="89"/>
      <c r="U931" s="89"/>
      <c r="V931" s="89"/>
    </row>
    <row r="932" ht="15.75" customHeight="1">
      <c r="F932" s="88"/>
      <c r="S932" s="89"/>
      <c r="T932" s="89"/>
      <c r="U932" s="89"/>
      <c r="V932" s="89"/>
    </row>
    <row r="933" ht="15.75" customHeight="1">
      <c r="F933" s="88"/>
      <c r="S933" s="89"/>
      <c r="T933" s="89"/>
      <c r="U933" s="89"/>
      <c r="V933" s="89"/>
    </row>
    <row r="934" ht="15.75" customHeight="1">
      <c r="F934" s="88"/>
      <c r="S934" s="89"/>
      <c r="T934" s="89"/>
      <c r="U934" s="89"/>
      <c r="V934" s="89"/>
    </row>
    <row r="935" ht="15.75" customHeight="1">
      <c r="F935" s="88"/>
      <c r="S935" s="89"/>
      <c r="T935" s="89"/>
      <c r="U935" s="89"/>
      <c r="V935" s="89"/>
    </row>
    <row r="936" ht="15.75" customHeight="1">
      <c r="F936" s="88"/>
      <c r="S936" s="89"/>
      <c r="T936" s="89"/>
      <c r="U936" s="89"/>
      <c r="V936" s="89"/>
    </row>
    <row r="937" ht="15.75" customHeight="1">
      <c r="F937" s="88"/>
      <c r="S937" s="89"/>
      <c r="T937" s="89"/>
      <c r="U937" s="89"/>
      <c r="V937" s="89"/>
    </row>
    <row r="938" ht="15.75" customHeight="1">
      <c r="F938" s="88"/>
      <c r="S938" s="89"/>
      <c r="T938" s="89"/>
      <c r="U938" s="89"/>
      <c r="V938" s="89"/>
    </row>
    <row r="939" ht="15.75" customHeight="1">
      <c r="F939" s="88"/>
      <c r="S939" s="89"/>
      <c r="T939" s="89"/>
      <c r="U939" s="89"/>
      <c r="V939" s="89"/>
    </row>
    <row r="940" ht="15.75" customHeight="1">
      <c r="F940" s="88"/>
      <c r="S940" s="89"/>
      <c r="T940" s="89"/>
      <c r="U940" s="89"/>
      <c r="V940" s="89"/>
    </row>
    <row r="941" ht="15.75" customHeight="1">
      <c r="F941" s="88"/>
      <c r="S941" s="89"/>
      <c r="T941" s="89"/>
      <c r="U941" s="89"/>
      <c r="V941" s="89"/>
    </row>
    <row r="942" ht="15.75" customHeight="1">
      <c r="F942" s="88"/>
      <c r="S942" s="89"/>
      <c r="T942" s="89"/>
      <c r="U942" s="89"/>
      <c r="V942" s="89"/>
    </row>
    <row r="943" ht="15.75" customHeight="1">
      <c r="F943" s="88"/>
      <c r="S943" s="89"/>
      <c r="T943" s="89"/>
      <c r="U943" s="89"/>
      <c r="V943" s="89"/>
    </row>
    <row r="944" ht="15.75" customHeight="1">
      <c r="F944" s="88"/>
      <c r="S944" s="89"/>
      <c r="T944" s="89"/>
      <c r="U944" s="89"/>
      <c r="V944" s="89"/>
    </row>
    <row r="945" ht="15.75" customHeight="1">
      <c r="F945" s="88"/>
      <c r="S945" s="89"/>
      <c r="T945" s="89"/>
      <c r="U945" s="89"/>
      <c r="V945" s="89"/>
    </row>
    <row r="946" ht="15.75" customHeight="1">
      <c r="F946" s="88"/>
      <c r="S946" s="89"/>
      <c r="T946" s="89"/>
      <c r="U946" s="89"/>
      <c r="V946" s="89"/>
    </row>
    <row r="947" ht="15.75" customHeight="1">
      <c r="F947" s="88"/>
      <c r="S947" s="89"/>
      <c r="T947" s="89"/>
      <c r="U947" s="89"/>
      <c r="V947" s="89"/>
    </row>
    <row r="948" ht="15.75" customHeight="1">
      <c r="F948" s="88"/>
      <c r="S948" s="89"/>
      <c r="T948" s="89"/>
      <c r="U948" s="89"/>
      <c r="V948" s="89"/>
    </row>
    <row r="949" ht="15.75" customHeight="1">
      <c r="F949" s="88"/>
      <c r="S949" s="89"/>
      <c r="T949" s="89"/>
      <c r="U949" s="89"/>
      <c r="V949" s="89"/>
    </row>
    <row r="950" ht="15.75" customHeight="1">
      <c r="F950" s="88"/>
      <c r="S950" s="89"/>
      <c r="T950" s="89"/>
      <c r="U950" s="89"/>
      <c r="V950" s="89"/>
    </row>
    <row r="951" ht="15.75" customHeight="1">
      <c r="F951" s="88"/>
      <c r="S951" s="89"/>
      <c r="T951" s="89"/>
      <c r="U951" s="89"/>
      <c r="V951" s="89"/>
    </row>
    <row r="952" ht="15.75" customHeight="1">
      <c r="F952" s="88"/>
      <c r="S952" s="89"/>
      <c r="T952" s="89"/>
      <c r="U952" s="89"/>
      <c r="V952" s="89"/>
    </row>
    <row r="953" ht="15.75" customHeight="1">
      <c r="F953" s="88"/>
      <c r="S953" s="89"/>
      <c r="T953" s="89"/>
      <c r="U953" s="89"/>
      <c r="V953" s="89"/>
    </row>
    <row r="954" ht="15.75" customHeight="1">
      <c r="F954" s="88"/>
      <c r="S954" s="89"/>
      <c r="T954" s="89"/>
      <c r="U954" s="89"/>
      <c r="V954" s="89"/>
    </row>
    <row r="955" ht="15.75" customHeight="1">
      <c r="F955" s="88"/>
      <c r="S955" s="89"/>
      <c r="T955" s="89"/>
      <c r="U955" s="89"/>
      <c r="V955" s="89"/>
    </row>
    <row r="956" ht="15.75" customHeight="1">
      <c r="F956" s="88"/>
      <c r="S956" s="89"/>
      <c r="T956" s="89"/>
      <c r="U956" s="89"/>
      <c r="V956" s="89"/>
    </row>
    <row r="957" ht="15.75" customHeight="1">
      <c r="F957" s="88"/>
      <c r="S957" s="89"/>
      <c r="T957" s="89"/>
      <c r="U957" s="89"/>
      <c r="V957" s="89"/>
    </row>
    <row r="958" ht="15.75" customHeight="1">
      <c r="F958" s="88"/>
      <c r="S958" s="89"/>
      <c r="T958" s="89"/>
      <c r="U958" s="89"/>
      <c r="V958" s="89"/>
    </row>
    <row r="959" ht="15.75" customHeight="1">
      <c r="F959" s="88"/>
      <c r="S959" s="89"/>
      <c r="T959" s="89"/>
      <c r="U959" s="89"/>
      <c r="V959" s="89"/>
    </row>
    <row r="960" ht="15.75" customHeight="1">
      <c r="F960" s="88"/>
      <c r="S960" s="89"/>
      <c r="T960" s="89"/>
      <c r="U960" s="89"/>
      <c r="V960" s="89"/>
    </row>
    <row r="961" ht="15.75" customHeight="1">
      <c r="F961" s="88"/>
      <c r="S961" s="89"/>
      <c r="T961" s="89"/>
      <c r="U961" s="89"/>
      <c r="V961" s="89"/>
    </row>
    <row r="962" ht="15.75" customHeight="1">
      <c r="F962" s="88"/>
      <c r="S962" s="89"/>
      <c r="T962" s="89"/>
      <c r="U962" s="89"/>
      <c r="V962" s="89"/>
    </row>
    <row r="963" ht="15.75" customHeight="1">
      <c r="F963" s="88"/>
      <c r="S963" s="89"/>
      <c r="T963" s="89"/>
      <c r="U963" s="89"/>
      <c r="V963" s="89"/>
    </row>
    <row r="964" ht="15.75" customHeight="1">
      <c r="F964" s="88"/>
      <c r="S964" s="89"/>
      <c r="T964" s="89"/>
      <c r="U964" s="89"/>
      <c r="V964" s="89"/>
    </row>
    <row r="965" ht="15.75" customHeight="1">
      <c r="F965" s="88"/>
      <c r="S965" s="89"/>
      <c r="T965" s="89"/>
      <c r="U965" s="89"/>
      <c r="V965" s="89"/>
    </row>
    <row r="966" ht="15.75" customHeight="1">
      <c r="F966" s="88"/>
      <c r="S966" s="89"/>
      <c r="T966" s="89"/>
      <c r="U966" s="89"/>
      <c r="V966" s="89"/>
    </row>
    <row r="967" ht="15.75" customHeight="1">
      <c r="F967" s="88"/>
      <c r="S967" s="89"/>
      <c r="T967" s="89"/>
      <c r="U967" s="89"/>
      <c r="V967" s="89"/>
    </row>
    <row r="968" ht="15.75" customHeight="1">
      <c r="F968" s="88"/>
      <c r="S968" s="89"/>
      <c r="T968" s="89"/>
      <c r="U968" s="89"/>
      <c r="V968" s="89"/>
    </row>
    <row r="969" ht="15.75" customHeight="1">
      <c r="F969" s="88"/>
      <c r="S969" s="89"/>
      <c r="T969" s="89"/>
      <c r="U969" s="89"/>
      <c r="V969" s="89"/>
    </row>
    <row r="970" ht="15.75" customHeight="1">
      <c r="F970" s="88"/>
      <c r="S970" s="89"/>
      <c r="T970" s="89"/>
      <c r="U970" s="89"/>
      <c r="V970" s="89"/>
    </row>
    <row r="971" ht="15.75" customHeight="1">
      <c r="F971" s="88"/>
      <c r="S971" s="89"/>
      <c r="T971" s="89"/>
      <c r="U971" s="89"/>
      <c r="V971" s="89"/>
    </row>
    <row r="972" ht="15.75" customHeight="1">
      <c r="F972" s="88"/>
      <c r="S972" s="89"/>
      <c r="T972" s="89"/>
      <c r="U972" s="89"/>
      <c r="V972" s="89"/>
    </row>
    <row r="973" ht="15.75" customHeight="1">
      <c r="F973" s="88"/>
      <c r="S973" s="89"/>
      <c r="T973" s="89"/>
      <c r="U973" s="89"/>
      <c r="V973" s="89"/>
    </row>
    <row r="974" ht="15.75" customHeight="1">
      <c r="F974" s="88"/>
      <c r="S974" s="89"/>
      <c r="T974" s="89"/>
      <c r="U974" s="89"/>
      <c r="V974" s="89"/>
    </row>
    <row r="975" ht="15.75" customHeight="1">
      <c r="F975" s="88"/>
      <c r="S975" s="89"/>
      <c r="T975" s="89"/>
      <c r="U975" s="89"/>
      <c r="V975" s="89"/>
    </row>
    <row r="976" ht="15.75" customHeight="1">
      <c r="F976" s="88"/>
      <c r="S976" s="89"/>
      <c r="T976" s="89"/>
      <c r="U976" s="89"/>
      <c r="V976" s="89"/>
    </row>
    <row r="977" ht="15.75" customHeight="1">
      <c r="F977" s="88"/>
      <c r="S977" s="89"/>
      <c r="T977" s="89"/>
      <c r="U977" s="89"/>
      <c r="V977" s="89"/>
    </row>
    <row r="978" ht="15.75" customHeight="1">
      <c r="F978" s="88"/>
      <c r="S978" s="89"/>
      <c r="T978" s="89"/>
      <c r="U978" s="89"/>
      <c r="V978" s="89"/>
    </row>
    <row r="979" ht="15.75" customHeight="1">
      <c r="F979" s="88"/>
      <c r="S979" s="89"/>
      <c r="T979" s="89"/>
      <c r="U979" s="89"/>
      <c r="V979" s="89"/>
    </row>
    <row r="980" ht="15.75" customHeight="1">
      <c r="F980" s="88"/>
      <c r="S980" s="89"/>
      <c r="T980" s="89"/>
      <c r="U980" s="89"/>
      <c r="V980" s="89"/>
    </row>
    <row r="981" ht="15.75" customHeight="1">
      <c r="F981" s="88"/>
      <c r="S981" s="89"/>
      <c r="T981" s="89"/>
      <c r="U981" s="89"/>
      <c r="V981" s="89"/>
    </row>
    <row r="982" ht="15.75" customHeight="1">
      <c r="F982" s="88"/>
      <c r="S982" s="89"/>
      <c r="T982" s="89"/>
      <c r="U982" s="89"/>
      <c r="V982" s="89"/>
    </row>
    <row r="983" ht="15.75" customHeight="1">
      <c r="F983" s="88"/>
      <c r="S983" s="89"/>
      <c r="T983" s="89"/>
      <c r="U983" s="89"/>
      <c r="V983" s="89"/>
    </row>
    <row r="984" ht="15.75" customHeight="1">
      <c r="F984" s="88"/>
      <c r="S984" s="89"/>
      <c r="T984" s="89"/>
      <c r="U984" s="89"/>
      <c r="V984" s="89"/>
    </row>
    <row r="985" ht="15.75" customHeight="1">
      <c r="F985" s="88"/>
      <c r="S985" s="89"/>
      <c r="T985" s="89"/>
      <c r="U985" s="89"/>
      <c r="V985" s="89"/>
    </row>
    <row r="986" ht="15.75" customHeight="1">
      <c r="F986" s="88"/>
      <c r="S986" s="89"/>
      <c r="T986" s="89"/>
      <c r="U986" s="89"/>
      <c r="V986" s="89"/>
    </row>
    <row r="987" ht="15.75" customHeight="1">
      <c r="F987" s="88"/>
      <c r="S987" s="89"/>
      <c r="T987" s="89"/>
      <c r="U987" s="89"/>
      <c r="V987" s="89"/>
    </row>
    <row r="988" ht="15.75" customHeight="1">
      <c r="F988" s="88"/>
      <c r="S988" s="89"/>
      <c r="T988" s="89"/>
      <c r="U988" s="89"/>
      <c r="V988" s="89"/>
    </row>
    <row r="989" ht="15.75" customHeight="1">
      <c r="F989" s="88"/>
      <c r="S989" s="89"/>
      <c r="T989" s="89"/>
      <c r="U989" s="89"/>
      <c r="V989" s="89"/>
    </row>
    <row r="990" ht="15.75" customHeight="1">
      <c r="F990" s="88"/>
      <c r="S990" s="89"/>
      <c r="T990" s="89"/>
      <c r="U990" s="89"/>
      <c r="V990" s="89"/>
    </row>
    <row r="991" ht="15.75" customHeight="1">
      <c r="F991" s="88"/>
      <c r="S991" s="89"/>
      <c r="T991" s="89"/>
      <c r="U991" s="89"/>
      <c r="V991" s="89"/>
    </row>
    <row r="992" ht="15.75" customHeight="1">
      <c r="F992" s="88"/>
      <c r="S992" s="89"/>
      <c r="T992" s="89"/>
      <c r="U992" s="89"/>
      <c r="V992" s="89"/>
    </row>
    <row r="993" ht="15.75" customHeight="1">
      <c r="F993" s="88"/>
      <c r="S993" s="89"/>
      <c r="T993" s="89"/>
      <c r="U993" s="89"/>
      <c r="V993" s="89"/>
    </row>
    <row r="994" ht="15.75" customHeight="1">
      <c r="F994" s="88"/>
      <c r="S994" s="89"/>
      <c r="T994" s="89"/>
      <c r="U994" s="89"/>
      <c r="V994" s="89"/>
    </row>
    <row r="995" ht="15.75" customHeight="1">
      <c r="F995" s="88"/>
      <c r="S995" s="89"/>
      <c r="T995" s="89"/>
      <c r="U995" s="89"/>
      <c r="V995" s="89"/>
    </row>
    <row r="996" ht="15.75" customHeight="1">
      <c r="F996" s="88"/>
      <c r="S996" s="89"/>
      <c r="T996" s="89"/>
      <c r="U996" s="89"/>
      <c r="V996" s="89"/>
    </row>
    <row r="997" ht="15.75" customHeight="1">
      <c r="F997" s="88"/>
      <c r="S997" s="89"/>
      <c r="T997" s="89"/>
      <c r="U997" s="89"/>
      <c r="V997" s="89"/>
    </row>
    <row r="998" ht="15.75" customHeight="1">
      <c r="F998" s="88"/>
      <c r="S998" s="89"/>
      <c r="T998" s="89"/>
      <c r="U998" s="89"/>
      <c r="V998" s="89"/>
    </row>
    <row r="999" ht="15.75" customHeight="1">
      <c r="F999" s="88"/>
      <c r="S999" s="89"/>
      <c r="T999" s="89"/>
      <c r="U999" s="89"/>
      <c r="V999" s="89"/>
    </row>
    <row r="1000" ht="15.75" customHeight="1">
      <c r="F1000" s="88"/>
      <c r="S1000" s="89"/>
      <c r="T1000" s="89"/>
      <c r="U1000" s="89"/>
      <c r="V1000" s="89"/>
    </row>
  </sheetData>
  <autoFilter ref="$A$3:$AA$110"/>
  <mergeCells count="5">
    <mergeCell ref="D3:H3"/>
    <mergeCell ref="J3:M3"/>
    <mergeCell ref="N3:R3"/>
    <mergeCell ref="S3:V3"/>
    <mergeCell ref="Y3:Z3"/>
  </mergeCells>
  <printOptions/>
  <pageMargins bottom="0.75" footer="0.0" header="0.0" left="0.7" right="0.7" top="0.75"/>
  <pageSetup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 outlineLevelCol="1"/>
  <cols>
    <col customWidth="1" min="1" max="1" width="5.86"/>
    <col customWidth="1" min="2" max="2" width="31.14"/>
    <col customWidth="1" min="3" max="3" width="27.43"/>
    <col customWidth="1" min="4" max="4" width="11.57"/>
    <col customWidth="1" min="5" max="9" width="8.14"/>
    <col customWidth="1" min="10" max="10" width="12.71"/>
    <col customWidth="1" min="11" max="11" width="11.14"/>
    <col customWidth="1" min="12" max="13" width="13.86"/>
    <col customWidth="1" min="14" max="14" width="8.86"/>
    <col customWidth="1" min="15" max="15" width="9.43"/>
    <col customWidth="1" min="16" max="18" width="8.86"/>
    <col customWidth="1" min="19" max="19" width="13.86"/>
    <col customWidth="1" min="20" max="20" width="11.43"/>
    <col customWidth="1" min="21" max="21" width="12.71"/>
    <col customWidth="1" min="22" max="22" width="11.14"/>
    <col customWidth="1" min="23" max="23" width="14.57"/>
    <col customWidth="1" min="24" max="24" width="7.14"/>
    <col customWidth="1" min="25" max="25" width="17.0"/>
    <col customWidth="1" min="26" max="27" width="8.71"/>
    <col customWidth="1" min="28" max="28" width="5.86"/>
    <col customWidth="1" min="29" max="29" width="31.14"/>
    <col customWidth="1" min="30" max="30" width="27.43"/>
    <col customWidth="1" min="31" max="31" width="11.57"/>
    <col customWidth="1" min="32" max="32" width="8.14"/>
    <col customWidth="1" hidden="1" min="33" max="33" width="9.86"/>
    <col customWidth="1" min="34" max="34" width="8.86"/>
    <col customWidth="1" min="35" max="35" width="9.43"/>
    <col customWidth="1" min="36" max="37" width="8.86"/>
    <col customWidth="1" hidden="1" min="38" max="38" width="13.86"/>
    <col customWidth="1" hidden="1" min="39" max="39" width="11.43"/>
    <col customWidth="1" hidden="1" min="40" max="40" width="9.86"/>
    <col customWidth="1" hidden="1" min="41" max="41" width="14.57"/>
    <col customWidth="1" hidden="1" min="42" max="42" width="7.14"/>
    <col customWidth="1" hidden="1" min="43" max="43" width="17.0"/>
  </cols>
  <sheetData>
    <row r="1" ht="14.25" customHeight="1">
      <c r="A1" s="24" t="s">
        <v>58</v>
      </c>
      <c r="D1" s="124"/>
      <c r="L1" s="89"/>
      <c r="M1" s="89"/>
      <c r="N1" s="124"/>
      <c r="O1" s="124"/>
      <c r="P1" s="124"/>
      <c r="Q1" s="124"/>
      <c r="R1" s="124"/>
      <c r="W1" s="125" t="s">
        <v>466</v>
      </c>
      <c r="AB1" s="24" t="s">
        <v>69</v>
      </c>
      <c r="AE1" s="124"/>
      <c r="AH1" s="124"/>
      <c r="AI1" s="124"/>
      <c r="AJ1" s="124"/>
      <c r="AK1" s="124"/>
      <c r="AO1" s="125" t="s">
        <v>466</v>
      </c>
    </row>
    <row r="2" ht="14.25" customHeight="1">
      <c r="A2" s="24" t="s">
        <v>469</v>
      </c>
      <c r="D2" s="125"/>
      <c r="E2" s="125"/>
      <c r="F2" s="125"/>
      <c r="G2" s="125"/>
      <c r="H2" s="125"/>
      <c r="I2" s="125"/>
      <c r="L2" s="90">
        <v>0.05</v>
      </c>
      <c r="M2" s="89"/>
      <c r="N2" s="125">
        <f t="shared" ref="N2:P2" si="1">SUBTOTAL(9,N6:N14)</f>
        <v>0</v>
      </c>
      <c r="O2" s="125">
        <f t="shared" si="1"/>
        <v>1</v>
      </c>
      <c r="P2" s="126">
        <f t="shared" si="1"/>
        <v>13</v>
      </c>
      <c r="Q2" s="126"/>
      <c r="R2" s="126"/>
      <c r="S2" s="126">
        <f>SUM(N2:P2)</f>
        <v>14</v>
      </c>
      <c r="T2" s="126"/>
      <c r="U2" s="126" t="s">
        <v>473</v>
      </c>
      <c r="V2" s="126"/>
      <c r="W2" s="126">
        <f>78-65</f>
        <v>13</v>
      </c>
      <c r="AB2" s="24" t="s">
        <v>474</v>
      </c>
      <c r="AE2" s="125"/>
      <c r="AF2" s="125"/>
      <c r="AH2" s="125">
        <f t="shared" ref="AH2:AJ2" si="2">SUBTOTAL(9,AH6:AH38)</f>
        <v>18</v>
      </c>
      <c r="AI2" s="125">
        <f t="shared" si="2"/>
        <v>9</v>
      </c>
      <c r="AJ2" s="126">
        <f t="shared" si="2"/>
        <v>56.6</v>
      </c>
      <c r="AK2" s="126"/>
      <c r="AL2" s="126">
        <f>SUM(AH2:AJ2)</f>
        <v>83.6</v>
      </c>
      <c r="AM2" s="126"/>
      <c r="AN2" s="126"/>
      <c r="AO2" s="126">
        <f>78-65</f>
        <v>13</v>
      </c>
    </row>
    <row r="3" ht="14.25" customHeight="1">
      <c r="A3" s="28" t="s">
        <v>84</v>
      </c>
      <c r="B3" s="28" t="s">
        <v>105</v>
      </c>
      <c r="C3" s="28" t="s">
        <v>109</v>
      </c>
      <c r="D3" s="30" t="s">
        <v>478</v>
      </c>
      <c r="E3" s="31"/>
      <c r="F3" s="31"/>
      <c r="G3" s="31"/>
      <c r="H3" s="35"/>
      <c r="I3" s="29" t="s">
        <v>116</v>
      </c>
      <c r="J3" s="39" t="s">
        <v>140</v>
      </c>
      <c r="K3" s="31"/>
      <c r="L3" s="31"/>
      <c r="M3" s="35"/>
      <c r="N3" s="39" t="s">
        <v>166</v>
      </c>
      <c r="O3" s="31"/>
      <c r="P3" s="31"/>
      <c r="Q3" s="31"/>
      <c r="R3" s="35"/>
      <c r="S3" s="128" t="s">
        <v>140</v>
      </c>
      <c r="T3" s="129"/>
      <c r="U3" s="129"/>
      <c r="V3" s="130"/>
      <c r="W3" s="29" t="s">
        <v>171</v>
      </c>
      <c r="X3" s="29" t="s">
        <v>172</v>
      </c>
      <c r="Y3" s="125" t="s">
        <v>176</v>
      </c>
      <c r="AB3" s="28" t="s">
        <v>84</v>
      </c>
      <c r="AC3" s="28" t="s">
        <v>105</v>
      </c>
      <c r="AD3" s="28" t="s">
        <v>109</v>
      </c>
      <c r="AE3" s="29" t="s">
        <v>478</v>
      </c>
      <c r="AF3" s="29" t="s">
        <v>116</v>
      </c>
      <c r="AG3" s="28" t="s">
        <v>140</v>
      </c>
      <c r="AH3" s="39" t="s">
        <v>166</v>
      </c>
      <c r="AI3" s="31"/>
      <c r="AJ3" s="31"/>
      <c r="AK3" s="35"/>
      <c r="AL3" s="39" t="s">
        <v>140</v>
      </c>
      <c r="AM3" s="31"/>
      <c r="AN3" s="35"/>
      <c r="AO3" s="29" t="s">
        <v>171</v>
      </c>
      <c r="AP3" s="29" t="s">
        <v>172</v>
      </c>
      <c r="AQ3" s="125" t="s">
        <v>176</v>
      </c>
    </row>
    <row r="4" ht="14.25" customHeight="1">
      <c r="A4" s="42"/>
      <c r="B4" s="42"/>
      <c r="C4" s="42"/>
      <c r="D4" s="43" t="s">
        <v>199</v>
      </c>
      <c r="E4" s="43" t="s">
        <v>200</v>
      </c>
      <c r="F4" s="43" t="s">
        <v>441</v>
      </c>
      <c r="G4" s="43" t="s">
        <v>442</v>
      </c>
      <c r="H4" s="43" t="s">
        <v>207</v>
      </c>
      <c r="I4" s="42"/>
      <c r="J4" s="43" t="s">
        <v>199</v>
      </c>
      <c r="K4" s="43" t="s">
        <v>200</v>
      </c>
      <c r="L4" s="132" t="s">
        <v>443</v>
      </c>
      <c r="M4" s="132" t="s">
        <v>444</v>
      </c>
      <c r="N4" s="43" t="s">
        <v>199</v>
      </c>
      <c r="O4" s="43" t="s">
        <v>200</v>
      </c>
      <c r="P4" s="43" t="s">
        <v>441</v>
      </c>
      <c r="Q4" s="43" t="s">
        <v>442</v>
      </c>
      <c r="R4" s="43" t="s">
        <v>207</v>
      </c>
      <c r="S4" s="43" t="s">
        <v>199</v>
      </c>
      <c r="T4" s="43" t="s">
        <v>200</v>
      </c>
      <c r="U4" s="132" t="s">
        <v>443</v>
      </c>
      <c r="V4" s="132" t="s">
        <v>444</v>
      </c>
      <c r="W4" s="42"/>
      <c r="X4" s="42"/>
      <c r="AB4" s="42"/>
      <c r="AC4" s="42"/>
      <c r="AD4" s="42"/>
      <c r="AE4" s="42"/>
      <c r="AF4" s="42"/>
      <c r="AG4" s="42"/>
      <c r="AH4" s="43" t="s">
        <v>199</v>
      </c>
      <c r="AI4" s="43" t="s">
        <v>200</v>
      </c>
      <c r="AJ4" s="43" t="s">
        <v>201</v>
      </c>
      <c r="AK4" s="43" t="s">
        <v>207</v>
      </c>
      <c r="AL4" s="43" t="s">
        <v>199</v>
      </c>
      <c r="AM4" s="43" t="s">
        <v>200</v>
      </c>
      <c r="AN4" s="43" t="s">
        <v>201</v>
      </c>
      <c r="AO4" s="42"/>
      <c r="AP4" s="42"/>
    </row>
    <row r="5" ht="14.25" customHeight="1">
      <c r="A5" s="134" t="s">
        <v>218</v>
      </c>
      <c r="B5" s="136"/>
      <c r="C5" s="136"/>
      <c r="D5" s="139">
        <f t="shared" ref="D5:H5" si="3">SUBTOTAL(9,D6:D14)</f>
        <v>0</v>
      </c>
      <c r="E5" s="139">
        <f t="shared" si="3"/>
        <v>1</v>
      </c>
      <c r="F5" s="139">
        <f t="shared" si="3"/>
        <v>13</v>
      </c>
      <c r="G5" s="139">
        <f t="shared" si="3"/>
        <v>6</v>
      </c>
      <c r="H5" s="139">
        <f t="shared" si="3"/>
        <v>14</v>
      </c>
      <c r="I5" s="139"/>
      <c r="J5" s="140"/>
      <c r="K5" s="140"/>
      <c r="L5" s="141">
        <f t="shared" ref="L5:R5" si="4">SUBTOTAL(9,L6:L14)</f>
        <v>37780851.15</v>
      </c>
      <c r="M5" s="141">
        <f t="shared" si="4"/>
        <v>32881356</v>
      </c>
      <c r="N5" s="139">
        <f t="shared" si="4"/>
        <v>0</v>
      </c>
      <c r="O5" s="139">
        <f t="shared" si="4"/>
        <v>1</v>
      </c>
      <c r="P5" s="139">
        <f t="shared" si="4"/>
        <v>13</v>
      </c>
      <c r="Q5" s="139">
        <f t="shared" si="4"/>
        <v>0</v>
      </c>
      <c r="R5" s="139">
        <f t="shared" si="4"/>
        <v>14</v>
      </c>
      <c r="S5" s="140">
        <v>8.4223569E7</v>
      </c>
      <c r="T5" s="140">
        <v>6.0488716E7</v>
      </c>
      <c r="U5" s="140">
        <f>SUBTOTAL(9,U6:U14)</f>
        <v>35981763</v>
      </c>
      <c r="V5" s="140"/>
      <c r="W5" s="139"/>
      <c r="X5" s="139"/>
      <c r="AB5" s="49" t="s">
        <v>218</v>
      </c>
      <c r="AC5" s="142"/>
      <c r="AD5" s="142"/>
      <c r="AE5" s="51">
        <f>SUBTOTAL(9,AE6:AE38)</f>
        <v>84</v>
      </c>
      <c r="AF5" s="51"/>
      <c r="AG5" s="142"/>
      <c r="AH5" s="51">
        <f t="shared" ref="AH5:AJ5" si="5">SUBTOTAL(9,AH6:AH38)</f>
        <v>18</v>
      </c>
      <c r="AI5" s="51">
        <f t="shared" si="5"/>
        <v>9</v>
      </c>
      <c r="AJ5" s="51">
        <f t="shared" si="5"/>
        <v>56.6</v>
      </c>
      <c r="AK5" s="51"/>
      <c r="AL5" s="53">
        <v>8.4223569E7</v>
      </c>
      <c r="AM5" s="53">
        <v>6.0488716E7</v>
      </c>
      <c r="AN5" s="53">
        <f>SUBTOTAL(9,AN6:AN38)</f>
        <v>0</v>
      </c>
      <c r="AO5" s="51"/>
      <c r="AP5" s="51"/>
    </row>
    <row r="6" ht="13.5" customHeight="1">
      <c r="A6" s="65">
        <v>1.0</v>
      </c>
      <c r="B6" s="84" t="s">
        <v>461</v>
      </c>
      <c r="C6" s="66" t="s">
        <v>461</v>
      </c>
      <c r="D6" s="114"/>
      <c r="E6" s="114"/>
      <c r="F6" s="114">
        <v>1.0</v>
      </c>
      <c r="G6" s="114"/>
      <c r="H6" s="115">
        <f t="shared" ref="H6:H14" si="6">SUM(D6:F6)</f>
        <v>1</v>
      </c>
      <c r="I6" s="114"/>
      <c r="J6" s="115"/>
      <c r="K6" s="115"/>
      <c r="L6" s="117">
        <f t="shared" ref="L6:L9" si="7">U6*(1+$L$2)</f>
        <v>2100000</v>
      </c>
      <c r="M6" s="117"/>
      <c r="N6" s="115"/>
      <c r="O6" s="115"/>
      <c r="P6" s="114">
        <v>1.0</v>
      </c>
      <c r="Q6" s="115"/>
      <c r="R6" s="115">
        <f t="shared" ref="R6:R14" si="8">SUM(N6:P6)</f>
        <v>1</v>
      </c>
      <c r="S6" s="67"/>
      <c r="T6" s="117"/>
      <c r="U6" s="117">
        <f>80000*25*P6</f>
        <v>2000000</v>
      </c>
      <c r="V6" s="67"/>
      <c r="W6" s="60"/>
      <c r="X6" s="60"/>
      <c r="AB6" s="58"/>
      <c r="AC6" s="57" t="s">
        <v>496</v>
      </c>
      <c r="AD6" s="58"/>
      <c r="AE6" s="59">
        <v>1.0</v>
      </c>
      <c r="AF6" s="59">
        <v>1.0</v>
      </c>
      <c r="AG6" s="58"/>
      <c r="AH6" s="58">
        <v>1.0</v>
      </c>
      <c r="AI6" s="58"/>
      <c r="AJ6" s="58"/>
      <c r="AK6" s="58">
        <f t="shared" ref="AK6:AK7" si="9">SUM(AH6:AJ6)</f>
        <v>1</v>
      </c>
      <c r="AL6" s="58"/>
      <c r="AM6" s="58"/>
      <c r="AN6" s="58"/>
      <c r="AO6" s="59"/>
      <c r="AP6" s="59"/>
    </row>
    <row r="7" ht="14.25" customHeight="1">
      <c r="A7" s="65"/>
      <c r="B7" s="22"/>
      <c r="C7" s="66" t="s">
        <v>434</v>
      </c>
      <c r="D7" s="114"/>
      <c r="E7" s="114"/>
      <c r="F7" s="114">
        <v>1.0</v>
      </c>
      <c r="G7" s="114"/>
      <c r="H7" s="115">
        <f t="shared" si="6"/>
        <v>1</v>
      </c>
      <c r="I7" s="114"/>
      <c r="J7" s="115"/>
      <c r="K7" s="115"/>
      <c r="L7" s="117">
        <f t="shared" si="7"/>
        <v>5480226.15</v>
      </c>
      <c r="M7" s="117"/>
      <c r="N7" s="115"/>
      <c r="O7" s="115"/>
      <c r="P7" s="114">
        <v>1.0</v>
      </c>
      <c r="Q7" s="115"/>
      <c r="R7" s="115">
        <f t="shared" si="8"/>
        <v>1</v>
      </c>
      <c r="S7" s="67"/>
      <c r="T7" s="117"/>
      <c r="U7" s="117">
        <f>5219263*P7</f>
        <v>5219263</v>
      </c>
      <c r="V7" s="67"/>
      <c r="W7" s="60"/>
      <c r="X7" s="60"/>
      <c r="AB7" s="67"/>
      <c r="AC7" s="66" t="s">
        <v>498</v>
      </c>
      <c r="AD7" s="67"/>
      <c r="AE7" s="60">
        <v>1.0</v>
      </c>
      <c r="AF7" s="60">
        <v>1.0</v>
      </c>
      <c r="AG7" s="67"/>
      <c r="AH7" s="67"/>
      <c r="AI7" s="67">
        <v>1.0</v>
      </c>
      <c r="AJ7" s="67"/>
      <c r="AK7" s="58">
        <f t="shared" si="9"/>
        <v>1</v>
      </c>
      <c r="AL7" s="67"/>
      <c r="AM7" s="67"/>
      <c r="AN7" s="67"/>
      <c r="AO7" s="60"/>
      <c r="AP7" s="60"/>
    </row>
    <row r="8" ht="14.25" customHeight="1">
      <c r="A8" s="65"/>
      <c r="B8" s="118" t="s">
        <v>375</v>
      </c>
      <c r="C8" s="66" t="s">
        <v>500</v>
      </c>
      <c r="D8" s="114"/>
      <c r="E8" s="114"/>
      <c r="F8" s="114">
        <v>1.0</v>
      </c>
      <c r="G8" s="114"/>
      <c r="H8" s="115">
        <f t="shared" si="6"/>
        <v>1</v>
      </c>
      <c r="I8" s="114"/>
      <c r="J8" s="115"/>
      <c r="K8" s="115"/>
      <c r="L8" s="117">
        <f t="shared" si="7"/>
        <v>3937500</v>
      </c>
      <c r="M8" s="117"/>
      <c r="N8" s="115"/>
      <c r="O8" s="115"/>
      <c r="P8" s="114">
        <v>1.0</v>
      </c>
      <c r="Q8" s="115"/>
      <c r="R8" s="115">
        <f t="shared" si="8"/>
        <v>1</v>
      </c>
      <c r="S8" s="67"/>
      <c r="T8" s="117"/>
      <c r="U8" s="117">
        <f>150000*25*P8</f>
        <v>3750000</v>
      </c>
      <c r="V8" s="67"/>
      <c r="W8" s="60"/>
      <c r="X8" s="60"/>
      <c r="AB8" s="67"/>
      <c r="AC8" s="66"/>
      <c r="AD8" s="67"/>
      <c r="AE8" s="60"/>
      <c r="AF8" s="60"/>
      <c r="AG8" s="67"/>
      <c r="AH8" s="67"/>
      <c r="AI8" s="67"/>
      <c r="AJ8" s="67"/>
      <c r="AK8" s="58"/>
      <c r="AL8" s="67"/>
      <c r="AM8" s="67"/>
      <c r="AN8" s="67"/>
      <c r="AO8" s="60"/>
      <c r="AP8" s="60"/>
    </row>
    <row r="9" ht="14.25" customHeight="1">
      <c r="A9" s="65">
        <v>2.0</v>
      </c>
      <c r="B9" s="84" t="s">
        <v>504</v>
      </c>
      <c r="C9" s="66" t="s">
        <v>506</v>
      </c>
      <c r="D9" s="114"/>
      <c r="E9" s="114"/>
      <c r="F9" s="114">
        <v>2.0</v>
      </c>
      <c r="G9" s="114"/>
      <c r="H9" s="115">
        <f t="shared" si="6"/>
        <v>2</v>
      </c>
      <c r="I9" s="114"/>
      <c r="J9" s="115"/>
      <c r="K9" s="115"/>
      <c r="L9" s="117">
        <f t="shared" si="7"/>
        <v>7087500</v>
      </c>
      <c r="M9" s="117"/>
      <c r="N9" s="115"/>
      <c r="O9" s="115"/>
      <c r="P9" s="114">
        <v>2.0</v>
      </c>
      <c r="Q9" s="115"/>
      <c r="R9" s="115">
        <f t="shared" si="8"/>
        <v>2</v>
      </c>
      <c r="S9" s="67"/>
      <c r="T9" s="117"/>
      <c r="U9" s="117">
        <f>135000*25*P9</f>
        <v>6750000</v>
      </c>
      <c r="V9" s="67"/>
      <c r="W9" s="60"/>
      <c r="X9" s="60"/>
      <c r="AB9" s="67"/>
      <c r="AC9" s="66" t="s">
        <v>509</v>
      </c>
      <c r="AD9" s="67"/>
      <c r="AE9" s="60">
        <v>1.0</v>
      </c>
      <c r="AF9" s="60">
        <v>1.0</v>
      </c>
      <c r="AG9" s="67"/>
      <c r="AH9" s="67"/>
      <c r="AI9" s="67">
        <v>1.0</v>
      </c>
      <c r="AJ9" s="67"/>
      <c r="AK9" s="58">
        <f>SUM(AH9:AJ9)</f>
        <v>1</v>
      </c>
      <c r="AL9" s="67"/>
      <c r="AM9" s="67"/>
      <c r="AN9" s="67"/>
      <c r="AO9" s="60"/>
      <c r="AP9" s="60"/>
      <c r="AQ9" s="127" t="s">
        <v>512</v>
      </c>
    </row>
    <row r="10" ht="14.25" customHeight="1">
      <c r="A10" s="67"/>
      <c r="B10" s="15"/>
      <c r="C10" s="66" t="s">
        <v>513</v>
      </c>
      <c r="D10" s="114"/>
      <c r="E10" s="114">
        <v>1.0</v>
      </c>
      <c r="F10" s="114">
        <v>1.0</v>
      </c>
      <c r="G10" s="114"/>
      <c r="H10" s="115">
        <f t="shared" si="6"/>
        <v>2</v>
      </c>
      <c r="I10" s="114"/>
      <c r="J10" s="117"/>
      <c r="K10" s="117">
        <f t="shared" ref="K10:L10" si="10">T10*(1+$L$2)</f>
        <v>5776803.9</v>
      </c>
      <c r="L10" s="117">
        <f t="shared" si="10"/>
        <v>3688125</v>
      </c>
      <c r="M10" s="117"/>
      <c r="N10" s="115"/>
      <c r="O10" s="115">
        <v>1.0</v>
      </c>
      <c r="P10" s="114">
        <v>1.0</v>
      </c>
      <c r="Q10" s="115"/>
      <c r="R10" s="115">
        <f t="shared" si="8"/>
        <v>2</v>
      </c>
      <c r="S10" s="67"/>
      <c r="T10" s="117">
        <f>5501718*O10</f>
        <v>5501718</v>
      </c>
      <c r="U10" s="117">
        <f>140500*25*P10</f>
        <v>3512500</v>
      </c>
      <c r="V10" s="67"/>
      <c r="W10" s="60"/>
      <c r="X10" s="60"/>
      <c r="AB10" s="65"/>
      <c r="AC10" s="102"/>
      <c r="AD10" s="66"/>
      <c r="AE10" s="60"/>
      <c r="AF10" s="60"/>
      <c r="AG10" s="67"/>
      <c r="AH10" s="67"/>
      <c r="AI10" s="67"/>
      <c r="AJ10" s="67"/>
      <c r="AK10" s="58"/>
      <c r="AL10" s="67"/>
      <c r="AM10" s="67"/>
      <c r="AN10" s="67"/>
      <c r="AO10" s="60"/>
      <c r="AP10" s="60"/>
    </row>
    <row r="11" ht="14.25" customHeight="1">
      <c r="A11" s="67"/>
      <c r="B11" s="15"/>
      <c r="C11" s="66" t="s">
        <v>517</v>
      </c>
      <c r="D11" s="114"/>
      <c r="E11" s="114"/>
      <c r="F11" s="114">
        <v>1.0</v>
      </c>
      <c r="G11" s="114">
        <v>1.0</v>
      </c>
      <c r="H11" s="115">
        <f t="shared" si="6"/>
        <v>1</v>
      </c>
      <c r="I11" s="114"/>
      <c r="J11" s="115"/>
      <c r="K11" s="115"/>
      <c r="L11" s="117">
        <f t="shared" ref="L11:L14" si="11">U11*(1+$L$2)</f>
        <v>2231250</v>
      </c>
      <c r="M11" s="117">
        <f t="shared" ref="M11:M13" si="12">5480226*G11</f>
        <v>5480226</v>
      </c>
      <c r="N11" s="115"/>
      <c r="O11" s="115"/>
      <c r="P11" s="114">
        <v>1.0</v>
      </c>
      <c r="Q11" s="115"/>
      <c r="R11" s="115">
        <f t="shared" si="8"/>
        <v>1</v>
      </c>
      <c r="S11" s="67"/>
      <c r="T11" s="117"/>
      <c r="U11" s="117">
        <f>85000*25*P11</f>
        <v>2125000</v>
      </c>
      <c r="V11" s="67">
        <f t="shared" ref="V11:V12" si="13">65000*25*Q11</f>
        <v>0</v>
      </c>
      <c r="W11" s="60"/>
      <c r="X11" s="60"/>
      <c r="AB11" s="65">
        <v>1.0</v>
      </c>
      <c r="AC11" s="84" t="s">
        <v>314</v>
      </c>
      <c r="AD11" s="66" t="s">
        <v>316</v>
      </c>
      <c r="AE11" s="60">
        <v>1.0</v>
      </c>
      <c r="AF11" s="60">
        <v>1.0</v>
      </c>
      <c r="AG11" s="67"/>
      <c r="AH11" s="67"/>
      <c r="AI11" s="67">
        <v>1.0</v>
      </c>
      <c r="AJ11" s="67"/>
      <c r="AK11" s="58">
        <f t="shared" ref="AK11:AK37" si="14">SUM(AH11:AJ11)</f>
        <v>1</v>
      </c>
      <c r="AL11" s="67"/>
      <c r="AM11" s="67"/>
      <c r="AN11" s="67"/>
      <c r="AO11" s="60"/>
      <c r="AP11" s="60"/>
    </row>
    <row r="12" ht="14.25" customHeight="1">
      <c r="A12" s="67"/>
      <c r="B12" s="15"/>
      <c r="C12" s="66" t="s">
        <v>523</v>
      </c>
      <c r="D12" s="114"/>
      <c r="E12" s="114"/>
      <c r="F12" s="114">
        <v>2.0</v>
      </c>
      <c r="G12" s="114">
        <v>2.0</v>
      </c>
      <c r="H12" s="115">
        <f t="shared" si="6"/>
        <v>2</v>
      </c>
      <c r="I12" s="114"/>
      <c r="J12" s="115"/>
      <c r="K12" s="115"/>
      <c r="L12" s="117">
        <f t="shared" si="11"/>
        <v>4200000</v>
      </c>
      <c r="M12" s="117">
        <f t="shared" si="12"/>
        <v>10960452</v>
      </c>
      <c r="N12" s="115"/>
      <c r="O12" s="115"/>
      <c r="P12" s="114">
        <v>2.0</v>
      </c>
      <c r="Q12" s="115"/>
      <c r="R12" s="115">
        <f t="shared" si="8"/>
        <v>2</v>
      </c>
      <c r="S12" s="67"/>
      <c r="T12" s="117"/>
      <c r="U12" s="117">
        <f>80000*25*P12</f>
        <v>4000000</v>
      </c>
      <c r="V12" s="67">
        <f t="shared" si="13"/>
        <v>0</v>
      </c>
      <c r="W12" s="60"/>
      <c r="X12" s="60"/>
      <c r="AB12" s="65"/>
      <c r="AC12" s="15"/>
      <c r="AD12" s="66" t="s">
        <v>331</v>
      </c>
      <c r="AE12" s="60">
        <v>2.0</v>
      </c>
      <c r="AF12" s="60">
        <v>1.0</v>
      </c>
      <c r="AG12" s="67"/>
      <c r="AH12" s="67"/>
      <c r="AI12" s="67">
        <v>2.0</v>
      </c>
      <c r="AJ12" s="67"/>
      <c r="AK12" s="58">
        <f t="shared" si="14"/>
        <v>2</v>
      </c>
      <c r="AL12" s="67"/>
      <c r="AM12" s="67"/>
      <c r="AN12" s="67"/>
      <c r="AO12" s="60"/>
      <c r="AP12" s="60"/>
    </row>
    <row r="13" ht="14.25" customHeight="1">
      <c r="A13" s="67"/>
      <c r="B13" s="15"/>
      <c r="C13" s="66" t="s">
        <v>528</v>
      </c>
      <c r="D13" s="114"/>
      <c r="E13" s="114"/>
      <c r="F13" s="114">
        <v>3.0</v>
      </c>
      <c r="G13" s="114">
        <v>3.0</v>
      </c>
      <c r="H13" s="115">
        <f t="shared" si="6"/>
        <v>3</v>
      </c>
      <c r="I13" s="114"/>
      <c r="J13" s="115"/>
      <c r="K13" s="115"/>
      <c r="L13" s="117">
        <f t="shared" si="11"/>
        <v>5118750</v>
      </c>
      <c r="M13" s="117">
        <f t="shared" si="12"/>
        <v>16440678</v>
      </c>
      <c r="N13" s="115"/>
      <c r="O13" s="115"/>
      <c r="P13" s="114">
        <v>3.0</v>
      </c>
      <c r="Q13" s="115"/>
      <c r="R13" s="115">
        <f t="shared" si="8"/>
        <v>3</v>
      </c>
      <c r="S13" s="67"/>
      <c r="T13" s="117"/>
      <c r="U13" s="117">
        <f t="shared" ref="U13:V13" si="15">65000*25*P13</f>
        <v>4875000</v>
      </c>
      <c r="V13" s="67">
        <f t="shared" si="15"/>
        <v>0</v>
      </c>
      <c r="W13" s="60"/>
      <c r="X13" s="60"/>
      <c r="AB13" s="65"/>
      <c r="AC13" s="22"/>
      <c r="AD13" s="66" t="s">
        <v>531</v>
      </c>
      <c r="AE13" s="60">
        <v>1.0</v>
      </c>
      <c r="AF13" s="60">
        <v>1.0</v>
      </c>
      <c r="AG13" s="67"/>
      <c r="AH13" s="67"/>
      <c r="AI13" s="67"/>
      <c r="AJ13" s="67">
        <v>1.0</v>
      </c>
      <c r="AK13" s="58">
        <f t="shared" si="14"/>
        <v>1</v>
      </c>
      <c r="AL13" s="67"/>
      <c r="AM13" s="67"/>
      <c r="AN13" s="67"/>
      <c r="AO13" s="60"/>
      <c r="AP13" s="60"/>
    </row>
    <row r="14" ht="14.25" customHeight="1">
      <c r="A14" s="65"/>
      <c r="B14" s="22"/>
      <c r="C14" s="66" t="s">
        <v>532</v>
      </c>
      <c r="D14" s="114"/>
      <c r="E14" s="114"/>
      <c r="F14" s="114">
        <v>1.0</v>
      </c>
      <c r="G14" s="114"/>
      <c r="H14" s="115">
        <f t="shared" si="6"/>
        <v>1</v>
      </c>
      <c r="I14" s="114"/>
      <c r="J14" s="115"/>
      <c r="K14" s="115"/>
      <c r="L14" s="117">
        <f t="shared" si="11"/>
        <v>3937500</v>
      </c>
      <c r="M14" s="117"/>
      <c r="N14" s="115"/>
      <c r="O14" s="115"/>
      <c r="P14" s="115">
        <v>1.0</v>
      </c>
      <c r="Q14" s="115"/>
      <c r="R14" s="115">
        <f t="shared" si="8"/>
        <v>1</v>
      </c>
      <c r="S14" s="67"/>
      <c r="T14" s="117"/>
      <c r="U14" s="117">
        <f>150000*25*P14</f>
        <v>3750000</v>
      </c>
      <c r="V14" s="67"/>
      <c r="W14" s="60"/>
      <c r="X14" s="60"/>
      <c r="AB14" s="65">
        <v>2.0</v>
      </c>
      <c r="AC14" s="66" t="s">
        <v>360</v>
      </c>
      <c r="AD14" s="66"/>
      <c r="AE14" s="60">
        <v>2.0</v>
      </c>
      <c r="AF14" s="60">
        <v>1.0</v>
      </c>
      <c r="AG14" s="67"/>
      <c r="AH14" s="67">
        <v>1.0</v>
      </c>
      <c r="AI14" s="67"/>
      <c r="AJ14" s="67">
        <v>1.0</v>
      </c>
      <c r="AK14" s="58">
        <f t="shared" si="14"/>
        <v>2</v>
      </c>
      <c r="AL14" s="67"/>
      <c r="AM14" s="67"/>
      <c r="AN14" s="67"/>
      <c r="AO14" s="60"/>
      <c r="AP14" s="60"/>
    </row>
    <row r="15" ht="14.25" customHeight="1">
      <c r="A15" s="27"/>
      <c r="B15" s="27"/>
      <c r="C15" s="27"/>
      <c r="D15" s="167">
        <f t="shared" ref="D15:H15" si="16">SUM(D6:D14)</f>
        <v>0</v>
      </c>
      <c r="E15" s="167">
        <f t="shared" si="16"/>
        <v>1</v>
      </c>
      <c r="F15" s="167">
        <f t="shared" si="16"/>
        <v>13</v>
      </c>
      <c r="G15" s="167">
        <f t="shared" si="16"/>
        <v>6</v>
      </c>
      <c r="H15" s="167">
        <f t="shared" si="16"/>
        <v>14</v>
      </c>
      <c r="I15" s="169"/>
      <c r="J15" s="169"/>
      <c r="K15" s="167">
        <f t="shared" ref="K15:R15" si="17">SUM(K6:K14)</f>
        <v>5776803.9</v>
      </c>
      <c r="L15" s="167">
        <f t="shared" si="17"/>
        <v>37780851.15</v>
      </c>
      <c r="M15" s="167">
        <f t="shared" si="17"/>
        <v>32881356</v>
      </c>
      <c r="N15" s="167">
        <f t="shared" si="17"/>
        <v>0</v>
      </c>
      <c r="O15" s="167">
        <f t="shared" si="17"/>
        <v>1</v>
      </c>
      <c r="P15" s="167">
        <f t="shared" si="17"/>
        <v>13</v>
      </c>
      <c r="Q15" s="167">
        <f t="shared" si="17"/>
        <v>0</v>
      </c>
      <c r="R15" s="167">
        <f t="shared" si="17"/>
        <v>14</v>
      </c>
      <c r="S15" s="27"/>
      <c r="T15" s="167">
        <f t="shared" ref="T15:V15" si="18">SUM(T6:T14)</f>
        <v>5501718</v>
      </c>
      <c r="U15" s="167">
        <f t="shared" si="18"/>
        <v>35981763</v>
      </c>
      <c r="V15" s="167">
        <f t="shared" si="18"/>
        <v>0</v>
      </c>
      <c r="W15" s="27"/>
      <c r="X15" s="27"/>
      <c r="Y15" s="27"/>
      <c r="AB15" s="65">
        <v>3.0</v>
      </c>
      <c r="AC15" s="66" t="s">
        <v>375</v>
      </c>
      <c r="AD15" s="66"/>
      <c r="AE15" s="60"/>
      <c r="AF15" s="60"/>
      <c r="AG15" s="67"/>
      <c r="AH15" s="67"/>
      <c r="AI15" s="67"/>
      <c r="AJ15" s="67"/>
      <c r="AK15" s="58">
        <f t="shared" si="14"/>
        <v>0</v>
      </c>
      <c r="AL15" s="67"/>
      <c r="AM15" s="67"/>
      <c r="AN15" s="67"/>
      <c r="AO15" s="60"/>
      <c r="AP15" s="60"/>
    </row>
    <row r="16" ht="14.25" customHeight="1">
      <c r="A16" s="27"/>
      <c r="B16" s="27"/>
      <c r="C16" s="170"/>
      <c r="D16" s="170"/>
      <c r="E16" s="27"/>
      <c r="F16" s="27"/>
      <c r="G16" s="27"/>
      <c r="H16" s="27"/>
      <c r="I16" s="27"/>
      <c r="J16" s="27"/>
      <c r="K16" s="27"/>
      <c r="L16" s="171"/>
      <c r="M16" s="171"/>
      <c r="N16" s="170"/>
      <c r="O16" s="170"/>
      <c r="P16" s="126"/>
      <c r="Q16" s="172"/>
      <c r="R16" s="172"/>
      <c r="S16" s="27"/>
      <c r="T16" s="27"/>
      <c r="U16" s="27"/>
      <c r="V16" s="27"/>
      <c r="W16" s="27"/>
      <c r="X16" s="27"/>
      <c r="Y16" s="27"/>
      <c r="AB16" s="65">
        <v>4.0</v>
      </c>
      <c r="AC16" s="84" t="s">
        <v>405</v>
      </c>
      <c r="AD16" s="66" t="s">
        <v>56</v>
      </c>
      <c r="AE16" s="60">
        <v>1.0</v>
      </c>
      <c r="AF16" s="60">
        <v>1.0</v>
      </c>
      <c r="AG16" s="67"/>
      <c r="AH16" s="67">
        <v>1.0</v>
      </c>
      <c r="AI16" s="67"/>
      <c r="AJ16" s="67"/>
      <c r="AK16" s="58">
        <f t="shared" si="14"/>
        <v>1</v>
      </c>
      <c r="AL16" s="67"/>
      <c r="AM16" s="67"/>
      <c r="AN16" s="67"/>
      <c r="AO16" s="60"/>
      <c r="AP16" s="60"/>
    </row>
    <row r="17" ht="14.25" customHeight="1">
      <c r="A17" s="27"/>
      <c r="B17" s="27"/>
      <c r="C17" s="27"/>
      <c r="D17" s="170"/>
      <c r="E17" s="27"/>
      <c r="F17" s="27"/>
      <c r="G17" s="27"/>
      <c r="H17" s="27"/>
      <c r="I17" s="27"/>
      <c r="J17" s="27"/>
      <c r="K17" s="27"/>
      <c r="L17" s="171"/>
      <c r="M17" s="171"/>
      <c r="N17" s="170"/>
      <c r="O17" s="170"/>
      <c r="P17" s="170"/>
      <c r="Q17" s="170"/>
      <c r="R17" s="170"/>
      <c r="S17" s="27"/>
      <c r="T17" s="27"/>
      <c r="U17" s="27"/>
      <c r="V17" s="27"/>
      <c r="W17" s="27"/>
      <c r="X17" s="27"/>
      <c r="Y17" s="27"/>
      <c r="AB17" s="65"/>
      <c r="AC17" s="15"/>
      <c r="AD17" s="66" t="s">
        <v>461</v>
      </c>
      <c r="AE17" s="60">
        <v>3.0</v>
      </c>
      <c r="AF17" s="60">
        <v>3.0</v>
      </c>
      <c r="AG17" s="67"/>
      <c r="AH17" s="67"/>
      <c r="AI17" s="67"/>
      <c r="AJ17" s="67">
        <v>3.0</v>
      </c>
      <c r="AK17" s="58">
        <f t="shared" si="14"/>
        <v>3</v>
      </c>
      <c r="AL17" s="67"/>
      <c r="AM17" s="67"/>
      <c r="AN17" s="67"/>
      <c r="AO17" s="60"/>
      <c r="AP17" s="60"/>
      <c r="AQ17" s="127" t="s">
        <v>550</v>
      </c>
    </row>
    <row r="18" ht="14.25" customHeight="1">
      <c r="A18" s="27"/>
      <c r="B18" s="27"/>
      <c r="C18" s="27"/>
      <c r="D18" s="170"/>
      <c r="E18" s="27"/>
      <c r="F18" s="27"/>
      <c r="G18" s="27"/>
      <c r="H18" s="27"/>
      <c r="I18" s="27"/>
      <c r="J18" s="27"/>
      <c r="K18" s="27"/>
      <c r="L18" s="171"/>
      <c r="M18" s="171"/>
      <c r="N18" s="170"/>
      <c r="O18" s="170"/>
      <c r="P18" s="170"/>
      <c r="Q18" s="170"/>
      <c r="R18" s="170"/>
      <c r="S18" s="27"/>
      <c r="T18" s="27"/>
      <c r="U18" s="27"/>
      <c r="V18" s="27"/>
      <c r="W18" s="27"/>
      <c r="X18" s="27"/>
      <c r="Y18" s="27"/>
      <c r="AB18" s="65"/>
      <c r="AC18" s="22"/>
      <c r="AD18" s="66" t="s">
        <v>434</v>
      </c>
      <c r="AE18" s="60">
        <v>4.0</v>
      </c>
      <c r="AF18" s="60">
        <v>2.0</v>
      </c>
      <c r="AG18" s="67"/>
      <c r="AH18" s="67"/>
      <c r="AI18" s="67"/>
      <c r="AJ18" s="67">
        <v>1.6</v>
      </c>
      <c r="AK18" s="58">
        <f t="shared" si="14"/>
        <v>1.6</v>
      </c>
      <c r="AL18" s="67"/>
      <c r="AM18" s="67"/>
      <c r="AN18" s="67"/>
      <c r="AO18" s="60"/>
      <c r="AP18" s="60"/>
    </row>
    <row r="19" ht="14.25" customHeight="1">
      <c r="A19" s="27"/>
      <c r="B19" s="27"/>
      <c r="C19" s="27"/>
      <c r="D19" s="170"/>
      <c r="E19" s="27"/>
      <c r="F19" s="27"/>
      <c r="G19" s="27"/>
      <c r="H19" s="27"/>
      <c r="I19" s="27"/>
      <c r="J19" s="27"/>
      <c r="K19" s="27"/>
      <c r="L19" s="171" t="s">
        <v>553</v>
      </c>
      <c r="M19" s="171"/>
      <c r="N19" s="170"/>
      <c r="O19" s="170"/>
      <c r="P19" s="170"/>
      <c r="Q19" s="170"/>
      <c r="R19" s="170"/>
      <c r="S19" s="27"/>
      <c r="T19" s="27"/>
      <c r="U19" s="27"/>
      <c r="V19" s="27"/>
      <c r="W19" s="27"/>
      <c r="X19" s="27"/>
      <c r="Y19" s="27"/>
      <c r="AB19" s="65">
        <v>5.0</v>
      </c>
      <c r="AC19" s="84" t="s">
        <v>65</v>
      </c>
      <c r="AD19" s="66" t="s">
        <v>435</v>
      </c>
      <c r="AE19" s="60">
        <v>1.0</v>
      </c>
      <c r="AF19" s="60">
        <v>1.0</v>
      </c>
      <c r="AG19" s="67"/>
      <c r="AH19" s="67"/>
      <c r="AI19" s="67">
        <v>1.0</v>
      </c>
      <c r="AJ19" s="67"/>
      <c r="AK19" s="58">
        <f t="shared" si="14"/>
        <v>1</v>
      </c>
      <c r="AL19" s="67"/>
      <c r="AM19" s="67"/>
      <c r="AN19" s="67"/>
      <c r="AO19" s="60"/>
      <c r="AP19" s="60"/>
    </row>
    <row r="20" ht="14.25" customHeight="1">
      <c r="A20" s="27"/>
      <c r="B20" s="27"/>
      <c r="C20" s="27"/>
      <c r="D20" s="170"/>
      <c r="E20" s="27"/>
      <c r="F20" s="27"/>
      <c r="G20" s="27"/>
      <c r="H20" s="27"/>
      <c r="I20" s="27"/>
      <c r="J20" s="27"/>
      <c r="K20" s="27"/>
      <c r="L20" s="171"/>
      <c r="M20" s="171"/>
      <c r="N20" s="170"/>
      <c r="O20" s="170"/>
      <c r="P20" s="170"/>
      <c r="Q20" s="170"/>
      <c r="R20" s="170"/>
      <c r="S20" s="27"/>
      <c r="T20" s="27"/>
      <c r="U20" s="27"/>
      <c r="V20" s="27"/>
      <c r="W20" s="27"/>
      <c r="X20" s="27"/>
      <c r="Y20" s="27"/>
      <c r="AB20" s="67"/>
      <c r="AC20" s="15"/>
      <c r="AD20" s="66" t="s">
        <v>558</v>
      </c>
      <c r="AE20" s="60">
        <v>1.0</v>
      </c>
      <c r="AF20" s="60">
        <v>1.0</v>
      </c>
      <c r="AG20" s="67"/>
      <c r="AH20" s="67">
        <v>1.0</v>
      </c>
      <c r="AI20" s="67"/>
      <c r="AJ20" s="67"/>
      <c r="AK20" s="58">
        <f t="shared" si="14"/>
        <v>1</v>
      </c>
      <c r="AL20" s="67"/>
      <c r="AM20" s="67"/>
      <c r="AN20" s="67"/>
      <c r="AO20" s="60"/>
      <c r="AP20" s="60"/>
    </row>
    <row r="21" ht="14.25" customHeight="1">
      <c r="A21" s="27"/>
      <c r="B21" s="27"/>
      <c r="C21" s="27"/>
      <c r="D21" s="170"/>
      <c r="E21" s="27"/>
      <c r="F21" s="27"/>
      <c r="G21" s="27"/>
      <c r="H21" s="27"/>
      <c r="I21" s="27"/>
      <c r="J21" s="27"/>
      <c r="K21" s="27"/>
      <c r="L21" s="171"/>
      <c r="M21" s="171"/>
      <c r="N21" s="170"/>
      <c r="O21" s="170"/>
      <c r="P21" s="170"/>
      <c r="Q21" s="170"/>
      <c r="R21" s="170"/>
      <c r="S21" s="27"/>
      <c r="T21" s="27"/>
      <c r="U21" s="27"/>
      <c r="V21" s="27"/>
      <c r="W21" s="27"/>
      <c r="X21" s="27"/>
      <c r="Y21" s="27"/>
      <c r="AB21" s="67"/>
      <c r="AC21" s="22"/>
      <c r="AD21" s="66" t="s">
        <v>445</v>
      </c>
      <c r="AE21" s="60">
        <v>1.0</v>
      </c>
      <c r="AF21" s="60">
        <v>1.0</v>
      </c>
      <c r="AG21" s="67"/>
      <c r="AH21" s="67">
        <v>1.0</v>
      </c>
      <c r="AI21" s="67"/>
      <c r="AJ21" s="67"/>
      <c r="AK21" s="58">
        <f t="shared" si="14"/>
        <v>1</v>
      </c>
      <c r="AL21" s="67"/>
      <c r="AM21" s="67"/>
      <c r="AN21" s="67"/>
      <c r="AO21" s="60"/>
      <c r="AP21" s="60"/>
    </row>
    <row r="22" ht="14.25" customHeight="1">
      <c r="A22" s="27"/>
      <c r="B22" s="27"/>
      <c r="C22" s="27"/>
      <c r="D22" s="170"/>
      <c r="E22" s="27"/>
      <c r="F22" s="27"/>
      <c r="G22" s="27"/>
      <c r="H22" s="27"/>
      <c r="I22" s="27"/>
      <c r="J22" s="27"/>
      <c r="K22" s="27"/>
      <c r="L22" s="171"/>
      <c r="M22" s="171"/>
      <c r="N22" s="170"/>
      <c r="O22" s="170"/>
      <c r="P22" s="170"/>
      <c r="Q22" s="170"/>
      <c r="R22" s="170"/>
      <c r="S22" s="27"/>
      <c r="T22" s="27"/>
      <c r="U22" s="27"/>
      <c r="V22" s="27"/>
      <c r="W22" s="27"/>
      <c r="X22" s="27"/>
      <c r="Y22" s="27"/>
      <c r="AB22" s="67"/>
      <c r="AC22" s="87"/>
      <c r="AD22" s="66" t="s">
        <v>484</v>
      </c>
      <c r="AE22" s="60">
        <v>3.0</v>
      </c>
      <c r="AF22" s="60">
        <v>1.0</v>
      </c>
      <c r="AG22" s="67"/>
      <c r="AH22" s="67"/>
      <c r="AI22" s="67"/>
      <c r="AJ22" s="67">
        <v>3.0</v>
      </c>
      <c r="AK22" s="58">
        <f t="shared" si="14"/>
        <v>3</v>
      </c>
      <c r="AL22" s="67"/>
      <c r="AM22" s="67"/>
      <c r="AN22" s="67"/>
      <c r="AO22" s="60"/>
      <c r="AP22" s="60"/>
    </row>
    <row r="23" ht="14.25" customHeight="1">
      <c r="A23" s="27"/>
      <c r="B23" s="27"/>
      <c r="C23" s="27"/>
      <c r="D23" s="170"/>
      <c r="E23" s="27"/>
      <c r="F23" s="27"/>
      <c r="G23" s="27"/>
      <c r="H23" s="27"/>
      <c r="I23" s="27"/>
      <c r="J23" s="27"/>
      <c r="K23" s="27"/>
      <c r="L23" s="171"/>
      <c r="M23" s="171"/>
      <c r="N23" s="170"/>
      <c r="O23" s="170"/>
      <c r="P23" s="170"/>
      <c r="Q23" s="170"/>
      <c r="R23" s="170"/>
      <c r="S23" s="27"/>
      <c r="T23" s="27"/>
      <c r="U23" s="27"/>
      <c r="V23" s="27"/>
      <c r="W23" s="27"/>
      <c r="X23" s="27"/>
      <c r="Y23" s="27"/>
      <c r="AB23" s="65">
        <v>6.0</v>
      </c>
      <c r="AC23" s="102" t="s">
        <v>488</v>
      </c>
      <c r="AD23" s="66" t="s">
        <v>368</v>
      </c>
      <c r="AE23" s="60">
        <v>2.0</v>
      </c>
      <c r="AF23" s="60">
        <v>2.0</v>
      </c>
      <c r="AG23" s="67"/>
      <c r="AH23" s="67">
        <v>1.0</v>
      </c>
      <c r="AI23" s="67"/>
      <c r="AJ23" s="67"/>
      <c r="AK23" s="58">
        <f t="shared" si="14"/>
        <v>1</v>
      </c>
      <c r="AL23" s="67"/>
      <c r="AM23" s="67"/>
      <c r="AN23" s="67"/>
      <c r="AO23" s="60"/>
      <c r="AP23" s="60"/>
      <c r="AQ23" s="127" t="s">
        <v>563</v>
      </c>
    </row>
    <row r="24" ht="14.25" customHeight="1">
      <c r="A24" s="27"/>
      <c r="B24" s="27"/>
      <c r="C24" s="27"/>
      <c r="D24" s="170"/>
      <c r="E24" s="27"/>
      <c r="F24" s="27"/>
      <c r="G24" s="27"/>
      <c r="H24" s="27"/>
      <c r="I24" s="27"/>
      <c r="J24" s="27"/>
      <c r="K24" s="27"/>
      <c r="L24" s="171"/>
      <c r="M24" s="171"/>
      <c r="N24" s="170"/>
      <c r="O24" s="170"/>
      <c r="P24" s="170"/>
      <c r="Q24" s="170"/>
      <c r="R24" s="170"/>
      <c r="S24" s="27"/>
      <c r="T24" s="27"/>
      <c r="U24" s="27"/>
      <c r="V24" s="27"/>
      <c r="W24" s="27"/>
      <c r="X24" s="27"/>
      <c r="Y24" s="27"/>
      <c r="AB24" s="65">
        <v>7.0</v>
      </c>
      <c r="AC24" s="112" t="s">
        <v>451</v>
      </c>
      <c r="AD24" s="66" t="s">
        <v>452</v>
      </c>
      <c r="AE24" s="60">
        <v>4.0</v>
      </c>
      <c r="AF24" s="60">
        <v>3.0</v>
      </c>
      <c r="AG24" s="67"/>
      <c r="AH24" s="67">
        <v>2.0</v>
      </c>
      <c r="AI24" s="67">
        <v>1.0</v>
      </c>
      <c r="AJ24" s="67">
        <v>1.0</v>
      </c>
      <c r="AK24" s="58">
        <f t="shared" si="14"/>
        <v>4</v>
      </c>
      <c r="AL24" s="67"/>
      <c r="AM24" s="67"/>
      <c r="AN24" s="67"/>
      <c r="AO24" s="60"/>
      <c r="AP24" s="60"/>
    </row>
    <row r="25" ht="14.25" customHeight="1">
      <c r="A25" s="27"/>
      <c r="B25" s="27"/>
      <c r="C25" s="27"/>
      <c r="D25" s="170"/>
      <c r="E25" s="27"/>
      <c r="F25" s="27"/>
      <c r="G25" s="27"/>
      <c r="H25" s="27"/>
      <c r="I25" s="27"/>
      <c r="J25" s="27"/>
      <c r="K25" s="27"/>
      <c r="L25" s="171"/>
      <c r="M25" s="171"/>
      <c r="N25" s="170"/>
      <c r="O25" s="170"/>
      <c r="P25" s="170"/>
      <c r="Q25" s="170"/>
      <c r="R25" s="170"/>
      <c r="S25" s="27"/>
      <c r="T25" s="27"/>
      <c r="U25" s="27"/>
      <c r="V25" s="27"/>
      <c r="W25" s="27"/>
      <c r="X25" s="27"/>
      <c r="Y25" s="27"/>
      <c r="AB25" s="67"/>
      <c r="AC25" s="112"/>
      <c r="AD25" s="66" t="s">
        <v>453</v>
      </c>
      <c r="AE25" s="60">
        <v>1.0</v>
      </c>
      <c r="AF25" s="60">
        <v>2.0</v>
      </c>
      <c r="AG25" s="67"/>
      <c r="AH25" s="67">
        <v>1.0</v>
      </c>
      <c r="AI25" s="67"/>
      <c r="AJ25" s="67"/>
      <c r="AK25" s="58">
        <f t="shared" si="14"/>
        <v>1</v>
      </c>
      <c r="AL25" s="67"/>
      <c r="AM25" s="67"/>
      <c r="AN25" s="67"/>
      <c r="AO25" s="60"/>
      <c r="AP25" s="60"/>
    </row>
    <row r="26" ht="14.25" customHeight="1">
      <c r="A26" s="27"/>
      <c r="B26" s="27"/>
      <c r="C26" s="27"/>
      <c r="D26" s="170"/>
      <c r="E26" s="27"/>
      <c r="F26" s="27"/>
      <c r="G26" s="27"/>
      <c r="H26" s="27"/>
      <c r="I26" s="27"/>
      <c r="J26" s="27"/>
      <c r="K26" s="27"/>
      <c r="L26" s="171"/>
      <c r="M26" s="171"/>
      <c r="N26" s="170"/>
      <c r="O26" s="170"/>
      <c r="P26" s="170"/>
      <c r="Q26" s="170"/>
      <c r="R26" s="170"/>
      <c r="S26" s="27"/>
      <c r="T26" s="27"/>
      <c r="U26" s="27"/>
      <c r="V26" s="27"/>
      <c r="W26" s="27"/>
      <c r="X26" s="27"/>
      <c r="Y26" s="27"/>
      <c r="AB26" s="56">
        <v>8.0</v>
      </c>
      <c r="AC26" s="84" t="s">
        <v>455</v>
      </c>
      <c r="AD26" s="119" t="s">
        <v>495</v>
      </c>
      <c r="AE26" s="58">
        <v>2.0</v>
      </c>
      <c r="AF26" s="60">
        <v>2.0</v>
      </c>
      <c r="AG26" s="119"/>
      <c r="AH26" s="58">
        <v>1.0</v>
      </c>
      <c r="AI26" s="58">
        <v>1.0</v>
      </c>
      <c r="AJ26" s="58">
        <v>1.0</v>
      </c>
      <c r="AK26" s="58">
        <f t="shared" si="14"/>
        <v>3</v>
      </c>
      <c r="AL26" s="119"/>
      <c r="AM26" s="119"/>
      <c r="AN26" s="119"/>
      <c r="AO26" s="119"/>
      <c r="AP26" s="119"/>
      <c r="AQ26" s="127" t="s">
        <v>567</v>
      </c>
    </row>
    <row r="27" ht="14.25" customHeight="1">
      <c r="A27" s="27"/>
      <c r="B27" s="27"/>
      <c r="C27" s="27"/>
      <c r="D27" s="170"/>
      <c r="E27" s="27"/>
      <c r="F27" s="27"/>
      <c r="G27" s="27"/>
      <c r="H27" s="27"/>
      <c r="I27" s="27"/>
      <c r="J27" s="27"/>
      <c r="K27" s="27"/>
      <c r="L27" s="171"/>
      <c r="M27" s="171"/>
      <c r="N27" s="170"/>
      <c r="O27" s="170"/>
      <c r="P27" s="170"/>
      <c r="Q27" s="170"/>
      <c r="R27" s="170"/>
      <c r="S27" s="27"/>
      <c r="T27" s="27"/>
      <c r="U27" s="27"/>
      <c r="V27" s="27"/>
      <c r="W27" s="27"/>
      <c r="X27" s="27"/>
      <c r="Y27" s="27"/>
      <c r="AB27" s="65"/>
      <c r="AC27" s="22"/>
      <c r="AD27" s="121" t="s">
        <v>507</v>
      </c>
      <c r="AE27" s="67">
        <v>1.0</v>
      </c>
      <c r="AF27" s="60">
        <v>1.0</v>
      </c>
      <c r="AG27" s="121"/>
      <c r="AH27" s="67">
        <v>1.0</v>
      </c>
      <c r="AI27" s="67"/>
      <c r="AJ27" s="67"/>
      <c r="AK27" s="58">
        <f t="shared" si="14"/>
        <v>1</v>
      </c>
      <c r="AL27" s="121"/>
      <c r="AM27" s="121"/>
      <c r="AN27" s="121"/>
      <c r="AO27" s="121"/>
      <c r="AP27" s="121"/>
    </row>
    <row r="28" ht="14.25" customHeight="1">
      <c r="A28" s="27"/>
      <c r="B28" s="27"/>
      <c r="C28" s="27"/>
      <c r="D28" s="170"/>
      <c r="E28" s="27"/>
      <c r="F28" s="27"/>
      <c r="G28" s="27"/>
      <c r="H28" s="27"/>
      <c r="I28" s="27"/>
      <c r="J28" s="27"/>
      <c r="K28" s="27"/>
      <c r="L28" s="171"/>
      <c r="M28" s="171"/>
      <c r="N28" s="170"/>
      <c r="O28" s="170"/>
      <c r="P28" s="170"/>
      <c r="Q28" s="170"/>
      <c r="R28" s="170"/>
      <c r="S28" s="27"/>
      <c r="T28" s="27"/>
      <c r="U28" s="27"/>
      <c r="V28" s="27"/>
      <c r="W28" s="27"/>
      <c r="X28" s="27"/>
      <c r="Y28" s="27"/>
      <c r="AB28" s="65">
        <v>9.0</v>
      </c>
      <c r="AC28" s="84" t="s">
        <v>465</v>
      </c>
      <c r="AD28" s="121" t="s">
        <v>569</v>
      </c>
      <c r="AE28" s="67">
        <v>9.0</v>
      </c>
      <c r="AF28" s="60">
        <v>3.0</v>
      </c>
      <c r="AG28" s="121"/>
      <c r="AH28" s="67">
        <v>2.0</v>
      </c>
      <c r="AI28" s="67"/>
      <c r="AJ28" s="67">
        <v>7.0</v>
      </c>
      <c r="AK28" s="58">
        <f t="shared" si="14"/>
        <v>9</v>
      </c>
      <c r="AL28" s="121"/>
      <c r="AM28" s="121"/>
      <c r="AN28" s="121"/>
      <c r="AO28" s="121"/>
      <c r="AP28" s="121"/>
    </row>
    <row r="29" ht="14.25" customHeight="1">
      <c r="A29" s="27"/>
      <c r="B29" s="27"/>
      <c r="C29" s="27"/>
      <c r="D29" s="170"/>
      <c r="E29" s="27"/>
      <c r="F29" s="27"/>
      <c r="G29" s="27"/>
      <c r="H29" s="27"/>
      <c r="I29" s="27"/>
      <c r="J29" s="27"/>
      <c r="K29" s="27"/>
      <c r="L29" s="171"/>
      <c r="M29" s="171"/>
      <c r="N29" s="170"/>
      <c r="O29" s="170"/>
      <c r="P29" s="170"/>
      <c r="Q29" s="170"/>
      <c r="R29" s="170"/>
      <c r="S29" s="27"/>
      <c r="T29" s="27"/>
      <c r="U29" s="27"/>
      <c r="V29" s="27"/>
      <c r="W29" s="27"/>
      <c r="X29" s="27"/>
      <c r="Y29" s="27"/>
      <c r="AB29" s="65">
        <v>10.0</v>
      </c>
      <c r="AC29" s="156" t="s">
        <v>479</v>
      </c>
      <c r="AD29" s="121" t="s">
        <v>571</v>
      </c>
      <c r="AE29" s="67">
        <v>12.0</v>
      </c>
      <c r="AF29" s="60">
        <v>3.0</v>
      </c>
      <c r="AG29" s="121"/>
      <c r="AH29" s="67">
        <v>2.0</v>
      </c>
      <c r="AI29" s="67">
        <v>1.0</v>
      </c>
      <c r="AJ29" s="67">
        <v>9.0</v>
      </c>
      <c r="AK29" s="58">
        <f t="shared" si="14"/>
        <v>12</v>
      </c>
      <c r="AL29" s="121"/>
      <c r="AM29" s="121"/>
      <c r="AN29" s="121"/>
      <c r="AO29" s="121"/>
      <c r="AP29" s="121"/>
    </row>
    <row r="30" ht="14.25" customHeight="1">
      <c r="A30" s="27"/>
      <c r="B30" s="27"/>
      <c r="C30" s="27"/>
      <c r="D30" s="170"/>
      <c r="E30" s="27"/>
      <c r="F30" s="27"/>
      <c r="G30" s="27"/>
      <c r="H30" s="27"/>
      <c r="I30" s="27"/>
      <c r="J30" s="27"/>
      <c r="K30" s="27"/>
      <c r="L30" s="171"/>
      <c r="M30" s="171"/>
      <c r="N30" s="170"/>
      <c r="O30" s="170"/>
      <c r="P30" s="170"/>
      <c r="Q30" s="170"/>
      <c r="R30" s="170"/>
      <c r="S30" s="27"/>
      <c r="T30" s="27"/>
      <c r="U30" s="27"/>
      <c r="V30" s="27"/>
      <c r="W30" s="27"/>
      <c r="X30" s="27"/>
      <c r="Y30" s="27"/>
      <c r="Z30" s="27"/>
      <c r="AB30" s="65">
        <v>11.0</v>
      </c>
      <c r="AC30" s="187" t="s">
        <v>491</v>
      </c>
      <c r="AD30" s="121" t="s">
        <v>576</v>
      </c>
      <c r="AE30" s="67">
        <v>3.0</v>
      </c>
      <c r="AF30" s="60">
        <v>3.0</v>
      </c>
      <c r="AG30" s="121"/>
      <c r="AH30" s="67"/>
      <c r="AI30" s="67"/>
      <c r="AJ30" s="67">
        <v>3.0</v>
      </c>
      <c r="AK30" s="58">
        <f t="shared" si="14"/>
        <v>3</v>
      </c>
      <c r="AL30" s="121"/>
      <c r="AM30" s="121"/>
      <c r="AN30" s="121"/>
      <c r="AO30" s="121"/>
      <c r="AP30" s="121"/>
    </row>
    <row r="31" ht="14.25" customHeight="1">
      <c r="A31" s="27"/>
      <c r="B31" s="27"/>
      <c r="C31" s="27"/>
      <c r="D31" s="170"/>
      <c r="E31" s="27"/>
      <c r="F31" s="27"/>
      <c r="G31" s="27"/>
      <c r="H31" s="27"/>
      <c r="I31" s="27"/>
      <c r="J31" s="27"/>
      <c r="K31" s="27"/>
      <c r="L31" s="171"/>
      <c r="M31" s="171"/>
      <c r="N31" s="170"/>
      <c r="O31" s="170"/>
      <c r="P31" s="170"/>
      <c r="Q31" s="170"/>
      <c r="R31" s="170"/>
      <c r="S31" s="27"/>
      <c r="T31" s="27"/>
      <c r="U31" s="27"/>
      <c r="V31" s="27"/>
      <c r="W31" s="27"/>
      <c r="X31" s="27"/>
      <c r="Y31" s="27"/>
      <c r="Z31" s="27"/>
      <c r="AB31" s="65"/>
      <c r="AC31" s="15"/>
      <c r="AD31" s="121" t="s">
        <v>577</v>
      </c>
      <c r="AE31" s="67"/>
      <c r="AF31" s="60"/>
      <c r="AG31" s="121"/>
      <c r="AH31" s="67"/>
      <c r="AI31" s="67"/>
      <c r="AJ31" s="67"/>
      <c r="AK31" s="58">
        <f t="shared" si="14"/>
        <v>0</v>
      </c>
      <c r="AL31" s="121"/>
      <c r="AM31" s="121"/>
      <c r="AN31" s="121"/>
      <c r="AO31" s="121"/>
      <c r="AP31" s="121"/>
    </row>
    <row r="32" ht="14.25" customHeight="1">
      <c r="A32" s="27"/>
      <c r="B32" s="27"/>
      <c r="C32" s="27"/>
      <c r="D32" s="170"/>
      <c r="E32" s="27"/>
      <c r="F32" s="27"/>
      <c r="G32" s="27"/>
      <c r="H32" s="27"/>
      <c r="I32" s="27"/>
      <c r="J32" s="27"/>
      <c r="K32" s="27"/>
      <c r="L32" s="171"/>
      <c r="M32" s="171"/>
      <c r="N32" s="170"/>
      <c r="O32" s="170"/>
      <c r="P32" s="170"/>
      <c r="Q32" s="170"/>
      <c r="R32" s="170"/>
      <c r="S32" s="27"/>
      <c r="T32" s="27"/>
      <c r="U32" s="27"/>
      <c r="V32" s="27"/>
      <c r="W32" s="27"/>
      <c r="X32" s="27"/>
      <c r="Y32" s="27"/>
      <c r="Z32" s="27"/>
      <c r="AB32" s="65"/>
      <c r="AC32" s="15"/>
      <c r="AD32" s="121" t="s">
        <v>578</v>
      </c>
      <c r="AE32" s="67"/>
      <c r="AF32" s="60"/>
      <c r="AG32" s="121"/>
      <c r="AH32" s="67"/>
      <c r="AI32" s="67"/>
      <c r="AJ32" s="67"/>
      <c r="AK32" s="58">
        <f t="shared" si="14"/>
        <v>0</v>
      </c>
      <c r="AL32" s="121"/>
      <c r="AM32" s="121"/>
      <c r="AN32" s="121"/>
      <c r="AO32" s="121"/>
      <c r="AP32" s="121"/>
    </row>
    <row r="33" ht="14.25" customHeight="1">
      <c r="A33" s="27"/>
      <c r="B33" s="27"/>
      <c r="C33" s="27"/>
      <c r="D33" s="170"/>
      <c r="E33" s="27"/>
      <c r="F33" s="27"/>
      <c r="G33" s="27"/>
      <c r="H33" s="27"/>
      <c r="I33" s="27"/>
      <c r="J33" s="27"/>
      <c r="K33" s="27"/>
      <c r="L33" s="171"/>
      <c r="M33" s="171"/>
      <c r="N33" s="170"/>
      <c r="O33" s="170"/>
      <c r="P33" s="170"/>
      <c r="Q33" s="170"/>
      <c r="R33" s="170"/>
      <c r="S33" s="27"/>
      <c r="T33" s="27"/>
      <c r="U33" s="27"/>
      <c r="V33" s="27"/>
      <c r="W33" s="27"/>
      <c r="X33" s="27"/>
      <c r="Y33" s="27"/>
      <c r="Z33" s="27"/>
      <c r="AB33" s="65"/>
      <c r="AC33" s="15"/>
      <c r="AD33" s="121" t="s">
        <v>579</v>
      </c>
      <c r="AE33" s="60">
        <v>8.0</v>
      </c>
      <c r="AF33" s="67">
        <v>2.0</v>
      </c>
      <c r="AG33" s="121"/>
      <c r="AH33" s="67">
        <v>2.0</v>
      </c>
      <c r="AI33" s="67"/>
      <c r="AJ33" s="67">
        <v>6.0</v>
      </c>
      <c r="AK33" s="58">
        <f t="shared" si="14"/>
        <v>8</v>
      </c>
      <c r="AL33" s="121"/>
      <c r="AM33" s="121"/>
      <c r="AN33" s="121"/>
      <c r="AO33" s="121"/>
      <c r="AP33" s="121"/>
      <c r="AQ33" s="127" t="s">
        <v>581</v>
      </c>
    </row>
    <row r="34" ht="14.25" customHeight="1">
      <c r="A34" s="27"/>
      <c r="B34" s="27"/>
      <c r="C34" s="27"/>
      <c r="D34" s="170"/>
      <c r="E34" s="27"/>
      <c r="F34" s="27"/>
      <c r="G34" s="27"/>
      <c r="H34" s="27"/>
      <c r="I34" s="27"/>
      <c r="J34" s="27"/>
      <c r="K34" s="27"/>
      <c r="L34" s="171"/>
      <c r="M34" s="171"/>
      <c r="N34" s="170"/>
      <c r="O34" s="170"/>
      <c r="P34" s="170"/>
      <c r="Q34" s="170"/>
      <c r="R34" s="170"/>
      <c r="S34" s="27"/>
      <c r="T34" s="27"/>
      <c r="U34" s="27"/>
      <c r="V34" s="27"/>
      <c r="W34" s="27"/>
      <c r="X34" s="27"/>
      <c r="Y34" s="27"/>
      <c r="Z34" s="27"/>
      <c r="AB34" s="65"/>
      <c r="AC34" s="15"/>
      <c r="AD34" s="121" t="s">
        <v>582</v>
      </c>
      <c r="AE34" s="60">
        <v>8.0</v>
      </c>
      <c r="AF34" s="60">
        <v>2.0</v>
      </c>
      <c r="AG34" s="121"/>
      <c r="AH34" s="67">
        <v>1.0</v>
      </c>
      <c r="AI34" s="67"/>
      <c r="AJ34" s="67">
        <v>7.0</v>
      </c>
      <c r="AK34" s="58">
        <f t="shared" si="14"/>
        <v>8</v>
      </c>
      <c r="AL34" s="121"/>
      <c r="AM34" s="121"/>
      <c r="AN34" s="121"/>
      <c r="AO34" s="121"/>
      <c r="AP34" s="121"/>
    </row>
    <row r="35" ht="14.25" customHeight="1">
      <c r="A35" s="27"/>
      <c r="B35" s="27"/>
      <c r="C35" s="27"/>
      <c r="D35" s="170"/>
      <c r="E35" s="27"/>
      <c r="F35" s="27"/>
      <c r="G35" s="27"/>
      <c r="H35" s="27"/>
      <c r="I35" s="27"/>
      <c r="J35" s="27"/>
      <c r="K35" s="27"/>
      <c r="L35" s="171"/>
      <c r="M35" s="171"/>
      <c r="N35" s="170"/>
      <c r="O35" s="170"/>
      <c r="P35" s="170"/>
      <c r="Q35" s="170"/>
      <c r="R35" s="170"/>
      <c r="S35" s="27"/>
      <c r="T35" s="27"/>
      <c r="U35" s="27"/>
      <c r="V35" s="27"/>
      <c r="W35" s="27"/>
      <c r="X35" s="27"/>
      <c r="Y35" s="27"/>
      <c r="Z35" s="27"/>
      <c r="AB35" s="65"/>
      <c r="AC35" s="15"/>
      <c r="AD35" s="121" t="s">
        <v>586</v>
      </c>
      <c r="AE35" s="60">
        <v>1.0</v>
      </c>
      <c r="AF35" s="60">
        <v>1.0</v>
      </c>
      <c r="AG35" s="121"/>
      <c r="AH35" s="67"/>
      <c r="AI35" s="67"/>
      <c r="AJ35" s="67">
        <v>3.0</v>
      </c>
      <c r="AK35" s="58">
        <f t="shared" si="14"/>
        <v>3</v>
      </c>
      <c r="AL35" s="121"/>
      <c r="AM35" s="121"/>
      <c r="AN35" s="121"/>
      <c r="AO35" s="121"/>
      <c r="AP35" s="121"/>
    </row>
    <row r="36" ht="14.25" customHeight="1">
      <c r="A36" s="27"/>
      <c r="B36" s="27"/>
      <c r="C36" s="27"/>
      <c r="D36" s="170"/>
      <c r="E36" s="27"/>
      <c r="F36" s="27"/>
      <c r="G36" s="27"/>
      <c r="H36" s="27"/>
      <c r="I36" s="27"/>
      <c r="J36" s="27"/>
      <c r="K36" s="27"/>
      <c r="L36" s="171"/>
      <c r="M36" s="171"/>
      <c r="N36" s="170"/>
      <c r="O36" s="170"/>
      <c r="P36" s="170"/>
      <c r="Q36" s="170"/>
      <c r="R36" s="170"/>
      <c r="S36" s="27"/>
      <c r="T36" s="27"/>
      <c r="U36" s="27"/>
      <c r="V36" s="27"/>
      <c r="W36" s="27"/>
      <c r="X36" s="27"/>
      <c r="Y36" s="27"/>
      <c r="Z36" s="27"/>
      <c r="AB36" s="65"/>
      <c r="AC36" s="15"/>
      <c r="AD36" s="121" t="s">
        <v>516</v>
      </c>
      <c r="AE36" s="60"/>
      <c r="AF36" s="60"/>
      <c r="AG36" s="121"/>
      <c r="AH36" s="67"/>
      <c r="AI36" s="67"/>
      <c r="AJ36" s="67"/>
      <c r="AK36" s="58">
        <f t="shared" si="14"/>
        <v>0</v>
      </c>
      <c r="AL36" s="121"/>
      <c r="AM36" s="121"/>
      <c r="AN36" s="121"/>
      <c r="AO36" s="121"/>
      <c r="AP36" s="121"/>
    </row>
    <row r="37" ht="14.25" customHeight="1">
      <c r="A37" s="27"/>
      <c r="B37" s="27"/>
      <c r="C37" s="27"/>
      <c r="D37" s="170"/>
      <c r="E37" s="27"/>
      <c r="F37" s="27"/>
      <c r="G37" s="27"/>
      <c r="H37" s="27"/>
      <c r="I37" s="27"/>
      <c r="J37" s="27"/>
      <c r="K37" s="27"/>
      <c r="L37" s="171"/>
      <c r="M37" s="171"/>
      <c r="N37" s="170"/>
      <c r="O37" s="170"/>
      <c r="P37" s="170"/>
      <c r="Q37" s="170"/>
      <c r="R37" s="170"/>
      <c r="S37" s="27"/>
      <c r="T37" s="27"/>
      <c r="U37" s="27"/>
      <c r="V37" s="27"/>
      <c r="W37" s="27"/>
      <c r="X37" s="27"/>
      <c r="Y37" s="27"/>
      <c r="Z37" s="27"/>
      <c r="AB37" s="65"/>
      <c r="AC37" s="15"/>
      <c r="AD37" s="121" t="s">
        <v>589</v>
      </c>
      <c r="AE37" s="60">
        <v>10.0</v>
      </c>
      <c r="AF37" s="60">
        <v>2.0</v>
      </c>
      <c r="AG37" s="121"/>
      <c r="AH37" s="67"/>
      <c r="AI37" s="67"/>
      <c r="AJ37" s="67">
        <v>10.0</v>
      </c>
      <c r="AK37" s="58">
        <f t="shared" si="14"/>
        <v>10</v>
      </c>
      <c r="AL37" s="121"/>
      <c r="AM37" s="121"/>
      <c r="AN37" s="121"/>
      <c r="AO37" s="121"/>
      <c r="AP37" s="121"/>
    </row>
    <row r="38" ht="14.25" customHeight="1">
      <c r="A38" s="27"/>
      <c r="B38" s="27"/>
      <c r="C38" s="27"/>
      <c r="D38" s="170"/>
      <c r="E38" s="27"/>
      <c r="F38" s="27"/>
      <c r="G38" s="27"/>
      <c r="H38" s="27"/>
      <c r="I38" s="27"/>
      <c r="J38" s="27"/>
      <c r="K38" s="27"/>
      <c r="L38" s="171"/>
      <c r="M38" s="171"/>
      <c r="N38" s="170"/>
      <c r="O38" s="170"/>
      <c r="P38" s="170"/>
      <c r="Q38" s="170"/>
      <c r="R38" s="170"/>
      <c r="S38" s="27"/>
      <c r="T38" s="27"/>
      <c r="U38" s="27"/>
      <c r="V38" s="27"/>
      <c r="W38" s="27"/>
      <c r="X38" s="27"/>
      <c r="Y38" s="27"/>
      <c r="Z38" s="27"/>
      <c r="AB38" s="65"/>
      <c r="AC38" s="22"/>
      <c r="AD38" s="121"/>
      <c r="AE38" s="67"/>
      <c r="AF38" s="67"/>
      <c r="AG38" s="121"/>
      <c r="AH38" s="65"/>
      <c r="AI38" s="65"/>
      <c r="AJ38" s="65"/>
      <c r="AK38" s="58"/>
      <c r="AL38" s="121"/>
      <c r="AM38" s="121"/>
      <c r="AN38" s="121"/>
      <c r="AO38" s="121"/>
      <c r="AP38" s="121"/>
    </row>
    <row r="39" ht="14.25" customHeight="1">
      <c r="A39" s="27"/>
      <c r="B39" s="27"/>
      <c r="C39" s="27"/>
      <c r="D39" s="170"/>
      <c r="E39" s="27"/>
      <c r="F39" s="27"/>
      <c r="G39" s="27"/>
      <c r="H39" s="27"/>
      <c r="I39" s="27"/>
      <c r="J39" s="27"/>
      <c r="K39" s="27"/>
      <c r="L39" s="171"/>
      <c r="M39" s="171"/>
      <c r="N39" s="170"/>
      <c r="O39" s="170"/>
      <c r="P39" s="170"/>
      <c r="Q39" s="170"/>
      <c r="R39" s="170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125">
        <f>SUM(AE6:AE38)</f>
        <v>84</v>
      </c>
      <c r="AF39" s="170"/>
      <c r="AG39" s="170"/>
      <c r="AH39" s="125">
        <f t="shared" ref="AH39:AK39" si="19">SUM(AH6:AH38)</f>
        <v>18</v>
      </c>
      <c r="AI39" s="125">
        <f t="shared" si="19"/>
        <v>9</v>
      </c>
      <c r="AJ39" s="126">
        <f t="shared" si="19"/>
        <v>56.6</v>
      </c>
      <c r="AK39" s="126">
        <f t="shared" si="19"/>
        <v>83.6</v>
      </c>
      <c r="AL39" s="27"/>
      <c r="AM39" s="27"/>
      <c r="AN39" s="27"/>
      <c r="AO39" s="27"/>
      <c r="AP39" s="27"/>
      <c r="AQ39" s="27"/>
    </row>
    <row r="40" ht="14.25" customHeight="1">
      <c r="A40" s="27"/>
      <c r="B40" s="27"/>
      <c r="C40" s="27"/>
      <c r="D40" s="170"/>
      <c r="E40" s="27"/>
      <c r="F40" s="27"/>
      <c r="G40" s="27"/>
      <c r="H40" s="27"/>
      <c r="I40" s="27"/>
      <c r="J40" s="27"/>
      <c r="K40" s="27"/>
      <c r="L40" s="171"/>
      <c r="M40" s="171"/>
      <c r="N40" s="170"/>
      <c r="O40" s="170"/>
      <c r="P40" s="170"/>
      <c r="Q40" s="170"/>
      <c r="R40" s="170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170"/>
      <c r="AE40" s="170"/>
      <c r="AF40" s="27"/>
      <c r="AG40" s="27"/>
      <c r="AH40" s="170"/>
      <c r="AI40" s="170"/>
      <c r="AJ40" s="126">
        <f>AE39-AK39</f>
        <v>0.4</v>
      </c>
      <c r="AK40" s="194">
        <f>AK39/AE39</f>
        <v>0.9952380952</v>
      </c>
      <c r="AL40" s="27"/>
      <c r="AM40" s="27"/>
      <c r="AN40" s="27"/>
      <c r="AO40" s="27"/>
      <c r="AP40" s="27"/>
      <c r="AQ40" s="27"/>
    </row>
    <row r="41" ht="14.25" customHeight="1">
      <c r="A41" s="27"/>
      <c r="B41" s="27"/>
      <c r="C41" s="27"/>
      <c r="D41" s="170"/>
      <c r="E41" s="27"/>
      <c r="F41" s="27"/>
      <c r="G41" s="27"/>
      <c r="H41" s="27"/>
      <c r="I41" s="27"/>
      <c r="J41" s="27"/>
      <c r="K41" s="27"/>
      <c r="L41" s="171"/>
      <c r="M41" s="171"/>
      <c r="N41" s="170"/>
      <c r="O41" s="170"/>
      <c r="P41" s="170"/>
      <c r="Q41" s="170"/>
      <c r="R41" s="170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170"/>
      <c r="AF41" s="27"/>
      <c r="AG41" s="27"/>
      <c r="AH41" s="170"/>
      <c r="AI41" s="170"/>
      <c r="AJ41" s="170"/>
      <c r="AK41" s="170"/>
      <c r="AL41" s="27"/>
      <c r="AM41" s="27"/>
      <c r="AN41" s="27"/>
      <c r="AO41" s="27"/>
      <c r="AP41" s="27"/>
      <c r="AQ41" s="27"/>
    </row>
    <row r="42" ht="14.25" customHeight="1">
      <c r="A42" s="27"/>
      <c r="B42" s="27"/>
      <c r="C42" s="27"/>
      <c r="D42" s="170"/>
      <c r="E42" s="27"/>
      <c r="F42" s="27"/>
      <c r="G42" s="27"/>
      <c r="H42" s="27"/>
      <c r="I42" s="27"/>
      <c r="J42" s="27"/>
      <c r="K42" s="27"/>
      <c r="L42" s="171"/>
      <c r="M42" s="171"/>
      <c r="N42" s="170"/>
      <c r="O42" s="170"/>
      <c r="P42" s="170"/>
      <c r="Q42" s="170"/>
      <c r="R42" s="170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170"/>
      <c r="AF42" s="27"/>
      <c r="AG42" s="27"/>
      <c r="AH42" s="170"/>
      <c r="AI42" s="170"/>
      <c r="AJ42" s="170"/>
      <c r="AK42" s="170"/>
      <c r="AL42" s="27"/>
      <c r="AM42" s="27"/>
      <c r="AN42" s="27"/>
      <c r="AO42" s="27"/>
      <c r="AP42" s="27"/>
      <c r="AQ42" s="27"/>
    </row>
    <row r="43" ht="14.25" customHeight="1">
      <c r="A43" s="27"/>
      <c r="B43" s="27"/>
      <c r="C43" s="27"/>
      <c r="D43" s="170"/>
      <c r="E43" s="27"/>
      <c r="F43" s="27"/>
      <c r="G43" s="27"/>
      <c r="H43" s="27"/>
      <c r="I43" s="27"/>
      <c r="J43" s="27"/>
      <c r="K43" s="27"/>
      <c r="L43" s="171"/>
      <c r="M43" s="171"/>
      <c r="N43" s="170"/>
      <c r="O43" s="170"/>
      <c r="P43" s="170"/>
      <c r="Q43" s="170"/>
      <c r="R43" s="170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170"/>
      <c r="AF43" s="27"/>
      <c r="AG43" s="27"/>
      <c r="AH43" s="170"/>
      <c r="AI43" s="170"/>
      <c r="AJ43" s="170"/>
      <c r="AK43" s="170"/>
      <c r="AL43" s="27"/>
      <c r="AM43" s="27"/>
      <c r="AN43" s="27"/>
      <c r="AO43" s="27"/>
      <c r="AP43" s="27"/>
      <c r="AQ43" s="27"/>
    </row>
    <row r="44" ht="14.25" customHeight="1">
      <c r="A44" s="27"/>
      <c r="B44" s="27"/>
      <c r="C44" s="27"/>
      <c r="D44" s="170"/>
      <c r="E44" s="27"/>
      <c r="F44" s="27"/>
      <c r="G44" s="27"/>
      <c r="H44" s="27"/>
      <c r="I44" s="27"/>
      <c r="J44" s="27"/>
      <c r="K44" s="27"/>
      <c r="L44" s="171"/>
      <c r="M44" s="171"/>
      <c r="N44" s="170"/>
      <c r="O44" s="170"/>
      <c r="P44" s="170"/>
      <c r="Q44" s="170"/>
      <c r="R44" s="170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170"/>
      <c r="AF44" s="27"/>
      <c r="AG44" s="27"/>
      <c r="AH44" s="170"/>
      <c r="AI44" s="170"/>
      <c r="AJ44" s="170"/>
      <c r="AK44" s="170"/>
      <c r="AL44" s="27"/>
      <c r="AM44" s="27"/>
      <c r="AN44" s="27"/>
      <c r="AO44" s="27"/>
      <c r="AP44" s="27"/>
      <c r="AQ44" s="27"/>
    </row>
    <row r="45" ht="14.25" customHeight="1">
      <c r="A45" s="27"/>
      <c r="B45" s="27"/>
      <c r="C45" s="27"/>
      <c r="D45" s="170"/>
      <c r="E45" s="27"/>
      <c r="F45" s="27"/>
      <c r="G45" s="27"/>
      <c r="H45" s="27"/>
      <c r="I45" s="27"/>
      <c r="J45" s="27"/>
      <c r="K45" s="27"/>
      <c r="L45" s="171"/>
      <c r="M45" s="171"/>
      <c r="N45" s="170"/>
      <c r="O45" s="170"/>
      <c r="P45" s="170"/>
      <c r="Q45" s="170"/>
      <c r="R45" s="170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170"/>
      <c r="AF45" s="27"/>
      <c r="AG45" s="27"/>
      <c r="AH45" s="170"/>
      <c r="AI45" s="170"/>
      <c r="AJ45" s="170"/>
      <c r="AK45" s="170"/>
      <c r="AL45" s="27"/>
      <c r="AM45" s="27"/>
      <c r="AN45" s="27"/>
      <c r="AO45" s="27"/>
      <c r="AP45" s="27"/>
      <c r="AQ45" s="27"/>
    </row>
    <row r="46" ht="14.25" customHeight="1">
      <c r="A46" s="27"/>
      <c r="B46" s="27"/>
      <c r="C46" s="27"/>
      <c r="D46" s="170"/>
      <c r="E46" s="27"/>
      <c r="F46" s="27"/>
      <c r="G46" s="27"/>
      <c r="H46" s="27"/>
      <c r="I46" s="27"/>
      <c r="J46" s="27"/>
      <c r="K46" s="27"/>
      <c r="L46" s="171"/>
      <c r="M46" s="171"/>
      <c r="N46" s="170"/>
      <c r="O46" s="170"/>
      <c r="P46" s="170"/>
      <c r="Q46" s="170"/>
      <c r="R46" s="170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170"/>
      <c r="AF46" s="27"/>
      <c r="AG46" s="27"/>
      <c r="AH46" s="170"/>
      <c r="AI46" s="170"/>
      <c r="AJ46" s="170"/>
      <c r="AK46" s="170"/>
      <c r="AL46" s="27"/>
      <c r="AM46" s="27"/>
      <c r="AN46" s="27"/>
      <c r="AO46" s="27"/>
      <c r="AP46" s="27"/>
      <c r="AQ46" s="27"/>
    </row>
    <row r="47" ht="14.25" customHeight="1">
      <c r="A47" s="27"/>
      <c r="B47" s="27"/>
      <c r="C47" s="27"/>
      <c r="D47" s="170"/>
      <c r="E47" s="27"/>
      <c r="F47" s="27"/>
      <c r="G47" s="27"/>
      <c r="H47" s="27"/>
      <c r="I47" s="27"/>
      <c r="J47" s="27"/>
      <c r="K47" s="27"/>
      <c r="L47" s="171"/>
      <c r="M47" s="171"/>
      <c r="N47" s="170"/>
      <c r="O47" s="170"/>
      <c r="P47" s="170"/>
      <c r="Q47" s="170"/>
      <c r="R47" s="170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170"/>
      <c r="AF47" s="27"/>
      <c r="AG47" s="27"/>
      <c r="AH47" s="170"/>
      <c r="AI47" s="170"/>
      <c r="AJ47" s="170"/>
      <c r="AK47" s="170"/>
      <c r="AL47" s="27"/>
      <c r="AM47" s="27"/>
      <c r="AN47" s="27"/>
      <c r="AO47" s="27"/>
      <c r="AP47" s="27"/>
      <c r="AQ47" s="27"/>
    </row>
    <row r="48" ht="14.25" customHeight="1">
      <c r="A48" s="27"/>
      <c r="B48" s="27"/>
      <c r="C48" s="27"/>
      <c r="D48" s="170"/>
      <c r="E48" s="27"/>
      <c r="F48" s="27"/>
      <c r="G48" s="27"/>
      <c r="H48" s="27"/>
      <c r="I48" s="27"/>
      <c r="J48" s="27"/>
      <c r="K48" s="27"/>
      <c r="L48" s="171"/>
      <c r="M48" s="171"/>
      <c r="N48" s="170"/>
      <c r="O48" s="170"/>
      <c r="P48" s="170"/>
      <c r="Q48" s="170"/>
      <c r="R48" s="170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170"/>
      <c r="AF48" s="27"/>
      <c r="AG48" s="27"/>
      <c r="AH48" s="170"/>
      <c r="AI48" s="170"/>
      <c r="AJ48" s="170"/>
      <c r="AK48" s="170"/>
      <c r="AL48" s="27"/>
      <c r="AM48" s="27"/>
      <c r="AN48" s="27"/>
      <c r="AO48" s="27"/>
      <c r="AP48" s="27"/>
      <c r="AQ48" s="27"/>
    </row>
    <row r="49" ht="14.25" customHeight="1">
      <c r="A49" s="27"/>
      <c r="B49" s="27"/>
      <c r="C49" s="27"/>
      <c r="D49" s="170"/>
      <c r="E49" s="27"/>
      <c r="F49" s="27"/>
      <c r="G49" s="27"/>
      <c r="H49" s="27"/>
      <c r="I49" s="27"/>
      <c r="J49" s="27"/>
      <c r="K49" s="27"/>
      <c r="L49" s="171"/>
      <c r="M49" s="171"/>
      <c r="N49" s="170"/>
      <c r="O49" s="170"/>
      <c r="P49" s="170"/>
      <c r="Q49" s="170"/>
      <c r="R49" s="170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170"/>
      <c r="AF49" s="27"/>
      <c r="AG49" s="27"/>
      <c r="AH49" s="170"/>
      <c r="AI49" s="170"/>
      <c r="AJ49" s="170"/>
      <c r="AK49" s="170"/>
      <c r="AL49" s="27"/>
      <c r="AM49" s="27"/>
      <c r="AN49" s="27"/>
      <c r="AO49" s="27"/>
      <c r="AP49" s="27"/>
      <c r="AQ49" s="27"/>
    </row>
    <row r="50" ht="14.25" customHeight="1">
      <c r="A50" s="27"/>
      <c r="B50" s="27"/>
      <c r="C50" s="27"/>
      <c r="D50" s="170"/>
      <c r="E50" s="27"/>
      <c r="F50" s="27"/>
      <c r="G50" s="27"/>
      <c r="H50" s="27"/>
      <c r="I50" s="27"/>
      <c r="J50" s="27"/>
      <c r="K50" s="27"/>
      <c r="L50" s="171"/>
      <c r="M50" s="171"/>
      <c r="N50" s="170"/>
      <c r="O50" s="170"/>
      <c r="P50" s="170"/>
      <c r="Q50" s="170"/>
      <c r="R50" s="170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170"/>
      <c r="AF50" s="27"/>
      <c r="AG50" s="27"/>
      <c r="AH50" s="170"/>
      <c r="AI50" s="170"/>
      <c r="AJ50" s="170"/>
      <c r="AK50" s="170"/>
      <c r="AL50" s="27"/>
      <c r="AM50" s="27"/>
      <c r="AN50" s="27"/>
      <c r="AO50" s="27"/>
      <c r="AP50" s="27"/>
      <c r="AQ50" s="27"/>
    </row>
    <row r="51" ht="14.25" customHeight="1">
      <c r="A51" s="27"/>
      <c r="B51" s="27"/>
      <c r="C51" s="27"/>
      <c r="D51" s="170"/>
      <c r="E51" s="27"/>
      <c r="F51" s="27"/>
      <c r="G51" s="27"/>
      <c r="H51" s="27"/>
      <c r="I51" s="27"/>
      <c r="J51" s="27"/>
      <c r="K51" s="27"/>
      <c r="L51" s="171"/>
      <c r="M51" s="171"/>
      <c r="N51" s="170"/>
      <c r="O51" s="170"/>
      <c r="P51" s="170"/>
      <c r="Q51" s="170"/>
      <c r="R51" s="170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170"/>
      <c r="AF51" s="27"/>
      <c r="AG51" s="27"/>
      <c r="AH51" s="170"/>
      <c r="AI51" s="170"/>
      <c r="AJ51" s="170"/>
      <c r="AK51" s="170"/>
      <c r="AL51" s="27"/>
      <c r="AM51" s="27"/>
      <c r="AN51" s="27"/>
      <c r="AO51" s="27"/>
      <c r="AP51" s="27"/>
      <c r="AQ51" s="27"/>
    </row>
    <row r="52" ht="14.25" customHeight="1">
      <c r="A52" s="27"/>
      <c r="B52" s="27"/>
      <c r="C52" s="27"/>
      <c r="D52" s="170"/>
      <c r="E52" s="27"/>
      <c r="F52" s="27"/>
      <c r="G52" s="27"/>
      <c r="H52" s="27"/>
      <c r="I52" s="27"/>
      <c r="J52" s="27"/>
      <c r="K52" s="27"/>
      <c r="L52" s="171"/>
      <c r="M52" s="171"/>
      <c r="N52" s="170"/>
      <c r="O52" s="170"/>
      <c r="P52" s="170"/>
      <c r="Q52" s="170"/>
      <c r="R52" s="170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170"/>
      <c r="AF52" s="27"/>
      <c r="AG52" s="27"/>
      <c r="AH52" s="170"/>
      <c r="AI52" s="170"/>
      <c r="AJ52" s="170"/>
      <c r="AK52" s="170"/>
      <c r="AL52" s="27"/>
      <c r="AM52" s="27"/>
      <c r="AN52" s="27"/>
      <c r="AO52" s="27"/>
      <c r="AP52" s="27"/>
      <c r="AQ52" s="27"/>
    </row>
    <row r="53" ht="14.25" customHeight="1">
      <c r="A53" s="27"/>
      <c r="B53" s="27"/>
      <c r="C53" s="27"/>
      <c r="D53" s="170"/>
      <c r="E53" s="27"/>
      <c r="F53" s="27"/>
      <c r="G53" s="27"/>
      <c r="H53" s="27"/>
      <c r="I53" s="27"/>
      <c r="J53" s="27"/>
      <c r="K53" s="27"/>
      <c r="L53" s="171"/>
      <c r="M53" s="171"/>
      <c r="N53" s="170"/>
      <c r="O53" s="170"/>
      <c r="P53" s="170"/>
      <c r="Q53" s="170"/>
      <c r="R53" s="170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170"/>
      <c r="AF53" s="27"/>
      <c r="AG53" s="27"/>
      <c r="AH53" s="170"/>
      <c r="AI53" s="170"/>
      <c r="AJ53" s="170"/>
      <c r="AK53" s="170"/>
      <c r="AL53" s="27"/>
      <c r="AM53" s="27"/>
      <c r="AN53" s="27"/>
      <c r="AO53" s="27"/>
      <c r="AP53" s="27"/>
      <c r="AQ53" s="27"/>
    </row>
    <row r="54" ht="14.25" customHeight="1">
      <c r="A54" s="27"/>
      <c r="B54" s="27"/>
      <c r="C54" s="27"/>
      <c r="D54" s="170"/>
      <c r="E54" s="27"/>
      <c r="F54" s="27"/>
      <c r="G54" s="27"/>
      <c r="H54" s="27"/>
      <c r="I54" s="27"/>
      <c r="J54" s="27"/>
      <c r="K54" s="27"/>
      <c r="L54" s="171"/>
      <c r="M54" s="171"/>
      <c r="N54" s="170"/>
      <c r="O54" s="170"/>
      <c r="P54" s="170"/>
      <c r="Q54" s="170"/>
      <c r="R54" s="170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170"/>
      <c r="AF54" s="27"/>
      <c r="AG54" s="27"/>
      <c r="AH54" s="170"/>
      <c r="AI54" s="170"/>
      <c r="AJ54" s="170"/>
      <c r="AK54" s="170"/>
      <c r="AL54" s="27"/>
      <c r="AM54" s="27"/>
      <c r="AN54" s="27"/>
      <c r="AO54" s="27"/>
      <c r="AP54" s="27"/>
      <c r="AQ54" s="27"/>
    </row>
    <row r="55" ht="14.25" customHeight="1">
      <c r="A55" s="27"/>
      <c r="B55" s="27"/>
      <c r="C55" s="27"/>
      <c r="D55" s="170"/>
      <c r="E55" s="27"/>
      <c r="F55" s="27"/>
      <c r="G55" s="27"/>
      <c r="H55" s="27"/>
      <c r="I55" s="27"/>
      <c r="J55" s="27"/>
      <c r="K55" s="27"/>
      <c r="L55" s="171"/>
      <c r="M55" s="171"/>
      <c r="N55" s="170"/>
      <c r="O55" s="170"/>
      <c r="P55" s="170"/>
      <c r="Q55" s="170"/>
      <c r="R55" s="170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170"/>
      <c r="AF55" s="27"/>
      <c r="AG55" s="27"/>
      <c r="AH55" s="170"/>
      <c r="AI55" s="170"/>
      <c r="AJ55" s="170"/>
      <c r="AK55" s="170"/>
      <c r="AL55" s="27"/>
      <c r="AM55" s="27"/>
      <c r="AN55" s="27"/>
      <c r="AO55" s="27"/>
      <c r="AP55" s="27"/>
      <c r="AQ55" s="27"/>
    </row>
    <row r="56" ht="14.25" customHeight="1">
      <c r="A56" s="27"/>
      <c r="B56" s="27"/>
      <c r="C56" s="27"/>
      <c r="D56" s="170"/>
      <c r="E56" s="27"/>
      <c r="F56" s="27"/>
      <c r="G56" s="27"/>
      <c r="H56" s="27"/>
      <c r="I56" s="27"/>
      <c r="J56" s="27"/>
      <c r="K56" s="27"/>
      <c r="L56" s="171"/>
      <c r="M56" s="171"/>
      <c r="N56" s="170"/>
      <c r="O56" s="170"/>
      <c r="P56" s="170"/>
      <c r="Q56" s="170"/>
      <c r="R56" s="170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170"/>
      <c r="AF56" s="27"/>
      <c r="AG56" s="27"/>
      <c r="AH56" s="170"/>
      <c r="AI56" s="170"/>
      <c r="AJ56" s="170"/>
      <c r="AK56" s="170"/>
      <c r="AL56" s="27"/>
      <c r="AM56" s="27"/>
      <c r="AN56" s="27"/>
      <c r="AO56" s="27"/>
      <c r="AP56" s="27"/>
      <c r="AQ56" s="27"/>
    </row>
    <row r="57" ht="14.25" customHeight="1">
      <c r="A57" s="27"/>
      <c r="B57" s="27"/>
      <c r="C57" s="27"/>
      <c r="D57" s="170"/>
      <c r="E57" s="27"/>
      <c r="F57" s="27"/>
      <c r="G57" s="27"/>
      <c r="H57" s="27"/>
      <c r="I57" s="27"/>
      <c r="J57" s="27"/>
      <c r="K57" s="27"/>
      <c r="L57" s="171"/>
      <c r="M57" s="171"/>
      <c r="N57" s="170"/>
      <c r="O57" s="170"/>
      <c r="P57" s="170"/>
      <c r="Q57" s="170"/>
      <c r="R57" s="170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170"/>
      <c r="AF57" s="27"/>
      <c r="AG57" s="27"/>
      <c r="AH57" s="170"/>
      <c r="AI57" s="170"/>
      <c r="AJ57" s="170"/>
      <c r="AK57" s="170"/>
      <c r="AL57" s="27"/>
      <c r="AM57" s="27"/>
      <c r="AN57" s="27"/>
      <c r="AO57" s="27"/>
      <c r="AP57" s="27"/>
      <c r="AQ57" s="27"/>
    </row>
    <row r="58" ht="14.25" customHeight="1">
      <c r="A58" s="27"/>
      <c r="B58" s="27"/>
      <c r="C58" s="27"/>
      <c r="D58" s="170"/>
      <c r="E58" s="27"/>
      <c r="F58" s="27"/>
      <c r="G58" s="27"/>
      <c r="H58" s="27"/>
      <c r="I58" s="27"/>
      <c r="J58" s="27"/>
      <c r="K58" s="27"/>
      <c r="L58" s="171"/>
      <c r="M58" s="171"/>
      <c r="N58" s="170"/>
      <c r="O58" s="170"/>
      <c r="P58" s="170"/>
      <c r="Q58" s="170"/>
      <c r="R58" s="170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170"/>
      <c r="AF58" s="27"/>
      <c r="AG58" s="27"/>
      <c r="AH58" s="170"/>
      <c r="AI58" s="170"/>
      <c r="AJ58" s="170"/>
      <c r="AK58" s="170"/>
      <c r="AL58" s="27"/>
      <c r="AM58" s="27"/>
      <c r="AN58" s="27"/>
      <c r="AO58" s="27"/>
      <c r="AP58" s="27"/>
      <c r="AQ58" s="27"/>
    </row>
    <row r="59" ht="14.25" customHeight="1">
      <c r="A59" s="27"/>
      <c r="B59" s="27"/>
      <c r="C59" s="27"/>
      <c r="D59" s="170"/>
      <c r="E59" s="27"/>
      <c r="F59" s="27"/>
      <c r="G59" s="27"/>
      <c r="H59" s="27"/>
      <c r="I59" s="27"/>
      <c r="J59" s="27"/>
      <c r="K59" s="27"/>
      <c r="L59" s="171"/>
      <c r="M59" s="171"/>
      <c r="N59" s="170"/>
      <c r="O59" s="170"/>
      <c r="P59" s="170"/>
      <c r="Q59" s="170"/>
      <c r="R59" s="170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170"/>
      <c r="AF59" s="27"/>
      <c r="AG59" s="27"/>
      <c r="AH59" s="170"/>
      <c r="AI59" s="170"/>
      <c r="AJ59" s="170"/>
      <c r="AK59" s="170"/>
      <c r="AL59" s="27"/>
      <c r="AM59" s="27"/>
      <c r="AN59" s="27"/>
      <c r="AO59" s="27"/>
      <c r="AP59" s="27"/>
      <c r="AQ59" s="27"/>
    </row>
    <row r="60" ht="14.25" customHeight="1">
      <c r="A60" s="27"/>
      <c r="B60" s="27"/>
      <c r="C60" s="27"/>
      <c r="D60" s="170"/>
      <c r="E60" s="27"/>
      <c r="F60" s="27"/>
      <c r="G60" s="27"/>
      <c r="H60" s="27"/>
      <c r="I60" s="27"/>
      <c r="J60" s="27"/>
      <c r="K60" s="27"/>
      <c r="L60" s="171"/>
      <c r="M60" s="171"/>
      <c r="N60" s="170"/>
      <c r="O60" s="170"/>
      <c r="P60" s="170"/>
      <c r="Q60" s="170"/>
      <c r="R60" s="170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170"/>
      <c r="AF60" s="27"/>
      <c r="AG60" s="27"/>
      <c r="AH60" s="170"/>
      <c r="AI60" s="170"/>
      <c r="AJ60" s="170"/>
      <c r="AK60" s="170"/>
      <c r="AL60" s="27"/>
      <c r="AM60" s="27"/>
      <c r="AN60" s="27"/>
      <c r="AO60" s="27"/>
      <c r="AP60" s="27"/>
      <c r="AQ60" s="27"/>
    </row>
    <row r="61" ht="14.25" customHeight="1">
      <c r="A61" s="27"/>
      <c r="B61" s="27"/>
      <c r="C61" s="27"/>
      <c r="D61" s="170"/>
      <c r="E61" s="27"/>
      <c r="F61" s="27"/>
      <c r="G61" s="27"/>
      <c r="H61" s="27"/>
      <c r="I61" s="27"/>
      <c r="J61" s="27"/>
      <c r="K61" s="27"/>
      <c r="L61" s="171"/>
      <c r="M61" s="171"/>
      <c r="N61" s="170"/>
      <c r="O61" s="170"/>
      <c r="P61" s="170"/>
      <c r="Q61" s="170"/>
      <c r="R61" s="170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170"/>
      <c r="AF61" s="27"/>
      <c r="AG61" s="27"/>
      <c r="AH61" s="170"/>
      <c r="AI61" s="170"/>
      <c r="AJ61" s="170"/>
      <c r="AK61" s="170"/>
      <c r="AL61" s="27"/>
      <c r="AM61" s="27"/>
      <c r="AN61" s="27"/>
      <c r="AO61" s="27"/>
      <c r="AP61" s="27"/>
      <c r="AQ61" s="27"/>
    </row>
    <row r="62" ht="14.25" customHeight="1">
      <c r="A62" s="27"/>
      <c r="B62" s="27"/>
      <c r="C62" s="27"/>
      <c r="D62" s="170"/>
      <c r="E62" s="27"/>
      <c r="F62" s="27"/>
      <c r="G62" s="27"/>
      <c r="H62" s="27"/>
      <c r="I62" s="27"/>
      <c r="J62" s="27"/>
      <c r="K62" s="27"/>
      <c r="L62" s="171"/>
      <c r="M62" s="171"/>
      <c r="N62" s="170"/>
      <c r="O62" s="170"/>
      <c r="P62" s="170"/>
      <c r="Q62" s="170"/>
      <c r="R62" s="170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170"/>
      <c r="AF62" s="27"/>
      <c r="AG62" s="27"/>
      <c r="AH62" s="170"/>
      <c r="AI62" s="170"/>
      <c r="AJ62" s="170"/>
      <c r="AK62" s="170"/>
      <c r="AL62" s="27"/>
      <c r="AM62" s="27"/>
      <c r="AN62" s="27"/>
      <c r="AO62" s="27"/>
      <c r="AP62" s="27"/>
      <c r="AQ62" s="27"/>
    </row>
    <row r="63" ht="14.25" customHeight="1">
      <c r="A63" s="27"/>
      <c r="B63" s="27"/>
      <c r="C63" s="27"/>
      <c r="D63" s="170"/>
      <c r="E63" s="27"/>
      <c r="F63" s="27"/>
      <c r="G63" s="27"/>
      <c r="H63" s="27"/>
      <c r="I63" s="27"/>
      <c r="J63" s="27"/>
      <c r="K63" s="27"/>
      <c r="L63" s="171"/>
      <c r="M63" s="171"/>
      <c r="N63" s="170"/>
      <c r="O63" s="170"/>
      <c r="P63" s="170"/>
      <c r="Q63" s="170"/>
      <c r="R63" s="170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170"/>
      <c r="AF63" s="27"/>
      <c r="AG63" s="27"/>
      <c r="AH63" s="170"/>
      <c r="AI63" s="170"/>
      <c r="AJ63" s="170"/>
      <c r="AK63" s="170"/>
      <c r="AL63" s="27"/>
      <c r="AM63" s="27"/>
      <c r="AN63" s="27"/>
      <c r="AO63" s="27"/>
      <c r="AP63" s="27"/>
      <c r="AQ63" s="27"/>
    </row>
    <row r="64" ht="14.25" customHeight="1">
      <c r="A64" s="27"/>
      <c r="B64" s="27"/>
      <c r="C64" s="27"/>
      <c r="D64" s="170"/>
      <c r="E64" s="27"/>
      <c r="F64" s="27"/>
      <c r="G64" s="27"/>
      <c r="H64" s="27"/>
      <c r="I64" s="27"/>
      <c r="J64" s="27"/>
      <c r="K64" s="27"/>
      <c r="L64" s="171"/>
      <c r="M64" s="171"/>
      <c r="N64" s="170"/>
      <c r="O64" s="170"/>
      <c r="P64" s="170"/>
      <c r="Q64" s="170"/>
      <c r="R64" s="170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170"/>
      <c r="AF64" s="27"/>
      <c r="AG64" s="27"/>
      <c r="AH64" s="170"/>
      <c r="AI64" s="170"/>
      <c r="AJ64" s="170"/>
      <c r="AK64" s="170"/>
      <c r="AL64" s="27"/>
      <c r="AM64" s="27"/>
      <c r="AN64" s="27"/>
      <c r="AO64" s="27"/>
      <c r="AP64" s="27"/>
      <c r="AQ64" s="27"/>
    </row>
    <row r="65" ht="14.25" customHeight="1">
      <c r="A65" s="27"/>
      <c r="B65" s="27"/>
      <c r="C65" s="27"/>
      <c r="D65" s="170"/>
      <c r="E65" s="27"/>
      <c r="F65" s="27"/>
      <c r="G65" s="27"/>
      <c r="H65" s="27"/>
      <c r="I65" s="27"/>
      <c r="J65" s="27"/>
      <c r="K65" s="27"/>
      <c r="L65" s="171"/>
      <c r="M65" s="171"/>
      <c r="N65" s="170"/>
      <c r="O65" s="170"/>
      <c r="P65" s="170"/>
      <c r="Q65" s="170"/>
      <c r="R65" s="170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170"/>
      <c r="AF65" s="27"/>
      <c r="AG65" s="27"/>
      <c r="AH65" s="170"/>
      <c r="AI65" s="170"/>
      <c r="AJ65" s="170"/>
      <c r="AK65" s="170"/>
      <c r="AL65" s="27"/>
      <c r="AM65" s="27"/>
      <c r="AN65" s="27"/>
      <c r="AO65" s="27"/>
      <c r="AP65" s="27"/>
      <c r="AQ65" s="27"/>
    </row>
    <row r="66" ht="14.25" customHeight="1">
      <c r="A66" s="27"/>
      <c r="B66" s="27"/>
      <c r="C66" s="27"/>
      <c r="D66" s="170"/>
      <c r="E66" s="27"/>
      <c r="F66" s="27"/>
      <c r="G66" s="27"/>
      <c r="H66" s="27"/>
      <c r="I66" s="27"/>
      <c r="J66" s="27"/>
      <c r="K66" s="27"/>
      <c r="L66" s="171"/>
      <c r="M66" s="171"/>
      <c r="N66" s="170"/>
      <c r="O66" s="170"/>
      <c r="P66" s="170"/>
      <c r="Q66" s="170"/>
      <c r="R66" s="170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170"/>
      <c r="AF66" s="27"/>
      <c r="AG66" s="27"/>
      <c r="AH66" s="170"/>
      <c r="AI66" s="170"/>
      <c r="AJ66" s="170"/>
      <c r="AK66" s="170"/>
      <c r="AL66" s="27"/>
      <c r="AM66" s="27"/>
      <c r="AN66" s="27"/>
      <c r="AO66" s="27"/>
      <c r="AP66" s="27"/>
      <c r="AQ66" s="27"/>
    </row>
    <row r="67" ht="14.25" customHeight="1">
      <c r="A67" s="27"/>
      <c r="B67" s="27"/>
      <c r="C67" s="27"/>
      <c r="D67" s="170"/>
      <c r="E67" s="27"/>
      <c r="F67" s="27"/>
      <c r="G67" s="27"/>
      <c r="H67" s="27"/>
      <c r="I67" s="27"/>
      <c r="J67" s="27"/>
      <c r="K67" s="27"/>
      <c r="L67" s="171"/>
      <c r="M67" s="171"/>
      <c r="N67" s="170"/>
      <c r="O67" s="170"/>
      <c r="P67" s="170"/>
      <c r="Q67" s="170"/>
      <c r="R67" s="170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170"/>
      <c r="AF67" s="27"/>
      <c r="AG67" s="27"/>
      <c r="AH67" s="170"/>
      <c r="AI67" s="170"/>
      <c r="AJ67" s="170"/>
      <c r="AK67" s="170"/>
      <c r="AL67" s="27"/>
      <c r="AM67" s="27"/>
      <c r="AN67" s="27"/>
      <c r="AO67" s="27"/>
      <c r="AP67" s="27"/>
      <c r="AQ67" s="27"/>
    </row>
    <row r="68" ht="14.25" customHeight="1">
      <c r="A68" s="27"/>
      <c r="B68" s="27"/>
      <c r="C68" s="27"/>
      <c r="D68" s="170"/>
      <c r="E68" s="27"/>
      <c r="F68" s="27"/>
      <c r="G68" s="27"/>
      <c r="H68" s="27"/>
      <c r="I68" s="27"/>
      <c r="J68" s="27"/>
      <c r="K68" s="27"/>
      <c r="L68" s="171"/>
      <c r="M68" s="171"/>
      <c r="N68" s="170"/>
      <c r="O68" s="170"/>
      <c r="P68" s="170"/>
      <c r="Q68" s="170"/>
      <c r="R68" s="170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170"/>
      <c r="AF68" s="27"/>
      <c r="AG68" s="27"/>
      <c r="AH68" s="170"/>
      <c r="AI68" s="170"/>
      <c r="AJ68" s="170"/>
      <c r="AK68" s="170"/>
      <c r="AL68" s="27"/>
      <c r="AM68" s="27"/>
      <c r="AN68" s="27"/>
      <c r="AO68" s="27"/>
      <c r="AP68" s="27"/>
      <c r="AQ68" s="27"/>
    </row>
    <row r="69" ht="14.25" customHeight="1">
      <c r="A69" s="27"/>
      <c r="B69" s="27"/>
      <c r="C69" s="27"/>
      <c r="D69" s="170"/>
      <c r="E69" s="27"/>
      <c r="F69" s="27"/>
      <c r="G69" s="27"/>
      <c r="H69" s="27"/>
      <c r="I69" s="27"/>
      <c r="J69" s="27"/>
      <c r="K69" s="27"/>
      <c r="L69" s="171"/>
      <c r="M69" s="171"/>
      <c r="N69" s="170"/>
      <c r="O69" s="170"/>
      <c r="P69" s="170"/>
      <c r="Q69" s="170"/>
      <c r="R69" s="170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170"/>
      <c r="AF69" s="27"/>
      <c r="AG69" s="27"/>
      <c r="AH69" s="170"/>
      <c r="AI69" s="170"/>
      <c r="AJ69" s="170"/>
      <c r="AK69" s="170"/>
      <c r="AL69" s="27"/>
      <c r="AM69" s="27"/>
      <c r="AN69" s="27"/>
      <c r="AO69" s="27"/>
      <c r="AP69" s="27"/>
      <c r="AQ69" s="27"/>
    </row>
    <row r="70" ht="14.25" customHeight="1">
      <c r="A70" s="27"/>
      <c r="B70" s="27"/>
      <c r="C70" s="27"/>
      <c r="D70" s="170"/>
      <c r="E70" s="27"/>
      <c r="F70" s="27"/>
      <c r="G70" s="27"/>
      <c r="H70" s="27"/>
      <c r="I70" s="27"/>
      <c r="J70" s="27"/>
      <c r="K70" s="27"/>
      <c r="L70" s="171"/>
      <c r="M70" s="171"/>
      <c r="N70" s="170"/>
      <c r="O70" s="170"/>
      <c r="P70" s="170"/>
      <c r="Q70" s="170"/>
      <c r="R70" s="170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170"/>
      <c r="AF70" s="27"/>
      <c r="AG70" s="27"/>
      <c r="AH70" s="170"/>
      <c r="AI70" s="170"/>
      <c r="AJ70" s="170"/>
      <c r="AK70" s="170"/>
      <c r="AL70" s="27"/>
      <c r="AM70" s="27"/>
      <c r="AN70" s="27"/>
      <c r="AO70" s="27"/>
      <c r="AP70" s="27"/>
      <c r="AQ70" s="27"/>
    </row>
    <row r="71" ht="14.25" customHeight="1">
      <c r="A71" s="27"/>
      <c r="B71" s="27"/>
      <c r="C71" s="27"/>
      <c r="D71" s="170"/>
      <c r="E71" s="27"/>
      <c r="F71" s="27"/>
      <c r="G71" s="27"/>
      <c r="H71" s="27"/>
      <c r="I71" s="27"/>
      <c r="J71" s="27"/>
      <c r="K71" s="27"/>
      <c r="L71" s="171"/>
      <c r="M71" s="171"/>
      <c r="N71" s="170"/>
      <c r="O71" s="170"/>
      <c r="P71" s="170"/>
      <c r="Q71" s="170"/>
      <c r="R71" s="170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170"/>
      <c r="AF71" s="27"/>
      <c r="AG71" s="27"/>
      <c r="AH71" s="170"/>
      <c r="AI71" s="170"/>
      <c r="AJ71" s="170"/>
      <c r="AK71" s="170"/>
      <c r="AL71" s="27"/>
      <c r="AM71" s="27"/>
      <c r="AN71" s="27"/>
      <c r="AO71" s="27"/>
      <c r="AP71" s="27"/>
      <c r="AQ71" s="27"/>
    </row>
    <row r="72" ht="14.25" customHeight="1">
      <c r="A72" s="27"/>
      <c r="B72" s="27"/>
      <c r="C72" s="27"/>
      <c r="D72" s="170"/>
      <c r="E72" s="27"/>
      <c r="F72" s="27"/>
      <c r="G72" s="27"/>
      <c r="H72" s="27"/>
      <c r="I72" s="27"/>
      <c r="J72" s="27"/>
      <c r="K72" s="27"/>
      <c r="L72" s="171"/>
      <c r="M72" s="171"/>
      <c r="N72" s="170"/>
      <c r="O72" s="170"/>
      <c r="P72" s="170"/>
      <c r="Q72" s="170"/>
      <c r="R72" s="170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170"/>
      <c r="AF72" s="27"/>
      <c r="AG72" s="27"/>
      <c r="AH72" s="170"/>
      <c r="AI72" s="170"/>
      <c r="AJ72" s="170"/>
      <c r="AK72" s="170"/>
      <c r="AL72" s="27"/>
      <c r="AM72" s="27"/>
      <c r="AN72" s="27"/>
      <c r="AO72" s="27"/>
      <c r="AP72" s="27"/>
      <c r="AQ72" s="27"/>
    </row>
    <row r="73" ht="14.25" customHeight="1">
      <c r="A73" s="27"/>
      <c r="B73" s="27"/>
      <c r="C73" s="27"/>
      <c r="D73" s="170"/>
      <c r="E73" s="27"/>
      <c r="F73" s="27"/>
      <c r="G73" s="27"/>
      <c r="H73" s="27"/>
      <c r="I73" s="27"/>
      <c r="J73" s="27"/>
      <c r="K73" s="27"/>
      <c r="L73" s="171"/>
      <c r="M73" s="171"/>
      <c r="N73" s="170"/>
      <c r="O73" s="170"/>
      <c r="P73" s="170"/>
      <c r="Q73" s="170"/>
      <c r="R73" s="170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170"/>
      <c r="AF73" s="27"/>
      <c r="AG73" s="27"/>
      <c r="AH73" s="170"/>
      <c r="AI73" s="170"/>
      <c r="AJ73" s="170"/>
      <c r="AK73" s="170"/>
      <c r="AL73" s="27"/>
      <c r="AM73" s="27"/>
      <c r="AN73" s="27"/>
      <c r="AO73" s="27"/>
      <c r="AP73" s="27"/>
      <c r="AQ73" s="27"/>
    </row>
    <row r="74" ht="14.25" customHeight="1">
      <c r="A74" s="27"/>
      <c r="B74" s="27"/>
      <c r="C74" s="27"/>
      <c r="D74" s="170"/>
      <c r="E74" s="27"/>
      <c r="F74" s="27"/>
      <c r="G74" s="27"/>
      <c r="H74" s="27"/>
      <c r="I74" s="27"/>
      <c r="J74" s="27"/>
      <c r="K74" s="27"/>
      <c r="L74" s="171"/>
      <c r="M74" s="171"/>
      <c r="N74" s="170"/>
      <c r="O74" s="170"/>
      <c r="P74" s="170"/>
      <c r="Q74" s="170"/>
      <c r="R74" s="170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170"/>
      <c r="AF74" s="27"/>
      <c r="AG74" s="27"/>
      <c r="AH74" s="170"/>
      <c r="AI74" s="170"/>
      <c r="AJ74" s="170"/>
      <c r="AK74" s="170"/>
      <c r="AL74" s="27"/>
      <c r="AM74" s="27"/>
      <c r="AN74" s="27"/>
      <c r="AO74" s="27"/>
      <c r="AP74" s="27"/>
      <c r="AQ74" s="27"/>
    </row>
    <row r="75" ht="14.25" customHeight="1">
      <c r="A75" s="27"/>
      <c r="B75" s="27"/>
      <c r="C75" s="27"/>
      <c r="D75" s="170"/>
      <c r="E75" s="27"/>
      <c r="F75" s="27"/>
      <c r="G75" s="27"/>
      <c r="H75" s="27"/>
      <c r="I75" s="27"/>
      <c r="J75" s="27"/>
      <c r="K75" s="27"/>
      <c r="L75" s="171"/>
      <c r="M75" s="171"/>
      <c r="N75" s="170"/>
      <c r="O75" s="170"/>
      <c r="P75" s="170"/>
      <c r="Q75" s="170"/>
      <c r="R75" s="170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170"/>
      <c r="AF75" s="27"/>
      <c r="AG75" s="27"/>
      <c r="AH75" s="170"/>
      <c r="AI75" s="170"/>
      <c r="AJ75" s="170"/>
      <c r="AK75" s="170"/>
      <c r="AL75" s="27"/>
      <c r="AM75" s="27"/>
      <c r="AN75" s="27"/>
      <c r="AO75" s="27"/>
      <c r="AP75" s="27"/>
      <c r="AQ75" s="27"/>
    </row>
    <row r="76" ht="14.25" customHeight="1">
      <c r="A76" s="27"/>
      <c r="B76" s="27"/>
      <c r="C76" s="27"/>
      <c r="D76" s="170"/>
      <c r="E76" s="27"/>
      <c r="F76" s="27"/>
      <c r="G76" s="27"/>
      <c r="H76" s="27"/>
      <c r="I76" s="27"/>
      <c r="J76" s="27"/>
      <c r="K76" s="27"/>
      <c r="L76" s="171"/>
      <c r="M76" s="171"/>
      <c r="N76" s="170"/>
      <c r="O76" s="170"/>
      <c r="P76" s="170"/>
      <c r="Q76" s="170"/>
      <c r="R76" s="170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170"/>
      <c r="AF76" s="27"/>
      <c r="AG76" s="27"/>
      <c r="AH76" s="170"/>
      <c r="AI76" s="170"/>
      <c r="AJ76" s="170"/>
      <c r="AK76" s="170"/>
      <c r="AL76" s="27"/>
      <c r="AM76" s="27"/>
      <c r="AN76" s="27"/>
      <c r="AO76" s="27"/>
      <c r="AP76" s="27"/>
      <c r="AQ76" s="27"/>
    </row>
    <row r="77" ht="14.25" customHeight="1">
      <c r="A77" s="27"/>
      <c r="B77" s="27"/>
      <c r="C77" s="27"/>
      <c r="D77" s="170"/>
      <c r="E77" s="27"/>
      <c r="F77" s="27"/>
      <c r="G77" s="27"/>
      <c r="H77" s="27"/>
      <c r="I77" s="27"/>
      <c r="J77" s="27"/>
      <c r="K77" s="27"/>
      <c r="L77" s="171"/>
      <c r="M77" s="171"/>
      <c r="N77" s="170"/>
      <c r="O77" s="170"/>
      <c r="P77" s="170"/>
      <c r="Q77" s="170"/>
      <c r="R77" s="170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170"/>
      <c r="AF77" s="27"/>
      <c r="AG77" s="27"/>
      <c r="AH77" s="170"/>
      <c r="AI77" s="170"/>
      <c r="AJ77" s="170"/>
      <c r="AK77" s="170"/>
      <c r="AL77" s="27"/>
      <c r="AM77" s="27"/>
      <c r="AN77" s="27"/>
      <c r="AO77" s="27"/>
      <c r="AP77" s="27"/>
      <c r="AQ77" s="27"/>
    </row>
    <row r="78" ht="14.25" customHeight="1">
      <c r="A78" s="27"/>
      <c r="B78" s="27"/>
      <c r="C78" s="27"/>
      <c r="D78" s="170"/>
      <c r="E78" s="27"/>
      <c r="F78" s="27"/>
      <c r="G78" s="27"/>
      <c r="H78" s="27"/>
      <c r="I78" s="27"/>
      <c r="J78" s="27"/>
      <c r="K78" s="27"/>
      <c r="L78" s="171"/>
      <c r="M78" s="171"/>
      <c r="N78" s="170"/>
      <c r="O78" s="170"/>
      <c r="P78" s="170"/>
      <c r="Q78" s="170"/>
      <c r="R78" s="170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170"/>
      <c r="AF78" s="27"/>
      <c r="AG78" s="27"/>
      <c r="AH78" s="170"/>
      <c r="AI78" s="170"/>
      <c r="AJ78" s="170"/>
      <c r="AK78" s="170"/>
      <c r="AL78" s="27"/>
      <c r="AM78" s="27"/>
      <c r="AN78" s="27"/>
      <c r="AO78" s="27"/>
      <c r="AP78" s="27"/>
      <c r="AQ78" s="27"/>
    </row>
    <row r="79" ht="14.25" customHeight="1">
      <c r="A79" s="27"/>
      <c r="B79" s="27"/>
      <c r="C79" s="27"/>
      <c r="D79" s="170"/>
      <c r="E79" s="27"/>
      <c r="F79" s="27"/>
      <c r="G79" s="27"/>
      <c r="H79" s="27"/>
      <c r="I79" s="27"/>
      <c r="J79" s="27"/>
      <c r="K79" s="27"/>
      <c r="L79" s="171"/>
      <c r="M79" s="171"/>
      <c r="N79" s="170"/>
      <c r="O79" s="170"/>
      <c r="P79" s="170"/>
      <c r="Q79" s="170"/>
      <c r="R79" s="170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170"/>
      <c r="AF79" s="27"/>
      <c r="AG79" s="27"/>
      <c r="AH79" s="170"/>
      <c r="AI79" s="170"/>
      <c r="AJ79" s="170"/>
      <c r="AK79" s="170"/>
      <c r="AL79" s="27"/>
      <c r="AM79" s="27"/>
      <c r="AN79" s="27"/>
      <c r="AO79" s="27"/>
      <c r="AP79" s="27"/>
      <c r="AQ79" s="27"/>
    </row>
    <row r="80" ht="14.25" customHeight="1">
      <c r="A80" s="27"/>
      <c r="B80" s="27"/>
      <c r="C80" s="27"/>
      <c r="D80" s="170"/>
      <c r="E80" s="27"/>
      <c r="F80" s="27"/>
      <c r="G80" s="27"/>
      <c r="H80" s="27"/>
      <c r="I80" s="27"/>
      <c r="J80" s="27"/>
      <c r="K80" s="27"/>
      <c r="L80" s="171"/>
      <c r="M80" s="171"/>
      <c r="N80" s="170"/>
      <c r="O80" s="170"/>
      <c r="P80" s="170"/>
      <c r="Q80" s="170"/>
      <c r="R80" s="170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170"/>
      <c r="AF80" s="27"/>
      <c r="AG80" s="27"/>
      <c r="AH80" s="170"/>
      <c r="AI80" s="170"/>
      <c r="AJ80" s="170"/>
      <c r="AK80" s="170"/>
      <c r="AL80" s="27"/>
      <c r="AM80" s="27"/>
      <c r="AN80" s="27"/>
      <c r="AO80" s="27"/>
      <c r="AP80" s="27"/>
      <c r="AQ80" s="27"/>
    </row>
    <row r="81" ht="14.25" customHeight="1">
      <c r="A81" s="27"/>
      <c r="B81" s="27"/>
      <c r="C81" s="27"/>
      <c r="D81" s="170"/>
      <c r="E81" s="27"/>
      <c r="F81" s="27"/>
      <c r="G81" s="27"/>
      <c r="H81" s="27"/>
      <c r="I81" s="27"/>
      <c r="J81" s="27"/>
      <c r="K81" s="27"/>
      <c r="L81" s="171"/>
      <c r="M81" s="171"/>
      <c r="N81" s="170"/>
      <c r="O81" s="170"/>
      <c r="P81" s="170"/>
      <c r="Q81" s="170"/>
      <c r="R81" s="170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170"/>
      <c r="AF81" s="27"/>
      <c r="AG81" s="27"/>
      <c r="AH81" s="170"/>
      <c r="AI81" s="170"/>
      <c r="AJ81" s="170"/>
      <c r="AK81" s="170"/>
      <c r="AL81" s="27"/>
      <c r="AM81" s="27"/>
      <c r="AN81" s="27"/>
      <c r="AO81" s="27"/>
      <c r="AP81" s="27"/>
      <c r="AQ81" s="27"/>
    </row>
    <row r="82" ht="14.25" customHeight="1">
      <c r="A82" s="27"/>
      <c r="B82" s="27"/>
      <c r="C82" s="27"/>
      <c r="D82" s="170"/>
      <c r="E82" s="27"/>
      <c r="F82" s="27"/>
      <c r="G82" s="27"/>
      <c r="H82" s="27"/>
      <c r="I82" s="27"/>
      <c r="J82" s="27"/>
      <c r="K82" s="27"/>
      <c r="L82" s="171"/>
      <c r="M82" s="171"/>
      <c r="N82" s="170"/>
      <c r="O82" s="170"/>
      <c r="P82" s="170"/>
      <c r="Q82" s="170"/>
      <c r="R82" s="170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170"/>
      <c r="AF82" s="27"/>
      <c r="AG82" s="27"/>
      <c r="AH82" s="170"/>
      <c r="AI82" s="170"/>
      <c r="AJ82" s="170"/>
      <c r="AK82" s="170"/>
      <c r="AL82" s="27"/>
      <c r="AM82" s="27"/>
      <c r="AN82" s="27"/>
      <c r="AO82" s="27"/>
      <c r="AP82" s="27"/>
      <c r="AQ82" s="27"/>
    </row>
    <row r="83" ht="14.25" customHeight="1">
      <c r="A83" s="27"/>
      <c r="B83" s="27"/>
      <c r="C83" s="27"/>
      <c r="D83" s="170"/>
      <c r="E83" s="27"/>
      <c r="F83" s="27"/>
      <c r="G83" s="27"/>
      <c r="H83" s="27"/>
      <c r="I83" s="27"/>
      <c r="J83" s="27"/>
      <c r="K83" s="27"/>
      <c r="L83" s="171"/>
      <c r="M83" s="171"/>
      <c r="N83" s="170"/>
      <c r="O83" s="170"/>
      <c r="P83" s="170"/>
      <c r="Q83" s="170"/>
      <c r="R83" s="170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170"/>
      <c r="AF83" s="27"/>
      <c r="AG83" s="27"/>
      <c r="AH83" s="170"/>
      <c r="AI83" s="170"/>
      <c r="AJ83" s="170"/>
      <c r="AK83" s="170"/>
      <c r="AL83" s="27"/>
      <c r="AM83" s="27"/>
      <c r="AN83" s="27"/>
      <c r="AO83" s="27"/>
      <c r="AP83" s="27"/>
      <c r="AQ83" s="27"/>
    </row>
    <row r="84" ht="14.25" customHeight="1">
      <c r="A84" s="27"/>
      <c r="B84" s="27"/>
      <c r="C84" s="27"/>
      <c r="D84" s="170"/>
      <c r="E84" s="27"/>
      <c r="F84" s="27"/>
      <c r="G84" s="27"/>
      <c r="H84" s="27"/>
      <c r="I84" s="27"/>
      <c r="J84" s="27"/>
      <c r="K84" s="27"/>
      <c r="L84" s="171"/>
      <c r="M84" s="171"/>
      <c r="N84" s="170"/>
      <c r="O84" s="170"/>
      <c r="P84" s="170"/>
      <c r="Q84" s="170"/>
      <c r="R84" s="170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170"/>
      <c r="AF84" s="27"/>
      <c r="AG84" s="27"/>
      <c r="AH84" s="170"/>
      <c r="AI84" s="170"/>
      <c r="AJ84" s="170"/>
      <c r="AK84" s="170"/>
      <c r="AL84" s="27"/>
      <c r="AM84" s="27"/>
      <c r="AN84" s="27"/>
      <c r="AO84" s="27"/>
      <c r="AP84" s="27"/>
      <c r="AQ84" s="27"/>
    </row>
    <row r="85" ht="14.25" customHeight="1">
      <c r="A85" s="27"/>
      <c r="B85" s="27"/>
      <c r="C85" s="27"/>
      <c r="D85" s="170"/>
      <c r="E85" s="27"/>
      <c r="F85" s="27"/>
      <c r="G85" s="27"/>
      <c r="H85" s="27"/>
      <c r="I85" s="27"/>
      <c r="J85" s="27"/>
      <c r="K85" s="27"/>
      <c r="L85" s="171"/>
      <c r="M85" s="171"/>
      <c r="N85" s="170"/>
      <c r="O85" s="170"/>
      <c r="P85" s="170"/>
      <c r="Q85" s="170"/>
      <c r="R85" s="170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170"/>
      <c r="AF85" s="27"/>
      <c r="AG85" s="27"/>
      <c r="AH85" s="170"/>
      <c r="AI85" s="170"/>
      <c r="AJ85" s="170"/>
      <c r="AK85" s="170"/>
      <c r="AL85" s="27"/>
      <c r="AM85" s="27"/>
      <c r="AN85" s="27"/>
      <c r="AO85" s="27"/>
      <c r="AP85" s="27"/>
      <c r="AQ85" s="27"/>
    </row>
    <row r="86" ht="14.25" customHeight="1">
      <c r="A86" s="27"/>
      <c r="B86" s="27"/>
      <c r="C86" s="27"/>
      <c r="D86" s="170"/>
      <c r="E86" s="27"/>
      <c r="F86" s="27"/>
      <c r="G86" s="27"/>
      <c r="H86" s="27"/>
      <c r="I86" s="27"/>
      <c r="J86" s="27"/>
      <c r="K86" s="27"/>
      <c r="L86" s="171"/>
      <c r="M86" s="171"/>
      <c r="N86" s="170"/>
      <c r="O86" s="170"/>
      <c r="P86" s="170"/>
      <c r="Q86" s="170"/>
      <c r="R86" s="170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170"/>
      <c r="AF86" s="27"/>
      <c r="AG86" s="27"/>
      <c r="AH86" s="170"/>
      <c r="AI86" s="170"/>
      <c r="AJ86" s="170"/>
      <c r="AK86" s="170"/>
      <c r="AL86" s="27"/>
      <c r="AM86" s="27"/>
      <c r="AN86" s="27"/>
      <c r="AO86" s="27"/>
      <c r="AP86" s="27"/>
      <c r="AQ86" s="27"/>
    </row>
    <row r="87" ht="14.25" customHeight="1">
      <c r="A87" s="27"/>
      <c r="B87" s="27"/>
      <c r="C87" s="27"/>
      <c r="D87" s="170"/>
      <c r="E87" s="27"/>
      <c r="F87" s="27"/>
      <c r="G87" s="27"/>
      <c r="H87" s="27"/>
      <c r="I87" s="27"/>
      <c r="J87" s="27"/>
      <c r="K87" s="27"/>
      <c r="L87" s="171"/>
      <c r="M87" s="171"/>
      <c r="N87" s="170"/>
      <c r="O87" s="170"/>
      <c r="P87" s="170"/>
      <c r="Q87" s="170"/>
      <c r="R87" s="170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170"/>
      <c r="AF87" s="27"/>
      <c r="AG87" s="27"/>
      <c r="AH87" s="170"/>
      <c r="AI87" s="170"/>
      <c r="AJ87" s="170"/>
      <c r="AK87" s="170"/>
      <c r="AL87" s="27"/>
      <c r="AM87" s="27"/>
      <c r="AN87" s="27"/>
      <c r="AO87" s="27"/>
      <c r="AP87" s="27"/>
      <c r="AQ87" s="27"/>
    </row>
    <row r="88" ht="14.25" customHeight="1">
      <c r="A88" s="27"/>
      <c r="B88" s="27"/>
      <c r="C88" s="27"/>
      <c r="D88" s="170"/>
      <c r="E88" s="27"/>
      <c r="F88" s="27"/>
      <c r="G88" s="27"/>
      <c r="H88" s="27"/>
      <c r="I88" s="27"/>
      <c r="J88" s="27"/>
      <c r="K88" s="27"/>
      <c r="L88" s="171"/>
      <c r="M88" s="171"/>
      <c r="N88" s="170"/>
      <c r="O88" s="170"/>
      <c r="P88" s="170"/>
      <c r="Q88" s="170"/>
      <c r="R88" s="170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170"/>
      <c r="AF88" s="27"/>
      <c r="AG88" s="27"/>
      <c r="AH88" s="170"/>
      <c r="AI88" s="170"/>
      <c r="AJ88" s="170"/>
      <c r="AK88" s="170"/>
      <c r="AL88" s="27"/>
      <c r="AM88" s="27"/>
      <c r="AN88" s="27"/>
      <c r="AO88" s="27"/>
      <c r="AP88" s="27"/>
      <c r="AQ88" s="27"/>
    </row>
    <row r="89" ht="14.25" customHeight="1">
      <c r="A89" s="27"/>
      <c r="B89" s="27"/>
      <c r="C89" s="27"/>
      <c r="D89" s="170"/>
      <c r="E89" s="27"/>
      <c r="F89" s="27"/>
      <c r="G89" s="27"/>
      <c r="H89" s="27"/>
      <c r="I89" s="27"/>
      <c r="J89" s="27"/>
      <c r="K89" s="27"/>
      <c r="L89" s="171"/>
      <c r="M89" s="171"/>
      <c r="N89" s="170"/>
      <c r="O89" s="170"/>
      <c r="P89" s="170"/>
      <c r="Q89" s="170"/>
      <c r="R89" s="170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170"/>
      <c r="AF89" s="27"/>
      <c r="AG89" s="27"/>
      <c r="AH89" s="170"/>
      <c r="AI89" s="170"/>
      <c r="AJ89" s="170"/>
      <c r="AK89" s="170"/>
      <c r="AL89" s="27"/>
      <c r="AM89" s="27"/>
      <c r="AN89" s="27"/>
      <c r="AO89" s="27"/>
      <c r="AP89" s="27"/>
      <c r="AQ89" s="27"/>
    </row>
    <row r="90" ht="14.25" customHeight="1">
      <c r="A90" s="27"/>
      <c r="B90" s="27"/>
      <c r="C90" s="27"/>
      <c r="D90" s="170"/>
      <c r="E90" s="27"/>
      <c r="F90" s="27"/>
      <c r="G90" s="27"/>
      <c r="H90" s="27"/>
      <c r="I90" s="27"/>
      <c r="J90" s="27"/>
      <c r="K90" s="27"/>
      <c r="L90" s="171"/>
      <c r="M90" s="171"/>
      <c r="N90" s="170"/>
      <c r="O90" s="170"/>
      <c r="P90" s="170"/>
      <c r="Q90" s="170"/>
      <c r="R90" s="170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170"/>
      <c r="AF90" s="27"/>
      <c r="AG90" s="27"/>
      <c r="AH90" s="170"/>
      <c r="AI90" s="170"/>
      <c r="AJ90" s="170"/>
      <c r="AK90" s="170"/>
      <c r="AL90" s="27"/>
      <c r="AM90" s="27"/>
      <c r="AN90" s="27"/>
      <c r="AO90" s="27"/>
      <c r="AP90" s="27"/>
      <c r="AQ90" s="27"/>
    </row>
    <row r="91" ht="14.25" customHeight="1">
      <c r="A91" s="27"/>
      <c r="B91" s="27"/>
      <c r="C91" s="27"/>
      <c r="D91" s="170"/>
      <c r="E91" s="27"/>
      <c r="F91" s="27"/>
      <c r="G91" s="27"/>
      <c r="H91" s="27"/>
      <c r="I91" s="27"/>
      <c r="J91" s="27"/>
      <c r="K91" s="27"/>
      <c r="L91" s="171"/>
      <c r="M91" s="171"/>
      <c r="N91" s="170"/>
      <c r="O91" s="170"/>
      <c r="P91" s="170"/>
      <c r="Q91" s="170"/>
      <c r="R91" s="170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170"/>
      <c r="AF91" s="27"/>
      <c r="AG91" s="27"/>
      <c r="AH91" s="170"/>
      <c r="AI91" s="170"/>
      <c r="AJ91" s="170"/>
      <c r="AK91" s="170"/>
      <c r="AL91" s="27"/>
      <c r="AM91" s="27"/>
      <c r="AN91" s="27"/>
      <c r="AO91" s="27"/>
      <c r="AP91" s="27"/>
      <c r="AQ91" s="27"/>
    </row>
    <row r="92" ht="14.25" customHeight="1">
      <c r="A92" s="27"/>
      <c r="B92" s="27"/>
      <c r="C92" s="27"/>
      <c r="D92" s="170"/>
      <c r="E92" s="27"/>
      <c r="F92" s="27"/>
      <c r="G92" s="27"/>
      <c r="H92" s="27"/>
      <c r="I92" s="27"/>
      <c r="J92" s="27"/>
      <c r="K92" s="27"/>
      <c r="L92" s="171"/>
      <c r="M92" s="171"/>
      <c r="N92" s="170"/>
      <c r="O92" s="170"/>
      <c r="P92" s="170"/>
      <c r="Q92" s="170"/>
      <c r="R92" s="170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170"/>
      <c r="AF92" s="27"/>
      <c r="AG92" s="27"/>
      <c r="AH92" s="170"/>
      <c r="AI92" s="170"/>
      <c r="AJ92" s="170"/>
      <c r="AK92" s="170"/>
      <c r="AL92" s="27"/>
      <c r="AM92" s="27"/>
      <c r="AN92" s="27"/>
      <c r="AO92" s="27"/>
      <c r="AP92" s="27"/>
      <c r="AQ92" s="27"/>
    </row>
    <row r="93" ht="14.25" customHeight="1">
      <c r="A93" s="27"/>
      <c r="B93" s="27"/>
      <c r="C93" s="27"/>
      <c r="D93" s="170"/>
      <c r="E93" s="27"/>
      <c r="F93" s="27"/>
      <c r="G93" s="27"/>
      <c r="H93" s="27"/>
      <c r="I93" s="27"/>
      <c r="J93" s="27"/>
      <c r="K93" s="27"/>
      <c r="L93" s="171"/>
      <c r="M93" s="171"/>
      <c r="N93" s="170"/>
      <c r="O93" s="170"/>
      <c r="P93" s="170"/>
      <c r="Q93" s="170"/>
      <c r="R93" s="170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170"/>
      <c r="AF93" s="27"/>
      <c r="AG93" s="27"/>
      <c r="AH93" s="170"/>
      <c r="AI93" s="170"/>
      <c r="AJ93" s="170"/>
      <c r="AK93" s="170"/>
      <c r="AL93" s="27"/>
      <c r="AM93" s="27"/>
      <c r="AN93" s="27"/>
      <c r="AO93" s="27"/>
      <c r="AP93" s="27"/>
      <c r="AQ93" s="27"/>
    </row>
    <row r="94" ht="14.25" customHeight="1">
      <c r="A94" s="27"/>
      <c r="B94" s="27"/>
      <c r="C94" s="27"/>
      <c r="D94" s="170"/>
      <c r="E94" s="27"/>
      <c r="F94" s="27"/>
      <c r="G94" s="27"/>
      <c r="H94" s="27"/>
      <c r="I94" s="27"/>
      <c r="J94" s="27"/>
      <c r="K94" s="27"/>
      <c r="L94" s="171"/>
      <c r="M94" s="171"/>
      <c r="N94" s="170"/>
      <c r="O94" s="170"/>
      <c r="P94" s="170"/>
      <c r="Q94" s="170"/>
      <c r="R94" s="170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170"/>
      <c r="AF94" s="27"/>
      <c r="AG94" s="27"/>
      <c r="AH94" s="170"/>
      <c r="AI94" s="170"/>
      <c r="AJ94" s="170"/>
      <c r="AK94" s="170"/>
      <c r="AL94" s="27"/>
      <c r="AM94" s="27"/>
      <c r="AN94" s="27"/>
      <c r="AO94" s="27"/>
      <c r="AP94" s="27"/>
      <c r="AQ94" s="27"/>
    </row>
    <row r="95" ht="14.25" customHeight="1">
      <c r="A95" s="27"/>
      <c r="B95" s="27"/>
      <c r="C95" s="27"/>
      <c r="D95" s="170"/>
      <c r="E95" s="27"/>
      <c r="F95" s="27"/>
      <c r="G95" s="27"/>
      <c r="H95" s="27"/>
      <c r="I95" s="27"/>
      <c r="J95" s="27"/>
      <c r="K95" s="27"/>
      <c r="L95" s="171"/>
      <c r="M95" s="171"/>
      <c r="N95" s="170"/>
      <c r="O95" s="170"/>
      <c r="P95" s="170"/>
      <c r="Q95" s="170"/>
      <c r="R95" s="170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170"/>
      <c r="AF95" s="27"/>
      <c r="AG95" s="27"/>
      <c r="AH95" s="170"/>
      <c r="AI95" s="170"/>
      <c r="AJ95" s="170"/>
      <c r="AK95" s="170"/>
      <c r="AL95" s="27"/>
      <c r="AM95" s="27"/>
      <c r="AN95" s="27"/>
      <c r="AO95" s="27"/>
      <c r="AP95" s="27"/>
      <c r="AQ95" s="27"/>
    </row>
    <row r="96" ht="14.25" customHeight="1">
      <c r="A96" s="27"/>
      <c r="B96" s="27"/>
      <c r="C96" s="27"/>
      <c r="D96" s="170"/>
      <c r="E96" s="27"/>
      <c r="F96" s="27"/>
      <c r="G96" s="27"/>
      <c r="H96" s="27"/>
      <c r="I96" s="27"/>
      <c r="J96" s="27"/>
      <c r="K96" s="27"/>
      <c r="L96" s="171"/>
      <c r="M96" s="171"/>
      <c r="N96" s="170"/>
      <c r="O96" s="170"/>
      <c r="P96" s="170"/>
      <c r="Q96" s="170"/>
      <c r="R96" s="170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170"/>
      <c r="AF96" s="27"/>
      <c r="AG96" s="27"/>
      <c r="AH96" s="170"/>
      <c r="AI96" s="170"/>
      <c r="AJ96" s="170"/>
      <c r="AK96" s="170"/>
      <c r="AL96" s="27"/>
      <c r="AM96" s="27"/>
      <c r="AN96" s="27"/>
      <c r="AO96" s="27"/>
      <c r="AP96" s="27"/>
      <c r="AQ96" s="27"/>
    </row>
    <row r="97" ht="14.25" customHeight="1">
      <c r="A97" s="27"/>
      <c r="B97" s="27"/>
      <c r="C97" s="27"/>
      <c r="D97" s="170"/>
      <c r="E97" s="27"/>
      <c r="F97" s="27"/>
      <c r="G97" s="27"/>
      <c r="H97" s="27"/>
      <c r="I97" s="27"/>
      <c r="J97" s="27"/>
      <c r="K97" s="27"/>
      <c r="L97" s="171"/>
      <c r="M97" s="171"/>
      <c r="N97" s="170"/>
      <c r="O97" s="170"/>
      <c r="P97" s="170"/>
      <c r="Q97" s="170"/>
      <c r="R97" s="170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170"/>
      <c r="AF97" s="27"/>
      <c r="AG97" s="27"/>
      <c r="AH97" s="170"/>
      <c r="AI97" s="170"/>
      <c r="AJ97" s="170"/>
      <c r="AK97" s="170"/>
      <c r="AL97" s="27"/>
      <c r="AM97" s="27"/>
      <c r="AN97" s="27"/>
      <c r="AO97" s="27"/>
      <c r="AP97" s="27"/>
      <c r="AQ97" s="27"/>
    </row>
    <row r="98" ht="14.25" customHeight="1">
      <c r="A98" s="27"/>
      <c r="B98" s="27"/>
      <c r="C98" s="27"/>
      <c r="D98" s="170"/>
      <c r="E98" s="27"/>
      <c r="F98" s="27"/>
      <c r="G98" s="27"/>
      <c r="H98" s="27"/>
      <c r="I98" s="27"/>
      <c r="J98" s="27"/>
      <c r="K98" s="27"/>
      <c r="L98" s="171"/>
      <c r="M98" s="171"/>
      <c r="N98" s="170"/>
      <c r="O98" s="170"/>
      <c r="P98" s="170"/>
      <c r="Q98" s="170"/>
      <c r="R98" s="170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170"/>
      <c r="AF98" s="27"/>
      <c r="AG98" s="27"/>
      <c r="AH98" s="170"/>
      <c r="AI98" s="170"/>
      <c r="AJ98" s="170"/>
      <c r="AK98" s="170"/>
      <c r="AL98" s="27"/>
      <c r="AM98" s="27"/>
      <c r="AN98" s="27"/>
      <c r="AO98" s="27"/>
      <c r="AP98" s="27"/>
      <c r="AQ98" s="27"/>
    </row>
    <row r="99" ht="14.25" customHeight="1">
      <c r="D99" s="124"/>
      <c r="L99" s="89"/>
      <c r="M99" s="89"/>
      <c r="N99" s="124"/>
      <c r="O99" s="124"/>
      <c r="P99" s="124"/>
      <c r="Q99" s="124"/>
      <c r="R99" s="124"/>
      <c r="Z99" s="27"/>
      <c r="AA99" s="27"/>
      <c r="AB99" s="27"/>
      <c r="AC99" s="27"/>
      <c r="AD99" s="27"/>
      <c r="AE99" s="170"/>
      <c r="AF99" s="27"/>
      <c r="AG99" s="27"/>
      <c r="AH99" s="170"/>
      <c r="AI99" s="170"/>
      <c r="AJ99" s="170"/>
      <c r="AK99" s="170"/>
      <c r="AL99" s="27"/>
      <c r="AM99" s="27"/>
      <c r="AN99" s="27"/>
      <c r="AO99" s="27"/>
      <c r="AP99" s="27"/>
      <c r="AQ99" s="27"/>
    </row>
    <row r="100" ht="14.25" customHeight="1">
      <c r="D100" s="124"/>
      <c r="L100" s="89"/>
      <c r="M100" s="89"/>
      <c r="N100" s="124"/>
      <c r="O100" s="124"/>
      <c r="P100" s="124"/>
      <c r="Q100" s="124"/>
      <c r="R100" s="124"/>
      <c r="Z100" s="27"/>
      <c r="AA100" s="27"/>
      <c r="AB100" s="27"/>
      <c r="AC100" s="27"/>
      <c r="AD100" s="27"/>
      <c r="AE100" s="170"/>
      <c r="AF100" s="27"/>
      <c r="AG100" s="27"/>
      <c r="AH100" s="170"/>
      <c r="AI100" s="170"/>
      <c r="AJ100" s="170"/>
      <c r="AK100" s="170"/>
      <c r="AL100" s="27"/>
      <c r="AM100" s="27"/>
      <c r="AN100" s="27"/>
      <c r="AO100" s="27"/>
      <c r="AP100" s="27"/>
      <c r="AQ100" s="27"/>
    </row>
    <row r="101" ht="14.25" customHeight="1">
      <c r="D101" s="124"/>
      <c r="L101" s="89"/>
      <c r="M101" s="89"/>
      <c r="N101" s="124"/>
      <c r="O101" s="124"/>
      <c r="P101" s="124"/>
      <c r="Q101" s="124"/>
      <c r="R101" s="124"/>
      <c r="Z101" s="27"/>
      <c r="AA101" s="27"/>
      <c r="AB101" s="27"/>
      <c r="AC101" s="27"/>
      <c r="AD101" s="27"/>
      <c r="AE101" s="170"/>
      <c r="AF101" s="27"/>
      <c r="AG101" s="27"/>
      <c r="AH101" s="170"/>
      <c r="AI101" s="170"/>
      <c r="AJ101" s="170"/>
      <c r="AK101" s="170"/>
      <c r="AL101" s="27"/>
      <c r="AM101" s="27"/>
      <c r="AN101" s="27"/>
      <c r="AO101" s="27"/>
      <c r="AP101" s="27"/>
      <c r="AQ101" s="27"/>
    </row>
    <row r="102" ht="14.25" customHeight="1">
      <c r="D102" s="124"/>
      <c r="L102" s="89"/>
      <c r="M102" s="89"/>
      <c r="N102" s="124"/>
      <c r="O102" s="124"/>
      <c r="P102" s="124"/>
      <c r="Q102" s="124"/>
      <c r="R102" s="124"/>
      <c r="Z102" s="27"/>
      <c r="AA102" s="27"/>
      <c r="AB102" s="27"/>
      <c r="AC102" s="27"/>
      <c r="AD102" s="27"/>
      <c r="AE102" s="170"/>
      <c r="AF102" s="27"/>
      <c r="AG102" s="27"/>
      <c r="AH102" s="170"/>
      <c r="AI102" s="170"/>
      <c r="AJ102" s="170"/>
      <c r="AK102" s="170"/>
      <c r="AL102" s="27"/>
      <c r="AM102" s="27"/>
      <c r="AN102" s="27"/>
      <c r="AO102" s="27"/>
      <c r="AP102" s="27"/>
      <c r="AQ102" s="27"/>
    </row>
    <row r="103" ht="14.25" customHeight="1">
      <c r="D103" s="124"/>
      <c r="L103" s="89"/>
      <c r="M103" s="89"/>
      <c r="N103" s="124"/>
      <c r="O103" s="124"/>
      <c r="P103" s="124"/>
      <c r="Q103" s="124"/>
      <c r="R103" s="124"/>
      <c r="Z103" s="27"/>
      <c r="AA103" s="27"/>
      <c r="AB103" s="27"/>
      <c r="AC103" s="27"/>
      <c r="AD103" s="27"/>
      <c r="AE103" s="170"/>
      <c r="AF103" s="27"/>
      <c r="AG103" s="27"/>
      <c r="AH103" s="170"/>
      <c r="AI103" s="170"/>
      <c r="AJ103" s="170"/>
      <c r="AK103" s="170"/>
      <c r="AL103" s="27"/>
      <c r="AM103" s="27"/>
      <c r="AN103" s="27"/>
      <c r="AO103" s="27"/>
      <c r="AP103" s="27"/>
      <c r="AQ103" s="27"/>
    </row>
    <row r="104" ht="14.25" customHeight="1">
      <c r="D104" s="124"/>
      <c r="L104" s="89"/>
      <c r="M104" s="89"/>
      <c r="N104" s="124"/>
      <c r="O104" s="124"/>
      <c r="P104" s="124"/>
      <c r="Q104" s="124"/>
      <c r="R104" s="124"/>
      <c r="Z104" s="27"/>
      <c r="AA104" s="27"/>
      <c r="AB104" s="27"/>
      <c r="AC104" s="27"/>
      <c r="AD104" s="27"/>
      <c r="AE104" s="170"/>
      <c r="AF104" s="27"/>
      <c r="AG104" s="27"/>
      <c r="AH104" s="170"/>
      <c r="AI104" s="170"/>
      <c r="AJ104" s="170"/>
      <c r="AK104" s="170"/>
      <c r="AL104" s="27"/>
      <c r="AM104" s="27"/>
      <c r="AN104" s="27"/>
      <c r="AO104" s="27"/>
      <c r="AP104" s="27"/>
      <c r="AQ104" s="27"/>
    </row>
    <row r="105" ht="14.25" customHeight="1">
      <c r="D105" s="124"/>
      <c r="L105" s="89"/>
      <c r="M105" s="89"/>
      <c r="N105" s="124"/>
      <c r="O105" s="124"/>
      <c r="P105" s="124"/>
      <c r="Q105" s="124"/>
      <c r="R105" s="124"/>
      <c r="Z105" s="27"/>
      <c r="AA105" s="27"/>
      <c r="AB105" s="27"/>
      <c r="AC105" s="27"/>
      <c r="AD105" s="27"/>
      <c r="AE105" s="170"/>
      <c r="AF105" s="27"/>
      <c r="AG105" s="27"/>
      <c r="AH105" s="170"/>
      <c r="AI105" s="170"/>
      <c r="AJ105" s="170"/>
      <c r="AK105" s="170"/>
      <c r="AL105" s="27"/>
      <c r="AM105" s="27"/>
      <c r="AN105" s="27"/>
      <c r="AO105" s="27"/>
      <c r="AP105" s="27"/>
      <c r="AQ105" s="27"/>
    </row>
    <row r="106" ht="14.25" customHeight="1">
      <c r="D106" s="124"/>
      <c r="L106" s="89"/>
      <c r="M106" s="89"/>
      <c r="N106" s="124"/>
      <c r="O106" s="124"/>
      <c r="P106" s="124"/>
      <c r="Q106" s="124"/>
      <c r="R106" s="124"/>
      <c r="Z106" s="27"/>
      <c r="AA106" s="27"/>
      <c r="AB106" s="27"/>
      <c r="AC106" s="27"/>
      <c r="AD106" s="27"/>
      <c r="AE106" s="170"/>
      <c r="AF106" s="27"/>
      <c r="AG106" s="27"/>
      <c r="AH106" s="170"/>
      <c r="AI106" s="170"/>
      <c r="AJ106" s="170"/>
      <c r="AK106" s="170"/>
      <c r="AL106" s="27"/>
      <c r="AM106" s="27"/>
      <c r="AN106" s="27"/>
      <c r="AO106" s="27"/>
      <c r="AP106" s="27"/>
      <c r="AQ106" s="27"/>
    </row>
    <row r="107" ht="14.25" customHeight="1">
      <c r="D107" s="124"/>
      <c r="L107" s="89"/>
      <c r="M107" s="89"/>
      <c r="N107" s="124"/>
      <c r="O107" s="124"/>
      <c r="P107" s="124"/>
      <c r="Q107" s="124"/>
      <c r="R107" s="124"/>
      <c r="Z107" s="27"/>
      <c r="AA107" s="27"/>
      <c r="AB107" s="27"/>
      <c r="AC107" s="27"/>
      <c r="AD107" s="27"/>
      <c r="AE107" s="170"/>
      <c r="AF107" s="27"/>
      <c r="AG107" s="27"/>
      <c r="AH107" s="170"/>
      <c r="AI107" s="170"/>
      <c r="AJ107" s="170"/>
      <c r="AK107" s="170"/>
      <c r="AL107" s="27"/>
      <c r="AM107" s="27"/>
      <c r="AN107" s="27"/>
      <c r="AO107" s="27"/>
      <c r="AP107" s="27"/>
      <c r="AQ107" s="27"/>
    </row>
    <row r="108" ht="14.25" customHeight="1">
      <c r="D108" s="124"/>
      <c r="L108" s="89"/>
      <c r="M108" s="89"/>
      <c r="N108" s="124"/>
      <c r="O108" s="124"/>
      <c r="P108" s="124"/>
      <c r="Q108" s="124"/>
      <c r="R108" s="124"/>
      <c r="Z108" s="27"/>
      <c r="AA108" s="27"/>
      <c r="AB108" s="27"/>
      <c r="AC108" s="27"/>
      <c r="AD108" s="27"/>
      <c r="AE108" s="170"/>
      <c r="AF108" s="27"/>
      <c r="AG108" s="27"/>
      <c r="AH108" s="170"/>
      <c r="AI108" s="170"/>
      <c r="AJ108" s="170"/>
      <c r="AK108" s="170"/>
      <c r="AL108" s="27"/>
      <c r="AM108" s="27"/>
      <c r="AN108" s="27"/>
      <c r="AO108" s="27"/>
      <c r="AP108" s="27"/>
      <c r="AQ108" s="27"/>
    </row>
    <row r="109" ht="14.25" customHeight="1">
      <c r="D109" s="124"/>
      <c r="L109" s="89"/>
      <c r="M109" s="89"/>
      <c r="N109" s="124"/>
      <c r="O109" s="124"/>
      <c r="P109" s="124"/>
      <c r="Q109" s="124"/>
      <c r="R109" s="124"/>
      <c r="Z109" s="27"/>
      <c r="AA109" s="27"/>
      <c r="AB109" s="27"/>
      <c r="AC109" s="27"/>
      <c r="AD109" s="27"/>
      <c r="AE109" s="170"/>
      <c r="AF109" s="27"/>
      <c r="AG109" s="27"/>
      <c r="AH109" s="170"/>
      <c r="AI109" s="170"/>
      <c r="AJ109" s="170"/>
      <c r="AK109" s="170"/>
      <c r="AL109" s="27"/>
      <c r="AM109" s="27"/>
      <c r="AN109" s="27"/>
      <c r="AO109" s="27"/>
      <c r="AP109" s="27"/>
      <c r="AQ109" s="27"/>
    </row>
    <row r="110" ht="14.25" customHeight="1">
      <c r="D110" s="124"/>
      <c r="L110" s="89"/>
      <c r="M110" s="89"/>
      <c r="N110" s="124"/>
      <c r="O110" s="124"/>
      <c r="P110" s="124"/>
      <c r="Q110" s="124"/>
      <c r="R110" s="124"/>
      <c r="Z110" s="27"/>
      <c r="AA110" s="27"/>
      <c r="AB110" s="27"/>
      <c r="AC110" s="27"/>
      <c r="AD110" s="27"/>
      <c r="AE110" s="170"/>
      <c r="AF110" s="27"/>
      <c r="AG110" s="27"/>
      <c r="AH110" s="170"/>
      <c r="AI110" s="170"/>
      <c r="AJ110" s="170"/>
      <c r="AK110" s="170"/>
      <c r="AL110" s="27"/>
      <c r="AM110" s="27"/>
      <c r="AN110" s="27"/>
      <c r="AO110" s="27"/>
      <c r="AP110" s="27"/>
      <c r="AQ110" s="27"/>
    </row>
    <row r="111" ht="14.25" customHeight="1">
      <c r="D111" s="124"/>
      <c r="L111" s="89"/>
      <c r="M111" s="89"/>
      <c r="N111" s="124"/>
      <c r="O111" s="124"/>
      <c r="P111" s="124"/>
      <c r="Q111" s="124"/>
      <c r="R111" s="124"/>
      <c r="Z111" s="27"/>
      <c r="AA111" s="27"/>
      <c r="AB111" s="27"/>
      <c r="AC111" s="27"/>
      <c r="AD111" s="27"/>
      <c r="AE111" s="170"/>
      <c r="AF111" s="27"/>
      <c r="AG111" s="27"/>
      <c r="AH111" s="170"/>
      <c r="AI111" s="170"/>
      <c r="AJ111" s="170"/>
      <c r="AK111" s="170"/>
      <c r="AL111" s="27"/>
      <c r="AM111" s="27"/>
      <c r="AN111" s="27"/>
      <c r="AO111" s="27"/>
      <c r="AP111" s="27"/>
      <c r="AQ111" s="27"/>
    </row>
    <row r="112" ht="14.25" customHeight="1">
      <c r="D112" s="124"/>
      <c r="L112" s="89"/>
      <c r="M112" s="89"/>
      <c r="N112" s="124"/>
      <c r="O112" s="124"/>
      <c r="P112" s="124"/>
      <c r="Q112" s="124"/>
      <c r="R112" s="124"/>
      <c r="Z112" s="27"/>
      <c r="AA112" s="27"/>
      <c r="AB112" s="27"/>
      <c r="AC112" s="27"/>
      <c r="AD112" s="27"/>
      <c r="AE112" s="170"/>
      <c r="AF112" s="27"/>
      <c r="AG112" s="27"/>
      <c r="AH112" s="170"/>
      <c r="AI112" s="170"/>
      <c r="AJ112" s="170"/>
      <c r="AK112" s="170"/>
      <c r="AL112" s="27"/>
      <c r="AM112" s="27"/>
      <c r="AN112" s="27"/>
      <c r="AO112" s="27"/>
      <c r="AP112" s="27"/>
      <c r="AQ112" s="27"/>
    </row>
    <row r="113" ht="14.25" customHeight="1">
      <c r="D113" s="124"/>
      <c r="L113" s="89"/>
      <c r="M113" s="89"/>
      <c r="N113" s="124"/>
      <c r="O113" s="124"/>
      <c r="P113" s="124"/>
      <c r="Q113" s="124"/>
      <c r="R113" s="124"/>
      <c r="Z113" s="27"/>
      <c r="AA113" s="27"/>
      <c r="AB113" s="27"/>
      <c r="AC113" s="27"/>
      <c r="AD113" s="27"/>
      <c r="AE113" s="170"/>
      <c r="AF113" s="27"/>
      <c r="AG113" s="27"/>
      <c r="AH113" s="170"/>
      <c r="AI113" s="170"/>
      <c r="AJ113" s="170"/>
      <c r="AK113" s="170"/>
      <c r="AL113" s="27"/>
      <c r="AM113" s="27"/>
      <c r="AN113" s="27"/>
      <c r="AO113" s="27"/>
      <c r="AP113" s="27"/>
      <c r="AQ113" s="27"/>
    </row>
    <row r="114" ht="14.25" customHeight="1">
      <c r="D114" s="124"/>
      <c r="L114" s="89"/>
      <c r="M114" s="89"/>
      <c r="N114" s="124"/>
      <c r="O114" s="124"/>
      <c r="P114" s="124"/>
      <c r="Q114" s="124"/>
      <c r="R114" s="124"/>
      <c r="AA114" s="27"/>
      <c r="AB114" s="27"/>
      <c r="AC114" s="27"/>
      <c r="AD114" s="27"/>
      <c r="AE114" s="170"/>
      <c r="AF114" s="27"/>
      <c r="AG114" s="27"/>
      <c r="AH114" s="170"/>
      <c r="AI114" s="170"/>
      <c r="AJ114" s="170"/>
      <c r="AK114" s="170"/>
      <c r="AL114" s="27"/>
      <c r="AM114" s="27"/>
      <c r="AN114" s="27"/>
      <c r="AO114" s="27"/>
      <c r="AP114" s="27"/>
      <c r="AQ114" s="27"/>
    </row>
    <row r="115" ht="14.25" customHeight="1">
      <c r="D115" s="124"/>
      <c r="L115" s="89"/>
      <c r="M115" s="89"/>
      <c r="N115" s="124"/>
      <c r="O115" s="124"/>
      <c r="P115" s="124"/>
      <c r="Q115" s="124"/>
      <c r="R115" s="124"/>
      <c r="AA115" s="27"/>
      <c r="AB115" s="27"/>
      <c r="AC115" s="27"/>
      <c r="AD115" s="27"/>
      <c r="AE115" s="170"/>
      <c r="AF115" s="27"/>
      <c r="AG115" s="27"/>
      <c r="AH115" s="170"/>
      <c r="AI115" s="170"/>
      <c r="AJ115" s="170"/>
      <c r="AK115" s="170"/>
      <c r="AL115" s="27"/>
      <c r="AM115" s="27"/>
      <c r="AN115" s="27"/>
      <c r="AO115" s="27"/>
      <c r="AP115" s="27"/>
      <c r="AQ115" s="27"/>
    </row>
    <row r="116" ht="14.25" customHeight="1">
      <c r="D116" s="124"/>
      <c r="L116" s="89"/>
      <c r="M116" s="89"/>
      <c r="N116" s="124"/>
      <c r="O116" s="124"/>
      <c r="P116" s="124"/>
      <c r="Q116" s="124"/>
      <c r="R116" s="124"/>
      <c r="AA116" s="27"/>
      <c r="AB116" s="27"/>
      <c r="AC116" s="27"/>
      <c r="AD116" s="27"/>
      <c r="AE116" s="170"/>
      <c r="AF116" s="27"/>
      <c r="AG116" s="27"/>
      <c r="AH116" s="170"/>
      <c r="AI116" s="170"/>
      <c r="AJ116" s="170"/>
      <c r="AK116" s="170"/>
      <c r="AL116" s="27"/>
      <c r="AM116" s="27"/>
      <c r="AN116" s="27"/>
      <c r="AO116" s="27"/>
      <c r="AP116" s="27"/>
      <c r="AQ116" s="27"/>
    </row>
    <row r="117" ht="14.25" customHeight="1">
      <c r="D117" s="124"/>
      <c r="L117" s="89"/>
      <c r="M117" s="89"/>
      <c r="N117" s="124"/>
      <c r="O117" s="124"/>
      <c r="P117" s="124"/>
      <c r="Q117" s="124"/>
      <c r="R117" s="124"/>
      <c r="AA117" s="27"/>
      <c r="AB117" s="27"/>
      <c r="AC117" s="27"/>
      <c r="AD117" s="27"/>
      <c r="AE117" s="170"/>
      <c r="AF117" s="27"/>
      <c r="AG117" s="27"/>
      <c r="AH117" s="170"/>
      <c r="AI117" s="170"/>
      <c r="AJ117" s="170"/>
      <c r="AK117" s="170"/>
      <c r="AL117" s="27"/>
      <c r="AM117" s="27"/>
      <c r="AN117" s="27"/>
      <c r="AO117" s="27"/>
      <c r="AP117" s="27"/>
      <c r="AQ117" s="27"/>
    </row>
    <row r="118" ht="14.25" customHeight="1">
      <c r="D118" s="124"/>
      <c r="L118" s="89"/>
      <c r="M118" s="89"/>
      <c r="N118" s="124"/>
      <c r="O118" s="124"/>
      <c r="P118" s="124"/>
      <c r="Q118" s="124"/>
      <c r="R118" s="124"/>
      <c r="AA118" s="27"/>
      <c r="AB118" s="27"/>
      <c r="AC118" s="27"/>
      <c r="AD118" s="27"/>
      <c r="AE118" s="170"/>
      <c r="AF118" s="27"/>
      <c r="AG118" s="27"/>
      <c r="AH118" s="170"/>
      <c r="AI118" s="170"/>
      <c r="AJ118" s="170"/>
      <c r="AK118" s="170"/>
      <c r="AL118" s="27"/>
      <c r="AM118" s="27"/>
      <c r="AN118" s="27"/>
      <c r="AO118" s="27"/>
      <c r="AP118" s="27"/>
      <c r="AQ118" s="27"/>
    </row>
    <row r="119" ht="14.25" customHeight="1">
      <c r="D119" s="124"/>
      <c r="L119" s="89"/>
      <c r="M119" s="89"/>
      <c r="N119" s="124"/>
      <c r="O119" s="124"/>
      <c r="P119" s="124"/>
      <c r="Q119" s="124"/>
      <c r="R119" s="124"/>
      <c r="AA119" s="27"/>
      <c r="AB119" s="27"/>
      <c r="AC119" s="27"/>
      <c r="AD119" s="27"/>
      <c r="AE119" s="170"/>
      <c r="AF119" s="27"/>
      <c r="AG119" s="27"/>
      <c r="AH119" s="170"/>
      <c r="AI119" s="170"/>
      <c r="AJ119" s="170"/>
      <c r="AK119" s="170"/>
      <c r="AL119" s="27"/>
      <c r="AM119" s="27"/>
      <c r="AN119" s="27"/>
      <c r="AO119" s="27"/>
      <c r="AP119" s="27"/>
      <c r="AQ119" s="27"/>
    </row>
    <row r="120" ht="14.25" customHeight="1">
      <c r="D120" s="124"/>
      <c r="L120" s="89"/>
      <c r="M120" s="89"/>
      <c r="N120" s="124"/>
      <c r="O120" s="124"/>
      <c r="P120" s="124"/>
      <c r="Q120" s="124"/>
      <c r="R120" s="124"/>
      <c r="AA120" s="27"/>
      <c r="AB120" s="27"/>
      <c r="AC120" s="27"/>
      <c r="AD120" s="27"/>
      <c r="AE120" s="170"/>
      <c r="AF120" s="27"/>
      <c r="AG120" s="27"/>
      <c r="AH120" s="170"/>
      <c r="AI120" s="170"/>
      <c r="AJ120" s="170"/>
      <c r="AK120" s="170"/>
      <c r="AL120" s="27"/>
      <c r="AM120" s="27"/>
      <c r="AN120" s="27"/>
      <c r="AO120" s="27"/>
      <c r="AP120" s="27"/>
      <c r="AQ120" s="27"/>
    </row>
    <row r="121" ht="14.25" customHeight="1">
      <c r="D121" s="124"/>
      <c r="L121" s="89"/>
      <c r="M121" s="89"/>
      <c r="N121" s="124"/>
      <c r="O121" s="124"/>
      <c r="P121" s="124"/>
      <c r="Q121" s="124"/>
      <c r="R121" s="124"/>
      <c r="AA121" s="27"/>
      <c r="AB121" s="27"/>
      <c r="AC121" s="27"/>
      <c r="AD121" s="27"/>
      <c r="AE121" s="170"/>
      <c r="AF121" s="27"/>
      <c r="AG121" s="27"/>
      <c r="AH121" s="170"/>
      <c r="AI121" s="170"/>
      <c r="AJ121" s="170"/>
      <c r="AK121" s="170"/>
      <c r="AL121" s="27"/>
      <c r="AM121" s="27"/>
      <c r="AN121" s="27"/>
      <c r="AO121" s="27"/>
      <c r="AP121" s="27"/>
      <c r="AQ121" s="27"/>
    </row>
    <row r="122" ht="14.25" customHeight="1">
      <c r="D122" s="124"/>
      <c r="L122" s="89"/>
      <c r="M122" s="89"/>
      <c r="N122" s="124"/>
      <c r="O122" s="124"/>
      <c r="P122" s="124"/>
      <c r="Q122" s="124"/>
      <c r="R122" s="124"/>
      <c r="AA122" s="27"/>
      <c r="AB122" s="27"/>
      <c r="AC122" s="27"/>
      <c r="AD122" s="27"/>
      <c r="AE122" s="170"/>
      <c r="AF122" s="27"/>
      <c r="AG122" s="27"/>
      <c r="AH122" s="170"/>
      <c r="AI122" s="170"/>
      <c r="AJ122" s="170"/>
      <c r="AK122" s="170"/>
      <c r="AL122" s="27"/>
      <c r="AM122" s="27"/>
      <c r="AN122" s="27"/>
      <c r="AO122" s="27"/>
      <c r="AP122" s="27"/>
      <c r="AQ122" s="27"/>
    </row>
    <row r="123" ht="14.25" customHeight="1">
      <c r="D123" s="124"/>
      <c r="L123" s="89"/>
      <c r="M123" s="89"/>
      <c r="N123" s="124"/>
      <c r="O123" s="124"/>
      <c r="P123" s="124"/>
      <c r="Q123" s="124"/>
      <c r="R123" s="124"/>
      <c r="AE123" s="124"/>
      <c r="AH123" s="124"/>
      <c r="AI123" s="124"/>
      <c r="AJ123" s="124"/>
      <c r="AK123" s="124"/>
    </row>
    <row r="124" ht="14.25" customHeight="1">
      <c r="D124" s="124"/>
      <c r="L124" s="89"/>
      <c r="M124" s="89"/>
      <c r="N124" s="124"/>
      <c r="O124" s="124"/>
      <c r="P124" s="124"/>
      <c r="Q124" s="124"/>
      <c r="R124" s="124"/>
      <c r="AE124" s="124"/>
      <c r="AH124" s="124"/>
      <c r="AI124" s="124"/>
      <c r="AJ124" s="124"/>
      <c r="AK124" s="124"/>
    </row>
    <row r="125" ht="14.25" customHeight="1">
      <c r="D125" s="124"/>
      <c r="L125" s="89"/>
      <c r="M125" s="89"/>
      <c r="N125" s="124"/>
      <c r="O125" s="124"/>
      <c r="P125" s="124"/>
      <c r="Q125" s="124"/>
      <c r="R125" s="124"/>
      <c r="AE125" s="124"/>
      <c r="AH125" s="124"/>
      <c r="AI125" s="124"/>
      <c r="AJ125" s="124"/>
      <c r="AK125" s="124"/>
    </row>
    <row r="126" ht="14.25" customHeight="1">
      <c r="D126" s="124"/>
      <c r="L126" s="89"/>
      <c r="M126" s="89"/>
      <c r="N126" s="124"/>
      <c r="O126" s="124"/>
      <c r="P126" s="124"/>
      <c r="Q126" s="124"/>
      <c r="R126" s="124"/>
      <c r="AE126" s="124"/>
      <c r="AH126" s="124"/>
      <c r="AI126" s="124"/>
      <c r="AJ126" s="124"/>
      <c r="AK126" s="124"/>
    </row>
    <row r="127" ht="14.25" customHeight="1">
      <c r="D127" s="124"/>
      <c r="L127" s="89"/>
      <c r="M127" s="89"/>
      <c r="N127" s="124"/>
      <c r="O127" s="124"/>
      <c r="P127" s="124"/>
      <c r="Q127" s="124"/>
      <c r="R127" s="124"/>
      <c r="AE127" s="124"/>
      <c r="AH127" s="124"/>
      <c r="AI127" s="124"/>
      <c r="AJ127" s="124"/>
      <c r="AK127" s="124"/>
    </row>
    <row r="128" ht="14.25" customHeight="1">
      <c r="D128" s="124"/>
      <c r="L128" s="89"/>
      <c r="M128" s="89"/>
      <c r="N128" s="124"/>
      <c r="O128" s="124"/>
      <c r="P128" s="124"/>
      <c r="Q128" s="124"/>
      <c r="R128" s="124"/>
      <c r="AE128" s="124"/>
      <c r="AH128" s="124"/>
      <c r="AI128" s="124"/>
      <c r="AJ128" s="124"/>
      <c r="AK128" s="124"/>
    </row>
    <row r="129" ht="14.25" customHeight="1">
      <c r="D129" s="124"/>
      <c r="L129" s="89"/>
      <c r="M129" s="89"/>
      <c r="N129" s="124"/>
      <c r="O129" s="124"/>
      <c r="P129" s="124"/>
      <c r="Q129" s="124"/>
      <c r="R129" s="124"/>
      <c r="AE129" s="124"/>
      <c r="AH129" s="124"/>
      <c r="AI129" s="124"/>
      <c r="AJ129" s="124"/>
      <c r="AK129" s="124"/>
    </row>
    <row r="130" ht="14.25" customHeight="1">
      <c r="D130" s="124"/>
      <c r="L130" s="89"/>
      <c r="M130" s="89"/>
      <c r="N130" s="124"/>
      <c r="O130" s="124"/>
      <c r="P130" s="124"/>
      <c r="Q130" s="124"/>
      <c r="R130" s="124"/>
      <c r="AE130" s="124"/>
      <c r="AH130" s="124"/>
      <c r="AI130" s="124"/>
      <c r="AJ130" s="124"/>
      <c r="AK130" s="124"/>
    </row>
    <row r="131" ht="14.25" customHeight="1">
      <c r="D131" s="124"/>
      <c r="L131" s="89"/>
      <c r="M131" s="89"/>
      <c r="N131" s="124"/>
      <c r="O131" s="124"/>
      <c r="P131" s="124"/>
      <c r="Q131" s="124"/>
      <c r="R131" s="124"/>
      <c r="AE131" s="124"/>
      <c r="AH131" s="124"/>
      <c r="AI131" s="124"/>
      <c r="AJ131" s="124"/>
      <c r="AK131" s="124"/>
    </row>
    <row r="132" ht="14.25" customHeight="1">
      <c r="D132" s="124"/>
      <c r="L132" s="89"/>
      <c r="M132" s="89"/>
      <c r="N132" s="124"/>
      <c r="O132" s="124"/>
      <c r="P132" s="124"/>
      <c r="Q132" s="124"/>
      <c r="R132" s="124"/>
      <c r="AE132" s="124"/>
      <c r="AH132" s="124"/>
      <c r="AI132" s="124"/>
      <c r="AJ132" s="124"/>
      <c r="AK132" s="124"/>
    </row>
    <row r="133" ht="14.25" customHeight="1">
      <c r="D133" s="124"/>
      <c r="L133" s="89"/>
      <c r="M133" s="89"/>
      <c r="N133" s="124"/>
      <c r="O133" s="124"/>
      <c r="P133" s="124"/>
      <c r="Q133" s="124"/>
      <c r="R133" s="124"/>
      <c r="AE133" s="124"/>
      <c r="AH133" s="124"/>
      <c r="AI133" s="124"/>
      <c r="AJ133" s="124"/>
      <c r="AK133" s="124"/>
    </row>
    <row r="134" ht="14.25" customHeight="1">
      <c r="D134" s="124"/>
      <c r="L134" s="89"/>
      <c r="M134" s="89"/>
      <c r="N134" s="124"/>
      <c r="O134" s="124"/>
      <c r="P134" s="124"/>
      <c r="Q134" s="124"/>
      <c r="R134" s="124"/>
      <c r="AE134" s="124"/>
      <c r="AH134" s="124"/>
      <c r="AI134" s="124"/>
      <c r="AJ134" s="124"/>
      <c r="AK134" s="124"/>
    </row>
    <row r="135" ht="14.25" customHeight="1">
      <c r="D135" s="124"/>
      <c r="L135" s="89"/>
      <c r="M135" s="89"/>
      <c r="N135" s="124"/>
      <c r="O135" s="124"/>
      <c r="P135" s="124"/>
      <c r="Q135" s="124"/>
      <c r="R135" s="124"/>
      <c r="AE135" s="124"/>
      <c r="AH135" s="124"/>
      <c r="AI135" s="124"/>
      <c r="AJ135" s="124"/>
      <c r="AK135" s="124"/>
    </row>
    <row r="136" ht="14.25" customHeight="1">
      <c r="D136" s="124"/>
      <c r="L136" s="89"/>
      <c r="M136" s="89"/>
      <c r="N136" s="124"/>
      <c r="O136" s="124"/>
      <c r="P136" s="124"/>
      <c r="Q136" s="124"/>
      <c r="R136" s="124"/>
      <c r="AE136" s="124"/>
      <c r="AH136" s="124"/>
      <c r="AI136" s="124"/>
      <c r="AJ136" s="124"/>
      <c r="AK136" s="124"/>
    </row>
    <row r="137" ht="14.25" customHeight="1">
      <c r="D137" s="124"/>
      <c r="L137" s="89"/>
      <c r="M137" s="89"/>
      <c r="N137" s="124"/>
      <c r="O137" s="124"/>
      <c r="P137" s="124"/>
      <c r="Q137" s="124"/>
      <c r="R137" s="124"/>
      <c r="AE137" s="124"/>
      <c r="AH137" s="124"/>
      <c r="AI137" s="124"/>
      <c r="AJ137" s="124"/>
      <c r="AK137" s="124"/>
    </row>
    <row r="138" ht="14.25" customHeight="1">
      <c r="D138" s="124"/>
      <c r="L138" s="89"/>
      <c r="M138" s="89"/>
      <c r="N138" s="124"/>
      <c r="O138" s="124"/>
      <c r="P138" s="124"/>
      <c r="Q138" s="124"/>
      <c r="R138" s="124"/>
      <c r="AE138" s="124"/>
      <c r="AH138" s="124"/>
      <c r="AI138" s="124"/>
      <c r="AJ138" s="124"/>
      <c r="AK138" s="124"/>
    </row>
    <row r="139" ht="14.25" customHeight="1">
      <c r="D139" s="124"/>
      <c r="L139" s="89"/>
      <c r="M139" s="89"/>
      <c r="N139" s="124"/>
      <c r="O139" s="124"/>
      <c r="P139" s="124"/>
      <c r="Q139" s="124"/>
      <c r="R139" s="124"/>
      <c r="AE139" s="124"/>
      <c r="AH139" s="124"/>
      <c r="AI139" s="124"/>
      <c r="AJ139" s="124"/>
      <c r="AK139" s="124"/>
    </row>
    <row r="140" ht="14.25" customHeight="1">
      <c r="D140" s="124"/>
      <c r="L140" s="89"/>
      <c r="M140" s="89"/>
      <c r="N140" s="124"/>
      <c r="O140" s="124"/>
      <c r="P140" s="124"/>
      <c r="Q140" s="124"/>
      <c r="R140" s="124"/>
      <c r="AE140" s="124"/>
      <c r="AH140" s="124"/>
      <c r="AI140" s="124"/>
      <c r="AJ140" s="124"/>
      <c r="AK140" s="124"/>
    </row>
    <row r="141" ht="14.25" customHeight="1">
      <c r="D141" s="124"/>
      <c r="L141" s="89"/>
      <c r="M141" s="89"/>
      <c r="N141" s="124"/>
      <c r="O141" s="124"/>
      <c r="P141" s="124"/>
      <c r="Q141" s="124"/>
      <c r="R141" s="124"/>
      <c r="AE141" s="124"/>
      <c r="AH141" s="124"/>
      <c r="AI141" s="124"/>
      <c r="AJ141" s="124"/>
      <c r="AK141" s="124"/>
    </row>
    <row r="142" ht="14.25" customHeight="1">
      <c r="D142" s="124"/>
      <c r="L142" s="89"/>
      <c r="M142" s="89"/>
      <c r="N142" s="124"/>
      <c r="O142" s="124"/>
      <c r="P142" s="124"/>
      <c r="Q142" s="124"/>
      <c r="R142" s="124"/>
      <c r="AE142" s="124"/>
      <c r="AH142" s="124"/>
      <c r="AI142" s="124"/>
      <c r="AJ142" s="124"/>
      <c r="AK142" s="124"/>
    </row>
    <row r="143" ht="14.25" customHeight="1">
      <c r="D143" s="124"/>
      <c r="L143" s="89"/>
      <c r="M143" s="89"/>
      <c r="N143" s="124"/>
      <c r="O143" s="124"/>
      <c r="P143" s="124"/>
      <c r="Q143" s="124"/>
      <c r="R143" s="124"/>
      <c r="AE143" s="124"/>
      <c r="AH143" s="124"/>
      <c r="AI143" s="124"/>
      <c r="AJ143" s="124"/>
      <c r="AK143" s="124"/>
    </row>
    <row r="144" ht="14.25" customHeight="1">
      <c r="D144" s="124"/>
      <c r="L144" s="89"/>
      <c r="M144" s="89"/>
      <c r="N144" s="124"/>
      <c r="O144" s="124"/>
      <c r="P144" s="124"/>
      <c r="Q144" s="124"/>
      <c r="R144" s="124"/>
      <c r="AE144" s="124"/>
      <c r="AH144" s="124"/>
      <c r="AI144" s="124"/>
      <c r="AJ144" s="124"/>
      <c r="AK144" s="124"/>
    </row>
    <row r="145" ht="14.25" customHeight="1">
      <c r="D145" s="124"/>
      <c r="L145" s="89"/>
      <c r="M145" s="89"/>
      <c r="N145" s="124"/>
      <c r="O145" s="124"/>
      <c r="P145" s="124"/>
      <c r="Q145" s="124"/>
      <c r="R145" s="124"/>
      <c r="AE145" s="124"/>
      <c r="AH145" s="124"/>
      <c r="AI145" s="124"/>
      <c r="AJ145" s="124"/>
      <c r="AK145" s="124"/>
    </row>
    <row r="146" ht="14.25" customHeight="1">
      <c r="D146" s="124"/>
      <c r="L146" s="89"/>
      <c r="M146" s="89"/>
      <c r="N146" s="124"/>
      <c r="O146" s="124"/>
      <c r="P146" s="124"/>
      <c r="Q146" s="124"/>
      <c r="R146" s="124"/>
      <c r="AE146" s="124"/>
      <c r="AH146" s="124"/>
      <c r="AI146" s="124"/>
      <c r="AJ146" s="124"/>
      <c r="AK146" s="124"/>
    </row>
    <row r="147" ht="14.25" customHeight="1">
      <c r="D147" s="124"/>
      <c r="L147" s="89"/>
      <c r="M147" s="89"/>
      <c r="N147" s="124"/>
      <c r="O147" s="124"/>
      <c r="P147" s="124"/>
      <c r="Q147" s="124"/>
      <c r="R147" s="124"/>
      <c r="AE147" s="124"/>
      <c r="AH147" s="124"/>
      <c r="AI147" s="124"/>
      <c r="AJ147" s="124"/>
      <c r="AK147" s="124"/>
    </row>
    <row r="148" ht="14.25" customHeight="1">
      <c r="D148" s="124"/>
      <c r="L148" s="89"/>
      <c r="M148" s="89"/>
      <c r="N148" s="124"/>
      <c r="O148" s="124"/>
      <c r="P148" s="124"/>
      <c r="Q148" s="124"/>
      <c r="R148" s="124"/>
      <c r="AE148" s="124"/>
      <c r="AH148" s="124"/>
      <c r="AI148" s="124"/>
      <c r="AJ148" s="124"/>
      <c r="AK148" s="124"/>
    </row>
    <row r="149" ht="14.25" customHeight="1">
      <c r="D149" s="124"/>
      <c r="L149" s="89"/>
      <c r="M149" s="89"/>
      <c r="N149" s="124"/>
      <c r="O149" s="124"/>
      <c r="P149" s="124"/>
      <c r="Q149" s="124"/>
      <c r="R149" s="124"/>
      <c r="AE149" s="124"/>
      <c r="AH149" s="124"/>
      <c r="AI149" s="124"/>
      <c r="AJ149" s="124"/>
      <c r="AK149" s="124"/>
    </row>
    <row r="150" ht="14.25" customHeight="1">
      <c r="D150" s="124"/>
      <c r="L150" s="89"/>
      <c r="M150" s="89"/>
      <c r="N150" s="124"/>
      <c r="O150" s="124"/>
      <c r="P150" s="124"/>
      <c r="Q150" s="124"/>
      <c r="R150" s="124"/>
      <c r="AE150" s="124"/>
      <c r="AH150" s="124"/>
      <c r="AI150" s="124"/>
      <c r="AJ150" s="124"/>
      <c r="AK150" s="124"/>
    </row>
    <row r="151" ht="14.25" customHeight="1">
      <c r="D151" s="124"/>
      <c r="L151" s="89"/>
      <c r="M151" s="89"/>
      <c r="N151" s="124"/>
      <c r="O151" s="124"/>
      <c r="P151" s="124"/>
      <c r="Q151" s="124"/>
      <c r="R151" s="124"/>
      <c r="AE151" s="124"/>
      <c r="AH151" s="124"/>
      <c r="AI151" s="124"/>
      <c r="AJ151" s="124"/>
      <c r="AK151" s="124"/>
    </row>
    <row r="152" ht="14.25" customHeight="1">
      <c r="D152" s="124"/>
      <c r="L152" s="89"/>
      <c r="M152" s="89"/>
      <c r="N152" s="124"/>
      <c r="O152" s="124"/>
      <c r="P152" s="124"/>
      <c r="Q152" s="124"/>
      <c r="R152" s="124"/>
      <c r="AE152" s="124"/>
      <c r="AH152" s="124"/>
      <c r="AI152" s="124"/>
      <c r="AJ152" s="124"/>
      <c r="AK152" s="124"/>
    </row>
    <row r="153" ht="14.25" customHeight="1">
      <c r="D153" s="124"/>
      <c r="L153" s="89"/>
      <c r="M153" s="89"/>
      <c r="N153" s="124"/>
      <c r="O153" s="124"/>
      <c r="P153" s="124"/>
      <c r="Q153" s="124"/>
      <c r="R153" s="124"/>
      <c r="AE153" s="124"/>
      <c r="AH153" s="124"/>
      <c r="AI153" s="124"/>
      <c r="AJ153" s="124"/>
      <c r="AK153" s="124"/>
    </row>
    <row r="154" ht="14.25" customHeight="1">
      <c r="D154" s="124"/>
      <c r="L154" s="89"/>
      <c r="M154" s="89"/>
      <c r="N154" s="124"/>
      <c r="O154" s="124"/>
      <c r="P154" s="124"/>
      <c r="Q154" s="124"/>
      <c r="R154" s="124"/>
      <c r="AE154" s="124"/>
      <c r="AH154" s="124"/>
      <c r="AI154" s="124"/>
      <c r="AJ154" s="124"/>
      <c r="AK154" s="124"/>
    </row>
    <row r="155" ht="14.25" customHeight="1">
      <c r="D155" s="124"/>
      <c r="L155" s="89"/>
      <c r="M155" s="89"/>
      <c r="N155" s="124"/>
      <c r="O155" s="124"/>
      <c r="P155" s="124"/>
      <c r="Q155" s="124"/>
      <c r="R155" s="124"/>
      <c r="AE155" s="124"/>
      <c r="AH155" s="124"/>
      <c r="AI155" s="124"/>
      <c r="AJ155" s="124"/>
      <c r="AK155" s="124"/>
    </row>
    <row r="156" ht="14.25" customHeight="1">
      <c r="D156" s="124"/>
      <c r="L156" s="89"/>
      <c r="M156" s="89"/>
      <c r="N156" s="124"/>
      <c r="O156" s="124"/>
      <c r="P156" s="124"/>
      <c r="Q156" s="124"/>
      <c r="R156" s="124"/>
      <c r="AE156" s="124"/>
      <c r="AH156" s="124"/>
      <c r="AI156" s="124"/>
      <c r="AJ156" s="124"/>
      <c r="AK156" s="124"/>
    </row>
    <row r="157" ht="14.25" customHeight="1">
      <c r="D157" s="124"/>
      <c r="L157" s="89"/>
      <c r="M157" s="89"/>
      <c r="N157" s="124"/>
      <c r="O157" s="124"/>
      <c r="P157" s="124"/>
      <c r="Q157" s="124"/>
      <c r="R157" s="124"/>
      <c r="AE157" s="124"/>
      <c r="AH157" s="124"/>
      <c r="AI157" s="124"/>
      <c r="AJ157" s="124"/>
      <c r="AK157" s="124"/>
    </row>
    <row r="158" ht="14.25" customHeight="1">
      <c r="D158" s="124"/>
      <c r="L158" s="89"/>
      <c r="M158" s="89"/>
      <c r="N158" s="124"/>
      <c r="O158" s="124"/>
      <c r="P158" s="124"/>
      <c r="Q158" s="124"/>
      <c r="R158" s="124"/>
      <c r="AE158" s="124"/>
      <c r="AH158" s="124"/>
      <c r="AI158" s="124"/>
      <c r="AJ158" s="124"/>
      <c r="AK158" s="124"/>
    </row>
    <row r="159" ht="14.25" customHeight="1">
      <c r="D159" s="124"/>
      <c r="L159" s="89"/>
      <c r="M159" s="89"/>
      <c r="N159" s="124"/>
      <c r="O159" s="124"/>
      <c r="P159" s="124"/>
      <c r="Q159" s="124"/>
      <c r="R159" s="124"/>
      <c r="AE159" s="124"/>
      <c r="AH159" s="124"/>
      <c r="AI159" s="124"/>
      <c r="AJ159" s="124"/>
      <c r="AK159" s="124"/>
    </row>
    <row r="160" ht="14.25" customHeight="1">
      <c r="D160" s="124"/>
      <c r="L160" s="89"/>
      <c r="M160" s="89"/>
      <c r="N160" s="124"/>
      <c r="O160" s="124"/>
      <c r="P160" s="124"/>
      <c r="Q160" s="124"/>
      <c r="R160" s="124"/>
      <c r="AE160" s="124"/>
      <c r="AH160" s="124"/>
      <c r="AI160" s="124"/>
      <c r="AJ160" s="124"/>
      <c r="AK160" s="124"/>
    </row>
    <row r="161" ht="14.25" customHeight="1">
      <c r="D161" s="124"/>
      <c r="L161" s="89"/>
      <c r="M161" s="89"/>
      <c r="N161" s="124"/>
      <c r="O161" s="124"/>
      <c r="P161" s="124"/>
      <c r="Q161" s="124"/>
      <c r="R161" s="124"/>
      <c r="AE161" s="124"/>
      <c r="AH161" s="124"/>
      <c r="AI161" s="124"/>
      <c r="AJ161" s="124"/>
      <c r="AK161" s="124"/>
    </row>
    <row r="162" ht="14.25" customHeight="1">
      <c r="D162" s="124"/>
      <c r="L162" s="89"/>
      <c r="M162" s="89"/>
      <c r="N162" s="124"/>
      <c r="O162" s="124"/>
      <c r="P162" s="124"/>
      <c r="Q162" s="124"/>
      <c r="R162" s="124"/>
      <c r="AE162" s="124"/>
      <c r="AH162" s="124"/>
      <c r="AI162" s="124"/>
      <c r="AJ162" s="124"/>
      <c r="AK162" s="124"/>
    </row>
    <row r="163" ht="14.25" customHeight="1">
      <c r="D163" s="124"/>
      <c r="L163" s="89"/>
      <c r="M163" s="89"/>
      <c r="N163" s="124"/>
      <c r="O163" s="124"/>
      <c r="P163" s="124"/>
      <c r="Q163" s="124"/>
      <c r="R163" s="124"/>
      <c r="AE163" s="124"/>
      <c r="AH163" s="124"/>
      <c r="AI163" s="124"/>
      <c r="AJ163" s="124"/>
      <c r="AK163" s="124"/>
    </row>
    <row r="164" ht="14.25" customHeight="1">
      <c r="D164" s="124"/>
      <c r="L164" s="89"/>
      <c r="M164" s="89"/>
      <c r="N164" s="124"/>
      <c r="O164" s="124"/>
      <c r="P164" s="124"/>
      <c r="Q164" s="124"/>
      <c r="R164" s="124"/>
      <c r="AE164" s="124"/>
      <c r="AH164" s="124"/>
      <c r="AI164" s="124"/>
      <c r="AJ164" s="124"/>
      <c r="AK164" s="124"/>
    </row>
    <row r="165" ht="14.25" customHeight="1">
      <c r="D165" s="124"/>
      <c r="L165" s="89"/>
      <c r="M165" s="89"/>
      <c r="N165" s="124"/>
      <c r="O165" s="124"/>
      <c r="P165" s="124"/>
      <c r="Q165" s="124"/>
      <c r="R165" s="124"/>
      <c r="AE165" s="124"/>
      <c r="AH165" s="124"/>
      <c r="AI165" s="124"/>
      <c r="AJ165" s="124"/>
      <c r="AK165" s="124"/>
    </row>
    <row r="166" ht="14.25" customHeight="1">
      <c r="D166" s="124"/>
      <c r="L166" s="89"/>
      <c r="M166" s="89"/>
      <c r="N166" s="124"/>
      <c r="O166" s="124"/>
      <c r="P166" s="124"/>
      <c r="Q166" s="124"/>
      <c r="R166" s="124"/>
      <c r="AE166" s="124"/>
      <c r="AH166" s="124"/>
      <c r="AI166" s="124"/>
      <c r="AJ166" s="124"/>
      <c r="AK166" s="124"/>
    </row>
    <row r="167" ht="14.25" customHeight="1">
      <c r="D167" s="124"/>
      <c r="L167" s="89"/>
      <c r="M167" s="89"/>
      <c r="N167" s="124"/>
      <c r="O167" s="124"/>
      <c r="P167" s="124"/>
      <c r="Q167" s="124"/>
      <c r="R167" s="124"/>
      <c r="AE167" s="124"/>
      <c r="AH167" s="124"/>
      <c r="AI167" s="124"/>
      <c r="AJ167" s="124"/>
      <c r="AK167" s="124"/>
    </row>
    <row r="168" ht="14.25" customHeight="1">
      <c r="D168" s="124"/>
      <c r="L168" s="89"/>
      <c r="M168" s="89"/>
      <c r="N168" s="124"/>
      <c r="O168" s="124"/>
      <c r="P168" s="124"/>
      <c r="Q168" s="124"/>
      <c r="R168" s="124"/>
      <c r="AE168" s="124"/>
      <c r="AH168" s="124"/>
      <c r="AI168" s="124"/>
      <c r="AJ168" s="124"/>
      <c r="AK168" s="124"/>
    </row>
    <row r="169" ht="14.25" customHeight="1">
      <c r="D169" s="124"/>
      <c r="L169" s="89"/>
      <c r="M169" s="89"/>
      <c r="N169" s="124"/>
      <c r="O169" s="124"/>
      <c r="P169" s="124"/>
      <c r="Q169" s="124"/>
      <c r="R169" s="124"/>
      <c r="AE169" s="124"/>
      <c r="AH169" s="124"/>
      <c r="AI169" s="124"/>
      <c r="AJ169" s="124"/>
      <c r="AK169" s="124"/>
    </row>
    <row r="170" ht="14.25" customHeight="1">
      <c r="D170" s="124"/>
      <c r="L170" s="89"/>
      <c r="M170" s="89"/>
      <c r="N170" s="124"/>
      <c r="O170" s="124"/>
      <c r="P170" s="124"/>
      <c r="Q170" s="124"/>
      <c r="R170" s="124"/>
      <c r="AE170" s="124"/>
      <c r="AH170" s="124"/>
      <c r="AI170" s="124"/>
      <c r="AJ170" s="124"/>
      <c r="AK170" s="124"/>
    </row>
    <row r="171" ht="14.25" customHeight="1">
      <c r="D171" s="124"/>
      <c r="L171" s="89"/>
      <c r="M171" s="89"/>
      <c r="N171" s="124"/>
      <c r="O171" s="124"/>
      <c r="P171" s="124"/>
      <c r="Q171" s="124"/>
      <c r="R171" s="124"/>
      <c r="AE171" s="124"/>
      <c r="AH171" s="124"/>
      <c r="AI171" s="124"/>
      <c r="AJ171" s="124"/>
      <c r="AK171" s="124"/>
    </row>
    <row r="172" ht="14.25" customHeight="1">
      <c r="D172" s="124"/>
      <c r="L172" s="89"/>
      <c r="M172" s="89"/>
      <c r="N172" s="124"/>
      <c r="O172" s="124"/>
      <c r="P172" s="124"/>
      <c r="Q172" s="124"/>
      <c r="R172" s="124"/>
      <c r="AE172" s="124"/>
      <c r="AH172" s="124"/>
      <c r="AI172" s="124"/>
      <c r="AJ172" s="124"/>
      <c r="AK172" s="124"/>
    </row>
    <row r="173" ht="14.25" customHeight="1">
      <c r="D173" s="124"/>
      <c r="L173" s="89"/>
      <c r="M173" s="89"/>
      <c r="N173" s="124"/>
      <c r="O173" s="124"/>
      <c r="P173" s="124"/>
      <c r="Q173" s="124"/>
      <c r="R173" s="124"/>
      <c r="AE173" s="124"/>
      <c r="AH173" s="124"/>
      <c r="AI173" s="124"/>
      <c r="AJ173" s="124"/>
      <c r="AK173" s="124"/>
    </row>
    <row r="174" ht="14.25" customHeight="1">
      <c r="D174" s="124"/>
      <c r="L174" s="89"/>
      <c r="M174" s="89"/>
      <c r="N174" s="124"/>
      <c r="O174" s="124"/>
      <c r="P174" s="124"/>
      <c r="Q174" s="124"/>
      <c r="R174" s="124"/>
      <c r="AE174" s="124"/>
      <c r="AH174" s="124"/>
      <c r="AI174" s="124"/>
      <c r="AJ174" s="124"/>
      <c r="AK174" s="124"/>
    </row>
    <row r="175" ht="14.25" customHeight="1">
      <c r="D175" s="124"/>
      <c r="L175" s="89"/>
      <c r="M175" s="89"/>
      <c r="N175" s="124"/>
      <c r="O175" s="124"/>
      <c r="P175" s="124"/>
      <c r="Q175" s="124"/>
      <c r="R175" s="124"/>
      <c r="AE175" s="124"/>
      <c r="AH175" s="124"/>
      <c r="AI175" s="124"/>
      <c r="AJ175" s="124"/>
      <c r="AK175" s="124"/>
    </row>
    <row r="176" ht="14.25" customHeight="1">
      <c r="D176" s="124"/>
      <c r="L176" s="89"/>
      <c r="M176" s="89"/>
      <c r="N176" s="124"/>
      <c r="O176" s="124"/>
      <c r="P176" s="124"/>
      <c r="Q176" s="124"/>
      <c r="R176" s="124"/>
      <c r="AE176" s="124"/>
      <c r="AH176" s="124"/>
      <c r="AI176" s="124"/>
      <c r="AJ176" s="124"/>
      <c r="AK176" s="124"/>
    </row>
    <row r="177" ht="14.25" customHeight="1">
      <c r="D177" s="124"/>
      <c r="L177" s="89"/>
      <c r="M177" s="89"/>
      <c r="N177" s="124"/>
      <c r="O177" s="124"/>
      <c r="P177" s="124"/>
      <c r="Q177" s="124"/>
      <c r="R177" s="124"/>
      <c r="AE177" s="124"/>
      <c r="AH177" s="124"/>
      <c r="AI177" s="124"/>
      <c r="AJ177" s="124"/>
      <c r="AK177" s="124"/>
    </row>
    <row r="178" ht="14.25" customHeight="1">
      <c r="D178" s="124"/>
      <c r="L178" s="89"/>
      <c r="M178" s="89"/>
      <c r="N178" s="124"/>
      <c r="O178" s="124"/>
      <c r="P178" s="124"/>
      <c r="Q178" s="124"/>
      <c r="R178" s="124"/>
      <c r="AE178" s="124"/>
      <c r="AH178" s="124"/>
      <c r="AI178" s="124"/>
      <c r="AJ178" s="124"/>
      <c r="AK178" s="124"/>
    </row>
    <row r="179" ht="14.25" customHeight="1">
      <c r="D179" s="124"/>
      <c r="L179" s="89"/>
      <c r="M179" s="89"/>
      <c r="N179" s="124"/>
      <c r="O179" s="124"/>
      <c r="P179" s="124"/>
      <c r="Q179" s="124"/>
      <c r="R179" s="124"/>
      <c r="AE179" s="124"/>
      <c r="AH179" s="124"/>
      <c r="AI179" s="124"/>
      <c r="AJ179" s="124"/>
      <c r="AK179" s="124"/>
    </row>
    <row r="180" ht="14.25" customHeight="1">
      <c r="D180" s="124"/>
      <c r="L180" s="89"/>
      <c r="M180" s="89"/>
      <c r="N180" s="124"/>
      <c r="O180" s="124"/>
      <c r="P180" s="124"/>
      <c r="Q180" s="124"/>
      <c r="R180" s="124"/>
      <c r="AE180" s="124"/>
      <c r="AH180" s="124"/>
      <c r="AI180" s="124"/>
      <c r="AJ180" s="124"/>
      <c r="AK180" s="124"/>
    </row>
    <row r="181" ht="14.25" customHeight="1">
      <c r="D181" s="124"/>
      <c r="L181" s="89"/>
      <c r="M181" s="89"/>
      <c r="N181" s="124"/>
      <c r="O181" s="124"/>
      <c r="P181" s="124"/>
      <c r="Q181" s="124"/>
      <c r="R181" s="124"/>
      <c r="AE181" s="124"/>
      <c r="AH181" s="124"/>
      <c r="AI181" s="124"/>
      <c r="AJ181" s="124"/>
      <c r="AK181" s="124"/>
    </row>
    <row r="182" ht="14.25" customHeight="1">
      <c r="D182" s="124"/>
      <c r="L182" s="89"/>
      <c r="M182" s="89"/>
      <c r="N182" s="124"/>
      <c r="O182" s="124"/>
      <c r="P182" s="124"/>
      <c r="Q182" s="124"/>
      <c r="R182" s="124"/>
      <c r="AE182" s="124"/>
      <c r="AH182" s="124"/>
      <c r="AI182" s="124"/>
      <c r="AJ182" s="124"/>
      <c r="AK182" s="124"/>
    </row>
    <row r="183" ht="14.25" customHeight="1">
      <c r="D183" s="124"/>
      <c r="L183" s="89"/>
      <c r="M183" s="89"/>
      <c r="N183" s="124"/>
      <c r="O183" s="124"/>
      <c r="P183" s="124"/>
      <c r="Q183" s="124"/>
      <c r="R183" s="124"/>
      <c r="AE183" s="124"/>
      <c r="AH183" s="124"/>
      <c r="AI183" s="124"/>
      <c r="AJ183" s="124"/>
      <c r="AK183" s="124"/>
    </row>
    <row r="184" ht="14.25" customHeight="1">
      <c r="D184" s="124"/>
      <c r="L184" s="89"/>
      <c r="M184" s="89"/>
      <c r="N184" s="124"/>
      <c r="O184" s="124"/>
      <c r="P184" s="124"/>
      <c r="Q184" s="124"/>
      <c r="R184" s="124"/>
      <c r="AE184" s="124"/>
      <c r="AH184" s="124"/>
      <c r="AI184" s="124"/>
      <c r="AJ184" s="124"/>
      <c r="AK184" s="124"/>
    </row>
    <row r="185" ht="14.25" customHeight="1">
      <c r="D185" s="124"/>
      <c r="L185" s="89"/>
      <c r="M185" s="89"/>
      <c r="N185" s="124"/>
      <c r="O185" s="124"/>
      <c r="P185" s="124"/>
      <c r="Q185" s="124"/>
      <c r="R185" s="124"/>
      <c r="AE185" s="124"/>
      <c r="AH185" s="124"/>
      <c r="AI185" s="124"/>
      <c r="AJ185" s="124"/>
      <c r="AK185" s="124"/>
    </row>
    <row r="186" ht="14.25" customHeight="1">
      <c r="D186" s="124"/>
      <c r="L186" s="89"/>
      <c r="M186" s="89"/>
      <c r="N186" s="124"/>
      <c r="O186" s="124"/>
      <c r="P186" s="124"/>
      <c r="Q186" s="124"/>
      <c r="R186" s="124"/>
      <c r="AE186" s="124"/>
      <c r="AH186" s="124"/>
      <c r="AI186" s="124"/>
      <c r="AJ186" s="124"/>
      <c r="AK186" s="124"/>
    </row>
    <row r="187" ht="14.25" customHeight="1">
      <c r="D187" s="124"/>
      <c r="L187" s="89"/>
      <c r="M187" s="89"/>
      <c r="N187" s="124"/>
      <c r="O187" s="124"/>
      <c r="P187" s="124"/>
      <c r="Q187" s="124"/>
      <c r="R187" s="124"/>
      <c r="AE187" s="124"/>
      <c r="AH187" s="124"/>
      <c r="AI187" s="124"/>
      <c r="AJ187" s="124"/>
      <c r="AK187" s="124"/>
    </row>
    <row r="188" ht="14.25" customHeight="1">
      <c r="D188" s="124"/>
      <c r="L188" s="89"/>
      <c r="M188" s="89"/>
      <c r="N188" s="124"/>
      <c r="O188" s="124"/>
      <c r="P188" s="124"/>
      <c r="Q188" s="124"/>
      <c r="R188" s="124"/>
      <c r="AE188" s="124"/>
      <c r="AH188" s="124"/>
      <c r="AI188" s="124"/>
      <c r="AJ188" s="124"/>
      <c r="AK188" s="124"/>
    </row>
    <row r="189" ht="14.25" customHeight="1">
      <c r="D189" s="124"/>
      <c r="L189" s="89"/>
      <c r="M189" s="89"/>
      <c r="N189" s="124"/>
      <c r="O189" s="124"/>
      <c r="P189" s="124"/>
      <c r="Q189" s="124"/>
      <c r="R189" s="124"/>
      <c r="AE189" s="124"/>
      <c r="AH189" s="124"/>
      <c r="AI189" s="124"/>
      <c r="AJ189" s="124"/>
      <c r="AK189" s="124"/>
    </row>
    <row r="190" ht="14.25" customHeight="1">
      <c r="D190" s="124"/>
      <c r="L190" s="89"/>
      <c r="M190" s="89"/>
      <c r="N190" s="124"/>
      <c r="O190" s="124"/>
      <c r="P190" s="124"/>
      <c r="Q190" s="124"/>
      <c r="R190" s="124"/>
      <c r="AE190" s="124"/>
      <c r="AH190" s="124"/>
      <c r="AI190" s="124"/>
      <c r="AJ190" s="124"/>
      <c r="AK190" s="124"/>
    </row>
    <row r="191" ht="14.25" customHeight="1">
      <c r="D191" s="124"/>
      <c r="L191" s="89"/>
      <c r="M191" s="89"/>
      <c r="N191" s="124"/>
      <c r="O191" s="124"/>
      <c r="P191" s="124"/>
      <c r="Q191" s="124"/>
      <c r="R191" s="124"/>
      <c r="AE191" s="124"/>
      <c r="AH191" s="124"/>
      <c r="AI191" s="124"/>
      <c r="AJ191" s="124"/>
      <c r="AK191" s="124"/>
    </row>
    <row r="192" ht="14.25" customHeight="1">
      <c r="D192" s="124"/>
      <c r="L192" s="89"/>
      <c r="M192" s="89"/>
      <c r="N192" s="124"/>
      <c r="O192" s="124"/>
      <c r="P192" s="124"/>
      <c r="Q192" s="124"/>
      <c r="R192" s="124"/>
      <c r="AE192" s="124"/>
      <c r="AH192" s="124"/>
      <c r="AI192" s="124"/>
      <c r="AJ192" s="124"/>
      <c r="AK192" s="124"/>
    </row>
    <row r="193" ht="14.25" customHeight="1">
      <c r="D193" s="124"/>
      <c r="L193" s="89"/>
      <c r="M193" s="89"/>
      <c r="N193" s="124"/>
      <c r="O193" s="124"/>
      <c r="P193" s="124"/>
      <c r="Q193" s="124"/>
      <c r="R193" s="124"/>
      <c r="AE193" s="124"/>
      <c r="AH193" s="124"/>
      <c r="AI193" s="124"/>
      <c r="AJ193" s="124"/>
      <c r="AK193" s="124"/>
    </row>
    <row r="194" ht="14.25" customHeight="1">
      <c r="D194" s="124"/>
      <c r="L194" s="89"/>
      <c r="M194" s="89"/>
      <c r="N194" s="124"/>
      <c r="O194" s="124"/>
      <c r="P194" s="124"/>
      <c r="Q194" s="124"/>
      <c r="R194" s="124"/>
      <c r="AE194" s="124"/>
      <c r="AH194" s="124"/>
      <c r="AI194" s="124"/>
      <c r="AJ194" s="124"/>
      <c r="AK194" s="124"/>
    </row>
    <row r="195" ht="14.25" customHeight="1">
      <c r="D195" s="124"/>
      <c r="L195" s="89"/>
      <c r="M195" s="89"/>
      <c r="N195" s="124"/>
      <c r="O195" s="124"/>
      <c r="P195" s="124"/>
      <c r="Q195" s="124"/>
      <c r="R195" s="124"/>
      <c r="AE195" s="124"/>
      <c r="AH195" s="124"/>
      <c r="AI195" s="124"/>
      <c r="AJ195" s="124"/>
      <c r="AK195" s="124"/>
    </row>
    <row r="196" ht="14.25" customHeight="1">
      <c r="D196" s="124"/>
      <c r="L196" s="89"/>
      <c r="M196" s="89"/>
      <c r="N196" s="124"/>
      <c r="O196" s="124"/>
      <c r="P196" s="124"/>
      <c r="Q196" s="124"/>
      <c r="R196" s="124"/>
      <c r="AE196" s="124"/>
      <c r="AH196" s="124"/>
      <c r="AI196" s="124"/>
      <c r="AJ196" s="124"/>
      <c r="AK196" s="124"/>
    </row>
    <row r="197" ht="14.25" customHeight="1">
      <c r="D197" s="124"/>
      <c r="L197" s="89"/>
      <c r="M197" s="89"/>
      <c r="N197" s="124"/>
      <c r="O197" s="124"/>
      <c r="P197" s="124"/>
      <c r="Q197" s="124"/>
      <c r="R197" s="124"/>
      <c r="AE197" s="124"/>
      <c r="AH197" s="124"/>
      <c r="AI197" s="124"/>
      <c r="AJ197" s="124"/>
      <c r="AK197" s="124"/>
    </row>
    <row r="198" ht="14.25" customHeight="1">
      <c r="D198" s="124"/>
      <c r="L198" s="89"/>
      <c r="M198" s="89"/>
      <c r="N198" s="124"/>
      <c r="O198" s="124"/>
      <c r="P198" s="124"/>
      <c r="Q198" s="124"/>
      <c r="R198" s="124"/>
      <c r="AE198" s="124"/>
      <c r="AH198" s="124"/>
      <c r="AI198" s="124"/>
      <c r="AJ198" s="124"/>
      <c r="AK198" s="124"/>
    </row>
    <row r="199" ht="14.25" customHeight="1">
      <c r="D199" s="124"/>
      <c r="L199" s="89"/>
      <c r="M199" s="89"/>
      <c r="N199" s="124"/>
      <c r="O199" s="124"/>
      <c r="P199" s="124"/>
      <c r="Q199" s="124"/>
      <c r="R199" s="124"/>
      <c r="AE199" s="124"/>
      <c r="AH199" s="124"/>
      <c r="AI199" s="124"/>
      <c r="AJ199" s="124"/>
      <c r="AK199" s="124"/>
    </row>
    <row r="200" ht="14.25" customHeight="1">
      <c r="D200" s="124"/>
      <c r="L200" s="89"/>
      <c r="M200" s="89"/>
      <c r="N200" s="124"/>
      <c r="O200" s="124"/>
      <c r="P200" s="124"/>
      <c r="Q200" s="124"/>
      <c r="R200" s="124"/>
      <c r="AE200" s="124"/>
      <c r="AH200" s="124"/>
      <c r="AI200" s="124"/>
      <c r="AJ200" s="124"/>
      <c r="AK200" s="124"/>
    </row>
    <row r="201" ht="14.25" customHeight="1">
      <c r="D201" s="124"/>
      <c r="L201" s="89"/>
      <c r="M201" s="89"/>
      <c r="N201" s="124"/>
      <c r="O201" s="124"/>
      <c r="P201" s="124"/>
      <c r="Q201" s="124"/>
      <c r="R201" s="124"/>
      <c r="AE201" s="124"/>
      <c r="AH201" s="124"/>
      <c r="AI201" s="124"/>
      <c r="AJ201" s="124"/>
      <c r="AK201" s="124"/>
    </row>
    <row r="202" ht="14.25" customHeight="1">
      <c r="D202" s="124"/>
      <c r="L202" s="89"/>
      <c r="M202" s="89"/>
      <c r="N202" s="124"/>
      <c r="O202" s="124"/>
      <c r="P202" s="124"/>
      <c r="Q202" s="124"/>
      <c r="R202" s="124"/>
      <c r="AE202" s="124"/>
      <c r="AH202" s="124"/>
      <c r="AI202" s="124"/>
      <c r="AJ202" s="124"/>
      <c r="AK202" s="124"/>
    </row>
    <row r="203" ht="14.25" customHeight="1">
      <c r="D203" s="124"/>
      <c r="L203" s="89"/>
      <c r="M203" s="89"/>
      <c r="N203" s="124"/>
      <c r="O203" s="124"/>
      <c r="P203" s="124"/>
      <c r="Q203" s="124"/>
      <c r="R203" s="124"/>
      <c r="AE203" s="124"/>
      <c r="AH203" s="124"/>
      <c r="AI203" s="124"/>
      <c r="AJ203" s="124"/>
      <c r="AK203" s="124"/>
    </row>
    <row r="204" ht="14.25" customHeight="1">
      <c r="D204" s="124"/>
      <c r="L204" s="89"/>
      <c r="M204" s="89"/>
      <c r="N204" s="124"/>
      <c r="O204" s="124"/>
      <c r="P204" s="124"/>
      <c r="Q204" s="124"/>
      <c r="R204" s="124"/>
      <c r="AE204" s="124"/>
      <c r="AH204" s="124"/>
      <c r="AI204" s="124"/>
      <c r="AJ204" s="124"/>
      <c r="AK204" s="124"/>
    </row>
    <row r="205" ht="14.25" customHeight="1">
      <c r="D205" s="124"/>
      <c r="L205" s="89"/>
      <c r="M205" s="89"/>
      <c r="N205" s="124"/>
      <c r="O205" s="124"/>
      <c r="P205" s="124"/>
      <c r="Q205" s="124"/>
      <c r="R205" s="124"/>
      <c r="AE205" s="124"/>
      <c r="AH205" s="124"/>
      <c r="AI205" s="124"/>
      <c r="AJ205" s="124"/>
      <c r="AK205" s="124"/>
    </row>
    <row r="206" ht="14.25" customHeight="1">
      <c r="D206" s="124"/>
      <c r="L206" s="89"/>
      <c r="M206" s="89"/>
      <c r="N206" s="124"/>
      <c r="O206" s="124"/>
      <c r="P206" s="124"/>
      <c r="Q206" s="124"/>
      <c r="R206" s="124"/>
      <c r="AE206" s="124"/>
      <c r="AH206" s="124"/>
      <c r="AI206" s="124"/>
      <c r="AJ206" s="124"/>
      <c r="AK206" s="124"/>
    </row>
    <row r="207" ht="14.25" customHeight="1">
      <c r="D207" s="124"/>
      <c r="L207" s="89"/>
      <c r="M207" s="89"/>
      <c r="N207" s="124"/>
      <c r="O207" s="124"/>
      <c r="P207" s="124"/>
      <c r="Q207" s="124"/>
      <c r="R207" s="124"/>
      <c r="AE207" s="124"/>
      <c r="AH207" s="124"/>
      <c r="AI207" s="124"/>
      <c r="AJ207" s="124"/>
      <c r="AK207" s="124"/>
    </row>
    <row r="208" ht="14.25" customHeight="1">
      <c r="D208" s="124"/>
      <c r="L208" s="89"/>
      <c r="M208" s="89"/>
      <c r="N208" s="124"/>
      <c r="O208" s="124"/>
      <c r="P208" s="124"/>
      <c r="Q208" s="124"/>
      <c r="R208" s="124"/>
      <c r="AE208" s="124"/>
      <c r="AH208" s="124"/>
      <c r="AI208" s="124"/>
      <c r="AJ208" s="124"/>
      <c r="AK208" s="124"/>
    </row>
    <row r="209" ht="14.25" customHeight="1">
      <c r="D209" s="124"/>
      <c r="L209" s="89"/>
      <c r="M209" s="89"/>
      <c r="N209" s="124"/>
      <c r="O209" s="124"/>
      <c r="P209" s="124"/>
      <c r="Q209" s="124"/>
      <c r="R209" s="124"/>
      <c r="AE209" s="124"/>
      <c r="AH209" s="124"/>
      <c r="AI209" s="124"/>
      <c r="AJ209" s="124"/>
      <c r="AK209" s="124"/>
    </row>
    <row r="210" ht="14.25" customHeight="1">
      <c r="D210" s="124"/>
      <c r="L210" s="89"/>
      <c r="M210" s="89"/>
      <c r="N210" s="124"/>
      <c r="O210" s="124"/>
      <c r="P210" s="124"/>
      <c r="Q210" s="124"/>
      <c r="R210" s="124"/>
      <c r="AE210" s="124"/>
      <c r="AH210" s="124"/>
      <c r="AI210" s="124"/>
      <c r="AJ210" s="124"/>
      <c r="AK210" s="124"/>
    </row>
    <row r="211" ht="14.25" customHeight="1">
      <c r="D211" s="124"/>
      <c r="L211" s="89"/>
      <c r="M211" s="89"/>
      <c r="N211" s="124"/>
      <c r="O211" s="124"/>
      <c r="P211" s="124"/>
      <c r="Q211" s="124"/>
      <c r="R211" s="124"/>
      <c r="AE211" s="124"/>
      <c r="AH211" s="124"/>
      <c r="AI211" s="124"/>
      <c r="AJ211" s="124"/>
      <c r="AK211" s="124"/>
    </row>
    <row r="212" ht="14.25" customHeight="1">
      <c r="D212" s="124"/>
      <c r="L212" s="89"/>
      <c r="M212" s="89"/>
      <c r="N212" s="124"/>
      <c r="O212" s="124"/>
      <c r="P212" s="124"/>
      <c r="Q212" s="124"/>
      <c r="R212" s="124"/>
      <c r="AE212" s="124"/>
      <c r="AH212" s="124"/>
      <c r="AI212" s="124"/>
      <c r="AJ212" s="124"/>
      <c r="AK212" s="124"/>
    </row>
    <row r="213" ht="14.25" customHeight="1">
      <c r="D213" s="124"/>
      <c r="L213" s="89"/>
      <c r="M213" s="89"/>
      <c r="N213" s="124"/>
      <c r="O213" s="124"/>
      <c r="P213" s="124"/>
      <c r="Q213" s="124"/>
      <c r="R213" s="124"/>
      <c r="AE213" s="124"/>
      <c r="AH213" s="124"/>
      <c r="AI213" s="124"/>
      <c r="AJ213" s="124"/>
      <c r="AK213" s="124"/>
    </row>
    <row r="214" ht="14.25" customHeight="1">
      <c r="D214" s="124"/>
      <c r="L214" s="89"/>
      <c r="M214" s="89"/>
      <c r="N214" s="124"/>
      <c r="O214" s="124"/>
      <c r="P214" s="124"/>
      <c r="Q214" s="124"/>
      <c r="R214" s="124"/>
      <c r="AE214" s="124"/>
      <c r="AH214" s="124"/>
      <c r="AI214" s="124"/>
      <c r="AJ214" s="124"/>
      <c r="AK214" s="124"/>
    </row>
    <row r="215" ht="14.25" customHeight="1">
      <c r="D215" s="124"/>
      <c r="L215" s="89"/>
      <c r="M215" s="89"/>
      <c r="N215" s="124"/>
      <c r="O215" s="124"/>
      <c r="P215" s="124"/>
      <c r="Q215" s="124"/>
      <c r="R215" s="124"/>
      <c r="AE215" s="124"/>
      <c r="AH215" s="124"/>
      <c r="AI215" s="124"/>
      <c r="AJ215" s="124"/>
      <c r="AK215" s="124"/>
    </row>
    <row r="216" ht="14.25" customHeight="1">
      <c r="D216" s="124"/>
      <c r="L216" s="89"/>
      <c r="M216" s="89"/>
      <c r="N216" s="124"/>
      <c r="O216" s="124"/>
      <c r="P216" s="124"/>
      <c r="Q216" s="124"/>
      <c r="R216" s="124"/>
      <c r="AE216" s="124"/>
      <c r="AH216" s="124"/>
      <c r="AI216" s="124"/>
      <c r="AJ216" s="124"/>
      <c r="AK216" s="124"/>
    </row>
    <row r="217" ht="14.25" customHeight="1">
      <c r="D217" s="124"/>
      <c r="L217" s="89"/>
      <c r="M217" s="89"/>
      <c r="N217" s="124"/>
      <c r="O217" s="124"/>
      <c r="P217" s="124"/>
      <c r="Q217" s="124"/>
      <c r="R217" s="124"/>
      <c r="AE217" s="124"/>
      <c r="AH217" s="124"/>
      <c r="AI217" s="124"/>
      <c r="AJ217" s="124"/>
      <c r="AK217" s="124"/>
    </row>
    <row r="218" ht="14.25" customHeight="1">
      <c r="D218" s="124"/>
      <c r="L218" s="89"/>
      <c r="M218" s="89"/>
      <c r="N218" s="124"/>
      <c r="O218" s="124"/>
      <c r="P218" s="124"/>
      <c r="Q218" s="124"/>
      <c r="R218" s="124"/>
      <c r="AE218" s="124"/>
      <c r="AH218" s="124"/>
      <c r="AI218" s="124"/>
      <c r="AJ218" s="124"/>
      <c r="AK218" s="124"/>
    </row>
    <row r="219" ht="14.25" customHeight="1">
      <c r="D219" s="124"/>
      <c r="L219" s="89"/>
      <c r="M219" s="89"/>
      <c r="N219" s="124"/>
      <c r="O219" s="124"/>
      <c r="P219" s="124"/>
      <c r="Q219" s="124"/>
      <c r="R219" s="124"/>
      <c r="AE219" s="124"/>
      <c r="AH219" s="124"/>
      <c r="AI219" s="124"/>
      <c r="AJ219" s="124"/>
      <c r="AK219" s="124"/>
    </row>
    <row r="220" ht="14.25" customHeight="1">
      <c r="D220" s="124"/>
      <c r="L220" s="89"/>
      <c r="M220" s="89"/>
      <c r="N220" s="124"/>
      <c r="O220" s="124"/>
      <c r="P220" s="124"/>
      <c r="Q220" s="124"/>
      <c r="R220" s="124"/>
      <c r="AE220" s="124"/>
      <c r="AH220" s="124"/>
      <c r="AI220" s="124"/>
      <c r="AJ220" s="124"/>
      <c r="AK220" s="124"/>
    </row>
    <row r="221" ht="14.25" customHeight="1">
      <c r="D221" s="124"/>
      <c r="L221" s="89"/>
      <c r="M221" s="89"/>
      <c r="N221" s="124"/>
      <c r="O221" s="124"/>
      <c r="P221" s="124"/>
      <c r="Q221" s="124"/>
      <c r="R221" s="124"/>
      <c r="AE221" s="124"/>
      <c r="AH221" s="124"/>
      <c r="AI221" s="124"/>
      <c r="AJ221" s="124"/>
      <c r="AK221" s="124"/>
    </row>
    <row r="222" ht="14.25" customHeight="1">
      <c r="D222" s="124"/>
      <c r="L222" s="89"/>
      <c r="M222" s="89"/>
      <c r="N222" s="124"/>
      <c r="O222" s="124"/>
      <c r="P222" s="124"/>
      <c r="Q222" s="124"/>
      <c r="R222" s="124"/>
      <c r="AE222" s="124"/>
      <c r="AH222" s="124"/>
      <c r="AI222" s="124"/>
      <c r="AJ222" s="124"/>
      <c r="AK222" s="124"/>
    </row>
    <row r="223" ht="14.25" customHeight="1">
      <c r="D223" s="124"/>
      <c r="L223" s="89"/>
      <c r="M223" s="89"/>
      <c r="N223" s="124"/>
      <c r="O223" s="124"/>
      <c r="P223" s="124"/>
      <c r="Q223" s="124"/>
      <c r="R223" s="124"/>
      <c r="AE223" s="124"/>
      <c r="AH223" s="124"/>
      <c r="AI223" s="124"/>
      <c r="AJ223" s="124"/>
      <c r="AK223" s="124"/>
    </row>
    <row r="224" ht="14.25" customHeight="1">
      <c r="D224" s="124"/>
      <c r="L224" s="89"/>
      <c r="M224" s="89"/>
      <c r="N224" s="124"/>
      <c r="O224" s="124"/>
      <c r="P224" s="124"/>
      <c r="Q224" s="124"/>
      <c r="R224" s="124"/>
      <c r="AE224" s="124"/>
      <c r="AH224" s="124"/>
      <c r="AI224" s="124"/>
      <c r="AJ224" s="124"/>
      <c r="AK224" s="124"/>
    </row>
    <row r="225" ht="14.25" customHeight="1">
      <c r="D225" s="124"/>
      <c r="L225" s="89"/>
      <c r="M225" s="89"/>
      <c r="N225" s="124"/>
      <c r="O225" s="124"/>
      <c r="P225" s="124"/>
      <c r="Q225" s="124"/>
      <c r="R225" s="124"/>
      <c r="AE225" s="124"/>
      <c r="AH225" s="124"/>
      <c r="AI225" s="124"/>
      <c r="AJ225" s="124"/>
      <c r="AK225" s="124"/>
    </row>
    <row r="226" ht="14.25" customHeight="1">
      <c r="D226" s="124"/>
      <c r="L226" s="89"/>
      <c r="M226" s="89"/>
      <c r="N226" s="124"/>
      <c r="O226" s="124"/>
      <c r="P226" s="124"/>
      <c r="Q226" s="124"/>
      <c r="R226" s="124"/>
      <c r="AE226" s="124"/>
      <c r="AH226" s="124"/>
      <c r="AI226" s="124"/>
      <c r="AJ226" s="124"/>
      <c r="AK226" s="124"/>
    </row>
    <row r="227" ht="14.25" customHeight="1">
      <c r="D227" s="124"/>
      <c r="L227" s="89"/>
      <c r="M227" s="89"/>
      <c r="N227" s="124"/>
      <c r="O227" s="124"/>
      <c r="P227" s="124"/>
      <c r="Q227" s="124"/>
      <c r="R227" s="124"/>
      <c r="AE227" s="124"/>
      <c r="AH227" s="124"/>
      <c r="AI227" s="124"/>
      <c r="AJ227" s="124"/>
      <c r="AK227" s="124"/>
    </row>
    <row r="228" ht="14.25" customHeight="1">
      <c r="D228" s="124"/>
      <c r="L228" s="89"/>
      <c r="M228" s="89"/>
      <c r="N228" s="124"/>
      <c r="O228" s="124"/>
      <c r="P228" s="124"/>
      <c r="Q228" s="124"/>
      <c r="R228" s="124"/>
      <c r="AE228" s="124"/>
      <c r="AH228" s="124"/>
      <c r="AI228" s="124"/>
      <c r="AJ228" s="124"/>
      <c r="AK228" s="124"/>
    </row>
    <row r="229" ht="14.25" customHeight="1">
      <c r="D229" s="124"/>
      <c r="L229" s="89"/>
      <c r="M229" s="89"/>
      <c r="N229" s="124"/>
      <c r="O229" s="124"/>
      <c r="P229" s="124"/>
      <c r="Q229" s="124"/>
      <c r="R229" s="124"/>
      <c r="AE229" s="124"/>
      <c r="AH229" s="124"/>
      <c r="AI229" s="124"/>
      <c r="AJ229" s="124"/>
      <c r="AK229" s="124"/>
    </row>
    <row r="230" ht="14.25" customHeight="1">
      <c r="D230" s="124"/>
      <c r="L230" s="89"/>
      <c r="M230" s="89"/>
      <c r="N230" s="124"/>
      <c r="O230" s="124"/>
      <c r="P230" s="124"/>
      <c r="Q230" s="124"/>
      <c r="R230" s="124"/>
      <c r="AE230" s="124"/>
      <c r="AH230" s="124"/>
      <c r="AI230" s="124"/>
      <c r="AJ230" s="124"/>
      <c r="AK230" s="124"/>
    </row>
    <row r="231" ht="14.25" customHeight="1">
      <c r="D231" s="124"/>
      <c r="L231" s="89"/>
      <c r="M231" s="89"/>
      <c r="N231" s="124"/>
      <c r="O231" s="124"/>
      <c r="P231" s="124"/>
      <c r="Q231" s="124"/>
      <c r="R231" s="124"/>
      <c r="AE231" s="124"/>
      <c r="AH231" s="124"/>
      <c r="AI231" s="124"/>
      <c r="AJ231" s="124"/>
      <c r="AK231" s="124"/>
    </row>
    <row r="232" ht="14.25" customHeight="1">
      <c r="D232" s="124"/>
      <c r="L232" s="89"/>
      <c r="M232" s="89"/>
      <c r="N232" s="124"/>
      <c r="O232" s="124"/>
      <c r="P232" s="124"/>
      <c r="Q232" s="124"/>
      <c r="R232" s="124"/>
      <c r="AE232" s="124"/>
      <c r="AH232" s="124"/>
      <c r="AI232" s="124"/>
      <c r="AJ232" s="124"/>
      <c r="AK232" s="124"/>
    </row>
    <row r="233" ht="14.25" customHeight="1">
      <c r="D233" s="124"/>
      <c r="L233" s="89"/>
      <c r="M233" s="89"/>
      <c r="N233" s="124"/>
      <c r="O233" s="124"/>
      <c r="P233" s="124"/>
      <c r="Q233" s="124"/>
      <c r="R233" s="124"/>
      <c r="AE233" s="124"/>
      <c r="AH233" s="124"/>
      <c r="AI233" s="124"/>
      <c r="AJ233" s="124"/>
      <c r="AK233" s="124"/>
    </row>
    <row r="234" ht="14.25" customHeight="1">
      <c r="D234" s="124"/>
      <c r="L234" s="89"/>
      <c r="M234" s="89"/>
      <c r="N234" s="124"/>
      <c r="O234" s="124"/>
      <c r="P234" s="124"/>
      <c r="Q234" s="124"/>
      <c r="R234" s="124"/>
      <c r="AE234" s="124"/>
      <c r="AH234" s="124"/>
      <c r="AI234" s="124"/>
      <c r="AJ234" s="124"/>
      <c r="AK234" s="124"/>
    </row>
    <row r="235" ht="14.25" customHeight="1">
      <c r="D235" s="124"/>
      <c r="L235" s="89"/>
      <c r="M235" s="89"/>
      <c r="N235" s="124"/>
      <c r="O235" s="124"/>
      <c r="P235" s="124"/>
      <c r="Q235" s="124"/>
      <c r="R235" s="124"/>
      <c r="AE235" s="124"/>
      <c r="AH235" s="124"/>
      <c r="AI235" s="124"/>
      <c r="AJ235" s="124"/>
      <c r="AK235" s="124"/>
    </row>
    <row r="236" ht="14.25" customHeight="1">
      <c r="D236" s="124"/>
      <c r="L236" s="89"/>
      <c r="M236" s="89"/>
      <c r="N236" s="124"/>
      <c r="O236" s="124"/>
      <c r="P236" s="124"/>
      <c r="Q236" s="124"/>
      <c r="R236" s="124"/>
      <c r="AE236" s="124"/>
      <c r="AH236" s="124"/>
      <c r="AI236" s="124"/>
      <c r="AJ236" s="124"/>
      <c r="AK236" s="124"/>
    </row>
    <row r="237" ht="14.25" customHeight="1">
      <c r="D237" s="124"/>
      <c r="L237" s="89"/>
      <c r="M237" s="89"/>
      <c r="N237" s="124"/>
      <c r="O237" s="124"/>
      <c r="P237" s="124"/>
      <c r="Q237" s="124"/>
      <c r="R237" s="124"/>
      <c r="AE237" s="124"/>
      <c r="AH237" s="124"/>
      <c r="AI237" s="124"/>
      <c r="AJ237" s="124"/>
      <c r="AK237" s="124"/>
    </row>
    <row r="238" ht="14.25" customHeight="1">
      <c r="D238" s="124"/>
      <c r="L238" s="89"/>
      <c r="M238" s="89"/>
      <c r="N238" s="124"/>
      <c r="O238" s="124"/>
      <c r="P238" s="124"/>
      <c r="Q238" s="124"/>
      <c r="R238" s="124"/>
      <c r="AE238" s="124"/>
      <c r="AH238" s="124"/>
      <c r="AI238" s="124"/>
      <c r="AJ238" s="124"/>
      <c r="AK238" s="124"/>
    </row>
    <row r="239" ht="14.25" customHeight="1">
      <c r="D239" s="124"/>
      <c r="L239" s="89"/>
      <c r="M239" s="89"/>
      <c r="N239" s="124"/>
      <c r="O239" s="124"/>
      <c r="P239" s="124"/>
      <c r="Q239" s="124"/>
      <c r="R239" s="124"/>
      <c r="AE239" s="124"/>
      <c r="AH239" s="124"/>
      <c r="AI239" s="124"/>
      <c r="AJ239" s="124"/>
      <c r="AK239" s="124"/>
    </row>
    <row r="240" ht="14.25" customHeight="1">
      <c r="D240" s="124"/>
      <c r="L240" s="89"/>
      <c r="M240" s="89"/>
      <c r="N240" s="124"/>
      <c r="O240" s="124"/>
      <c r="P240" s="124"/>
      <c r="Q240" s="124"/>
      <c r="R240" s="124"/>
      <c r="AE240" s="124"/>
      <c r="AH240" s="124"/>
      <c r="AI240" s="124"/>
      <c r="AJ240" s="124"/>
      <c r="AK240" s="124"/>
    </row>
    <row r="241" ht="15.75" customHeight="1">
      <c r="L241" s="89"/>
      <c r="M241" s="89"/>
    </row>
    <row r="242" ht="15.75" customHeight="1">
      <c r="L242" s="89"/>
      <c r="M242" s="89"/>
    </row>
    <row r="243" ht="15.75" customHeight="1">
      <c r="L243" s="89"/>
      <c r="M243" s="89"/>
    </row>
    <row r="244" ht="15.75" customHeight="1">
      <c r="L244" s="89"/>
      <c r="M244" s="89"/>
    </row>
    <row r="245" ht="15.75" customHeight="1">
      <c r="L245" s="89"/>
      <c r="M245" s="89"/>
    </row>
    <row r="246" ht="15.75" customHeight="1">
      <c r="L246" s="89"/>
      <c r="M246" s="89"/>
    </row>
    <row r="247" ht="15.75" customHeight="1">
      <c r="L247" s="89"/>
      <c r="M247" s="89"/>
    </row>
    <row r="248" ht="15.75" customHeight="1">
      <c r="L248" s="89"/>
      <c r="M248" s="89"/>
    </row>
    <row r="249" ht="15.75" customHeight="1">
      <c r="L249" s="89"/>
      <c r="M249" s="89"/>
    </row>
    <row r="250" ht="15.75" customHeight="1">
      <c r="L250" s="89"/>
      <c r="M250" s="89"/>
    </row>
    <row r="251" ht="15.75" customHeight="1">
      <c r="L251" s="89"/>
      <c r="M251" s="89"/>
    </row>
    <row r="252" ht="15.75" customHeight="1">
      <c r="L252" s="89"/>
      <c r="M252" s="89"/>
    </row>
    <row r="253" ht="15.75" customHeight="1">
      <c r="L253" s="89"/>
      <c r="M253" s="89"/>
    </row>
    <row r="254" ht="15.75" customHeight="1">
      <c r="L254" s="89"/>
      <c r="M254" s="89"/>
    </row>
    <row r="255" ht="15.75" customHeight="1">
      <c r="L255" s="89"/>
      <c r="M255" s="89"/>
    </row>
    <row r="256" ht="15.75" customHeight="1">
      <c r="L256" s="89"/>
      <c r="M256" s="89"/>
    </row>
    <row r="257" ht="15.75" customHeight="1">
      <c r="L257" s="89"/>
      <c r="M257" s="89"/>
    </row>
    <row r="258" ht="15.75" customHeight="1">
      <c r="L258" s="89"/>
      <c r="M258" s="89"/>
    </row>
    <row r="259" ht="15.75" customHeight="1">
      <c r="L259" s="89"/>
      <c r="M259" s="89"/>
    </row>
    <row r="260" ht="15.75" customHeight="1">
      <c r="L260" s="89"/>
      <c r="M260" s="89"/>
    </row>
    <row r="261" ht="15.75" customHeight="1">
      <c r="L261" s="89"/>
      <c r="M261" s="89"/>
    </row>
    <row r="262" ht="15.75" customHeight="1">
      <c r="L262" s="89"/>
      <c r="M262" s="89"/>
    </row>
    <row r="263" ht="15.75" customHeight="1">
      <c r="L263" s="89"/>
      <c r="M263" s="89"/>
    </row>
    <row r="264" ht="15.75" customHeight="1">
      <c r="L264" s="89"/>
      <c r="M264" s="89"/>
    </row>
    <row r="265" ht="15.75" customHeight="1">
      <c r="L265" s="89"/>
      <c r="M265" s="89"/>
    </row>
    <row r="266" ht="15.75" customHeight="1">
      <c r="L266" s="89"/>
      <c r="M266" s="89"/>
    </row>
    <row r="267" ht="15.75" customHeight="1">
      <c r="L267" s="89"/>
      <c r="M267" s="89"/>
    </row>
    <row r="268" ht="15.75" customHeight="1">
      <c r="L268" s="89"/>
      <c r="M268" s="89"/>
    </row>
    <row r="269" ht="15.75" customHeight="1">
      <c r="L269" s="89"/>
      <c r="M269" s="89"/>
    </row>
    <row r="270" ht="15.75" customHeight="1">
      <c r="L270" s="89"/>
      <c r="M270" s="89"/>
    </row>
    <row r="271" ht="15.75" customHeight="1">
      <c r="L271" s="89"/>
      <c r="M271" s="89"/>
    </row>
    <row r="272" ht="15.75" customHeight="1">
      <c r="L272" s="89"/>
      <c r="M272" s="89"/>
    </row>
    <row r="273" ht="15.75" customHeight="1">
      <c r="L273" s="89"/>
      <c r="M273" s="89"/>
    </row>
    <row r="274" ht="15.75" customHeight="1">
      <c r="L274" s="89"/>
      <c r="M274" s="89"/>
    </row>
    <row r="275" ht="15.75" customHeight="1">
      <c r="L275" s="89"/>
      <c r="M275" s="89"/>
    </row>
    <row r="276" ht="15.75" customHeight="1">
      <c r="L276" s="89"/>
      <c r="M276" s="89"/>
    </row>
    <row r="277" ht="15.75" customHeight="1">
      <c r="L277" s="89"/>
      <c r="M277" s="89"/>
    </row>
    <row r="278" ht="15.75" customHeight="1">
      <c r="L278" s="89"/>
      <c r="M278" s="89"/>
    </row>
    <row r="279" ht="15.75" customHeight="1">
      <c r="L279" s="89"/>
      <c r="M279" s="89"/>
    </row>
    <row r="280" ht="15.75" customHeight="1">
      <c r="L280" s="89"/>
      <c r="M280" s="89"/>
    </row>
    <row r="281" ht="15.75" customHeight="1">
      <c r="L281" s="89"/>
      <c r="M281" s="89"/>
    </row>
    <row r="282" ht="15.75" customHeight="1">
      <c r="L282" s="89"/>
      <c r="M282" s="89"/>
    </row>
    <row r="283" ht="15.75" customHeight="1">
      <c r="L283" s="89"/>
      <c r="M283" s="89"/>
    </row>
    <row r="284" ht="15.75" customHeight="1">
      <c r="L284" s="89"/>
      <c r="M284" s="89"/>
    </row>
    <row r="285" ht="15.75" customHeight="1">
      <c r="L285" s="89"/>
      <c r="M285" s="89"/>
    </row>
    <row r="286" ht="15.75" customHeight="1">
      <c r="L286" s="89"/>
      <c r="M286" s="89"/>
    </row>
    <row r="287" ht="15.75" customHeight="1">
      <c r="L287" s="89"/>
      <c r="M287" s="89"/>
    </row>
    <row r="288" ht="15.75" customHeight="1">
      <c r="L288" s="89"/>
      <c r="M288" s="89"/>
    </row>
    <row r="289" ht="15.75" customHeight="1">
      <c r="L289" s="89"/>
      <c r="M289" s="89"/>
    </row>
    <row r="290" ht="15.75" customHeight="1">
      <c r="L290" s="89"/>
      <c r="M290" s="89"/>
    </row>
    <row r="291" ht="15.75" customHeight="1">
      <c r="L291" s="89"/>
      <c r="M291" s="89"/>
    </row>
    <row r="292" ht="15.75" customHeight="1">
      <c r="L292" s="89"/>
      <c r="M292" s="89"/>
    </row>
    <row r="293" ht="15.75" customHeight="1">
      <c r="L293" s="89"/>
      <c r="M293" s="89"/>
    </row>
    <row r="294" ht="15.75" customHeight="1">
      <c r="L294" s="89"/>
      <c r="M294" s="89"/>
    </row>
    <row r="295" ht="15.75" customHeight="1">
      <c r="L295" s="89"/>
      <c r="M295" s="89"/>
    </row>
    <row r="296" ht="15.75" customHeight="1">
      <c r="L296" s="89"/>
      <c r="M296" s="89"/>
    </row>
    <row r="297" ht="15.75" customHeight="1">
      <c r="L297" s="89"/>
      <c r="M297" s="89"/>
    </row>
    <row r="298" ht="15.75" customHeight="1">
      <c r="L298" s="89"/>
      <c r="M298" s="89"/>
    </row>
    <row r="299" ht="15.75" customHeight="1">
      <c r="L299" s="89"/>
      <c r="M299" s="89"/>
    </row>
    <row r="300" ht="15.75" customHeight="1">
      <c r="L300" s="89"/>
      <c r="M300" s="89"/>
    </row>
    <row r="301" ht="15.75" customHeight="1">
      <c r="L301" s="89"/>
      <c r="M301" s="89"/>
    </row>
    <row r="302" ht="15.75" customHeight="1">
      <c r="L302" s="89"/>
      <c r="M302" s="89"/>
    </row>
    <row r="303" ht="15.75" customHeight="1">
      <c r="L303" s="89"/>
      <c r="M303" s="89"/>
    </row>
    <row r="304" ht="15.75" customHeight="1">
      <c r="L304" s="89"/>
      <c r="M304" s="89"/>
    </row>
    <row r="305" ht="15.75" customHeight="1">
      <c r="L305" s="89"/>
      <c r="M305" s="89"/>
    </row>
    <row r="306" ht="15.75" customHeight="1">
      <c r="L306" s="89"/>
      <c r="M306" s="89"/>
    </row>
    <row r="307" ht="15.75" customHeight="1">
      <c r="L307" s="89"/>
      <c r="M307" s="89"/>
    </row>
    <row r="308" ht="15.75" customHeight="1">
      <c r="L308" s="89"/>
      <c r="M308" s="89"/>
    </row>
    <row r="309" ht="15.75" customHeight="1">
      <c r="L309" s="89"/>
      <c r="M309" s="89"/>
    </row>
    <row r="310" ht="15.75" customHeight="1">
      <c r="L310" s="89"/>
      <c r="M310" s="89"/>
    </row>
    <row r="311" ht="15.75" customHeight="1">
      <c r="L311" s="89"/>
      <c r="M311" s="89"/>
    </row>
    <row r="312" ht="15.75" customHeight="1">
      <c r="L312" s="89"/>
      <c r="M312" s="89"/>
    </row>
    <row r="313" ht="15.75" customHeight="1">
      <c r="L313" s="89"/>
      <c r="M313" s="89"/>
    </row>
    <row r="314" ht="15.75" customHeight="1">
      <c r="L314" s="89"/>
      <c r="M314" s="89"/>
    </row>
    <row r="315" ht="15.75" customHeight="1">
      <c r="L315" s="89"/>
      <c r="M315" s="89"/>
    </row>
    <row r="316" ht="15.75" customHeight="1">
      <c r="L316" s="89"/>
      <c r="M316" s="89"/>
    </row>
    <row r="317" ht="15.75" customHeight="1">
      <c r="L317" s="89"/>
      <c r="M317" s="89"/>
    </row>
    <row r="318" ht="15.75" customHeight="1">
      <c r="L318" s="89"/>
      <c r="M318" s="89"/>
    </row>
    <row r="319" ht="15.75" customHeight="1">
      <c r="L319" s="89"/>
      <c r="M319" s="89"/>
    </row>
    <row r="320" ht="15.75" customHeight="1">
      <c r="L320" s="89"/>
      <c r="M320" s="89"/>
    </row>
    <row r="321" ht="15.75" customHeight="1">
      <c r="L321" s="89"/>
      <c r="M321" s="89"/>
    </row>
    <row r="322" ht="15.75" customHeight="1">
      <c r="L322" s="89"/>
      <c r="M322" s="89"/>
    </row>
    <row r="323" ht="15.75" customHeight="1">
      <c r="L323" s="89"/>
      <c r="M323" s="89"/>
    </row>
    <row r="324" ht="15.75" customHeight="1">
      <c r="L324" s="89"/>
      <c r="M324" s="89"/>
    </row>
    <row r="325" ht="15.75" customHeight="1">
      <c r="L325" s="89"/>
      <c r="M325" s="89"/>
    </row>
    <row r="326" ht="15.75" customHeight="1">
      <c r="L326" s="89"/>
      <c r="M326" s="89"/>
    </row>
    <row r="327" ht="15.75" customHeight="1">
      <c r="L327" s="89"/>
      <c r="M327" s="89"/>
    </row>
    <row r="328" ht="15.75" customHeight="1">
      <c r="L328" s="89"/>
      <c r="M328" s="89"/>
    </row>
    <row r="329" ht="15.75" customHeight="1">
      <c r="L329" s="89"/>
      <c r="M329" s="89"/>
    </row>
    <row r="330" ht="15.75" customHeight="1">
      <c r="L330" s="89"/>
      <c r="M330" s="89"/>
    </row>
    <row r="331" ht="15.75" customHeight="1">
      <c r="L331" s="89"/>
      <c r="M331" s="89"/>
    </row>
    <row r="332" ht="15.75" customHeight="1">
      <c r="L332" s="89"/>
      <c r="M332" s="89"/>
    </row>
    <row r="333" ht="15.75" customHeight="1">
      <c r="L333" s="89"/>
      <c r="M333" s="89"/>
    </row>
    <row r="334" ht="15.75" customHeight="1">
      <c r="L334" s="89"/>
      <c r="M334" s="89"/>
    </row>
    <row r="335" ht="15.75" customHeight="1">
      <c r="L335" s="89"/>
      <c r="M335" s="89"/>
    </row>
    <row r="336" ht="15.75" customHeight="1">
      <c r="L336" s="89"/>
      <c r="M336" s="89"/>
    </row>
    <row r="337" ht="15.75" customHeight="1">
      <c r="L337" s="89"/>
      <c r="M337" s="89"/>
    </row>
    <row r="338" ht="15.75" customHeight="1">
      <c r="L338" s="89"/>
      <c r="M338" s="89"/>
    </row>
    <row r="339" ht="15.75" customHeight="1">
      <c r="L339" s="89"/>
      <c r="M339" s="89"/>
    </row>
    <row r="340" ht="15.75" customHeight="1">
      <c r="L340" s="89"/>
      <c r="M340" s="89"/>
    </row>
    <row r="341" ht="15.75" customHeight="1">
      <c r="L341" s="89"/>
      <c r="M341" s="89"/>
    </row>
    <row r="342" ht="15.75" customHeight="1">
      <c r="L342" s="89"/>
      <c r="M342" s="89"/>
    </row>
    <row r="343" ht="15.75" customHeight="1">
      <c r="L343" s="89"/>
      <c r="M343" s="89"/>
    </row>
    <row r="344" ht="15.75" customHeight="1">
      <c r="L344" s="89"/>
      <c r="M344" s="89"/>
    </row>
    <row r="345" ht="15.75" customHeight="1">
      <c r="L345" s="89"/>
      <c r="M345" s="89"/>
    </row>
    <row r="346" ht="15.75" customHeight="1">
      <c r="L346" s="89"/>
      <c r="M346" s="89"/>
    </row>
    <row r="347" ht="15.75" customHeight="1">
      <c r="L347" s="89"/>
      <c r="M347" s="89"/>
    </row>
    <row r="348" ht="15.75" customHeight="1">
      <c r="L348" s="89"/>
      <c r="M348" s="89"/>
    </row>
    <row r="349" ht="15.75" customHeight="1">
      <c r="L349" s="89"/>
      <c r="M349" s="89"/>
    </row>
    <row r="350" ht="15.75" customHeight="1">
      <c r="L350" s="89"/>
      <c r="M350" s="89"/>
    </row>
    <row r="351" ht="15.75" customHeight="1">
      <c r="L351" s="89"/>
      <c r="M351" s="89"/>
    </row>
    <row r="352" ht="15.75" customHeight="1">
      <c r="L352" s="89"/>
      <c r="M352" s="89"/>
    </row>
    <row r="353" ht="15.75" customHeight="1">
      <c r="L353" s="89"/>
      <c r="M353" s="89"/>
    </row>
    <row r="354" ht="15.75" customHeight="1">
      <c r="L354" s="89"/>
      <c r="M354" s="89"/>
    </row>
    <row r="355" ht="15.75" customHeight="1">
      <c r="L355" s="89"/>
      <c r="M355" s="89"/>
    </row>
    <row r="356" ht="15.75" customHeight="1">
      <c r="L356" s="89"/>
      <c r="M356" s="89"/>
    </row>
    <row r="357" ht="15.75" customHeight="1">
      <c r="L357" s="89"/>
      <c r="M357" s="89"/>
    </row>
    <row r="358" ht="15.75" customHeight="1">
      <c r="L358" s="89"/>
      <c r="M358" s="89"/>
    </row>
    <row r="359" ht="15.75" customHeight="1">
      <c r="L359" s="89"/>
      <c r="M359" s="89"/>
    </row>
    <row r="360" ht="15.75" customHeight="1">
      <c r="L360" s="89"/>
      <c r="M360" s="89"/>
    </row>
    <row r="361" ht="15.75" customHeight="1">
      <c r="L361" s="89"/>
      <c r="M361" s="89"/>
    </row>
    <row r="362" ht="15.75" customHeight="1">
      <c r="L362" s="89"/>
      <c r="M362" s="89"/>
    </row>
    <row r="363" ht="15.75" customHeight="1">
      <c r="L363" s="89"/>
      <c r="M363" s="89"/>
    </row>
    <row r="364" ht="15.75" customHeight="1">
      <c r="L364" s="89"/>
      <c r="M364" s="89"/>
    </row>
    <row r="365" ht="15.75" customHeight="1">
      <c r="L365" s="89"/>
      <c r="M365" s="89"/>
    </row>
    <row r="366" ht="15.75" customHeight="1">
      <c r="L366" s="89"/>
      <c r="M366" s="89"/>
    </row>
    <row r="367" ht="15.75" customHeight="1">
      <c r="L367" s="89"/>
      <c r="M367" s="89"/>
    </row>
    <row r="368" ht="15.75" customHeight="1">
      <c r="L368" s="89"/>
      <c r="M368" s="89"/>
    </row>
    <row r="369" ht="15.75" customHeight="1">
      <c r="L369" s="89"/>
      <c r="M369" s="89"/>
    </row>
    <row r="370" ht="15.75" customHeight="1">
      <c r="L370" s="89"/>
      <c r="M370" s="89"/>
    </row>
    <row r="371" ht="15.75" customHeight="1">
      <c r="L371" s="89"/>
      <c r="M371" s="89"/>
    </row>
    <row r="372" ht="15.75" customHeight="1">
      <c r="L372" s="89"/>
      <c r="M372" s="89"/>
    </row>
    <row r="373" ht="15.75" customHeight="1">
      <c r="L373" s="89"/>
      <c r="M373" s="89"/>
    </row>
    <row r="374" ht="15.75" customHeight="1">
      <c r="L374" s="89"/>
      <c r="M374" s="89"/>
    </row>
    <row r="375" ht="15.75" customHeight="1">
      <c r="L375" s="89"/>
      <c r="M375" s="89"/>
    </row>
    <row r="376" ht="15.75" customHeight="1">
      <c r="L376" s="89"/>
      <c r="M376" s="89"/>
    </row>
    <row r="377" ht="15.75" customHeight="1">
      <c r="L377" s="89"/>
      <c r="M377" s="89"/>
    </row>
    <row r="378" ht="15.75" customHeight="1">
      <c r="L378" s="89"/>
      <c r="M378" s="89"/>
    </row>
    <row r="379" ht="15.75" customHeight="1">
      <c r="L379" s="89"/>
      <c r="M379" s="89"/>
    </row>
    <row r="380" ht="15.75" customHeight="1">
      <c r="L380" s="89"/>
      <c r="M380" s="89"/>
    </row>
    <row r="381" ht="15.75" customHeight="1">
      <c r="L381" s="89"/>
      <c r="M381" s="89"/>
    </row>
    <row r="382" ht="15.75" customHeight="1">
      <c r="L382" s="89"/>
      <c r="M382" s="89"/>
    </row>
    <row r="383" ht="15.75" customHeight="1">
      <c r="L383" s="89"/>
      <c r="M383" s="89"/>
    </row>
    <row r="384" ht="15.75" customHeight="1">
      <c r="L384" s="89"/>
      <c r="M384" s="89"/>
    </row>
    <row r="385" ht="15.75" customHeight="1">
      <c r="L385" s="89"/>
      <c r="M385" s="89"/>
    </row>
    <row r="386" ht="15.75" customHeight="1">
      <c r="L386" s="89"/>
      <c r="M386" s="89"/>
    </row>
    <row r="387" ht="15.75" customHeight="1">
      <c r="L387" s="89"/>
      <c r="M387" s="89"/>
    </row>
    <row r="388" ht="15.75" customHeight="1">
      <c r="L388" s="89"/>
      <c r="M388" s="89"/>
    </row>
    <row r="389" ht="15.75" customHeight="1">
      <c r="L389" s="89"/>
      <c r="M389" s="89"/>
    </row>
    <row r="390" ht="15.75" customHeight="1">
      <c r="L390" s="89"/>
      <c r="M390" s="89"/>
    </row>
    <row r="391" ht="15.75" customHeight="1">
      <c r="L391" s="89"/>
      <c r="M391" s="89"/>
    </row>
    <row r="392" ht="15.75" customHeight="1">
      <c r="L392" s="89"/>
      <c r="M392" s="89"/>
    </row>
    <row r="393" ht="15.75" customHeight="1">
      <c r="L393" s="89"/>
      <c r="M393" s="89"/>
    </row>
    <row r="394" ht="15.75" customHeight="1">
      <c r="L394" s="89"/>
      <c r="M394" s="89"/>
    </row>
    <row r="395" ht="15.75" customHeight="1">
      <c r="L395" s="89"/>
      <c r="M395" s="89"/>
    </row>
    <row r="396" ht="15.75" customHeight="1">
      <c r="L396" s="89"/>
      <c r="M396" s="89"/>
    </row>
    <row r="397" ht="15.75" customHeight="1">
      <c r="L397" s="89"/>
      <c r="M397" s="89"/>
    </row>
    <row r="398" ht="15.75" customHeight="1">
      <c r="L398" s="89"/>
      <c r="M398" s="89"/>
    </row>
    <row r="399" ht="15.75" customHeight="1">
      <c r="L399" s="89"/>
      <c r="M399" s="89"/>
    </row>
    <row r="400" ht="15.75" customHeight="1">
      <c r="L400" s="89"/>
      <c r="M400" s="89"/>
    </row>
    <row r="401" ht="15.75" customHeight="1">
      <c r="L401" s="89"/>
      <c r="M401" s="89"/>
    </row>
    <row r="402" ht="15.75" customHeight="1">
      <c r="L402" s="89"/>
      <c r="M402" s="89"/>
    </row>
    <row r="403" ht="15.75" customHeight="1">
      <c r="L403" s="89"/>
      <c r="M403" s="89"/>
    </row>
    <row r="404" ht="15.75" customHeight="1">
      <c r="L404" s="89"/>
      <c r="M404" s="89"/>
    </row>
    <row r="405" ht="15.75" customHeight="1">
      <c r="L405" s="89"/>
      <c r="M405" s="89"/>
    </row>
    <row r="406" ht="15.75" customHeight="1">
      <c r="L406" s="89"/>
      <c r="M406" s="89"/>
    </row>
    <row r="407" ht="15.75" customHeight="1">
      <c r="L407" s="89"/>
      <c r="M407" s="89"/>
    </row>
    <row r="408" ht="15.75" customHeight="1">
      <c r="L408" s="89"/>
      <c r="M408" s="89"/>
    </row>
    <row r="409" ht="15.75" customHeight="1">
      <c r="L409" s="89"/>
      <c r="M409" s="89"/>
    </row>
    <row r="410" ht="15.75" customHeight="1">
      <c r="L410" s="89"/>
      <c r="M410" s="89"/>
    </row>
    <row r="411" ht="15.75" customHeight="1">
      <c r="L411" s="89"/>
      <c r="M411" s="89"/>
    </row>
    <row r="412" ht="15.75" customHeight="1">
      <c r="L412" s="89"/>
      <c r="M412" s="89"/>
    </row>
    <row r="413" ht="15.75" customHeight="1">
      <c r="L413" s="89"/>
      <c r="M413" s="89"/>
    </row>
    <row r="414" ht="15.75" customHeight="1">
      <c r="L414" s="89"/>
      <c r="M414" s="89"/>
    </row>
    <row r="415" ht="15.75" customHeight="1">
      <c r="L415" s="89"/>
      <c r="M415" s="89"/>
    </row>
    <row r="416" ht="15.75" customHeight="1">
      <c r="L416" s="89"/>
      <c r="M416" s="89"/>
    </row>
    <row r="417" ht="15.75" customHeight="1">
      <c r="L417" s="89"/>
      <c r="M417" s="89"/>
    </row>
    <row r="418" ht="15.75" customHeight="1">
      <c r="L418" s="89"/>
      <c r="M418" s="89"/>
    </row>
    <row r="419" ht="15.75" customHeight="1">
      <c r="L419" s="89"/>
      <c r="M419" s="89"/>
    </row>
    <row r="420" ht="15.75" customHeight="1">
      <c r="L420" s="89"/>
      <c r="M420" s="89"/>
    </row>
    <row r="421" ht="15.75" customHeight="1">
      <c r="L421" s="89"/>
      <c r="M421" s="89"/>
    </row>
    <row r="422" ht="15.75" customHeight="1">
      <c r="L422" s="89"/>
      <c r="M422" s="89"/>
    </row>
    <row r="423" ht="15.75" customHeight="1">
      <c r="L423" s="89"/>
      <c r="M423" s="89"/>
    </row>
    <row r="424" ht="15.75" customHeight="1">
      <c r="L424" s="89"/>
      <c r="M424" s="89"/>
    </row>
    <row r="425" ht="15.75" customHeight="1">
      <c r="L425" s="89"/>
      <c r="M425" s="89"/>
    </row>
    <row r="426" ht="15.75" customHeight="1">
      <c r="L426" s="89"/>
      <c r="M426" s="89"/>
    </row>
    <row r="427" ht="15.75" customHeight="1">
      <c r="L427" s="89"/>
      <c r="M427" s="89"/>
    </row>
    <row r="428" ht="15.75" customHeight="1">
      <c r="L428" s="89"/>
      <c r="M428" s="89"/>
    </row>
    <row r="429" ht="15.75" customHeight="1">
      <c r="L429" s="89"/>
      <c r="M429" s="89"/>
    </row>
    <row r="430" ht="15.75" customHeight="1">
      <c r="L430" s="89"/>
      <c r="M430" s="89"/>
    </row>
    <row r="431" ht="15.75" customHeight="1">
      <c r="L431" s="89"/>
      <c r="M431" s="89"/>
    </row>
    <row r="432" ht="15.75" customHeight="1">
      <c r="L432" s="89"/>
      <c r="M432" s="89"/>
    </row>
    <row r="433" ht="15.75" customHeight="1">
      <c r="L433" s="89"/>
      <c r="M433" s="89"/>
    </row>
    <row r="434" ht="15.75" customHeight="1">
      <c r="L434" s="89"/>
      <c r="M434" s="89"/>
    </row>
    <row r="435" ht="15.75" customHeight="1">
      <c r="L435" s="89"/>
      <c r="M435" s="89"/>
    </row>
    <row r="436" ht="15.75" customHeight="1">
      <c r="L436" s="89"/>
      <c r="M436" s="89"/>
    </row>
    <row r="437" ht="15.75" customHeight="1">
      <c r="L437" s="89"/>
      <c r="M437" s="89"/>
    </row>
    <row r="438" ht="15.75" customHeight="1">
      <c r="L438" s="89"/>
      <c r="M438" s="89"/>
    </row>
    <row r="439" ht="15.75" customHeight="1">
      <c r="L439" s="89"/>
      <c r="M439" s="89"/>
    </row>
    <row r="440" ht="15.75" customHeight="1">
      <c r="L440" s="89"/>
      <c r="M440" s="89"/>
    </row>
    <row r="441" ht="15.75" customHeight="1">
      <c r="L441" s="89"/>
      <c r="M441" s="89"/>
    </row>
    <row r="442" ht="15.75" customHeight="1">
      <c r="L442" s="89"/>
      <c r="M442" s="89"/>
    </row>
    <row r="443" ht="15.75" customHeight="1">
      <c r="L443" s="89"/>
      <c r="M443" s="89"/>
    </row>
    <row r="444" ht="15.75" customHeight="1">
      <c r="L444" s="89"/>
      <c r="M444" s="89"/>
    </row>
    <row r="445" ht="15.75" customHeight="1">
      <c r="L445" s="89"/>
      <c r="M445" s="89"/>
    </row>
    <row r="446" ht="15.75" customHeight="1">
      <c r="L446" s="89"/>
      <c r="M446" s="89"/>
    </row>
    <row r="447" ht="15.75" customHeight="1">
      <c r="L447" s="89"/>
      <c r="M447" s="89"/>
    </row>
    <row r="448" ht="15.75" customHeight="1">
      <c r="L448" s="89"/>
      <c r="M448" s="89"/>
    </row>
    <row r="449" ht="15.75" customHeight="1">
      <c r="L449" s="89"/>
      <c r="M449" s="89"/>
    </row>
    <row r="450" ht="15.75" customHeight="1">
      <c r="L450" s="89"/>
      <c r="M450" s="89"/>
    </row>
    <row r="451" ht="15.75" customHeight="1">
      <c r="L451" s="89"/>
      <c r="M451" s="89"/>
    </row>
    <row r="452" ht="15.75" customHeight="1">
      <c r="L452" s="89"/>
      <c r="M452" s="89"/>
    </row>
    <row r="453" ht="15.75" customHeight="1">
      <c r="L453" s="89"/>
      <c r="M453" s="89"/>
    </row>
    <row r="454" ht="15.75" customHeight="1">
      <c r="L454" s="89"/>
      <c r="M454" s="89"/>
    </row>
    <row r="455" ht="15.75" customHeight="1">
      <c r="L455" s="89"/>
      <c r="M455" s="89"/>
    </row>
    <row r="456" ht="15.75" customHeight="1">
      <c r="L456" s="89"/>
      <c r="M456" s="89"/>
    </row>
    <row r="457" ht="15.75" customHeight="1">
      <c r="L457" s="89"/>
      <c r="M457" s="89"/>
    </row>
    <row r="458" ht="15.75" customHeight="1">
      <c r="L458" s="89"/>
      <c r="M458" s="89"/>
    </row>
    <row r="459" ht="15.75" customHeight="1">
      <c r="L459" s="89"/>
      <c r="M459" s="89"/>
    </row>
    <row r="460" ht="15.75" customHeight="1">
      <c r="L460" s="89"/>
      <c r="M460" s="89"/>
    </row>
    <row r="461" ht="15.75" customHeight="1">
      <c r="L461" s="89"/>
      <c r="M461" s="89"/>
    </row>
    <row r="462" ht="15.75" customHeight="1">
      <c r="L462" s="89"/>
      <c r="M462" s="89"/>
    </row>
    <row r="463" ht="15.75" customHeight="1">
      <c r="L463" s="89"/>
      <c r="M463" s="89"/>
    </row>
    <row r="464" ht="15.75" customHeight="1">
      <c r="L464" s="89"/>
      <c r="M464" s="89"/>
    </row>
    <row r="465" ht="15.75" customHeight="1">
      <c r="L465" s="89"/>
      <c r="M465" s="89"/>
    </row>
    <row r="466" ht="15.75" customHeight="1">
      <c r="L466" s="89"/>
      <c r="M466" s="89"/>
    </row>
    <row r="467" ht="15.75" customHeight="1">
      <c r="L467" s="89"/>
      <c r="M467" s="89"/>
    </row>
    <row r="468" ht="15.75" customHeight="1">
      <c r="L468" s="89"/>
      <c r="M468" s="89"/>
    </row>
    <row r="469" ht="15.75" customHeight="1">
      <c r="L469" s="89"/>
      <c r="M469" s="89"/>
    </row>
    <row r="470" ht="15.75" customHeight="1">
      <c r="L470" s="89"/>
      <c r="M470" s="89"/>
    </row>
    <row r="471" ht="15.75" customHeight="1">
      <c r="L471" s="89"/>
      <c r="M471" s="89"/>
    </row>
    <row r="472" ht="15.75" customHeight="1">
      <c r="L472" s="89"/>
      <c r="M472" s="89"/>
    </row>
    <row r="473" ht="15.75" customHeight="1">
      <c r="L473" s="89"/>
      <c r="M473" s="89"/>
    </row>
    <row r="474" ht="15.75" customHeight="1">
      <c r="L474" s="89"/>
      <c r="M474" s="89"/>
    </row>
    <row r="475" ht="15.75" customHeight="1">
      <c r="L475" s="89"/>
      <c r="M475" s="89"/>
    </row>
    <row r="476" ht="15.75" customHeight="1">
      <c r="L476" s="89"/>
      <c r="M476" s="89"/>
    </row>
    <row r="477" ht="15.75" customHeight="1">
      <c r="L477" s="89"/>
      <c r="M477" s="89"/>
    </row>
    <row r="478" ht="15.75" customHeight="1">
      <c r="L478" s="89"/>
      <c r="M478" s="89"/>
    </row>
    <row r="479" ht="15.75" customHeight="1">
      <c r="L479" s="89"/>
      <c r="M479" s="89"/>
    </row>
    <row r="480" ht="15.75" customHeight="1">
      <c r="L480" s="89"/>
      <c r="M480" s="89"/>
    </row>
    <row r="481" ht="15.75" customHeight="1">
      <c r="L481" s="89"/>
      <c r="M481" s="89"/>
    </row>
    <row r="482" ht="15.75" customHeight="1">
      <c r="L482" s="89"/>
      <c r="M482" s="89"/>
    </row>
    <row r="483" ht="15.75" customHeight="1">
      <c r="L483" s="89"/>
      <c r="M483" s="89"/>
    </row>
    <row r="484" ht="15.75" customHeight="1">
      <c r="L484" s="89"/>
      <c r="M484" s="89"/>
    </row>
    <row r="485" ht="15.75" customHeight="1">
      <c r="L485" s="89"/>
      <c r="M485" s="89"/>
    </row>
    <row r="486" ht="15.75" customHeight="1">
      <c r="L486" s="89"/>
      <c r="M486" s="89"/>
    </row>
    <row r="487" ht="15.75" customHeight="1">
      <c r="L487" s="89"/>
      <c r="M487" s="89"/>
    </row>
    <row r="488" ht="15.75" customHeight="1">
      <c r="L488" s="89"/>
      <c r="M488" s="89"/>
    </row>
    <row r="489" ht="15.75" customHeight="1">
      <c r="L489" s="89"/>
      <c r="M489" s="89"/>
    </row>
    <row r="490" ht="15.75" customHeight="1">
      <c r="L490" s="89"/>
      <c r="M490" s="89"/>
    </row>
    <row r="491" ht="15.75" customHeight="1">
      <c r="L491" s="89"/>
      <c r="M491" s="89"/>
    </row>
    <row r="492" ht="15.75" customHeight="1">
      <c r="L492" s="89"/>
      <c r="M492" s="89"/>
    </row>
    <row r="493" ht="15.75" customHeight="1">
      <c r="L493" s="89"/>
      <c r="M493" s="89"/>
    </row>
    <row r="494" ht="15.75" customHeight="1">
      <c r="L494" s="89"/>
      <c r="M494" s="89"/>
    </row>
    <row r="495" ht="15.75" customHeight="1">
      <c r="L495" s="89"/>
      <c r="M495" s="89"/>
    </row>
    <row r="496" ht="15.75" customHeight="1">
      <c r="L496" s="89"/>
      <c r="M496" s="89"/>
    </row>
    <row r="497" ht="15.75" customHeight="1">
      <c r="L497" s="89"/>
      <c r="M497" s="89"/>
    </row>
    <row r="498" ht="15.75" customHeight="1">
      <c r="L498" s="89"/>
      <c r="M498" s="89"/>
    </row>
    <row r="499" ht="15.75" customHeight="1">
      <c r="L499" s="89"/>
      <c r="M499" s="89"/>
    </row>
    <row r="500" ht="15.75" customHeight="1">
      <c r="L500" s="89"/>
      <c r="M500" s="89"/>
    </row>
    <row r="501" ht="15.75" customHeight="1">
      <c r="L501" s="89"/>
      <c r="M501" s="89"/>
    </row>
    <row r="502" ht="15.75" customHeight="1">
      <c r="L502" s="89"/>
      <c r="M502" s="89"/>
    </row>
    <row r="503" ht="15.75" customHeight="1">
      <c r="L503" s="89"/>
      <c r="M503" s="89"/>
    </row>
    <row r="504" ht="15.75" customHeight="1">
      <c r="L504" s="89"/>
      <c r="M504" s="89"/>
    </row>
    <row r="505" ht="15.75" customHeight="1">
      <c r="L505" s="89"/>
      <c r="M505" s="89"/>
    </row>
    <row r="506" ht="15.75" customHeight="1">
      <c r="L506" s="89"/>
      <c r="M506" s="89"/>
    </row>
    <row r="507" ht="15.75" customHeight="1">
      <c r="L507" s="89"/>
      <c r="M507" s="89"/>
    </row>
    <row r="508" ht="15.75" customHeight="1">
      <c r="L508" s="89"/>
      <c r="M508" s="89"/>
    </row>
    <row r="509" ht="15.75" customHeight="1">
      <c r="L509" s="89"/>
      <c r="M509" s="89"/>
    </row>
    <row r="510" ht="15.75" customHeight="1">
      <c r="L510" s="89"/>
      <c r="M510" s="89"/>
    </row>
    <row r="511" ht="15.75" customHeight="1">
      <c r="L511" s="89"/>
      <c r="M511" s="89"/>
    </row>
    <row r="512" ht="15.75" customHeight="1">
      <c r="L512" s="89"/>
      <c r="M512" s="89"/>
    </row>
    <row r="513" ht="15.75" customHeight="1">
      <c r="L513" s="89"/>
      <c r="M513" s="89"/>
    </row>
    <row r="514" ht="15.75" customHeight="1">
      <c r="L514" s="89"/>
      <c r="M514" s="89"/>
    </row>
    <row r="515" ht="15.75" customHeight="1">
      <c r="L515" s="89"/>
      <c r="M515" s="89"/>
    </row>
    <row r="516" ht="15.75" customHeight="1">
      <c r="L516" s="89"/>
      <c r="M516" s="89"/>
    </row>
    <row r="517" ht="15.75" customHeight="1">
      <c r="L517" s="89"/>
      <c r="M517" s="89"/>
    </row>
    <row r="518" ht="15.75" customHeight="1">
      <c r="L518" s="89"/>
      <c r="M518" s="89"/>
    </row>
    <row r="519" ht="15.75" customHeight="1">
      <c r="L519" s="89"/>
      <c r="M519" s="89"/>
    </row>
    <row r="520" ht="15.75" customHeight="1">
      <c r="L520" s="89"/>
      <c r="M520" s="89"/>
    </row>
    <row r="521" ht="15.75" customHeight="1">
      <c r="L521" s="89"/>
      <c r="M521" s="89"/>
    </row>
    <row r="522" ht="15.75" customHeight="1">
      <c r="L522" s="89"/>
      <c r="M522" s="89"/>
    </row>
    <row r="523" ht="15.75" customHeight="1">
      <c r="L523" s="89"/>
      <c r="M523" s="89"/>
    </row>
    <row r="524" ht="15.75" customHeight="1">
      <c r="L524" s="89"/>
      <c r="M524" s="89"/>
    </row>
    <row r="525" ht="15.75" customHeight="1">
      <c r="L525" s="89"/>
      <c r="M525" s="89"/>
    </row>
    <row r="526" ht="15.75" customHeight="1">
      <c r="L526" s="89"/>
      <c r="M526" s="89"/>
    </row>
    <row r="527" ht="15.75" customHeight="1">
      <c r="L527" s="89"/>
      <c r="M527" s="89"/>
    </row>
    <row r="528" ht="15.75" customHeight="1">
      <c r="L528" s="89"/>
      <c r="M528" s="89"/>
    </row>
    <row r="529" ht="15.75" customHeight="1">
      <c r="L529" s="89"/>
      <c r="M529" s="89"/>
    </row>
    <row r="530" ht="15.75" customHeight="1">
      <c r="L530" s="89"/>
      <c r="M530" s="89"/>
    </row>
    <row r="531" ht="15.75" customHeight="1">
      <c r="L531" s="89"/>
      <c r="M531" s="89"/>
    </row>
    <row r="532" ht="15.75" customHeight="1">
      <c r="L532" s="89"/>
      <c r="M532" s="89"/>
    </row>
    <row r="533" ht="15.75" customHeight="1">
      <c r="L533" s="89"/>
      <c r="M533" s="89"/>
    </row>
    <row r="534" ht="15.75" customHeight="1">
      <c r="L534" s="89"/>
      <c r="M534" s="89"/>
    </row>
    <row r="535" ht="15.75" customHeight="1">
      <c r="L535" s="89"/>
      <c r="M535" s="89"/>
    </row>
    <row r="536" ht="15.75" customHeight="1">
      <c r="L536" s="89"/>
      <c r="M536" s="89"/>
    </row>
    <row r="537" ht="15.75" customHeight="1">
      <c r="L537" s="89"/>
      <c r="M537" s="89"/>
    </row>
    <row r="538" ht="15.75" customHeight="1">
      <c r="L538" s="89"/>
      <c r="M538" s="89"/>
    </row>
    <row r="539" ht="15.75" customHeight="1">
      <c r="L539" s="89"/>
      <c r="M539" s="89"/>
    </row>
    <row r="540" ht="15.75" customHeight="1">
      <c r="L540" s="89"/>
      <c r="M540" s="89"/>
    </row>
    <row r="541" ht="15.75" customHeight="1">
      <c r="L541" s="89"/>
      <c r="M541" s="89"/>
    </row>
    <row r="542" ht="15.75" customHeight="1">
      <c r="L542" s="89"/>
      <c r="M542" s="89"/>
    </row>
    <row r="543" ht="15.75" customHeight="1">
      <c r="L543" s="89"/>
      <c r="M543" s="89"/>
    </row>
    <row r="544" ht="15.75" customHeight="1">
      <c r="L544" s="89"/>
      <c r="M544" s="89"/>
    </row>
    <row r="545" ht="15.75" customHeight="1">
      <c r="L545" s="89"/>
      <c r="M545" s="89"/>
    </row>
    <row r="546" ht="15.75" customHeight="1">
      <c r="L546" s="89"/>
      <c r="M546" s="89"/>
    </row>
    <row r="547" ht="15.75" customHeight="1">
      <c r="L547" s="89"/>
      <c r="M547" s="89"/>
    </row>
    <row r="548" ht="15.75" customHeight="1">
      <c r="L548" s="89"/>
      <c r="M548" s="89"/>
    </row>
    <row r="549" ht="15.75" customHeight="1">
      <c r="L549" s="89"/>
      <c r="M549" s="89"/>
    </row>
    <row r="550" ht="15.75" customHeight="1">
      <c r="L550" s="89"/>
      <c r="M550" s="89"/>
    </row>
    <row r="551" ht="15.75" customHeight="1">
      <c r="L551" s="89"/>
      <c r="M551" s="89"/>
    </row>
    <row r="552" ht="15.75" customHeight="1">
      <c r="L552" s="89"/>
      <c r="M552" s="89"/>
    </row>
    <row r="553" ht="15.75" customHeight="1">
      <c r="L553" s="89"/>
      <c r="M553" s="89"/>
    </row>
    <row r="554" ht="15.75" customHeight="1">
      <c r="L554" s="89"/>
      <c r="M554" s="89"/>
    </row>
    <row r="555" ht="15.75" customHeight="1">
      <c r="L555" s="89"/>
      <c r="M555" s="89"/>
    </row>
    <row r="556" ht="15.75" customHeight="1">
      <c r="L556" s="89"/>
      <c r="M556" s="89"/>
    </row>
    <row r="557" ht="15.75" customHeight="1">
      <c r="L557" s="89"/>
      <c r="M557" s="89"/>
    </row>
    <row r="558" ht="15.75" customHeight="1">
      <c r="L558" s="89"/>
      <c r="M558" s="89"/>
    </row>
    <row r="559" ht="15.75" customHeight="1">
      <c r="L559" s="89"/>
      <c r="M559" s="89"/>
    </row>
    <row r="560" ht="15.75" customHeight="1">
      <c r="L560" s="89"/>
      <c r="M560" s="89"/>
    </row>
    <row r="561" ht="15.75" customHeight="1">
      <c r="L561" s="89"/>
      <c r="M561" s="89"/>
    </row>
    <row r="562" ht="15.75" customHeight="1">
      <c r="L562" s="89"/>
      <c r="M562" s="89"/>
    </row>
    <row r="563" ht="15.75" customHeight="1">
      <c r="L563" s="89"/>
      <c r="M563" s="89"/>
    </row>
    <row r="564" ht="15.75" customHeight="1">
      <c r="L564" s="89"/>
      <c r="M564" s="89"/>
    </row>
    <row r="565" ht="15.75" customHeight="1">
      <c r="L565" s="89"/>
      <c r="M565" s="89"/>
    </row>
    <row r="566" ht="15.75" customHeight="1">
      <c r="L566" s="89"/>
      <c r="M566" s="89"/>
    </row>
    <row r="567" ht="15.75" customHeight="1">
      <c r="L567" s="89"/>
      <c r="M567" s="89"/>
    </row>
    <row r="568" ht="15.75" customHeight="1">
      <c r="L568" s="89"/>
      <c r="M568" s="89"/>
    </row>
    <row r="569" ht="15.75" customHeight="1">
      <c r="L569" s="89"/>
      <c r="M569" s="89"/>
    </row>
    <row r="570" ht="15.75" customHeight="1">
      <c r="L570" s="89"/>
      <c r="M570" s="89"/>
    </row>
    <row r="571" ht="15.75" customHeight="1">
      <c r="L571" s="89"/>
      <c r="M571" s="89"/>
    </row>
    <row r="572" ht="15.75" customHeight="1">
      <c r="L572" s="89"/>
      <c r="M572" s="89"/>
    </row>
    <row r="573" ht="15.75" customHeight="1">
      <c r="L573" s="89"/>
      <c r="M573" s="89"/>
    </row>
    <row r="574" ht="15.75" customHeight="1">
      <c r="L574" s="89"/>
      <c r="M574" s="89"/>
    </row>
    <row r="575" ht="15.75" customHeight="1">
      <c r="L575" s="89"/>
      <c r="M575" s="89"/>
    </row>
    <row r="576" ht="15.75" customHeight="1">
      <c r="L576" s="89"/>
      <c r="M576" s="89"/>
    </row>
    <row r="577" ht="15.75" customHeight="1">
      <c r="L577" s="89"/>
      <c r="M577" s="89"/>
    </row>
    <row r="578" ht="15.75" customHeight="1">
      <c r="L578" s="89"/>
      <c r="M578" s="89"/>
    </row>
    <row r="579" ht="15.75" customHeight="1">
      <c r="L579" s="89"/>
      <c r="M579" s="89"/>
    </row>
    <row r="580" ht="15.75" customHeight="1">
      <c r="L580" s="89"/>
      <c r="M580" s="89"/>
    </row>
    <row r="581" ht="15.75" customHeight="1">
      <c r="L581" s="89"/>
      <c r="M581" s="89"/>
    </row>
    <row r="582" ht="15.75" customHeight="1">
      <c r="L582" s="89"/>
      <c r="M582" s="89"/>
    </row>
    <row r="583" ht="15.75" customHeight="1">
      <c r="L583" s="89"/>
      <c r="M583" s="89"/>
    </row>
    <row r="584" ht="15.75" customHeight="1">
      <c r="L584" s="89"/>
      <c r="M584" s="89"/>
    </row>
    <row r="585" ht="15.75" customHeight="1">
      <c r="L585" s="89"/>
      <c r="M585" s="89"/>
    </row>
    <row r="586" ht="15.75" customHeight="1">
      <c r="L586" s="89"/>
      <c r="M586" s="89"/>
    </row>
    <row r="587" ht="15.75" customHeight="1">
      <c r="L587" s="89"/>
      <c r="M587" s="89"/>
    </row>
    <row r="588" ht="15.75" customHeight="1">
      <c r="L588" s="89"/>
      <c r="M588" s="89"/>
    </row>
    <row r="589" ht="15.75" customHeight="1">
      <c r="L589" s="89"/>
      <c r="M589" s="89"/>
    </row>
    <row r="590" ht="15.75" customHeight="1">
      <c r="L590" s="89"/>
      <c r="M590" s="89"/>
    </row>
    <row r="591" ht="15.75" customHeight="1">
      <c r="L591" s="89"/>
      <c r="M591" s="89"/>
    </row>
    <row r="592" ht="15.75" customHeight="1">
      <c r="L592" s="89"/>
      <c r="M592" s="89"/>
    </row>
    <row r="593" ht="15.75" customHeight="1">
      <c r="L593" s="89"/>
      <c r="M593" s="89"/>
    </row>
    <row r="594" ht="15.75" customHeight="1">
      <c r="L594" s="89"/>
      <c r="M594" s="89"/>
    </row>
    <row r="595" ht="15.75" customHeight="1">
      <c r="L595" s="89"/>
      <c r="M595" s="89"/>
    </row>
    <row r="596" ht="15.75" customHeight="1">
      <c r="L596" s="89"/>
      <c r="M596" s="89"/>
    </row>
    <row r="597" ht="15.75" customHeight="1">
      <c r="L597" s="89"/>
      <c r="M597" s="89"/>
    </row>
    <row r="598" ht="15.75" customHeight="1">
      <c r="L598" s="89"/>
      <c r="M598" s="89"/>
    </row>
    <row r="599" ht="15.75" customHeight="1">
      <c r="L599" s="89"/>
      <c r="M599" s="89"/>
    </row>
    <row r="600" ht="15.75" customHeight="1">
      <c r="L600" s="89"/>
      <c r="M600" s="89"/>
    </row>
    <row r="601" ht="15.75" customHeight="1">
      <c r="L601" s="89"/>
      <c r="M601" s="89"/>
    </row>
    <row r="602" ht="15.75" customHeight="1">
      <c r="L602" s="89"/>
      <c r="M602" s="89"/>
    </row>
    <row r="603" ht="15.75" customHeight="1">
      <c r="L603" s="89"/>
      <c r="M603" s="89"/>
    </row>
    <row r="604" ht="15.75" customHeight="1">
      <c r="L604" s="89"/>
      <c r="M604" s="89"/>
    </row>
    <row r="605" ht="15.75" customHeight="1">
      <c r="L605" s="89"/>
      <c r="M605" s="89"/>
    </row>
    <row r="606" ht="15.75" customHeight="1">
      <c r="L606" s="89"/>
      <c r="M606" s="89"/>
    </row>
    <row r="607" ht="15.75" customHeight="1">
      <c r="L607" s="89"/>
      <c r="M607" s="89"/>
    </row>
    <row r="608" ht="15.75" customHeight="1">
      <c r="L608" s="89"/>
      <c r="M608" s="89"/>
    </row>
    <row r="609" ht="15.75" customHeight="1">
      <c r="L609" s="89"/>
      <c r="M609" s="89"/>
    </row>
    <row r="610" ht="15.75" customHeight="1">
      <c r="L610" s="89"/>
      <c r="M610" s="89"/>
    </row>
    <row r="611" ht="15.75" customHeight="1">
      <c r="L611" s="89"/>
      <c r="M611" s="89"/>
    </row>
    <row r="612" ht="15.75" customHeight="1">
      <c r="L612" s="89"/>
      <c r="M612" s="89"/>
    </row>
    <row r="613" ht="15.75" customHeight="1">
      <c r="L613" s="89"/>
      <c r="M613" s="89"/>
    </row>
    <row r="614" ht="15.75" customHeight="1">
      <c r="L614" s="89"/>
      <c r="M614" s="89"/>
    </row>
    <row r="615" ht="15.75" customHeight="1">
      <c r="L615" s="89"/>
      <c r="M615" s="89"/>
    </row>
    <row r="616" ht="15.75" customHeight="1">
      <c r="L616" s="89"/>
      <c r="M616" s="89"/>
    </row>
    <row r="617" ht="15.75" customHeight="1">
      <c r="L617" s="89"/>
      <c r="M617" s="89"/>
    </row>
    <row r="618" ht="15.75" customHeight="1">
      <c r="L618" s="89"/>
      <c r="M618" s="89"/>
    </row>
    <row r="619" ht="15.75" customHeight="1">
      <c r="L619" s="89"/>
      <c r="M619" s="89"/>
    </row>
    <row r="620" ht="15.75" customHeight="1">
      <c r="L620" s="89"/>
      <c r="M620" s="89"/>
    </row>
    <row r="621" ht="15.75" customHeight="1">
      <c r="L621" s="89"/>
      <c r="M621" s="89"/>
    </row>
    <row r="622" ht="15.75" customHeight="1">
      <c r="L622" s="89"/>
      <c r="M622" s="89"/>
    </row>
    <row r="623" ht="15.75" customHeight="1">
      <c r="L623" s="89"/>
      <c r="M623" s="89"/>
    </row>
    <row r="624" ht="15.75" customHeight="1">
      <c r="L624" s="89"/>
      <c r="M624" s="89"/>
    </row>
    <row r="625" ht="15.75" customHeight="1">
      <c r="L625" s="89"/>
      <c r="M625" s="89"/>
    </row>
    <row r="626" ht="15.75" customHeight="1">
      <c r="L626" s="89"/>
      <c r="M626" s="89"/>
    </row>
    <row r="627" ht="15.75" customHeight="1">
      <c r="L627" s="89"/>
      <c r="M627" s="89"/>
    </row>
    <row r="628" ht="15.75" customHeight="1">
      <c r="L628" s="89"/>
      <c r="M628" s="89"/>
    </row>
    <row r="629" ht="15.75" customHeight="1">
      <c r="L629" s="89"/>
      <c r="M629" s="89"/>
    </row>
    <row r="630" ht="15.75" customHeight="1">
      <c r="L630" s="89"/>
      <c r="M630" s="89"/>
    </row>
    <row r="631" ht="15.75" customHeight="1">
      <c r="L631" s="89"/>
      <c r="M631" s="89"/>
    </row>
    <row r="632" ht="15.75" customHeight="1">
      <c r="L632" s="89"/>
      <c r="M632" s="89"/>
    </row>
    <row r="633" ht="15.75" customHeight="1">
      <c r="L633" s="89"/>
      <c r="M633" s="89"/>
    </row>
    <row r="634" ht="15.75" customHeight="1">
      <c r="L634" s="89"/>
      <c r="M634" s="89"/>
    </row>
    <row r="635" ht="15.75" customHeight="1">
      <c r="L635" s="89"/>
      <c r="M635" s="89"/>
    </row>
    <row r="636" ht="15.75" customHeight="1">
      <c r="L636" s="89"/>
      <c r="M636" s="89"/>
    </row>
    <row r="637" ht="15.75" customHeight="1">
      <c r="L637" s="89"/>
      <c r="M637" s="89"/>
    </row>
    <row r="638" ht="15.75" customHeight="1">
      <c r="L638" s="89"/>
      <c r="M638" s="89"/>
    </row>
    <row r="639" ht="15.75" customHeight="1">
      <c r="L639" s="89"/>
      <c r="M639" s="89"/>
    </row>
    <row r="640" ht="15.75" customHeight="1">
      <c r="L640" s="89"/>
      <c r="M640" s="89"/>
    </row>
    <row r="641" ht="15.75" customHeight="1">
      <c r="L641" s="89"/>
      <c r="M641" s="89"/>
    </row>
    <row r="642" ht="15.75" customHeight="1">
      <c r="L642" s="89"/>
      <c r="M642" s="89"/>
    </row>
    <row r="643" ht="15.75" customHeight="1">
      <c r="L643" s="89"/>
      <c r="M643" s="89"/>
    </row>
    <row r="644" ht="15.75" customHeight="1">
      <c r="L644" s="89"/>
      <c r="M644" s="89"/>
    </row>
    <row r="645" ht="15.75" customHeight="1">
      <c r="L645" s="89"/>
      <c r="M645" s="89"/>
    </row>
    <row r="646" ht="15.75" customHeight="1">
      <c r="L646" s="89"/>
      <c r="M646" s="89"/>
    </row>
    <row r="647" ht="15.75" customHeight="1">
      <c r="L647" s="89"/>
      <c r="M647" s="89"/>
    </row>
    <row r="648" ht="15.75" customHeight="1">
      <c r="L648" s="89"/>
      <c r="M648" s="89"/>
    </row>
    <row r="649" ht="15.75" customHeight="1">
      <c r="L649" s="89"/>
      <c r="M649" s="89"/>
    </row>
    <row r="650" ht="15.75" customHeight="1">
      <c r="L650" s="89"/>
      <c r="M650" s="89"/>
    </row>
    <row r="651" ht="15.75" customHeight="1">
      <c r="L651" s="89"/>
      <c r="M651" s="89"/>
    </row>
    <row r="652" ht="15.75" customHeight="1">
      <c r="L652" s="89"/>
      <c r="M652" s="89"/>
    </row>
    <row r="653" ht="15.75" customHeight="1">
      <c r="L653" s="89"/>
      <c r="M653" s="89"/>
    </row>
    <row r="654" ht="15.75" customHeight="1">
      <c r="L654" s="89"/>
      <c r="M654" s="89"/>
    </row>
    <row r="655" ht="15.75" customHeight="1">
      <c r="L655" s="89"/>
      <c r="M655" s="89"/>
    </row>
    <row r="656" ht="15.75" customHeight="1">
      <c r="L656" s="89"/>
      <c r="M656" s="89"/>
    </row>
    <row r="657" ht="15.75" customHeight="1">
      <c r="L657" s="89"/>
      <c r="M657" s="89"/>
    </row>
    <row r="658" ht="15.75" customHeight="1">
      <c r="L658" s="89"/>
      <c r="M658" s="89"/>
    </row>
    <row r="659" ht="15.75" customHeight="1">
      <c r="L659" s="89"/>
      <c r="M659" s="89"/>
    </row>
    <row r="660" ht="15.75" customHeight="1">
      <c r="L660" s="89"/>
      <c r="M660" s="89"/>
    </row>
    <row r="661" ht="15.75" customHeight="1">
      <c r="L661" s="89"/>
      <c r="M661" s="89"/>
    </row>
    <row r="662" ht="15.75" customHeight="1">
      <c r="L662" s="89"/>
      <c r="M662" s="89"/>
    </row>
    <row r="663" ht="15.75" customHeight="1">
      <c r="L663" s="89"/>
      <c r="M663" s="89"/>
    </row>
    <row r="664" ht="15.75" customHeight="1">
      <c r="L664" s="89"/>
      <c r="M664" s="89"/>
    </row>
    <row r="665" ht="15.75" customHeight="1">
      <c r="L665" s="89"/>
      <c r="M665" s="89"/>
    </row>
    <row r="666" ht="15.75" customHeight="1">
      <c r="L666" s="89"/>
      <c r="M666" s="89"/>
    </row>
    <row r="667" ht="15.75" customHeight="1">
      <c r="L667" s="89"/>
      <c r="M667" s="89"/>
    </row>
    <row r="668" ht="15.75" customHeight="1">
      <c r="L668" s="89"/>
      <c r="M668" s="89"/>
    </row>
    <row r="669" ht="15.75" customHeight="1">
      <c r="L669" s="89"/>
      <c r="M669" s="89"/>
    </row>
    <row r="670" ht="15.75" customHeight="1">
      <c r="L670" s="89"/>
      <c r="M670" s="89"/>
    </row>
    <row r="671" ht="15.75" customHeight="1">
      <c r="L671" s="89"/>
      <c r="M671" s="89"/>
    </row>
    <row r="672" ht="15.75" customHeight="1">
      <c r="L672" s="89"/>
      <c r="M672" s="89"/>
    </row>
    <row r="673" ht="15.75" customHeight="1">
      <c r="L673" s="89"/>
      <c r="M673" s="89"/>
    </row>
    <row r="674" ht="15.75" customHeight="1">
      <c r="L674" s="89"/>
      <c r="M674" s="89"/>
    </row>
    <row r="675" ht="15.75" customHeight="1">
      <c r="L675" s="89"/>
      <c r="M675" s="89"/>
    </row>
    <row r="676" ht="15.75" customHeight="1">
      <c r="L676" s="89"/>
      <c r="M676" s="89"/>
    </row>
    <row r="677" ht="15.75" customHeight="1">
      <c r="L677" s="89"/>
      <c r="M677" s="89"/>
    </row>
    <row r="678" ht="15.75" customHeight="1">
      <c r="L678" s="89"/>
      <c r="M678" s="89"/>
    </row>
    <row r="679" ht="15.75" customHeight="1">
      <c r="L679" s="89"/>
      <c r="M679" s="89"/>
    </row>
    <row r="680" ht="15.75" customHeight="1">
      <c r="L680" s="89"/>
      <c r="M680" s="89"/>
    </row>
    <row r="681" ht="15.75" customHeight="1">
      <c r="L681" s="89"/>
      <c r="M681" s="89"/>
    </row>
    <row r="682" ht="15.75" customHeight="1">
      <c r="L682" s="89"/>
      <c r="M682" s="89"/>
    </row>
    <row r="683" ht="15.75" customHeight="1">
      <c r="L683" s="89"/>
      <c r="M683" s="89"/>
    </row>
    <row r="684" ht="15.75" customHeight="1">
      <c r="L684" s="89"/>
      <c r="M684" s="89"/>
    </row>
    <row r="685" ht="15.75" customHeight="1">
      <c r="L685" s="89"/>
      <c r="M685" s="89"/>
    </row>
    <row r="686" ht="15.75" customHeight="1">
      <c r="L686" s="89"/>
      <c r="M686" s="89"/>
    </row>
    <row r="687" ht="15.75" customHeight="1">
      <c r="L687" s="89"/>
      <c r="M687" s="89"/>
    </row>
    <row r="688" ht="15.75" customHeight="1">
      <c r="L688" s="89"/>
      <c r="M688" s="89"/>
    </row>
    <row r="689" ht="15.75" customHeight="1">
      <c r="L689" s="89"/>
      <c r="M689" s="89"/>
    </row>
    <row r="690" ht="15.75" customHeight="1">
      <c r="L690" s="89"/>
      <c r="M690" s="89"/>
    </row>
    <row r="691" ht="15.75" customHeight="1">
      <c r="L691" s="89"/>
      <c r="M691" s="89"/>
    </row>
    <row r="692" ht="15.75" customHeight="1">
      <c r="L692" s="89"/>
      <c r="M692" s="89"/>
    </row>
    <row r="693" ht="15.75" customHeight="1">
      <c r="L693" s="89"/>
      <c r="M693" s="89"/>
    </row>
    <row r="694" ht="15.75" customHeight="1">
      <c r="L694" s="89"/>
      <c r="M694" s="89"/>
    </row>
    <row r="695" ht="15.75" customHeight="1">
      <c r="L695" s="89"/>
      <c r="M695" s="89"/>
    </row>
    <row r="696" ht="15.75" customHeight="1">
      <c r="L696" s="89"/>
      <c r="M696" s="89"/>
    </row>
    <row r="697" ht="15.75" customHeight="1">
      <c r="L697" s="89"/>
      <c r="M697" s="89"/>
    </row>
    <row r="698" ht="15.75" customHeight="1">
      <c r="L698" s="89"/>
      <c r="M698" s="89"/>
    </row>
    <row r="699" ht="15.75" customHeight="1">
      <c r="L699" s="89"/>
      <c r="M699" s="89"/>
    </row>
    <row r="700" ht="15.75" customHeight="1">
      <c r="L700" s="89"/>
      <c r="M700" s="89"/>
    </row>
    <row r="701" ht="15.75" customHeight="1">
      <c r="L701" s="89"/>
      <c r="M701" s="89"/>
    </row>
    <row r="702" ht="15.75" customHeight="1">
      <c r="L702" s="89"/>
      <c r="M702" s="89"/>
    </row>
    <row r="703" ht="15.75" customHeight="1">
      <c r="L703" s="89"/>
      <c r="M703" s="89"/>
    </row>
    <row r="704" ht="15.75" customHeight="1">
      <c r="L704" s="89"/>
      <c r="M704" s="89"/>
    </row>
    <row r="705" ht="15.75" customHeight="1">
      <c r="L705" s="89"/>
      <c r="M705" s="89"/>
    </row>
    <row r="706" ht="15.75" customHeight="1">
      <c r="L706" s="89"/>
      <c r="M706" s="89"/>
    </row>
    <row r="707" ht="15.75" customHeight="1">
      <c r="L707" s="89"/>
      <c r="M707" s="89"/>
    </row>
    <row r="708" ht="15.75" customHeight="1">
      <c r="L708" s="89"/>
      <c r="M708" s="89"/>
    </row>
    <row r="709" ht="15.75" customHeight="1">
      <c r="L709" s="89"/>
      <c r="M709" s="89"/>
    </row>
    <row r="710" ht="15.75" customHeight="1">
      <c r="L710" s="89"/>
      <c r="M710" s="89"/>
    </row>
    <row r="711" ht="15.75" customHeight="1">
      <c r="L711" s="89"/>
      <c r="M711" s="89"/>
    </row>
    <row r="712" ht="15.75" customHeight="1">
      <c r="L712" s="89"/>
      <c r="M712" s="89"/>
    </row>
    <row r="713" ht="15.75" customHeight="1">
      <c r="L713" s="89"/>
      <c r="M713" s="89"/>
    </row>
    <row r="714" ht="15.75" customHeight="1">
      <c r="L714" s="89"/>
      <c r="M714" s="89"/>
    </row>
    <row r="715" ht="15.75" customHeight="1">
      <c r="L715" s="89"/>
      <c r="M715" s="89"/>
    </row>
    <row r="716" ht="15.75" customHeight="1">
      <c r="L716" s="89"/>
      <c r="M716" s="89"/>
    </row>
    <row r="717" ht="15.75" customHeight="1">
      <c r="L717" s="89"/>
      <c r="M717" s="89"/>
    </row>
    <row r="718" ht="15.75" customHeight="1">
      <c r="L718" s="89"/>
      <c r="M718" s="89"/>
    </row>
    <row r="719" ht="15.75" customHeight="1">
      <c r="L719" s="89"/>
      <c r="M719" s="89"/>
    </row>
    <row r="720" ht="15.75" customHeight="1">
      <c r="L720" s="89"/>
      <c r="M720" s="89"/>
    </row>
    <row r="721" ht="15.75" customHeight="1">
      <c r="L721" s="89"/>
      <c r="M721" s="89"/>
    </row>
    <row r="722" ht="15.75" customHeight="1">
      <c r="L722" s="89"/>
      <c r="M722" s="89"/>
    </row>
    <row r="723" ht="15.75" customHeight="1">
      <c r="L723" s="89"/>
      <c r="M723" s="89"/>
    </row>
    <row r="724" ht="15.75" customHeight="1">
      <c r="L724" s="89"/>
      <c r="M724" s="89"/>
    </row>
    <row r="725" ht="15.75" customHeight="1">
      <c r="L725" s="89"/>
      <c r="M725" s="89"/>
    </row>
    <row r="726" ht="15.75" customHeight="1">
      <c r="L726" s="89"/>
      <c r="M726" s="89"/>
    </row>
    <row r="727" ht="15.75" customHeight="1">
      <c r="L727" s="89"/>
      <c r="M727" s="89"/>
    </row>
    <row r="728" ht="15.75" customHeight="1">
      <c r="L728" s="89"/>
      <c r="M728" s="89"/>
    </row>
    <row r="729" ht="15.75" customHeight="1">
      <c r="L729" s="89"/>
      <c r="M729" s="89"/>
    </row>
    <row r="730" ht="15.75" customHeight="1">
      <c r="L730" s="89"/>
      <c r="M730" s="89"/>
    </row>
    <row r="731" ht="15.75" customHeight="1">
      <c r="L731" s="89"/>
      <c r="M731" s="89"/>
    </row>
    <row r="732" ht="15.75" customHeight="1">
      <c r="L732" s="89"/>
      <c r="M732" s="89"/>
    </row>
    <row r="733" ht="15.75" customHeight="1">
      <c r="L733" s="89"/>
      <c r="M733" s="89"/>
    </row>
    <row r="734" ht="15.75" customHeight="1">
      <c r="L734" s="89"/>
      <c r="M734" s="89"/>
    </row>
    <row r="735" ht="15.75" customHeight="1">
      <c r="L735" s="89"/>
      <c r="M735" s="89"/>
    </row>
    <row r="736" ht="15.75" customHeight="1">
      <c r="L736" s="89"/>
      <c r="M736" s="89"/>
    </row>
    <row r="737" ht="15.75" customHeight="1">
      <c r="L737" s="89"/>
      <c r="M737" s="89"/>
    </row>
    <row r="738" ht="15.75" customHeight="1">
      <c r="L738" s="89"/>
      <c r="M738" s="89"/>
    </row>
    <row r="739" ht="15.75" customHeight="1">
      <c r="L739" s="89"/>
      <c r="M739" s="89"/>
    </row>
    <row r="740" ht="15.75" customHeight="1">
      <c r="L740" s="89"/>
      <c r="M740" s="89"/>
    </row>
    <row r="741" ht="15.75" customHeight="1">
      <c r="L741" s="89"/>
      <c r="M741" s="89"/>
    </row>
    <row r="742" ht="15.75" customHeight="1">
      <c r="L742" s="89"/>
      <c r="M742" s="89"/>
    </row>
    <row r="743" ht="15.75" customHeight="1">
      <c r="L743" s="89"/>
      <c r="M743" s="89"/>
    </row>
    <row r="744" ht="15.75" customHeight="1">
      <c r="L744" s="89"/>
      <c r="M744" s="89"/>
    </row>
    <row r="745" ht="15.75" customHeight="1">
      <c r="L745" s="89"/>
      <c r="M745" s="89"/>
    </row>
    <row r="746" ht="15.75" customHeight="1">
      <c r="L746" s="89"/>
      <c r="M746" s="89"/>
    </row>
    <row r="747" ht="15.75" customHeight="1">
      <c r="L747" s="89"/>
      <c r="M747" s="89"/>
    </row>
    <row r="748" ht="15.75" customHeight="1">
      <c r="L748" s="89"/>
      <c r="M748" s="89"/>
    </row>
    <row r="749" ht="15.75" customHeight="1">
      <c r="L749" s="89"/>
      <c r="M749" s="89"/>
    </row>
    <row r="750" ht="15.75" customHeight="1">
      <c r="L750" s="89"/>
      <c r="M750" s="89"/>
    </row>
    <row r="751" ht="15.75" customHeight="1">
      <c r="L751" s="89"/>
      <c r="M751" s="89"/>
    </row>
    <row r="752" ht="15.75" customHeight="1">
      <c r="L752" s="89"/>
      <c r="M752" s="89"/>
    </row>
    <row r="753" ht="15.75" customHeight="1">
      <c r="L753" s="89"/>
      <c r="M753" s="89"/>
    </row>
    <row r="754" ht="15.75" customHeight="1">
      <c r="L754" s="89"/>
      <c r="M754" s="89"/>
    </row>
    <row r="755" ht="15.75" customHeight="1">
      <c r="L755" s="89"/>
      <c r="M755" s="89"/>
    </row>
    <row r="756" ht="15.75" customHeight="1">
      <c r="L756" s="89"/>
      <c r="M756" s="89"/>
    </row>
    <row r="757" ht="15.75" customHeight="1">
      <c r="L757" s="89"/>
      <c r="M757" s="89"/>
    </row>
    <row r="758" ht="15.75" customHeight="1">
      <c r="L758" s="89"/>
      <c r="M758" s="89"/>
    </row>
    <row r="759" ht="15.75" customHeight="1">
      <c r="L759" s="89"/>
      <c r="M759" s="89"/>
    </row>
    <row r="760" ht="15.75" customHeight="1">
      <c r="L760" s="89"/>
      <c r="M760" s="89"/>
    </row>
    <row r="761" ht="15.75" customHeight="1">
      <c r="L761" s="89"/>
      <c r="M761" s="89"/>
    </row>
    <row r="762" ht="15.75" customHeight="1">
      <c r="L762" s="89"/>
      <c r="M762" s="89"/>
    </row>
    <row r="763" ht="15.75" customHeight="1">
      <c r="L763" s="89"/>
      <c r="M763" s="89"/>
    </row>
    <row r="764" ht="15.75" customHeight="1">
      <c r="L764" s="89"/>
      <c r="M764" s="89"/>
    </row>
    <row r="765" ht="15.75" customHeight="1">
      <c r="L765" s="89"/>
      <c r="M765" s="89"/>
    </row>
    <row r="766" ht="15.75" customHeight="1">
      <c r="L766" s="89"/>
      <c r="M766" s="89"/>
    </row>
    <row r="767" ht="15.75" customHeight="1">
      <c r="L767" s="89"/>
      <c r="M767" s="89"/>
    </row>
    <row r="768" ht="15.75" customHeight="1">
      <c r="L768" s="89"/>
      <c r="M768" s="89"/>
    </row>
    <row r="769" ht="15.75" customHeight="1">
      <c r="L769" s="89"/>
      <c r="M769" s="89"/>
    </row>
    <row r="770" ht="15.75" customHeight="1">
      <c r="L770" s="89"/>
      <c r="M770" s="89"/>
    </row>
    <row r="771" ht="15.75" customHeight="1">
      <c r="L771" s="89"/>
      <c r="M771" s="89"/>
    </row>
    <row r="772" ht="15.75" customHeight="1">
      <c r="L772" s="89"/>
      <c r="M772" s="89"/>
    </row>
    <row r="773" ht="15.75" customHeight="1">
      <c r="L773" s="89"/>
      <c r="M773" s="89"/>
    </row>
    <row r="774" ht="15.75" customHeight="1">
      <c r="L774" s="89"/>
      <c r="M774" s="89"/>
    </row>
    <row r="775" ht="15.75" customHeight="1">
      <c r="L775" s="89"/>
      <c r="M775" s="89"/>
    </row>
    <row r="776" ht="15.75" customHeight="1">
      <c r="L776" s="89"/>
      <c r="M776" s="89"/>
    </row>
    <row r="777" ht="15.75" customHeight="1">
      <c r="L777" s="89"/>
      <c r="M777" s="89"/>
    </row>
    <row r="778" ht="15.75" customHeight="1">
      <c r="L778" s="89"/>
      <c r="M778" s="89"/>
    </row>
    <row r="779" ht="15.75" customHeight="1">
      <c r="L779" s="89"/>
      <c r="M779" s="89"/>
    </row>
    <row r="780" ht="15.75" customHeight="1">
      <c r="L780" s="89"/>
      <c r="M780" s="89"/>
    </row>
    <row r="781" ht="15.75" customHeight="1">
      <c r="L781" s="89"/>
      <c r="M781" s="89"/>
    </row>
    <row r="782" ht="15.75" customHeight="1">
      <c r="L782" s="89"/>
      <c r="M782" s="89"/>
    </row>
    <row r="783" ht="15.75" customHeight="1">
      <c r="L783" s="89"/>
      <c r="M783" s="89"/>
    </row>
    <row r="784" ht="15.75" customHeight="1">
      <c r="L784" s="89"/>
      <c r="M784" s="89"/>
    </row>
    <row r="785" ht="15.75" customHeight="1">
      <c r="L785" s="89"/>
      <c r="M785" s="89"/>
    </row>
    <row r="786" ht="15.75" customHeight="1">
      <c r="L786" s="89"/>
      <c r="M786" s="89"/>
    </row>
    <row r="787" ht="15.75" customHeight="1">
      <c r="L787" s="89"/>
      <c r="M787" s="89"/>
    </row>
    <row r="788" ht="15.75" customHeight="1">
      <c r="L788" s="89"/>
      <c r="M788" s="89"/>
    </row>
    <row r="789" ht="15.75" customHeight="1">
      <c r="L789" s="89"/>
      <c r="M789" s="89"/>
    </row>
    <row r="790" ht="15.75" customHeight="1">
      <c r="L790" s="89"/>
      <c r="M790" s="89"/>
    </row>
    <row r="791" ht="15.75" customHeight="1">
      <c r="L791" s="89"/>
      <c r="M791" s="89"/>
    </row>
    <row r="792" ht="15.75" customHeight="1">
      <c r="L792" s="89"/>
      <c r="M792" s="89"/>
    </row>
    <row r="793" ht="15.75" customHeight="1">
      <c r="L793" s="89"/>
      <c r="M793" s="89"/>
    </row>
    <row r="794" ht="15.75" customHeight="1">
      <c r="L794" s="89"/>
      <c r="M794" s="89"/>
    </row>
    <row r="795" ht="15.75" customHeight="1">
      <c r="L795" s="89"/>
      <c r="M795" s="89"/>
    </row>
    <row r="796" ht="15.75" customHeight="1">
      <c r="L796" s="89"/>
      <c r="M796" s="89"/>
    </row>
    <row r="797" ht="15.75" customHeight="1">
      <c r="L797" s="89"/>
      <c r="M797" s="89"/>
    </row>
    <row r="798" ht="15.75" customHeight="1">
      <c r="L798" s="89"/>
      <c r="M798" s="89"/>
    </row>
    <row r="799" ht="15.75" customHeight="1">
      <c r="L799" s="89"/>
      <c r="M799" s="89"/>
    </row>
    <row r="800" ht="15.75" customHeight="1">
      <c r="L800" s="89"/>
      <c r="M800" s="89"/>
    </row>
    <row r="801" ht="15.75" customHeight="1">
      <c r="L801" s="89"/>
      <c r="M801" s="89"/>
    </row>
    <row r="802" ht="15.75" customHeight="1">
      <c r="L802" s="89"/>
      <c r="M802" s="89"/>
    </row>
    <row r="803" ht="15.75" customHeight="1">
      <c r="L803" s="89"/>
      <c r="M803" s="89"/>
    </row>
    <row r="804" ht="15.75" customHeight="1">
      <c r="L804" s="89"/>
      <c r="M804" s="89"/>
    </row>
    <row r="805" ht="15.75" customHeight="1">
      <c r="L805" s="89"/>
      <c r="M805" s="89"/>
    </row>
    <row r="806" ht="15.75" customHeight="1">
      <c r="L806" s="89"/>
      <c r="M806" s="89"/>
    </row>
    <row r="807" ht="15.75" customHeight="1">
      <c r="L807" s="89"/>
      <c r="M807" s="89"/>
    </row>
    <row r="808" ht="15.75" customHeight="1">
      <c r="L808" s="89"/>
      <c r="M808" s="89"/>
    </row>
    <row r="809" ht="15.75" customHeight="1">
      <c r="L809" s="89"/>
      <c r="M809" s="89"/>
    </row>
    <row r="810" ht="15.75" customHeight="1">
      <c r="L810" s="89"/>
      <c r="M810" s="89"/>
    </row>
    <row r="811" ht="15.75" customHeight="1">
      <c r="L811" s="89"/>
      <c r="M811" s="89"/>
    </row>
    <row r="812" ht="15.75" customHeight="1">
      <c r="L812" s="89"/>
      <c r="M812" s="89"/>
    </row>
    <row r="813" ht="15.75" customHeight="1">
      <c r="L813" s="89"/>
      <c r="M813" s="89"/>
    </row>
    <row r="814" ht="15.75" customHeight="1">
      <c r="L814" s="89"/>
      <c r="M814" s="89"/>
    </row>
    <row r="815" ht="15.75" customHeight="1">
      <c r="L815" s="89"/>
      <c r="M815" s="89"/>
    </row>
    <row r="816" ht="15.75" customHeight="1">
      <c r="L816" s="89"/>
      <c r="M816" s="89"/>
    </row>
    <row r="817" ht="15.75" customHeight="1">
      <c r="L817" s="89"/>
      <c r="M817" s="89"/>
    </row>
    <row r="818" ht="15.75" customHeight="1">
      <c r="L818" s="89"/>
      <c r="M818" s="89"/>
    </row>
    <row r="819" ht="15.75" customHeight="1">
      <c r="L819" s="89"/>
      <c r="M819" s="89"/>
    </row>
    <row r="820" ht="15.75" customHeight="1">
      <c r="L820" s="89"/>
      <c r="M820" s="89"/>
    </row>
    <row r="821" ht="15.75" customHeight="1">
      <c r="L821" s="89"/>
      <c r="M821" s="89"/>
    </row>
    <row r="822" ht="15.75" customHeight="1">
      <c r="L822" s="89"/>
      <c r="M822" s="89"/>
    </row>
    <row r="823" ht="15.75" customHeight="1">
      <c r="L823" s="89"/>
      <c r="M823" s="89"/>
    </row>
    <row r="824" ht="15.75" customHeight="1">
      <c r="L824" s="89"/>
      <c r="M824" s="89"/>
    </row>
    <row r="825" ht="15.75" customHeight="1">
      <c r="L825" s="89"/>
      <c r="M825" s="89"/>
    </row>
    <row r="826" ht="15.75" customHeight="1">
      <c r="L826" s="89"/>
      <c r="M826" s="89"/>
    </row>
    <row r="827" ht="15.75" customHeight="1">
      <c r="L827" s="89"/>
      <c r="M827" s="89"/>
    </row>
    <row r="828" ht="15.75" customHeight="1">
      <c r="L828" s="89"/>
      <c r="M828" s="89"/>
    </row>
    <row r="829" ht="15.75" customHeight="1">
      <c r="L829" s="89"/>
      <c r="M829" s="89"/>
    </row>
    <row r="830" ht="15.75" customHeight="1">
      <c r="L830" s="89"/>
      <c r="M830" s="89"/>
    </row>
    <row r="831" ht="15.75" customHeight="1">
      <c r="L831" s="89"/>
      <c r="M831" s="89"/>
    </row>
    <row r="832" ht="15.75" customHeight="1">
      <c r="L832" s="89"/>
      <c r="M832" s="89"/>
    </row>
    <row r="833" ht="15.75" customHeight="1">
      <c r="L833" s="89"/>
      <c r="M833" s="89"/>
    </row>
    <row r="834" ht="15.75" customHeight="1">
      <c r="L834" s="89"/>
      <c r="M834" s="89"/>
    </row>
    <row r="835" ht="15.75" customHeight="1">
      <c r="L835" s="89"/>
      <c r="M835" s="89"/>
    </row>
    <row r="836" ht="15.75" customHeight="1">
      <c r="L836" s="89"/>
      <c r="M836" s="89"/>
    </row>
    <row r="837" ht="15.75" customHeight="1">
      <c r="L837" s="89"/>
      <c r="M837" s="89"/>
    </row>
    <row r="838" ht="15.75" customHeight="1">
      <c r="L838" s="89"/>
      <c r="M838" s="89"/>
    </row>
    <row r="839" ht="15.75" customHeight="1">
      <c r="L839" s="89"/>
      <c r="M839" s="89"/>
    </row>
    <row r="840" ht="15.75" customHeight="1">
      <c r="L840" s="89"/>
      <c r="M840" s="89"/>
    </row>
    <row r="841" ht="15.75" customHeight="1">
      <c r="L841" s="89"/>
      <c r="M841" s="89"/>
    </row>
    <row r="842" ht="15.75" customHeight="1">
      <c r="L842" s="89"/>
      <c r="M842" s="89"/>
    </row>
    <row r="843" ht="15.75" customHeight="1">
      <c r="L843" s="89"/>
      <c r="M843" s="89"/>
    </row>
    <row r="844" ht="15.75" customHeight="1">
      <c r="L844" s="89"/>
      <c r="M844" s="89"/>
    </row>
    <row r="845" ht="15.75" customHeight="1">
      <c r="L845" s="89"/>
      <c r="M845" s="89"/>
    </row>
    <row r="846" ht="15.75" customHeight="1">
      <c r="L846" s="89"/>
      <c r="M846" s="89"/>
    </row>
    <row r="847" ht="15.75" customHeight="1">
      <c r="L847" s="89"/>
      <c r="M847" s="89"/>
    </row>
    <row r="848" ht="15.75" customHeight="1">
      <c r="L848" s="89"/>
      <c r="M848" s="89"/>
    </row>
    <row r="849" ht="15.75" customHeight="1">
      <c r="L849" s="89"/>
      <c r="M849" s="89"/>
    </row>
    <row r="850" ht="15.75" customHeight="1">
      <c r="L850" s="89"/>
      <c r="M850" s="89"/>
    </row>
    <row r="851" ht="15.75" customHeight="1">
      <c r="L851" s="89"/>
      <c r="M851" s="89"/>
    </row>
    <row r="852" ht="15.75" customHeight="1">
      <c r="L852" s="89"/>
      <c r="M852" s="89"/>
    </row>
    <row r="853" ht="15.75" customHeight="1">
      <c r="L853" s="89"/>
      <c r="M853" s="89"/>
    </row>
    <row r="854" ht="15.75" customHeight="1">
      <c r="L854" s="89"/>
      <c r="M854" s="89"/>
    </row>
    <row r="855" ht="15.75" customHeight="1">
      <c r="L855" s="89"/>
      <c r="M855" s="89"/>
    </row>
    <row r="856" ht="15.75" customHeight="1">
      <c r="L856" s="89"/>
      <c r="M856" s="89"/>
    </row>
    <row r="857" ht="15.75" customHeight="1">
      <c r="L857" s="89"/>
      <c r="M857" s="89"/>
    </row>
    <row r="858" ht="15.75" customHeight="1">
      <c r="L858" s="89"/>
      <c r="M858" s="89"/>
    </row>
    <row r="859" ht="15.75" customHeight="1">
      <c r="L859" s="89"/>
      <c r="M859" s="89"/>
    </row>
    <row r="860" ht="15.75" customHeight="1">
      <c r="L860" s="89"/>
      <c r="M860" s="89"/>
    </row>
    <row r="861" ht="15.75" customHeight="1">
      <c r="L861" s="89"/>
      <c r="M861" s="89"/>
    </row>
    <row r="862" ht="15.75" customHeight="1">
      <c r="L862" s="89"/>
      <c r="M862" s="89"/>
    </row>
    <row r="863" ht="15.75" customHeight="1">
      <c r="L863" s="89"/>
      <c r="M863" s="89"/>
    </row>
    <row r="864" ht="15.75" customHeight="1">
      <c r="L864" s="89"/>
      <c r="M864" s="89"/>
    </row>
    <row r="865" ht="15.75" customHeight="1">
      <c r="L865" s="89"/>
      <c r="M865" s="89"/>
    </row>
    <row r="866" ht="15.75" customHeight="1">
      <c r="L866" s="89"/>
      <c r="M866" s="89"/>
    </row>
    <row r="867" ht="15.75" customHeight="1">
      <c r="L867" s="89"/>
      <c r="M867" s="89"/>
    </row>
    <row r="868" ht="15.75" customHeight="1">
      <c r="L868" s="89"/>
      <c r="M868" s="89"/>
    </row>
    <row r="869" ht="15.75" customHeight="1">
      <c r="L869" s="89"/>
      <c r="M869" s="89"/>
    </row>
    <row r="870" ht="15.75" customHeight="1">
      <c r="L870" s="89"/>
      <c r="M870" s="89"/>
    </row>
    <row r="871" ht="15.75" customHeight="1">
      <c r="L871" s="89"/>
      <c r="M871" s="89"/>
    </row>
    <row r="872" ht="15.75" customHeight="1">
      <c r="L872" s="89"/>
      <c r="M872" s="89"/>
    </row>
    <row r="873" ht="15.75" customHeight="1">
      <c r="L873" s="89"/>
      <c r="M873" s="89"/>
    </row>
    <row r="874" ht="15.75" customHeight="1">
      <c r="L874" s="89"/>
      <c r="M874" s="89"/>
    </row>
    <row r="875" ht="15.75" customHeight="1">
      <c r="L875" s="89"/>
      <c r="M875" s="89"/>
    </row>
    <row r="876" ht="15.75" customHeight="1">
      <c r="L876" s="89"/>
      <c r="M876" s="89"/>
    </row>
    <row r="877" ht="15.75" customHeight="1">
      <c r="L877" s="89"/>
      <c r="M877" s="89"/>
    </row>
    <row r="878" ht="15.75" customHeight="1">
      <c r="L878" s="89"/>
      <c r="M878" s="89"/>
    </row>
    <row r="879" ht="15.75" customHeight="1">
      <c r="L879" s="89"/>
      <c r="M879" s="89"/>
    </row>
    <row r="880" ht="15.75" customHeight="1">
      <c r="L880" s="89"/>
      <c r="M880" s="89"/>
    </row>
    <row r="881" ht="15.75" customHeight="1">
      <c r="L881" s="89"/>
      <c r="M881" s="89"/>
    </row>
    <row r="882" ht="15.75" customHeight="1">
      <c r="L882" s="89"/>
      <c r="M882" s="89"/>
    </row>
    <row r="883" ht="15.75" customHeight="1">
      <c r="L883" s="89"/>
      <c r="M883" s="89"/>
    </row>
    <row r="884" ht="15.75" customHeight="1">
      <c r="L884" s="89"/>
      <c r="M884" s="89"/>
    </row>
    <row r="885" ht="15.75" customHeight="1">
      <c r="L885" s="89"/>
      <c r="M885" s="89"/>
    </row>
    <row r="886" ht="15.75" customHeight="1">
      <c r="L886" s="89"/>
      <c r="M886" s="89"/>
    </row>
    <row r="887" ht="15.75" customHeight="1">
      <c r="L887" s="89"/>
      <c r="M887" s="89"/>
    </row>
    <row r="888" ht="15.75" customHeight="1">
      <c r="L888" s="89"/>
      <c r="M888" s="89"/>
    </row>
    <row r="889" ht="15.75" customHeight="1">
      <c r="L889" s="89"/>
      <c r="M889" s="89"/>
    </row>
    <row r="890" ht="15.75" customHeight="1">
      <c r="L890" s="89"/>
      <c r="M890" s="89"/>
    </row>
    <row r="891" ht="15.75" customHeight="1">
      <c r="L891" s="89"/>
      <c r="M891" s="89"/>
    </row>
    <row r="892" ht="15.75" customHeight="1">
      <c r="L892" s="89"/>
      <c r="M892" s="89"/>
    </row>
    <row r="893" ht="15.75" customHeight="1">
      <c r="L893" s="89"/>
      <c r="M893" s="89"/>
    </row>
    <row r="894" ht="15.75" customHeight="1">
      <c r="L894" s="89"/>
      <c r="M894" s="89"/>
    </row>
    <row r="895" ht="15.75" customHeight="1">
      <c r="L895" s="89"/>
      <c r="M895" s="89"/>
    </row>
    <row r="896" ht="15.75" customHeight="1">
      <c r="L896" s="89"/>
      <c r="M896" s="89"/>
    </row>
    <row r="897" ht="15.75" customHeight="1">
      <c r="L897" s="89"/>
      <c r="M897" s="89"/>
    </row>
    <row r="898" ht="15.75" customHeight="1">
      <c r="L898" s="89"/>
      <c r="M898" s="89"/>
    </row>
    <row r="899" ht="15.75" customHeight="1">
      <c r="L899" s="89"/>
      <c r="M899" s="89"/>
    </row>
    <row r="900" ht="15.75" customHeight="1">
      <c r="L900" s="89"/>
      <c r="M900" s="89"/>
    </row>
    <row r="901" ht="15.75" customHeight="1">
      <c r="L901" s="89"/>
      <c r="M901" s="89"/>
    </row>
    <row r="902" ht="15.75" customHeight="1">
      <c r="L902" s="89"/>
      <c r="M902" s="89"/>
    </row>
    <row r="903" ht="15.75" customHeight="1">
      <c r="L903" s="89"/>
      <c r="M903" s="89"/>
    </row>
    <row r="904" ht="15.75" customHeight="1">
      <c r="L904" s="89"/>
      <c r="M904" s="89"/>
    </row>
    <row r="905" ht="15.75" customHeight="1">
      <c r="L905" s="89"/>
      <c r="M905" s="89"/>
    </row>
    <row r="906" ht="15.75" customHeight="1">
      <c r="L906" s="89"/>
      <c r="M906" s="89"/>
    </row>
    <row r="907" ht="15.75" customHeight="1">
      <c r="L907" s="89"/>
      <c r="M907" s="89"/>
    </row>
    <row r="908" ht="15.75" customHeight="1">
      <c r="L908" s="89"/>
      <c r="M908" s="89"/>
    </row>
    <row r="909" ht="15.75" customHeight="1">
      <c r="L909" s="89"/>
      <c r="M909" s="89"/>
    </row>
    <row r="910" ht="15.75" customHeight="1">
      <c r="L910" s="89"/>
      <c r="M910" s="89"/>
    </row>
    <row r="911" ht="15.75" customHeight="1">
      <c r="L911" s="89"/>
      <c r="M911" s="89"/>
    </row>
    <row r="912" ht="15.75" customHeight="1">
      <c r="L912" s="89"/>
      <c r="M912" s="89"/>
    </row>
    <row r="913" ht="15.75" customHeight="1">
      <c r="L913" s="89"/>
      <c r="M913" s="89"/>
    </row>
    <row r="914" ht="15.75" customHeight="1">
      <c r="L914" s="89"/>
      <c r="M914" s="89"/>
    </row>
    <row r="915" ht="15.75" customHeight="1">
      <c r="L915" s="89"/>
      <c r="M915" s="89"/>
    </row>
    <row r="916" ht="15.75" customHeight="1">
      <c r="L916" s="89"/>
      <c r="M916" s="89"/>
    </row>
    <row r="917" ht="15.75" customHeight="1">
      <c r="L917" s="89"/>
      <c r="M917" s="89"/>
    </row>
    <row r="918" ht="15.75" customHeight="1">
      <c r="L918" s="89"/>
      <c r="M918" s="89"/>
    </row>
    <row r="919" ht="15.75" customHeight="1">
      <c r="L919" s="89"/>
      <c r="M919" s="89"/>
    </row>
    <row r="920" ht="15.75" customHeight="1">
      <c r="L920" s="89"/>
      <c r="M920" s="89"/>
    </row>
    <row r="921" ht="15.75" customHeight="1">
      <c r="L921" s="89"/>
      <c r="M921" s="89"/>
    </row>
    <row r="922" ht="15.75" customHeight="1">
      <c r="L922" s="89"/>
      <c r="M922" s="89"/>
    </row>
    <row r="923" ht="15.75" customHeight="1">
      <c r="L923" s="89"/>
      <c r="M923" s="89"/>
    </row>
    <row r="924" ht="15.75" customHeight="1">
      <c r="L924" s="89"/>
      <c r="M924" s="89"/>
    </row>
    <row r="925" ht="15.75" customHeight="1">
      <c r="L925" s="89"/>
      <c r="M925" s="89"/>
    </row>
    <row r="926" ht="15.75" customHeight="1">
      <c r="L926" s="89"/>
      <c r="M926" s="89"/>
    </row>
    <row r="927" ht="15.75" customHeight="1">
      <c r="L927" s="89"/>
      <c r="M927" s="89"/>
    </row>
    <row r="928" ht="15.75" customHeight="1">
      <c r="L928" s="89"/>
      <c r="M928" s="89"/>
    </row>
    <row r="929" ht="15.75" customHeight="1">
      <c r="L929" s="89"/>
      <c r="M929" s="89"/>
    </row>
    <row r="930" ht="15.75" customHeight="1">
      <c r="L930" s="89"/>
      <c r="M930" s="89"/>
    </row>
    <row r="931" ht="15.75" customHeight="1">
      <c r="L931" s="89"/>
      <c r="M931" s="89"/>
    </row>
    <row r="932" ht="15.75" customHeight="1">
      <c r="L932" s="89"/>
      <c r="M932" s="89"/>
    </row>
    <row r="933" ht="15.75" customHeight="1">
      <c r="L933" s="89"/>
      <c r="M933" s="89"/>
    </row>
    <row r="934" ht="15.75" customHeight="1">
      <c r="L934" s="89"/>
      <c r="M934" s="89"/>
    </row>
    <row r="935" ht="15.75" customHeight="1">
      <c r="L935" s="89"/>
      <c r="M935" s="89"/>
    </row>
    <row r="936" ht="15.75" customHeight="1">
      <c r="L936" s="89"/>
      <c r="M936" s="89"/>
    </row>
    <row r="937" ht="15.75" customHeight="1">
      <c r="L937" s="89"/>
      <c r="M937" s="89"/>
    </row>
    <row r="938" ht="15.75" customHeight="1">
      <c r="L938" s="89"/>
      <c r="M938" s="89"/>
    </row>
    <row r="939" ht="15.75" customHeight="1">
      <c r="L939" s="89"/>
      <c r="M939" s="89"/>
    </row>
    <row r="940" ht="15.75" customHeight="1">
      <c r="L940" s="89"/>
      <c r="M940" s="89"/>
    </row>
    <row r="941" ht="15.75" customHeight="1">
      <c r="L941" s="89"/>
      <c r="M941" s="89"/>
    </row>
    <row r="942" ht="15.75" customHeight="1">
      <c r="L942" s="89"/>
      <c r="M942" s="89"/>
    </row>
    <row r="943" ht="15.75" customHeight="1">
      <c r="L943" s="89"/>
      <c r="M943" s="89"/>
    </row>
    <row r="944" ht="15.75" customHeight="1">
      <c r="L944" s="89"/>
      <c r="M944" s="89"/>
    </row>
    <row r="945" ht="15.75" customHeight="1">
      <c r="L945" s="89"/>
      <c r="M945" s="89"/>
    </row>
    <row r="946" ht="15.75" customHeight="1">
      <c r="L946" s="89"/>
      <c r="M946" s="89"/>
    </row>
    <row r="947" ht="15.75" customHeight="1">
      <c r="L947" s="89"/>
      <c r="M947" s="89"/>
    </row>
    <row r="948" ht="15.75" customHeight="1">
      <c r="L948" s="89"/>
      <c r="M948" s="89"/>
    </row>
    <row r="949" ht="15.75" customHeight="1">
      <c r="L949" s="89"/>
      <c r="M949" s="89"/>
    </row>
    <row r="950" ht="15.75" customHeight="1">
      <c r="L950" s="89"/>
      <c r="M950" s="89"/>
    </row>
    <row r="951" ht="15.75" customHeight="1">
      <c r="L951" s="89"/>
      <c r="M951" s="89"/>
    </row>
    <row r="952" ht="15.75" customHeight="1">
      <c r="L952" s="89"/>
      <c r="M952" s="89"/>
    </row>
    <row r="953" ht="15.75" customHeight="1">
      <c r="L953" s="89"/>
      <c r="M953" s="89"/>
    </row>
    <row r="954" ht="15.75" customHeight="1">
      <c r="L954" s="89"/>
      <c r="M954" s="89"/>
    </row>
    <row r="955" ht="15.75" customHeight="1">
      <c r="L955" s="89"/>
      <c r="M955" s="89"/>
    </row>
    <row r="956" ht="15.75" customHeight="1">
      <c r="L956" s="89"/>
      <c r="M956" s="89"/>
    </row>
    <row r="957" ht="15.75" customHeight="1">
      <c r="L957" s="89"/>
      <c r="M957" s="89"/>
    </row>
    <row r="958" ht="15.75" customHeight="1">
      <c r="L958" s="89"/>
      <c r="M958" s="89"/>
    </row>
    <row r="959" ht="15.75" customHeight="1">
      <c r="L959" s="89"/>
      <c r="M959" s="89"/>
    </row>
    <row r="960" ht="15.75" customHeight="1">
      <c r="L960" s="89"/>
      <c r="M960" s="89"/>
    </row>
    <row r="961" ht="15.75" customHeight="1">
      <c r="L961" s="89"/>
      <c r="M961" s="89"/>
    </row>
    <row r="962" ht="15.75" customHeight="1">
      <c r="L962" s="89"/>
      <c r="M962" s="89"/>
    </row>
    <row r="963" ht="15.75" customHeight="1">
      <c r="L963" s="89"/>
      <c r="M963" s="89"/>
    </row>
    <row r="964" ht="15.75" customHeight="1">
      <c r="L964" s="89"/>
      <c r="M964" s="89"/>
    </row>
    <row r="965" ht="15.75" customHeight="1">
      <c r="L965" s="89"/>
      <c r="M965" s="89"/>
    </row>
    <row r="966" ht="15.75" customHeight="1">
      <c r="L966" s="89"/>
      <c r="M966" s="89"/>
    </row>
    <row r="967" ht="15.75" customHeight="1">
      <c r="L967" s="89"/>
      <c r="M967" s="89"/>
    </row>
    <row r="968" ht="15.75" customHeight="1">
      <c r="L968" s="89"/>
      <c r="M968" s="89"/>
    </row>
    <row r="969" ht="15.75" customHeight="1">
      <c r="L969" s="89"/>
      <c r="M969" s="89"/>
    </row>
    <row r="970" ht="15.75" customHeight="1">
      <c r="L970" s="89"/>
      <c r="M970" s="89"/>
    </row>
    <row r="971" ht="15.75" customHeight="1">
      <c r="L971" s="89"/>
      <c r="M971" s="89"/>
    </row>
    <row r="972" ht="15.75" customHeight="1">
      <c r="L972" s="89"/>
      <c r="M972" s="89"/>
    </row>
    <row r="973" ht="15.75" customHeight="1">
      <c r="L973" s="89"/>
      <c r="M973" s="89"/>
    </row>
    <row r="974" ht="15.75" customHeight="1">
      <c r="L974" s="89"/>
      <c r="M974" s="89"/>
    </row>
    <row r="975" ht="15.75" customHeight="1">
      <c r="L975" s="89"/>
      <c r="M975" s="89"/>
    </row>
    <row r="976" ht="15.75" customHeight="1">
      <c r="L976" s="89"/>
      <c r="M976" s="89"/>
    </row>
    <row r="977" ht="15.75" customHeight="1">
      <c r="L977" s="89"/>
      <c r="M977" s="89"/>
    </row>
    <row r="978" ht="15.75" customHeight="1">
      <c r="L978" s="89"/>
      <c r="M978" s="89"/>
    </row>
    <row r="979" ht="15.75" customHeight="1">
      <c r="L979" s="89"/>
      <c r="M979" s="89"/>
    </row>
    <row r="980" ht="15.75" customHeight="1">
      <c r="L980" s="89"/>
      <c r="M980" s="89"/>
    </row>
    <row r="981" ht="15.75" customHeight="1">
      <c r="L981" s="89"/>
      <c r="M981" s="89"/>
    </row>
    <row r="982" ht="15.75" customHeight="1">
      <c r="L982" s="89"/>
      <c r="M982" s="89"/>
    </row>
    <row r="983" ht="15.75" customHeight="1">
      <c r="L983" s="89"/>
      <c r="M983" s="89"/>
    </row>
    <row r="984" ht="15.75" customHeight="1">
      <c r="L984" s="89"/>
      <c r="M984" s="89"/>
    </row>
    <row r="985" ht="15.75" customHeight="1">
      <c r="L985" s="89"/>
      <c r="M985" s="89"/>
    </row>
    <row r="986" ht="15.75" customHeight="1">
      <c r="L986" s="89"/>
      <c r="M986" s="89"/>
    </row>
    <row r="987" ht="15.75" customHeight="1">
      <c r="L987" s="89"/>
      <c r="M987" s="89"/>
    </row>
    <row r="988" ht="15.75" customHeight="1">
      <c r="L988" s="89"/>
      <c r="M988" s="89"/>
    </row>
    <row r="989" ht="15.75" customHeight="1">
      <c r="L989" s="89"/>
      <c r="M989" s="89"/>
    </row>
    <row r="990" ht="15.75" customHeight="1">
      <c r="L990" s="89"/>
      <c r="M990" s="89"/>
    </row>
    <row r="991" ht="15.75" customHeight="1">
      <c r="L991" s="89"/>
      <c r="M991" s="89"/>
    </row>
    <row r="992" ht="15.75" customHeight="1">
      <c r="L992" s="89"/>
      <c r="M992" s="89"/>
    </row>
    <row r="993" ht="15.75" customHeight="1">
      <c r="L993" s="89"/>
      <c r="M993" s="89"/>
    </row>
    <row r="994" ht="15.75" customHeight="1">
      <c r="L994" s="89"/>
      <c r="M994" s="89"/>
    </row>
    <row r="995" ht="15.75" customHeight="1">
      <c r="L995" s="89"/>
      <c r="M995" s="89"/>
    </row>
    <row r="996" ht="15.75" customHeight="1">
      <c r="L996" s="89"/>
      <c r="M996" s="89"/>
    </row>
    <row r="997" ht="15.75" customHeight="1">
      <c r="L997" s="89"/>
      <c r="M997" s="89"/>
    </row>
    <row r="998" ht="15.75" customHeight="1">
      <c r="L998" s="89"/>
      <c r="M998" s="89"/>
    </row>
    <row r="999" ht="15.75" customHeight="1">
      <c r="L999" s="89"/>
      <c r="M999" s="89"/>
    </row>
    <row r="1000" ht="15.75" customHeight="1">
      <c r="L1000" s="89"/>
      <c r="M1000" s="89"/>
    </row>
  </sheetData>
  <mergeCells count="27">
    <mergeCell ref="AF3:AF4"/>
    <mergeCell ref="AG3:AG4"/>
    <mergeCell ref="AH3:AK3"/>
    <mergeCell ref="AL3:AN3"/>
    <mergeCell ref="AO3:AO4"/>
    <mergeCell ref="AP3:AP4"/>
    <mergeCell ref="B6:B7"/>
    <mergeCell ref="B9:B14"/>
    <mergeCell ref="A3:A4"/>
    <mergeCell ref="B3:B4"/>
    <mergeCell ref="C3:C4"/>
    <mergeCell ref="D3:H3"/>
    <mergeCell ref="I3:I4"/>
    <mergeCell ref="J3:M3"/>
    <mergeCell ref="N3:R3"/>
    <mergeCell ref="AC11:AC13"/>
    <mergeCell ref="AC16:AC18"/>
    <mergeCell ref="AC19:AC21"/>
    <mergeCell ref="AC26:AC27"/>
    <mergeCell ref="AC30:AC38"/>
    <mergeCell ref="S3:V3"/>
    <mergeCell ref="W3:W4"/>
    <mergeCell ref="X3:X4"/>
    <mergeCell ref="AB3:AB4"/>
    <mergeCell ref="AC3:AC4"/>
    <mergeCell ref="AD3:AD4"/>
    <mergeCell ref="AE3:AE4"/>
  </mergeCells>
  <printOptions/>
  <pageMargins bottom="0.75" footer="0.0" header="0.0" left="0.7" right="0.7" top="0.75"/>
  <pageSetup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 outlineLevelCol="1"/>
  <cols>
    <col customWidth="1" min="1" max="1" width="5.71"/>
    <col customWidth="1" min="2" max="2" width="13.14"/>
    <col customWidth="1" min="3" max="3" width="23.29"/>
    <col customWidth="1" min="4" max="4" width="8.0"/>
    <col customWidth="1" min="5" max="5" width="11.71"/>
    <col customWidth="1" min="6" max="6" width="9.86"/>
    <col customWidth="1" min="7" max="9" width="11.14"/>
    <col customWidth="1" min="10" max="14" width="8.71"/>
    <col customWidth="1" min="15" max="20" width="13.86"/>
    <col customWidth="1" min="21" max="21" width="16.86"/>
    <col customWidth="1" min="22" max="22" width="9.57"/>
    <col customWidth="1" min="23" max="24" width="8.71"/>
    <col customWidth="1" min="25" max="25" width="5.57"/>
    <col customWidth="1" min="26" max="26" width="13.14"/>
    <col customWidth="1" min="27" max="27" width="20.57"/>
    <col customWidth="1" min="28" max="28" width="11.86"/>
    <col customWidth="1" hidden="1" min="29" max="29" width="11.14"/>
    <col customWidth="1" min="30" max="33" width="8.71"/>
    <col customWidth="1" hidden="1" min="34" max="39" width="13.86"/>
    <col customWidth="1" hidden="1" min="40" max="40" width="16.86"/>
    <col customWidth="1" hidden="1" min="41" max="41" width="9.57"/>
  </cols>
  <sheetData>
    <row r="1" ht="14.25" customHeight="1">
      <c r="A1" s="24" t="s">
        <v>436</v>
      </c>
      <c r="Y1" s="24" t="s">
        <v>69</v>
      </c>
    </row>
    <row r="2" ht="14.25" customHeight="1">
      <c r="A2" s="24" t="s">
        <v>537</v>
      </c>
      <c r="O2" s="125" t="s">
        <v>538</v>
      </c>
      <c r="P2" s="125"/>
      <c r="Q2" s="125"/>
      <c r="Y2" s="24" t="s">
        <v>537</v>
      </c>
      <c r="AH2" s="125" t="s">
        <v>538</v>
      </c>
      <c r="AI2" s="125"/>
      <c r="AJ2" s="125"/>
    </row>
    <row r="3" ht="15.0" customHeight="1">
      <c r="A3" s="28" t="s">
        <v>84</v>
      </c>
      <c r="B3" s="28" t="s">
        <v>105</v>
      </c>
      <c r="C3" s="28" t="s">
        <v>109</v>
      </c>
      <c r="D3" s="30" t="s">
        <v>438</v>
      </c>
      <c r="E3" s="31"/>
      <c r="F3" s="31"/>
      <c r="G3" s="31"/>
      <c r="H3" s="35"/>
      <c r="I3" s="28" t="s">
        <v>116</v>
      </c>
      <c r="J3" s="39" t="s">
        <v>166</v>
      </c>
      <c r="K3" s="31"/>
      <c r="L3" s="31"/>
      <c r="M3" s="31"/>
      <c r="N3" s="35"/>
      <c r="O3" s="39" t="s">
        <v>140</v>
      </c>
      <c r="P3" s="31"/>
      <c r="Q3" s="35"/>
      <c r="R3" s="39" t="s">
        <v>541</v>
      </c>
      <c r="S3" s="31"/>
      <c r="T3" s="35"/>
      <c r="U3" s="29" t="s">
        <v>171</v>
      </c>
      <c r="V3" s="29" t="s">
        <v>172</v>
      </c>
      <c r="W3" s="127" t="s">
        <v>542</v>
      </c>
      <c r="Y3" s="28" t="s">
        <v>84</v>
      </c>
      <c r="Z3" s="28" t="s">
        <v>105</v>
      </c>
      <c r="AA3" s="28" t="s">
        <v>109</v>
      </c>
      <c r="AB3" s="29" t="s">
        <v>112</v>
      </c>
      <c r="AC3" s="28" t="s">
        <v>140</v>
      </c>
      <c r="AD3" s="39" t="s">
        <v>166</v>
      </c>
      <c r="AE3" s="31"/>
      <c r="AF3" s="31"/>
      <c r="AG3" s="35"/>
      <c r="AH3" s="39" t="s">
        <v>140</v>
      </c>
      <c r="AI3" s="31"/>
      <c r="AJ3" s="35"/>
      <c r="AK3" s="39" t="s">
        <v>541</v>
      </c>
      <c r="AL3" s="31"/>
      <c r="AM3" s="35"/>
      <c r="AN3" s="29" t="s">
        <v>171</v>
      </c>
      <c r="AO3" s="29" t="s">
        <v>172</v>
      </c>
    </row>
    <row r="4" ht="14.25" customHeight="1">
      <c r="A4" s="42"/>
      <c r="B4" s="42"/>
      <c r="C4" s="42"/>
      <c r="D4" s="98" t="s">
        <v>199</v>
      </c>
      <c r="E4" s="98" t="s">
        <v>200</v>
      </c>
      <c r="F4" s="98" t="s">
        <v>441</v>
      </c>
      <c r="G4" s="43" t="s">
        <v>442</v>
      </c>
      <c r="H4" s="43" t="s">
        <v>203</v>
      </c>
      <c r="I4" s="42"/>
      <c r="J4" s="43" t="s">
        <v>199</v>
      </c>
      <c r="K4" s="43" t="s">
        <v>200</v>
      </c>
      <c r="L4" s="43" t="s">
        <v>441</v>
      </c>
      <c r="M4" s="43" t="s">
        <v>442</v>
      </c>
      <c r="N4" s="43" t="s">
        <v>207</v>
      </c>
      <c r="O4" s="43" t="s">
        <v>199</v>
      </c>
      <c r="P4" s="43" t="s">
        <v>200</v>
      </c>
      <c r="Q4" s="43" t="s">
        <v>201</v>
      </c>
      <c r="R4" s="43" t="s">
        <v>546</v>
      </c>
      <c r="S4" s="43" t="s">
        <v>547</v>
      </c>
      <c r="T4" s="43" t="s">
        <v>549</v>
      </c>
      <c r="U4" s="42"/>
      <c r="V4" s="42"/>
      <c r="Y4" s="42"/>
      <c r="Z4" s="42"/>
      <c r="AA4" s="42"/>
      <c r="AB4" s="42"/>
      <c r="AC4" s="42"/>
      <c r="AD4" s="43" t="s">
        <v>199</v>
      </c>
      <c r="AE4" s="43" t="s">
        <v>200</v>
      </c>
      <c r="AF4" s="43" t="s">
        <v>201</v>
      </c>
      <c r="AG4" s="43" t="s">
        <v>207</v>
      </c>
      <c r="AH4" s="43" t="s">
        <v>199</v>
      </c>
      <c r="AI4" s="43" t="s">
        <v>200</v>
      </c>
      <c r="AJ4" s="43" t="s">
        <v>201</v>
      </c>
      <c r="AK4" s="43" t="s">
        <v>546</v>
      </c>
      <c r="AL4" s="43" t="s">
        <v>547</v>
      </c>
      <c r="AM4" s="43" t="s">
        <v>549</v>
      </c>
      <c r="AN4" s="42"/>
      <c r="AO4" s="42"/>
    </row>
    <row r="5" ht="14.25" customHeight="1">
      <c r="A5" s="134" t="s">
        <v>218</v>
      </c>
      <c r="B5" s="173"/>
      <c r="C5" s="134"/>
      <c r="D5" s="51"/>
      <c r="E5" s="51"/>
      <c r="F5" s="51"/>
      <c r="G5" s="51"/>
      <c r="H5" s="51"/>
      <c r="I5" s="51"/>
      <c r="J5" s="100">
        <f t="shared" ref="J5:L5" si="1">SUM(J6:J39)</f>
        <v>11</v>
      </c>
      <c r="K5" s="100">
        <f t="shared" si="1"/>
        <v>3</v>
      </c>
      <c r="L5" s="100">
        <f t="shared" si="1"/>
        <v>23</v>
      </c>
      <c r="M5" s="51"/>
      <c r="N5" s="51"/>
      <c r="O5" s="53">
        <v>5.8320345E7</v>
      </c>
      <c r="P5" s="53">
        <v>1.9687458E7</v>
      </c>
      <c r="Q5" s="53">
        <f>SUM(Q6:Q58)</f>
        <v>51079350</v>
      </c>
      <c r="R5" s="53"/>
      <c r="S5" s="53"/>
      <c r="T5" s="53"/>
      <c r="U5" s="176"/>
      <c r="V5" s="178" t="str">
        <f>SUM(O5:Q5)/U5</f>
        <v>#DIV/0!</v>
      </c>
      <c r="Y5" s="134" t="s">
        <v>218</v>
      </c>
      <c r="Z5" s="173"/>
      <c r="AA5" s="134"/>
      <c r="AB5" s="51">
        <f t="shared" ref="AB5:AF5" si="2">SUM(AB6:AB39)</f>
        <v>32</v>
      </c>
      <c r="AC5" s="51">
        <f t="shared" si="2"/>
        <v>0</v>
      </c>
      <c r="AD5" s="51">
        <f t="shared" si="2"/>
        <v>12</v>
      </c>
      <c r="AE5" s="51">
        <f t="shared" si="2"/>
        <v>4</v>
      </c>
      <c r="AF5" s="51">
        <f t="shared" si="2"/>
        <v>16</v>
      </c>
      <c r="AG5" s="51"/>
      <c r="AH5" s="53">
        <v>5.8320345E7</v>
      </c>
      <c r="AI5" s="53">
        <v>1.9687458E7</v>
      </c>
      <c r="AJ5" s="53">
        <f>SUM(AJ6:AJ58)</f>
        <v>51079350</v>
      </c>
      <c r="AK5" s="53"/>
      <c r="AL5" s="53"/>
      <c r="AM5" s="53"/>
      <c r="AN5" s="176"/>
      <c r="AO5" s="178" t="str">
        <f>SUM(AH5:AJ5)/AN5</f>
        <v>#DIV/0!</v>
      </c>
    </row>
    <row r="6" ht="14.25" customHeight="1">
      <c r="A6" s="179">
        <v>1.0</v>
      </c>
      <c r="B6" s="84" t="s">
        <v>314</v>
      </c>
      <c r="C6" s="66" t="s">
        <v>316</v>
      </c>
      <c r="D6" s="180">
        <v>1.0</v>
      </c>
      <c r="E6" s="180"/>
      <c r="F6" s="180"/>
      <c r="G6" s="181"/>
      <c r="H6" s="181">
        <f t="shared" ref="H6:H13" si="3">SUM(D6:G6)</f>
        <v>1</v>
      </c>
      <c r="I6" s="181">
        <v>1.0</v>
      </c>
      <c r="J6" s="181">
        <v>1.0</v>
      </c>
      <c r="K6" s="181"/>
      <c r="L6" s="181"/>
      <c r="M6" s="181"/>
      <c r="N6" s="181">
        <f t="shared" ref="N6:N13" si="4">SUM(J6:M6)</f>
        <v>1</v>
      </c>
      <c r="O6" s="105"/>
      <c r="P6" s="105"/>
      <c r="Q6" s="105"/>
      <c r="R6" s="105"/>
      <c r="S6" s="105"/>
      <c r="T6" s="105"/>
      <c r="U6" s="104"/>
      <c r="V6" s="104"/>
      <c r="W6" s="169">
        <f t="shared" ref="W6:W10" si="5">H6-N6</f>
        <v>0</v>
      </c>
      <c r="Y6" s="65">
        <v>1.0</v>
      </c>
      <c r="Z6" s="84" t="s">
        <v>314</v>
      </c>
      <c r="AA6" s="66" t="s">
        <v>316</v>
      </c>
      <c r="AB6" s="59">
        <v>1.0</v>
      </c>
      <c r="AC6" s="58"/>
      <c r="AD6" s="58"/>
      <c r="AE6" s="58">
        <v>1.0</v>
      </c>
      <c r="AF6" s="58"/>
      <c r="AG6" s="58">
        <f t="shared" ref="AG6:AG10" si="6">SUM(AD6:AF6)</f>
        <v>1</v>
      </c>
      <c r="AH6" s="58"/>
      <c r="AI6" s="58"/>
      <c r="AJ6" s="58"/>
      <c r="AK6" s="58"/>
      <c r="AL6" s="58"/>
      <c r="AM6" s="58"/>
      <c r="AN6" s="59"/>
      <c r="AO6" s="59"/>
    </row>
    <row r="7" ht="14.25" customHeight="1">
      <c r="A7" s="15"/>
      <c r="B7" s="15"/>
      <c r="C7" s="66" t="s">
        <v>331</v>
      </c>
      <c r="D7" s="185">
        <v>1.0</v>
      </c>
      <c r="E7" s="185"/>
      <c r="F7" s="185"/>
      <c r="G7" s="186"/>
      <c r="H7" s="181">
        <f t="shared" si="3"/>
        <v>1</v>
      </c>
      <c r="I7" s="186">
        <v>1.0</v>
      </c>
      <c r="J7" s="186">
        <v>1.0</v>
      </c>
      <c r="K7" s="186"/>
      <c r="L7" s="186"/>
      <c r="M7" s="181"/>
      <c r="N7" s="181">
        <f t="shared" si="4"/>
        <v>1</v>
      </c>
      <c r="O7" s="115"/>
      <c r="P7" s="115"/>
      <c r="Q7" s="115"/>
      <c r="R7" s="115"/>
      <c r="S7" s="115"/>
      <c r="T7" s="115"/>
      <c r="U7" s="114"/>
      <c r="V7" s="114"/>
      <c r="W7" s="169">
        <f t="shared" si="5"/>
        <v>0</v>
      </c>
      <c r="Y7" s="65"/>
      <c r="Z7" s="15"/>
      <c r="AA7" s="66" t="s">
        <v>331</v>
      </c>
      <c r="AB7" s="60">
        <v>1.0</v>
      </c>
      <c r="AC7" s="67"/>
      <c r="AD7" s="67">
        <v>1.0</v>
      </c>
      <c r="AE7" s="67"/>
      <c r="AF7" s="67"/>
      <c r="AG7" s="58">
        <f t="shared" si="6"/>
        <v>1</v>
      </c>
      <c r="AH7" s="67"/>
      <c r="AI7" s="67"/>
      <c r="AJ7" s="67"/>
      <c r="AK7" s="67"/>
      <c r="AL7" s="67"/>
      <c r="AM7" s="67"/>
      <c r="AN7" s="60"/>
      <c r="AO7" s="60"/>
    </row>
    <row r="8" ht="14.25" customHeight="1">
      <c r="A8" s="22"/>
      <c r="B8" s="22"/>
      <c r="C8" s="66" t="s">
        <v>575</v>
      </c>
      <c r="D8" s="185"/>
      <c r="E8" s="185"/>
      <c r="F8" s="185">
        <v>1.0</v>
      </c>
      <c r="G8" s="186"/>
      <c r="H8" s="181">
        <f t="shared" si="3"/>
        <v>1</v>
      </c>
      <c r="I8" s="186">
        <v>1.0</v>
      </c>
      <c r="J8" s="186"/>
      <c r="K8" s="186"/>
      <c r="L8" s="186">
        <v>1.0</v>
      </c>
      <c r="M8" s="181"/>
      <c r="N8" s="181">
        <f t="shared" si="4"/>
        <v>1</v>
      </c>
      <c r="O8" s="115"/>
      <c r="P8" s="115"/>
      <c r="Q8" s="188">
        <v>2629125.0</v>
      </c>
      <c r="R8" s="115"/>
      <c r="S8" s="115"/>
      <c r="T8" s="115"/>
      <c r="U8" s="114"/>
      <c r="V8" s="114"/>
      <c r="W8" s="169">
        <f t="shared" si="5"/>
        <v>0</v>
      </c>
      <c r="Y8" s="65"/>
      <c r="Z8" s="22"/>
      <c r="AA8" s="66" t="s">
        <v>349</v>
      </c>
      <c r="AB8" s="189">
        <v>2.0</v>
      </c>
      <c r="AC8" s="67"/>
      <c r="AD8" s="67">
        <v>1.0</v>
      </c>
      <c r="AE8" s="67"/>
      <c r="AF8" s="67">
        <v>1.0</v>
      </c>
      <c r="AG8" s="58">
        <f t="shared" si="6"/>
        <v>2</v>
      </c>
      <c r="AH8" s="67"/>
      <c r="AI8" s="67"/>
      <c r="AJ8" s="190">
        <v>2629125.0</v>
      </c>
      <c r="AK8" s="67"/>
      <c r="AL8" s="67"/>
      <c r="AM8" s="67"/>
      <c r="AN8" s="60"/>
      <c r="AO8" s="60"/>
    </row>
    <row r="9" ht="14.25" customHeight="1">
      <c r="A9" s="65">
        <v>2.0</v>
      </c>
      <c r="B9" s="66" t="s">
        <v>360</v>
      </c>
      <c r="C9" s="66"/>
      <c r="D9" s="185"/>
      <c r="E9" s="185"/>
      <c r="F9" s="185"/>
      <c r="G9" s="186"/>
      <c r="H9" s="181">
        <f t="shared" si="3"/>
        <v>0</v>
      </c>
      <c r="I9" s="186"/>
      <c r="J9" s="186"/>
      <c r="K9" s="186"/>
      <c r="L9" s="186"/>
      <c r="M9" s="181"/>
      <c r="N9" s="181">
        <f t="shared" si="4"/>
        <v>0</v>
      </c>
      <c r="O9" s="115"/>
      <c r="P9" s="115"/>
      <c r="Q9" s="115"/>
      <c r="R9" s="115"/>
      <c r="S9" s="115"/>
      <c r="T9" s="115"/>
      <c r="U9" s="114"/>
      <c r="V9" s="114"/>
      <c r="W9" s="169">
        <f t="shared" si="5"/>
        <v>0</v>
      </c>
      <c r="Y9" s="65">
        <v>2.0</v>
      </c>
      <c r="Z9" s="66" t="s">
        <v>360</v>
      </c>
      <c r="AA9" s="66"/>
      <c r="AB9" s="60"/>
      <c r="AC9" s="67"/>
      <c r="AD9" s="67"/>
      <c r="AE9" s="67"/>
      <c r="AF9" s="67"/>
      <c r="AG9" s="58">
        <f t="shared" si="6"/>
        <v>0</v>
      </c>
      <c r="AH9" s="67"/>
      <c r="AI9" s="67"/>
      <c r="AJ9" s="67"/>
      <c r="AK9" s="67"/>
      <c r="AL9" s="67"/>
      <c r="AM9" s="67"/>
      <c r="AN9" s="60"/>
      <c r="AO9" s="60"/>
    </row>
    <row r="10" ht="14.25" customHeight="1">
      <c r="A10" s="65">
        <v>3.0</v>
      </c>
      <c r="B10" s="66" t="s">
        <v>375</v>
      </c>
      <c r="C10" s="66"/>
      <c r="D10" s="185"/>
      <c r="E10" s="185"/>
      <c r="F10" s="185">
        <v>3.0</v>
      </c>
      <c r="G10" s="186"/>
      <c r="H10" s="181">
        <f t="shared" si="3"/>
        <v>3</v>
      </c>
      <c r="I10" s="186">
        <v>1.0</v>
      </c>
      <c r="J10" s="186"/>
      <c r="K10" s="186"/>
      <c r="L10" s="186">
        <v>3.0</v>
      </c>
      <c r="M10" s="181"/>
      <c r="N10" s="181">
        <f t="shared" si="4"/>
        <v>3</v>
      </c>
      <c r="O10" s="115"/>
      <c r="P10" s="115"/>
      <c r="Q10" s="115"/>
      <c r="R10" s="115"/>
      <c r="S10" s="115"/>
      <c r="T10" s="115"/>
      <c r="U10" s="114"/>
      <c r="V10" s="114"/>
      <c r="W10" s="169">
        <f t="shared" si="5"/>
        <v>0</v>
      </c>
      <c r="Y10" s="65">
        <v>3.0</v>
      </c>
      <c r="Z10" s="66" t="s">
        <v>375</v>
      </c>
      <c r="AA10" s="66"/>
      <c r="AB10" s="60"/>
      <c r="AC10" s="67"/>
      <c r="AD10" s="67"/>
      <c r="AE10" s="67"/>
      <c r="AF10" s="67"/>
      <c r="AG10" s="58">
        <f t="shared" si="6"/>
        <v>0</v>
      </c>
      <c r="AH10" s="67"/>
      <c r="AI10" s="67"/>
      <c r="AJ10" s="67"/>
      <c r="AK10" s="67"/>
      <c r="AL10" s="67"/>
      <c r="AM10" s="67"/>
      <c r="AN10" s="60"/>
      <c r="AO10" s="60"/>
    </row>
    <row r="11" ht="14.25" customHeight="1">
      <c r="A11" s="179"/>
      <c r="B11" s="81" t="s">
        <v>585</v>
      </c>
      <c r="C11" s="66"/>
      <c r="D11" s="185"/>
      <c r="E11" s="185"/>
      <c r="F11" s="185">
        <v>1.0</v>
      </c>
      <c r="G11" s="186"/>
      <c r="H11" s="181">
        <f t="shared" si="3"/>
        <v>1</v>
      </c>
      <c r="I11" s="186"/>
      <c r="J11" s="186"/>
      <c r="K11" s="186"/>
      <c r="L11" s="186">
        <v>1.0</v>
      </c>
      <c r="M11" s="181"/>
      <c r="N11" s="181">
        <f t="shared" si="4"/>
        <v>1</v>
      </c>
      <c r="O11" s="115"/>
      <c r="P11" s="115"/>
      <c r="Q11" s="115"/>
      <c r="R11" s="115"/>
      <c r="S11" s="115"/>
      <c r="T11" s="115"/>
      <c r="U11" s="114"/>
      <c r="V11" s="114"/>
      <c r="W11" s="169"/>
      <c r="Y11" s="65"/>
      <c r="Z11" s="81"/>
      <c r="AA11" s="66"/>
      <c r="AB11" s="60"/>
      <c r="AC11" s="67"/>
      <c r="AD11" s="67"/>
      <c r="AE11" s="67"/>
      <c r="AF11" s="67"/>
      <c r="AG11" s="58"/>
      <c r="AH11" s="67"/>
      <c r="AI11" s="67"/>
      <c r="AJ11" s="67"/>
      <c r="AK11" s="67"/>
      <c r="AL11" s="67"/>
      <c r="AM11" s="67"/>
      <c r="AN11" s="60"/>
      <c r="AO11" s="60"/>
    </row>
    <row r="12" ht="14.25" customHeight="1">
      <c r="A12" s="179">
        <v>4.0</v>
      </c>
      <c r="B12" s="84" t="s">
        <v>405</v>
      </c>
      <c r="C12" s="66" t="s">
        <v>56</v>
      </c>
      <c r="D12" s="185"/>
      <c r="E12" s="185"/>
      <c r="F12" s="185"/>
      <c r="G12" s="186"/>
      <c r="H12" s="181">
        <f t="shared" si="3"/>
        <v>0</v>
      </c>
      <c r="I12" s="186"/>
      <c r="J12" s="186"/>
      <c r="K12" s="186"/>
      <c r="L12" s="186"/>
      <c r="M12" s="181"/>
      <c r="N12" s="181">
        <f t="shared" si="4"/>
        <v>0</v>
      </c>
      <c r="O12" s="115"/>
      <c r="P12" s="115"/>
      <c r="Q12" s="115"/>
      <c r="R12" s="115"/>
      <c r="S12" s="115"/>
      <c r="T12" s="115"/>
      <c r="U12" s="114"/>
      <c r="V12" s="114"/>
      <c r="W12" s="169">
        <f t="shared" ref="W12:W39" si="7">H12-N12</f>
        <v>0</v>
      </c>
      <c r="Y12" s="65">
        <v>4.0</v>
      </c>
      <c r="Z12" s="84" t="s">
        <v>405</v>
      </c>
      <c r="AA12" s="66" t="s">
        <v>56</v>
      </c>
      <c r="AB12" s="60"/>
      <c r="AC12" s="67"/>
      <c r="AD12" s="67"/>
      <c r="AE12" s="67"/>
      <c r="AF12" s="67"/>
      <c r="AG12" s="58">
        <f t="shared" ref="AG12:AG13" si="8">SUM(AD12:AF12)</f>
        <v>0</v>
      </c>
      <c r="AH12" s="67"/>
      <c r="AI12" s="67"/>
      <c r="AJ12" s="67"/>
      <c r="AK12" s="67"/>
      <c r="AL12" s="67"/>
      <c r="AM12" s="67"/>
      <c r="AN12" s="60"/>
      <c r="AO12" s="60"/>
    </row>
    <row r="13" ht="14.25" customHeight="1">
      <c r="A13" s="15"/>
      <c r="B13" s="15"/>
      <c r="C13" s="66" t="s">
        <v>592</v>
      </c>
      <c r="D13" s="191"/>
      <c r="E13" s="191"/>
      <c r="F13" s="191">
        <v>2.0</v>
      </c>
      <c r="G13" s="192"/>
      <c r="H13" s="193">
        <f t="shared" si="3"/>
        <v>2</v>
      </c>
      <c r="I13" s="192">
        <v>1.0</v>
      </c>
      <c r="J13" s="192"/>
      <c r="K13" s="192"/>
      <c r="L13" s="192">
        <v>2.0</v>
      </c>
      <c r="M13" s="193"/>
      <c r="N13" s="192">
        <f t="shared" si="4"/>
        <v>2</v>
      </c>
      <c r="O13" s="115"/>
      <c r="P13" s="115"/>
      <c r="Q13" s="188">
        <v>2316625.0</v>
      </c>
      <c r="R13" s="115"/>
      <c r="S13" s="115"/>
      <c r="T13" s="115"/>
      <c r="U13" s="114"/>
      <c r="V13" s="114"/>
      <c r="W13" s="169">
        <f t="shared" si="7"/>
        <v>0</v>
      </c>
      <c r="Y13" s="65"/>
      <c r="Z13" s="15"/>
      <c r="AA13" s="66" t="s">
        <v>461</v>
      </c>
      <c r="AB13" s="189">
        <v>1.0</v>
      </c>
      <c r="AC13" s="67"/>
      <c r="AD13" s="67"/>
      <c r="AE13" s="67"/>
      <c r="AF13" s="67">
        <v>1.0</v>
      </c>
      <c r="AG13" s="58">
        <f t="shared" si="8"/>
        <v>1</v>
      </c>
      <c r="AH13" s="67"/>
      <c r="AI13" s="67"/>
      <c r="AJ13" s="190">
        <v>2316625.0</v>
      </c>
      <c r="AK13" s="67"/>
      <c r="AL13" s="67"/>
      <c r="AM13" s="67"/>
      <c r="AN13" s="60"/>
      <c r="AO13" s="60"/>
    </row>
    <row r="14" ht="14.25" customHeight="1">
      <c r="A14" s="15"/>
      <c r="B14" s="15"/>
      <c r="C14" s="66" t="s">
        <v>598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15"/>
      <c r="P14" s="115"/>
      <c r="Q14" s="188"/>
      <c r="R14" s="115"/>
      <c r="S14" s="115"/>
      <c r="T14" s="115"/>
      <c r="U14" s="114"/>
      <c r="V14" s="114"/>
      <c r="W14" s="169">
        <f t="shared" si="7"/>
        <v>0</v>
      </c>
      <c r="Y14" s="65"/>
      <c r="Z14" s="15"/>
      <c r="AA14" s="66"/>
      <c r="AB14" s="60"/>
      <c r="AC14" s="67"/>
      <c r="AD14" s="67"/>
      <c r="AE14" s="67"/>
      <c r="AF14" s="67"/>
      <c r="AG14" s="58"/>
      <c r="AH14" s="195"/>
      <c r="AI14" s="195"/>
      <c r="AJ14" s="190"/>
      <c r="AK14" s="195"/>
      <c r="AL14" s="195"/>
      <c r="AM14" s="195"/>
      <c r="AN14" s="60"/>
      <c r="AO14" s="60"/>
    </row>
    <row r="15" ht="14.25" customHeight="1">
      <c r="A15" s="15"/>
      <c r="B15" s="15"/>
      <c r="C15" s="66" t="s">
        <v>601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15"/>
      <c r="P15" s="115"/>
      <c r="Q15" s="188"/>
      <c r="R15" s="115"/>
      <c r="S15" s="115"/>
      <c r="T15" s="115"/>
      <c r="U15" s="114"/>
      <c r="V15" s="114"/>
      <c r="W15" s="169">
        <f t="shared" si="7"/>
        <v>0</v>
      </c>
      <c r="Y15" s="65"/>
      <c r="Z15" s="15"/>
      <c r="AA15" s="66"/>
      <c r="AB15" s="60"/>
      <c r="AC15" s="67"/>
      <c r="AD15" s="67"/>
      <c r="AE15" s="67"/>
      <c r="AF15" s="67"/>
      <c r="AG15" s="58"/>
      <c r="AH15" s="195"/>
      <c r="AI15" s="195"/>
      <c r="AJ15" s="190"/>
      <c r="AK15" s="195"/>
      <c r="AL15" s="195"/>
      <c r="AM15" s="195"/>
      <c r="AN15" s="60"/>
      <c r="AO15" s="60"/>
    </row>
    <row r="16" ht="14.25" customHeight="1">
      <c r="A16" s="22"/>
      <c r="B16" s="22"/>
      <c r="C16" s="66" t="s">
        <v>434</v>
      </c>
      <c r="D16" s="185"/>
      <c r="E16" s="185"/>
      <c r="F16" s="185">
        <v>4.0</v>
      </c>
      <c r="G16" s="186"/>
      <c r="H16" s="181">
        <f t="shared" ref="H16:H24" si="9">SUM(D16:G16)</f>
        <v>4</v>
      </c>
      <c r="I16" s="186" t="s">
        <v>603</v>
      </c>
      <c r="J16" s="186"/>
      <c r="K16" s="186"/>
      <c r="L16" s="186">
        <v>4.0</v>
      </c>
      <c r="M16" s="181"/>
      <c r="N16" s="181">
        <f t="shared" ref="N16:N24" si="10">SUM(J16:M16)</f>
        <v>4</v>
      </c>
      <c r="O16" s="115"/>
      <c r="P16" s="115"/>
      <c r="Q16" s="188">
        <v>1.92465E7</v>
      </c>
      <c r="R16" s="115"/>
      <c r="S16" s="115"/>
      <c r="T16" s="115"/>
      <c r="U16" s="114"/>
      <c r="V16" s="114"/>
      <c r="W16" s="169">
        <f t="shared" si="7"/>
        <v>0</v>
      </c>
      <c r="Y16" s="65"/>
      <c r="Z16" s="22"/>
      <c r="AA16" s="66" t="s">
        <v>434</v>
      </c>
      <c r="AB16" s="60">
        <v>4.0</v>
      </c>
      <c r="AC16" s="67"/>
      <c r="AD16" s="67"/>
      <c r="AE16" s="67"/>
      <c r="AF16" s="67">
        <v>4.0</v>
      </c>
      <c r="AG16" s="58">
        <f t="shared" ref="AG16:AG37" si="11">SUM(AD16:AF16)</f>
        <v>4</v>
      </c>
      <c r="AH16" s="195"/>
      <c r="AI16" s="195"/>
      <c r="AJ16" s="190">
        <v>1.92465E7</v>
      </c>
      <c r="AK16" s="195"/>
      <c r="AL16" s="195"/>
      <c r="AM16" s="195"/>
      <c r="AN16" s="60"/>
      <c r="AO16" s="60"/>
    </row>
    <row r="17" ht="14.25" customHeight="1">
      <c r="A17" s="179">
        <v>5.0</v>
      </c>
      <c r="B17" s="84" t="s">
        <v>65</v>
      </c>
      <c r="C17" s="66" t="s">
        <v>435</v>
      </c>
      <c r="D17" s="185">
        <v>1.0</v>
      </c>
      <c r="E17" s="185"/>
      <c r="F17" s="185">
        <v>1.0</v>
      </c>
      <c r="G17" s="186"/>
      <c r="H17" s="181">
        <f t="shared" si="9"/>
        <v>2</v>
      </c>
      <c r="I17" s="186">
        <v>1.0</v>
      </c>
      <c r="J17" s="186">
        <v>1.0</v>
      </c>
      <c r="K17" s="186"/>
      <c r="L17" s="186">
        <v>1.0</v>
      </c>
      <c r="M17" s="181"/>
      <c r="N17" s="181">
        <f t="shared" si="10"/>
        <v>2</v>
      </c>
      <c r="O17" s="115"/>
      <c r="P17" s="115"/>
      <c r="Q17" s="188">
        <v>2629125.0</v>
      </c>
      <c r="R17" s="115"/>
      <c r="S17" s="115"/>
      <c r="T17" s="115"/>
      <c r="U17" s="114"/>
      <c r="V17" s="114"/>
      <c r="W17" s="169">
        <f t="shared" si="7"/>
        <v>0</v>
      </c>
      <c r="Y17" s="65">
        <v>5.0</v>
      </c>
      <c r="Z17" s="84" t="s">
        <v>65</v>
      </c>
      <c r="AA17" s="66" t="s">
        <v>435</v>
      </c>
      <c r="AB17" s="60">
        <v>2.0</v>
      </c>
      <c r="AC17" s="67"/>
      <c r="AD17" s="67">
        <v>1.0</v>
      </c>
      <c r="AE17" s="67"/>
      <c r="AF17" s="67">
        <v>1.0</v>
      </c>
      <c r="AG17" s="58">
        <f t="shared" si="11"/>
        <v>2</v>
      </c>
      <c r="AH17" s="67"/>
      <c r="AI17" s="67"/>
      <c r="AJ17" s="190">
        <v>2629125.0</v>
      </c>
      <c r="AK17" s="67"/>
      <c r="AL17" s="67"/>
      <c r="AM17" s="67"/>
      <c r="AN17" s="60"/>
      <c r="AO17" s="60"/>
    </row>
    <row r="18" ht="14.25" customHeight="1">
      <c r="A18" s="15"/>
      <c r="B18" s="15"/>
      <c r="C18" s="66" t="s">
        <v>558</v>
      </c>
      <c r="D18" s="185">
        <v>1.0</v>
      </c>
      <c r="E18" s="185"/>
      <c r="F18" s="185"/>
      <c r="G18" s="186"/>
      <c r="H18" s="181">
        <f t="shared" si="9"/>
        <v>1</v>
      </c>
      <c r="I18" s="186">
        <v>1.0</v>
      </c>
      <c r="J18" s="186">
        <v>1.0</v>
      </c>
      <c r="K18" s="186"/>
      <c r="L18" s="186"/>
      <c r="M18" s="181"/>
      <c r="N18" s="181">
        <f t="shared" si="10"/>
        <v>1</v>
      </c>
      <c r="O18" s="115"/>
      <c r="P18" s="115"/>
      <c r="Q18" s="115"/>
      <c r="R18" s="115"/>
      <c r="S18" s="115"/>
      <c r="T18" s="115"/>
      <c r="U18" s="114"/>
      <c r="V18" s="114"/>
      <c r="W18" s="169">
        <f t="shared" si="7"/>
        <v>0</v>
      </c>
      <c r="Y18" s="67"/>
      <c r="Z18" s="15"/>
      <c r="AA18" s="66" t="s">
        <v>558</v>
      </c>
      <c r="AB18" s="60">
        <v>1.0</v>
      </c>
      <c r="AC18" s="67"/>
      <c r="AD18" s="67">
        <v>1.0</v>
      </c>
      <c r="AE18" s="67"/>
      <c r="AF18" s="67"/>
      <c r="AG18" s="58">
        <f t="shared" si="11"/>
        <v>1</v>
      </c>
      <c r="AH18" s="67"/>
      <c r="AI18" s="67"/>
      <c r="AJ18" s="67"/>
      <c r="AK18" s="67"/>
      <c r="AL18" s="67"/>
      <c r="AM18" s="67"/>
      <c r="AN18" s="60"/>
      <c r="AO18" s="60"/>
    </row>
    <row r="19" ht="14.25" customHeight="1">
      <c r="A19" s="15"/>
      <c r="B19" s="15"/>
      <c r="C19" s="66" t="s">
        <v>445</v>
      </c>
      <c r="D19" s="185"/>
      <c r="E19" s="185"/>
      <c r="F19" s="185"/>
      <c r="G19" s="186"/>
      <c r="H19" s="181">
        <f t="shared" si="9"/>
        <v>0</v>
      </c>
      <c r="I19" s="186"/>
      <c r="J19" s="186"/>
      <c r="K19" s="186"/>
      <c r="L19" s="186"/>
      <c r="M19" s="181"/>
      <c r="N19" s="181">
        <f t="shared" si="10"/>
        <v>0</v>
      </c>
      <c r="O19" s="115"/>
      <c r="P19" s="115"/>
      <c r="Q19" s="115"/>
      <c r="R19" s="115"/>
      <c r="S19" s="115"/>
      <c r="T19" s="115"/>
      <c r="U19" s="114"/>
      <c r="V19" s="114"/>
      <c r="W19" s="169">
        <f t="shared" si="7"/>
        <v>0</v>
      </c>
      <c r="Y19" s="67"/>
      <c r="Z19" s="15"/>
      <c r="AA19" s="66" t="s">
        <v>445</v>
      </c>
      <c r="AB19" s="60"/>
      <c r="AC19" s="67"/>
      <c r="AD19" s="67"/>
      <c r="AE19" s="67"/>
      <c r="AF19" s="67"/>
      <c r="AG19" s="58">
        <f t="shared" si="11"/>
        <v>0</v>
      </c>
      <c r="AH19" s="67"/>
      <c r="AI19" s="67"/>
      <c r="AJ19" s="67"/>
      <c r="AK19" s="67"/>
      <c r="AL19" s="67"/>
      <c r="AM19" s="67"/>
      <c r="AN19" s="60"/>
      <c r="AO19" s="60"/>
    </row>
    <row r="20" ht="14.25" customHeight="1">
      <c r="A20" s="22"/>
      <c r="B20" s="22"/>
      <c r="C20" s="131" t="s">
        <v>484</v>
      </c>
      <c r="D20" s="185"/>
      <c r="E20" s="185"/>
      <c r="F20" s="185">
        <v>1.0</v>
      </c>
      <c r="G20" s="186"/>
      <c r="H20" s="181">
        <f t="shared" si="9"/>
        <v>1</v>
      </c>
      <c r="I20" s="186">
        <v>1.0</v>
      </c>
      <c r="J20" s="186"/>
      <c r="K20" s="186"/>
      <c r="L20" s="186">
        <v>1.0</v>
      </c>
      <c r="M20" s="181"/>
      <c r="N20" s="181">
        <f t="shared" si="10"/>
        <v>1</v>
      </c>
      <c r="O20" s="115"/>
      <c r="P20" s="115"/>
      <c r="Q20" s="188">
        <v>2466625.0</v>
      </c>
      <c r="R20" s="115"/>
      <c r="S20" s="115"/>
      <c r="T20" s="115"/>
      <c r="U20" s="114"/>
      <c r="V20" s="114"/>
      <c r="W20" s="169">
        <f t="shared" si="7"/>
        <v>0</v>
      </c>
      <c r="Y20" s="67"/>
      <c r="Z20" s="22"/>
      <c r="AA20" s="197" t="s">
        <v>282</v>
      </c>
      <c r="AB20" s="189">
        <v>1.0</v>
      </c>
      <c r="AC20" s="67"/>
      <c r="AD20" s="67"/>
      <c r="AE20" s="67"/>
      <c r="AF20" s="67">
        <v>1.0</v>
      </c>
      <c r="AG20" s="58">
        <f t="shared" si="11"/>
        <v>1</v>
      </c>
      <c r="AH20" s="67"/>
      <c r="AI20" s="67"/>
      <c r="AJ20" s="190">
        <v>2466625.0</v>
      </c>
      <c r="AK20" s="67"/>
      <c r="AL20" s="67"/>
      <c r="AM20" s="67"/>
      <c r="AN20" s="60"/>
      <c r="AO20" s="60"/>
    </row>
    <row r="21" ht="14.25" customHeight="1">
      <c r="A21" s="65">
        <v>6.0</v>
      </c>
      <c r="B21" s="102" t="s">
        <v>488</v>
      </c>
      <c r="C21" s="66" t="s">
        <v>368</v>
      </c>
      <c r="D21" s="185"/>
      <c r="E21" s="185"/>
      <c r="F21" s="185"/>
      <c r="G21" s="186"/>
      <c r="H21" s="181">
        <f t="shared" si="9"/>
        <v>0</v>
      </c>
      <c r="I21" s="186"/>
      <c r="J21" s="186"/>
      <c r="K21" s="186"/>
      <c r="L21" s="186"/>
      <c r="M21" s="181"/>
      <c r="N21" s="181">
        <f t="shared" si="10"/>
        <v>0</v>
      </c>
      <c r="O21" s="115"/>
      <c r="P21" s="115"/>
      <c r="Q21" s="115"/>
      <c r="R21" s="115"/>
      <c r="S21" s="115"/>
      <c r="T21" s="115"/>
      <c r="U21" s="114"/>
      <c r="V21" s="114"/>
      <c r="W21" s="169">
        <f t="shared" si="7"/>
        <v>0</v>
      </c>
      <c r="Y21" s="65">
        <v>6.0</v>
      </c>
      <c r="Z21" s="102" t="s">
        <v>488</v>
      </c>
      <c r="AA21" s="66" t="s">
        <v>368</v>
      </c>
      <c r="AB21" s="60"/>
      <c r="AC21" s="67"/>
      <c r="AD21" s="67"/>
      <c r="AE21" s="67"/>
      <c r="AF21" s="67"/>
      <c r="AG21" s="58">
        <f t="shared" si="11"/>
        <v>0</v>
      </c>
      <c r="AH21" s="67"/>
      <c r="AI21" s="67"/>
      <c r="AJ21" s="67"/>
      <c r="AK21" s="67"/>
      <c r="AL21" s="67"/>
      <c r="AM21" s="67"/>
      <c r="AN21" s="60"/>
      <c r="AO21" s="60"/>
    </row>
    <row r="22" ht="14.25" customHeight="1">
      <c r="A22" s="179">
        <v>7.0</v>
      </c>
      <c r="B22" s="84" t="s">
        <v>451</v>
      </c>
      <c r="C22" s="66" t="s">
        <v>452</v>
      </c>
      <c r="D22" s="185">
        <v>1.0</v>
      </c>
      <c r="E22" s="185">
        <v>1.0</v>
      </c>
      <c r="F22" s="185">
        <v>1.0</v>
      </c>
      <c r="G22" s="186"/>
      <c r="H22" s="181">
        <f t="shared" si="9"/>
        <v>3</v>
      </c>
      <c r="I22" s="186" t="s">
        <v>609</v>
      </c>
      <c r="J22" s="186">
        <v>1.0</v>
      </c>
      <c r="K22" s="186">
        <v>1.0</v>
      </c>
      <c r="L22" s="186">
        <v>1.0</v>
      </c>
      <c r="M22" s="181"/>
      <c r="N22" s="181">
        <f t="shared" si="10"/>
        <v>3</v>
      </c>
      <c r="O22" s="115"/>
      <c r="P22" s="115"/>
      <c r="Q22" s="188">
        <v>3365375.0</v>
      </c>
      <c r="R22" s="115"/>
      <c r="S22" s="115"/>
      <c r="T22" s="115"/>
      <c r="U22" s="114"/>
      <c r="V22" s="114"/>
      <c r="W22" s="169">
        <f t="shared" si="7"/>
        <v>0</v>
      </c>
      <c r="Y22" s="65">
        <v>7.0</v>
      </c>
      <c r="Z22" s="84" t="s">
        <v>451</v>
      </c>
      <c r="AA22" s="66" t="s">
        <v>452</v>
      </c>
      <c r="AB22" s="60">
        <v>3.0</v>
      </c>
      <c r="AC22" s="67"/>
      <c r="AD22" s="67">
        <v>2.0</v>
      </c>
      <c r="AE22" s="67"/>
      <c r="AF22" s="67">
        <v>1.0</v>
      </c>
      <c r="AG22" s="58">
        <f t="shared" si="11"/>
        <v>3</v>
      </c>
      <c r="AH22" s="195"/>
      <c r="AI22" s="195"/>
      <c r="AJ22" s="190">
        <v>3365375.0</v>
      </c>
      <c r="AK22" s="195"/>
      <c r="AL22" s="195"/>
      <c r="AM22" s="195"/>
      <c r="AN22" s="60"/>
      <c r="AO22" s="60"/>
    </row>
    <row r="23" ht="14.25" customHeight="1">
      <c r="A23" s="22"/>
      <c r="B23" s="22"/>
      <c r="C23" s="66" t="s">
        <v>453</v>
      </c>
      <c r="D23" s="185"/>
      <c r="E23" s="185"/>
      <c r="F23" s="185">
        <v>2.0</v>
      </c>
      <c r="G23" s="186"/>
      <c r="H23" s="181">
        <f t="shared" si="9"/>
        <v>2</v>
      </c>
      <c r="I23" s="186" t="s">
        <v>603</v>
      </c>
      <c r="J23" s="186"/>
      <c r="K23" s="186"/>
      <c r="L23" s="186">
        <v>2.0</v>
      </c>
      <c r="M23" s="181"/>
      <c r="N23" s="181">
        <f t="shared" si="10"/>
        <v>2</v>
      </c>
      <c r="O23" s="115"/>
      <c r="P23" s="115"/>
      <c r="Q23" s="115"/>
      <c r="R23" s="115"/>
      <c r="S23" s="115"/>
      <c r="T23" s="115"/>
      <c r="U23" s="114"/>
      <c r="V23" s="114"/>
      <c r="W23" s="169">
        <f t="shared" si="7"/>
        <v>0</v>
      </c>
      <c r="Y23" s="67"/>
      <c r="Z23" s="22"/>
      <c r="AA23" s="66" t="s">
        <v>453</v>
      </c>
      <c r="AB23" s="60">
        <v>1.0</v>
      </c>
      <c r="AC23" s="67"/>
      <c r="AD23" s="67"/>
      <c r="AE23" s="67">
        <v>1.0</v>
      </c>
      <c r="AF23" s="67"/>
      <c r="AG23" s="58">
        <f t="shared" si="11"/>
        <v>1</v>
      </c>
      <c r="AH23" s="195"/>
      <c r="AI23" s="195"/>
      <c r="AJ23" s="195"/>
      <c r="AK23" s="195"/>
      <c r="AL23" s="195"/>
      <c r="AM23" s="195"/>
      <c r="AN23" s="60"/>
      <c r="AO23" s="60"/>
    </row>
    <row r="24" ht="14.25" customHeight="1">
      <c r="A24" s="179">
        <v>8.0</v>
      </c>
      <c r="B24" s="84" t="s">
        <v>455</v>
      </c>
      <c r="C24" s="121" t="s">
        <v>610</v>
      </c>
      <c r="D24" s="198">
        <v>2.0</v>
      </c>
      <c r="E24" s="180"/>
      <c r="F24" s="198">
        <v>2.0</v>
      </c>
      <c r="G24" s="199"/>
      <c r="H24" s="192">
        <f t="shared" si="9"/>
        <v>4</v>
      </c>
      <c r="I24" s="181">
        <v>1.0</v>
      </c>
      <c r="J24" s="193">
        <v>2.0</v>
      </c>
      <c r="K24" s="200"/>
      <c r="L24" s="193">
        <v>2.0</v>
      </c>
      <c r="M24" s="181"/>
      <c r="N24" s="192">
        <f t="shared" si="10"/>
        <v>4</v>
      </c>
      <c r="O24" s="105"/>
      <c r="P24" s="105"/>
      <c r="Q24" s="108">
        <v>4844500.0</v>
      </c>
      <c r="R24" s="105"/>
      <c r="S24" s="105"/>
      <c r="T24" s="105"/>
      <c r="U24" s="202"/>
      <c r="V24" s="202"/>
      <c r="W24" s="169">
        <f t="shared" si="7"/>
        <v>0</v>
      </c>
      <c r="Y24" s="65">
        <v>8.0</v>
      </c>
      <c r="Z24" s="84" t="s">
        <v>455</v>
      </c>
      <c r="AA24" s="121" t="s">
        <v>612</v>
      </c>
      <c r="AB24" s="189">
        <v>4.0</v>
      </c>
      <c r="AC24" s="119"/>
      <c r="AD24" s="58">
        <v>2.0</v>
      </c>
      <c r="AE24" s="56"/>
      <c r="AF24" s="58">
        <v>2.0</v>
      </c>
      <c r="AG24" s="58">
        <f t="shared" si="11"/>
        <v>4</v>
      </c>
      <c r="AH24" s="203"/>
      <c r="AI24" s="203"/>
      <c r="AJ24" s="204">
        <v>4844500.0</v>
      </c>
      <c r="AK24" s="203"/>
      <c r="AL24" s="203"/>
      <c r="AM24" s="203"/>
      <c r="AN24" s="119"/>
      <c r="AO24" s="119"/>
    </row>
    <row r="25" ht="14.25" customHeight="1">
      <c r="A25" s="22"/>
      <c r="B25" s="22"/>
      <c r="C25" s="121" t="s">
        <v>613</v>
      </c>
      <c r="D25" s="22"/>
      <c r="E25" s="186"/>
      <c r="F25" s="22"/>
      <c r="G25" s="205"/>
      <c r="H25" s="22"/>
      <c r="I25" s="186">
        <v>2.0</v>
      </c>
      <c r="J25" s="22"/>
      <c r="K25" s="206"/>
      <c r="L25" s="22"/>
      <c r="M25" s="181"/>
      <c r="N25" s="22"/>
      <c r="O25" s="207"/>
      <c r="P25" s="207"/>
      <c r="Q25" s="207"/>
      <c r="R25" s="207"/>
      <c r="S25" s="207"/>
      <c r="T25" s="207"/>
      <c r="U25" s="207"/>
      <c r="V25" s="207"/>
      <c r="W25" s="169">
        <f t="shared" si="7"/>
        <v>0</v>
      </c>
      <c r="Y25" s="65"/>
      <c r="Z25" s="22"/>
      <c r="AA25" s="121" t="s">
        <v>614</v>
      </c>
      <c r="AB25" s="121"/>
      <c r="AC25" s="121"/>
      <c r="AD25" s="67"/>
      <c r="AE25" s="65"/>
      <c r="AF25" s="65"/>
      <c r="AG25" s="58">
        <f t="shared" si="11"/>
        <v>0</v>
      </c>
      <c r="AH25" s="121"/>
      <c r="AI25" s="121"/>
      <c r="AJ25" s="121"/>
      <c r="AK25" s="121"/>
      <c r="AL25" s="121"/>
      <c r="AM25" s="121"/>
      <c r="AN25" s="121"/>
      <c r="AO25" s="121"/>
    </row>
    <row r="26" ht="14.25" customHeight="1">
      <c r="A26" s="65">
        <v>9.0</v>
      </c>
      <c r="B26" s="102" t="s">
        <v>465</v>
      </c>
      <c r="C26" s="121" t="s">
        <v>615</v>
      </c>
      <c r="D26" s="186">
        <v>1.0</v>
      </c>
      <c r="E26" s="186"/>
      <c r="F26" s="186">
        <v>2.0</v>
      </c>
      <c r="G26" s="205"/>
      <c r="H26" s="181">
        <f t="shared" ref="H26:H27" si="12">SUM(D26:G26)</f>
        <v>3</v>
      </c>
      <c r="I26" s="186">
        <v>1.0</v>
      </c>
      <c r="J26" s="186">
        <v>1.0</v>
      </c>
      <c r="K26" s="206"/>
      <c r="L26" s="186">
        <v>1.0</v>
      </c>
      <c r="M26" s="181"/>
      <c r="N26" s="181">
        <f t="shared" ref="N26:N28" si="13">SUM(J26:M26)</f>
        <v>2</v>
      </c>
      <c r="O26" s="115"/>
      <c r="P26" s="115"/>
      <c r="Q26" s="188">
        <v>3352875.0</v>
      </c>
      <c r="R26" s="115"/>
      <c r="S26" s="115"/>
      <c r="T26" s="115"/>
      <c r="U26" s="207"/>
      <c r="V26" s="207"/>
      <c r="W26" s="169">
        <f t="shared" si="7"/>
        <v>1</v>
      </c>
      <c r="Y26" s="65">
        <v>9.0</v>
      </c>
      <c r="Z26" s="102" t="s">
        <v>465</v>
      </c>
      <c r="AA26" s="121" t="s">
        <v>615</v>
      </c>
      <c r="AB26" s="67">
        <v>2.0</v>
      </c>
      <c r="AC26" s="121"/>
      <c r="AD26" s="67">
        <v>1.0</v>
      </c>
      <c r="AE26" s="65"/>
      <c r="AF26" s="67">
        <v>1.0</v>
      </c>
      <c r="AG26" s="58">
        <f t="shared" si="11"/>
        <v>2</v>
      </c>
      <c r="AH26" s="195"/>
      <c r="AI26" s="195"/>
      <c r="AJ26" s="190">
        <v>3352875.0</v>
      </c>
      <c r="AK26" s="195"/>
      <c r="AL26" s="195"/>
      <c r="AM26" s="195"/>
      <c r="AN26" s="121"/>
      <c r="AO26" s="121"/>
    </row>
    <row r="27" ht="14.25" customHeight="1">
      <c r="A27" s="179">
        <v>10.0</v>
      </c>
      <c r="B27" s="84" t="s">
        <v>479</v>
      </c>
      <c r="C27" s="121" t="s">
        <v>617</v>
      </c>
      <c r="D27" s="192">
        <v>3.0</v>
      </c>
      <c r="E27" s="192"/>
      <c r="F27" s="192">
        <v>4.0</v>
      </c>
      <c r="G27" s="208"/>
      <c r="H27" s="193">
        <f t="shared" si="12"/>
        <v>7</v>
      </c>
      <c r="I27" s="192">
        <v>2.0</v>
      </c>
      <c r="J27" s="192">
        <v>3.0</v>
      </c>
      <c r="K27" s="209"/>
      <c r="L27" s="192">
        <v>4.0</v>
      </c>
      <c r="M27" s="193"/>
      <c r="N27" s="181">
        <f t="shared" si="13"/>
        <v>7</v>
      </c>
      <c r="O27" s="115"/>
      <c r="P27" s="115"/>
      <c r="Q27" s="188">
        <v>1.02286E7</v>
      </c>
      <c r="R27" s="115"/>
      <c r="S27" s="115"/>
      <c r="T27" s="115"/>
      <c r="U27" s="207"/>
      <c r="V27" s="207"/>
      <c r="W27" s="169">
        <f t="shared" si="7"/>
        <v>0</v>
      </c>
      <c r="Y27" s="65">
        <v>10.0</v>
      </c>
      <c r="Z27" s="84" t="s">
        <v>479</v>
      </c>
      <c r="AA27" s="121" t="s">
        <v>618</v>
      </c>
      <c r="AB27" s="67">
        <v>7.0</v>
      </c>
      <c r="AC27" s="121"/>
      <c r="AD27" s="67">
        <v>3.0</v>
      </c>
      <c r="AE27" s="65"/>
      <c r="AF27" s="67">
        <v>4.0</v>
      </c>
      <c r="AG27" s="58">
        <f t="shared" si="11"/>
        <v>7</v>
      </c>
      <c r="AH27" s="195"/>
      <c r="AI27" s="195"/>
      <c r="AJ27" s="190">
        <v>1.02286E7</v>
      </c>
      <c r="AK27" s="195"/>
      <c r="AL27" s="195"/>
      <c r="AM27" s="195"/>
      <c r="AN27" s="121"/>
      <c r="AO27" s="121"/>
    </row>
    <row r="28" ht="14.25" customHeight="1">
      <c r="A28" s="22"/>
      <c r="B28" s="22"/>
      <c r="C28" s="121" t="s">
        <v>619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181">
        <f t="shared" si="13"/>
        <v>0</v>
      </c>
      <c r="O28" s="207"/>
      <c r="P28" s="207"/>
      <c r="Q28" s="207"/>
      <c r="R28" s="207"/>
      <c r="S28" s="207"/>
      <c r="T28" s="207"/>
      <c r="U28" s="207"/>
      <c r="V28" s="207"/>
      <c r="W28" s="169">
        <f t="shared" si="7"/>
        <v>0</v>
      </c>
      <c r="Y28" s="65"/>
      <c r="Z28" s="22"/>
      <c r="AA28" s="121" t="s">
        <v>621</v>
      </c>
      <c r="AB28" s="121"/>
      <c r="AC28" s="121"/>
      <c r="AD28" s="65"/>
      <c r="AE28" s="65"/>
      <c r="AF28" s="65"/>
      <c r="AG28" s="58">
        <f t="shared" si="11"/>
        <v>0</v>
      </c>
      <c r="AH28" s="121"/>
      <c r="AI28" s="121"/>
      <c r="AJ28" s="121"/>
      <c r="AK28" s="121"/>
      <c r="AL28" s="121"/>
      <c r="AM28" s="121"/>
      <c r="AN28" s="121"/>
      <c r="AO28" s="121"/>
    </row>
    <row r="29" ht="14.25" customHeight="1">
      <c r="A29" s="179">
        <v>11.0</v>
      </c>
      <c r="B29" s="211" t="s">
        <v>491</v>
      </c>
      <c r="C29" s="212" t="s">
        <v>623</v>
      </c>
      <c r="D29" s="192">
        <v>1.0</v>
      </c>
      <c r="E29" s="192">
        <v>1.0</v>
      </c>
      <c r="F29" s="192"/>
      <c r="G29" s="208"/>
      <c r="H29" s="193">
        <f>SUM(D29:G39)</f>
        <v>8</v>
      </c>
      <c r="I29" s="192">
        <v>1.0</v>
      </c>
      <c r="J29" s="192"/>
      <c r="K29" s="192">
        <v>2.0</v>
      </c>
      <c r="L29" s="192"/>
      <c r="M29" s="208"/>
      <c r="N29" s="192">
        <f>SUM(J29:M39)</f>
        <v>8</v>
      </c>
      <c r="O29" s="207"/>
      <c r="P29" s="207"/>
      <c r="Q29" s="207"/>
      <c r="R29" s="207"/>
      <c r="S29" s="207"/>
      <c r="T29" s="207"/>
      <c r="U29" s="207"/>
      <c r="V29" s="207"/>
      <c r="W29" s="169">
        <f t="shared" si="7"/>
        <v>0</v>
      </c>
      <c r="Y29" s="65">
        <v>11.0</v>
      </c>
      <c r="Z29" s="211" t="s">
        <v>491</v>
      </c>
      <c r="AA29" s="121" t="s">
        <v>623</v>
      </c>
      <c r="AB29" s="67">
        <v>2.0</v>
      </c>
      <c r="AC29" s="121"/>
      <c r="AD29" s="65"/>
      <c r="AE29" s="67">
        <v>2.0</v>
      </c>
      <c r="AF29" s="65"/>
      <c r="AG29" s="58">
        <f t="shared" si="11"/>
        <v>2</v>
      </c>
      <c r="AH29" s="121"/>
      <c r="AI29" s="121"/>
      <c r="AJ29" s="121"/>
      <c r="AK29" s="121"/>
      <c r="AL29" s="121"/>
      <c r="AM29" s="121"/>
      <c r="AN29" s="121"/>
      <c r="AO29" s="121"/>
    </row>
    <row r="30" ht="14.25" customHeight="1">
      <c r="A30" s="15"/>
      <c r="B30" s="15"/>
      <c r="C30" s="212" t="s">
        <v>624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207"/>
      <c r="P30" s="207"/>
      <c r="Q30" s="207"/>
      <c r="R30" s="207"/>
      <c r="S30" s="207"/>
      <c r="T30" s="207"/>
      <c r="U30" s="207"/>
      <c r="V30" s="207"/>
      <c r="W30" s="169">
        <f t="shared" si="7"/>
        <v>0</v>
      </c>
      <c r="Y30" s="65"/>
      <c r="Z30" s="15"/>
      <c r="AA30" s="121" t="s">
        <v>625</v>
      </c>
      <c r="AB30" s="121"/>
      <c r="AC30" s="121"/>
      <c r="AD30" s="121"/>
      <c r="AE30" s="121"/>
      <c r="AF30" s="121"/>
      <c r="AG30" s="58">
        <f t="shared" si="11"/>
        <v>0</v>
      </c>
      <c r="AH30" s="121"/>
      <c r="AI30" s="121"/>
      <c r="AJ30" s="121"/>
      <c r="AK30" s="121"/>
      <c r="AL30" s="121"/>
      <c r="AM30" s="121"/>
      <c r="AN30" s="121"/>
      <c r="AO30" s="121"/>
    </row>
    <row r="31" ht="14.25" customHeight="1">
      <c r="A31" s="15"/>
      <c r="B31" s="15"/>
      <c r="C31" s="212" t="s">
        <v>626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207"/>
      <c r="P31" s="207"/>
      <c r="Q31" s="207"/>
      <c r="R31" s="207"/>
      <c r="S31" s="207"/>
      <c r="T31" s="207"/>
      <c r="U31" s="207"/>
      <c r="V31" s="207"/>
      <c r="W31" s="169">
        <f t="shared" si="7"/>
        <v>0</v>
      </c>
      <c r="Y31" s="65"/>
      <c r="Z31" s="15"/>
      <c r="AA31" s="121" t="s">
        <v>626</v>
      </c>
      <c r="AB31" s="121"/>
      <c r="AC31" s="121"/>
      <c r="AD31" s="121"/>
      <c r="AE31" s="121"/>
      <c r="AF31" s="121"/>
      <c r="AG31" s="58">
        <f t="shared" si="11"/>
        <v>0</v>
      </c>
      <c r="AH31" s="121"/>
      <c r="AI31" s="121"/>
      <c r="AJ31" s="121"/>
      <c r="AK31" s="121"/>
      <c r="AL31" s="121"/>
      <c r="AM31" s="121"/>
      <c r="AN31" s="121"/>
      <c r="AO31" s="121"/>
    </row>
    <row r="32" ht="14.25" customHeight="1">
      <c r="A32" s="15"/>
      <c r="B32" s="15"/>
      <c r="C32" s="212" t="s">
        <v>628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207"/>
      <c r="P32" s="207"/>
      <c r="Q32" s="207"/>
      <c r="R32" s="207"/>
      <c r="S32" s="207"/>
      <c r="T32" s="207"/>
      <c r="U32" s="207"/>
      <c r="V32" s="207"/>
      <c r="W32" s="169">
        <f t="shared" si="7"/>
        <v>0</v>
      </c>
      <c r="Y32" s="65"/>
      <c r="Z32" s="15"/>
      <c r="AA32" s="121" t="s">
        <v>629</v>
      </c>
      <c r="AB32" s="121"/>
      <c r="AC32" s="121"/>
      <c r="AD32" s="121"/>
      <c r="AE32" s="121"/>
      <c r="AF32" s="121"/>
      <c r="AG32" s="58">
        <f t="shared" si="11"/>
        <v>0</v>
      </c>
      <c r="AH32" s="121"/>
      <c r="AI32" s="121"/>
      <c r="AJ32" s="121"/>
      <c r="AK32" s="121"/>
      <c r="AL32" s="121"/>
      <c r="AM32" s="121"/>
      <c r="AN32" s="121"/>
      <c r="AO32" s="121"/>
    </row>
    <row r="33" ht="14.25" customHeight="1">
      <c r="A33" s="15"/>
      <c r="B33" s="15"/>
      <c r="C33" s="212" t="s">
        <v>630</v>
      </c>
      <c r="D33" s="15"/>
      <c r="E33" s="15"/>
      <c r="F33" s="15"/>
      <c r="G33" s="22"/>
      <c r="H33" s="15"/>
      <c r="I33" s="15"/>
      <c r="J33" s="15"/>
      <c r="K33" s="15"/>
      <c r="L33" s="15"/>
      <c r="M33" s="22"/>
      <c r="N33" s="15"/>
      <c r="O33" s="207"/>
      <c r="P33" s="207"/>
      <c r="Q33" s="207"/>
      <c r="R33" s="207"/>
      <c r="S33" s="207"/>
      <c r="T33" s="207"/>
      <c r="U33" s="207"/>
      <c r="V33" s="207"/>
      <c r="W33" s="169">
        <f t="shared" si="7"/>
        <v>0</v>
      </c>
      <c r="Y33" s="65"/>
      <c r="Z33" s="15"/>
      <c r="AA33" s="121" t="s">
        <v>632</v>
      </c>
      <c r="AB33" s="121"/>
      <c r="AC33" s="121"/>
      <c r="AD33" s="121"/>
      <c r="AE33" s="121"/>
      <c r="AF33" s="121"/>
      <c r="AG33" s="58">
        <f t="shared" si="11"/>
        <v>0</v>
      </c>
      <c r="AH33" s="121"/>
      <c r="AI33" s="121"/>
      <c r="AJ33" s="121"/>
      <c r="AK33" s="121"/>
      <c r="AL33" s="121"/>
      <c r="AM33" s="121"/>
      <c r="AN33" s="121"/>
      <c r="AO33" s="121"/>
    </row>
    <row r="34" ht="14.25" customHeight="1">
      <c r="A34" s="15"/>
      <c r="B34" s="15"/>
      <c r="C34" s="212" t="s">
        <v>633</v>
      </c>
      <c r="D34" s="15"/>
      <c r="E34" s="15"/>
      <c r="F34" s="15"/>
      <c r="G34" s="209">
        <v>6.0</v>
      </c>
      <c r="H34" s="15"/>
      <c r="I34" s="15"/>
      <c r="J34" s="15"/>
      <c r="K34" s="15"/>
      <c r="L34" s="15"/>
      <c r="M34" s="209">
        <v>6.0</v>
      </c>
      <c r="N34" s="15"/>
      <c r="O34" s="207"/>
      <c r="P34" s="207"/>
      <c r="Q34" s="207"/>
      <c r="R34" s="207"/>
      <c r="S34" s="207"/>
      <c r="T34" s="207"/>
      <c r="U34" s="207"/>
      <c r="V34" s="207"/>
      <c r="W34" s="169">
        <f t="shared" si="7"/>
        <v>0</v>
      </c>
      <c r="Y34" s="65"/>
      <c r="Z34" s="15"/>
      <c r="AA34" s="121" t="s">
        <v>634</v>
      </c>
      <c r="AB34" s="121"/>
      <c r="AC34" s="121"/>
      <c r="AD34" s="121"/>
      <c r="AE34" s="121"/>
      <c r="AF34" s="121"/>
      <c r="AG34" s="58">
        <f t="shared" si="11"/>
        <v>0</v>
      </c>
      <c r="AH34" s="121"/>
      <c r="AI34" s="121"/>
      <c r="AJ34" s="121"/>
      <c r="AK34" s="121"/>
      <c r="AL34" s="121"/>
      <c r="AM34" s="121"/>
      <c r="AN34" s="121"/>
      <c r="AO34" s="121"/>
    </row>
    <row r="35" ht="14.25" customHeight="1">
      <c r="A35" s="15"/>
      <c r="B35" s="15"/>
      <c r="C35" s="212" t="s">
        <v>635</v>
      </c>
      <c r="D35" s="15"/>
      <c r="E35" s="15"/>
      <c r="F35" s="15"/>
      <c r="G35" s="22"/>
      <c r="H35" s="15"/>
      <c r="I35" s="15"/>
      <c r="J35" s="15"/>
      <c r="K35" s="15"/>
      <c r="L35" s="15"/>
      <c r="M35" s="22"/>
      <c r="N35" s="15"/>
      <c r="O35" s="207"/>
      <c r="P35" s="207"/>
      <c r="Q35" s="207"/>
      <c r="R35" s="207"/>
      <c r="S35" s="207"/>
      <c r="T35" s="207"/>
      <c r="U35" s="207"/>
      <c r="V35" s="207"/>
      <c r="W35" s="169">
        <f t="shared" si="7"/>
        <v>0</v>
      </c>
      <c r="Y35" s="65"/>
      <c r="Z35" s="15"/>
      <c r="AA35" s="121" t="s">
        <v>635</v>
      </c>
      <c r="AB35" s="121"/>
      <c r="AC35" s="121"/>
      <c r="AD35" s="121"/>
      <c r="AE35" s="121"/>
      <c r="AF35" s="121"/>
      <c r="AG35" s="58">
        <f t="shared" si="11"/>
        <v>0</v>
      </c>
      <c r="AH35" s="121"/>
      <c r="AI35" s="121"/>
      <c r="AJ35" s="121"/>
      <c r="AK35" s="121"/>
      <c r="AL35" s="121"/>
      <c r="AM35" s="121"/>
      <c r="AN35" s="121"/>
      <c r="AO35" s="121"/>
    </row>
    <row r="36" ht="14.25" customHeight="1">
      <c r="A36" s="15"/>
      <c r="B36" s="15"/>
      <c r="C36" s="212" t="s">
        <v>637</v>
      </c>
      <c r="D36" s="15"/>
      <c r="E36" s="15"/>
      <c r="F36" s="15"/>
      <c r="G36" s="208"/>
      <c r="H36" s="15"/>
      <c r="I36" s="15"/>
      <c r="J36" s="15"/>
      <c r="K36" s="15"/>
      <c r="L36" s="15"/>
      <c r="M36" s="208"/>
      <c r="N36" s="15"/>
      <c r="O36" s="207"/>
      <c r="P36" s="207"/>
      <c r="Q36" s="207"/>
      <c r="R36" s="207"/>
      <c r="S36" s="207"/>
      <c r="T36" s="207"/>
      <c r="U36" s="207"/>
      <c r="V36" s="207"/>
      <c r="W36" s="169">
        <f t="shared" si="7"/>
        <v>0</v>
      </c>
      <c r="Y36" s="65"/>
      <c r="Z36" s="15"/>
      <c r="AA36" s="121" t="s">
        <v>637</v>
      </c>
      <c r="AB36" s="121"/>
      <c r="AC36" s="121"/>
      <c r="AD36" s="121"/>
      <c r="AE36" s="121"/>
      <c r="AF36" s="121"/>
      <c r="AG36" s="58">
        <f t="shared" si="11"/>
        <v>0</v>
      </c>
      <c r="AH36" s="121"/>
      <c r="AI36" s="121"/>
      <c r="AJ36" s="121"/>
      <c r="AK36" s="121"/>
      <c r="AL36" s="121"/>
      <c r="AM36" s="121"/>
      <c r="AN36" s="121"/>
      <c r="AO36" s="121"/>
    </row>
    <row r="37" ht="14.25" customHeight="1">
      <c r="A37" s="15"/>
      <c r="B37" s="15"/>
      <c r="C37" s="212" t="s">
        <v>638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207"/>
      <c r="P37" s="207"/>
      <c r="Q37" s="207"/>
      <c r="R37" s="207"/>
      <c r="S37" s="207"/>
      <c r="T37" s="207"/>
      <c r="U37" s="207"/>
      <c r="V37" s="207"/>
      <c r="W37" s="169">
        <f t="shared" si="7"/>
        <v>0</v>
      </c>
      <c r="Y37" s="65"/>
      <c r="Z37" s="15"/>
      <c r="AA37" s="121" t="s">
        <v>639</v>
      </c>
      <c r="AB37" s="121"/>
      <c r="AC37" s="121"/>
      <c r="AD37" s="121"/>
      <c r="AE37" s="121"/>
      <c r="AF37" s="121"/>
      <c r="AG37" s="58">
        <f t="shared" si="11"/>
        <v>0</v>
      </c>
      <c r="AH37" s="121"/>
      <c r="AI37" s="121"/>
      <c r="AJ37" s="121"/>
      <c r="AK37" s="121"/>
      <c r="AL37" s="121"/>
      <c r="AM37" s="121"/>
      <c r="AN37" s="121"/>
      <c r="AO37" s="121"/>
    </row>
    <row r="38" ht="14.25" customHeight="1">
      <c r="A38" s="15"/>
      <c r="B38" s="15"/>
      <c r="C38" s="212" t="s">
        <v>640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207"/>
      <c r="P38" s="207"/>
      <c r="Q38" s="207"/>
      <c r="R38" s="207"/>
      <c r="S38" s="207"/>
      <c r="T38" s="207"/>
      <c r="U38" s="207"/>
      <c r="V38" s="207"/>
      <c r="W38" s="169">
        <f t="shared" si="7"/>
        <v>0</v>
      </c>
      <c r="Y38" s="65"/>
      <c r="Z38" s="15"/>
      <c r="AA38" s="121"/>
      <c r="AB38" s="121"/>
      <c r="AC38" s="121"/>
      <c r="AD38" s="121"/>
      <c r="AE38" s="121"/>
      <c r="AF38" s="121"/>
      <c r="AG38" s="58"/>
      <c r="AH38" s="121"/>
      <c r="AI38" s="121"/>
      <c r="AJ38" s="121"/>
      <c r="AK38" s="121"/>
      <c r="AL38" s="121"/>
      <c r="AM38" s="121"/>
      <c r="AN38" s="121"/>
      <c r="AO38" s="121"/>
    </row>
    <row r="39" ht="14.25" customHeight="1">
      <c r="A39" s="22"/>
      <c r="B39" s="22"/>
      <c r="C39" s="212" t="s">
        <v>641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07"/>
      <c r="P39" s="207"/>
      <c r="Q39" s="207"/>
      <c r="R39" s="207"/>
      <c r="S39" s="207"/>
      <c r="T39" s="207"/>
      <c r="U39" s="207"/>
      <c r="V39" s="207"/>
      <c r="W39" s="169">
        <f t="shared" si="7"/>
        <v>0</v>
      </c>
      <c r="Y39" s="65"/>
      <c r="Z39" s="22"/>
      <c r="AA39" s="121" t="s">
        <v>641</v>
      </c>
      <c r="AB39" s="121"/>
      <c r="AC39" s="121"/>
      <c r="AD39" s="121"/>
      <c r="AE39" s="121"/>
      <c r="AF39" s="121"/>
      <c r="AG39" s="58">
        <f>SUM(AD39:AF39)</f>
        <v>0</v>
      </c>
      <c r="AH39" s="121"/>
      <c r="AI39" s="121"/>
      <c r="AJ39" s="121"/>
      <c r="AK39" s="121"/>
      <c r="AL39" s="121"/>
      <c r="AM39" s="121"/>
      <c r="AN39" s="121"/>
      <c r="AO39" s="121"/>
    </row>
    <row r="40" ht="14.25" customHeight="1">
      <c r="D40" s="213">
        <f t="shared" ref="D40:H40" si="14">SUM(D6:D39)</f>
        <v>12</v>
      </c>
      <c r="E40" s="213">
        <f t="shared" si="14"/>
        <v>2</v>
      </c>
      <c r="F40" s="213">
        <f t="shared" si="14"/>
        <v>24</v>
      </c>
      <c r="G40" s="213">
        <f t="shared" si="14"/>
        <v>6</v>
      </c>
      <c r="H40" s="213">
        <f t="shared" si="14"/>
        <v>44</v>
      </c>
      <c r="J40" s="213">
        <f t="shared" ref="J40:N40" si="15">SUM(J6:J39)</f>
        <v>11</v>
      </c>
      <c r="K40" s="213">
        <f t="shared" si="15"/>
        <v>3</v>
      </c>
      <c r="L40" s="213">
        <f t="shared" si="15"/>
        <v>23</v>
      </c>
      <c r="M40" s="213">
        <f t="shared" si="15"/>
        <v>6</v>
      </c>
      <c r="N40" s="213">
        <f t="shared" si="15"/>
        <v>43</v>
      </c>
      <c r="O40" s="214">
        <f>SUM(O6:O29)</f>
        <v>0</v>
      </c>
      <c r="P40" s="214"/>
      <c r="Q40" s="214"/>
      <c r="R40" s="214">
        <f t="shared" ref="R40:T40" si="16">SUM(R6:R29)</f>
        <v>0</v>
      </c>
      <c r="S40" s="214">
        <f t="shared" si="16"/>
        <v>0</v>
      </c>
      <c r="T40" s="214">
        <f t="shared" si="16"/>
        <v>0</v>
      </c>
      <c r="W40" s="213">
        <f>SUM(W6:W37)</f>
        <v>1</v>
      </c>
      <c r="AB40" s="201">
        <f>SUM(AB6:AB37)</f>
        <v>32</v>
      </c>
      <c r="AD40" s="125">
        <f t="shared" ref="AD40:AG40" si="17">SUM(AD6:AD37)</f>
        <v>12</v>
      </c>
      <c r="AE40" s="125">
        <f t="shared" si="17"/>
        <v>4</v>
      </c>
      <c r="AF40" s="201">
        <f t="shared" si="17"/>
        <v>16</v>
      </c>
      <c r="AG40" s="201">
        <f t="shared" si="17"/>
        <v>32</v>
      </c>
      <c r="AH40" s="214">
        <f>SUM(AH6:AH29)</f>
        <v>0</v>
      </c>
      <c r="AI40" s="214"/>
      <c r="AJ40" s="214"/>
      <c r="AK40" s="214">
        <f t="shared" ref="AK40:AM40" si="18">SUM(AK6:AK29)</f>
        <v>0</v>
      </c>
      <c r="AL40" s="214">
        <f t="shared" si="18"/>
        <v>0</v>
      </c>
      <c r="AM40" s="214">
        <f t="shared" si="18"/>
        <v>0</v>
      </c>
    </row>
    <row r="41" ht="14.25" customHeight="1">
      <c r="D41" s="24"/>
      <c r="E41" s="24"/>
      <c r="F41" s="24"/>
      <c r="L41" s="201"/>
      <c r="M41" s="194"/>
      <c r="N41" s="194"/>
      <c r="AB41" s="24" t="s">
        <v>644</v>
      </c>
      <c r="AF41" s="201">
        <f>AB40-AG40</f>
        <v>0</v>
      </c>
      <c r="AG41" s="194">
        <f>AG40/AB40</f>
        <v>1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I27:I28"/>
    <mergeCell ref="J27:J28"/>
    <mergeCell ref="K27:K28"/>
    <mergeCell ref="L27:L28"/>
    <mergeCell ref="M27:M28"/>
    <mergeCell ref="A27:A28"/>
    <mergeCell ref="B27:B28"/>
    <mergeCell ref="D27:D28"/>
    <mergeCell ref="E27:E28"/>
    <mergeCell ref="F27:F28"/>
    <mergeCell ref="G27:G28"/>
    <mergeCell ref="H27:H28"/>
    <mergeCell ref="A17:A20"/>
    <mergeCell ref="B17:B20"/>
    <mergeCell ref="A22:A23"/>
    <mergeCell ref="B22:B23"/>
    <mergeCell ref="A24:A25"/>
    <mergeCell ref="B24:B25"/>
    <mergeCell ref="D24:D25"/>
    <mergeCell ref="G34:G35"/>
    <mergeCell ref="G36:G39"/>
    <mergeCell ref="A29:A39"/>
    <mergeCell ref="B29:B39"/>
    <mergeCell ref="D29:D39"/>
    <mergeCell ref="E29:E39"/>
    <mergeCell ref="F29:F39"/>
    <mergeCell ref="G29:G33"/>
    <mergeCell ref="H29:H39"/>
    <mergeCell ref="M34:M35"/>
    <mergeCell ref="M36:M39"/>
    <mergeCell ref="I29:I39"/>
    <mergeCell ref="J29:J39"/>
    <mergeCell ref="K29:K39"/>
    <mergeCell ref="L29:L39"/>
    <mergeCell ref="M29:M33"/>
    <mergeCell ref="N29:N39"/>
    <mergeCell ref="Z29:Z39"/>
    <mergeCell ref="AC3:AC4"/>
    <mergeCell ref="AD3:AG3"/>
    <mergeCell ref="AH3:AJ3"/>
    <mergeCell ref="AK3:AM3"/>
    <mergeCell ref="AN3:AN4"/>
    <mergeCell ref="AO3:AO4"/>
    <mergeCell ref="A3:A4"/>
    <mergeCell ref="B3:B4"/>
    <mergeCell ref="C3:C4"/>
    <mergeCell ref="D3:H3"/>
    <mergeCell ref="I3:I4"/>
    <mergeCell ref="J3:N3"/>
    <mergeCell ref="O3:Q3"/>
    <mergeCell ref="Z6:Z8"/>
    <mergeCell ref="Z12:Z16"/>
    <mergeCell ref="Z17:Z20"/>
    <mergeCell ref="Z22:Z23"/>
    <mergeCell ref="Z24:Z25"/>
    <mergeCell ref="Z27:Z28"/>
    <mergeCell ref="R3:T3"/>
    <mergeCell ref="U3:U4"/>
    <mergeCell ref="V3:V4"/>
    <mergeCell ref="Y3:Y4"/>
    <mergeCell ref="Z3:Z4"/>
    <mergeCell ref="AA3:AA4"/>
    <mergeCell ref="AB3:AB4"/>
    <mergeCell ref="G13:G15"/>
    <mergeCell ref="H13:H15"/>
    <mergeCell ref="I13:I15"/>
    <mergeCell ref="J13:J15"/>
    <mergeCell ref="K13:K15"/>
    <mergeCell ref="L13:L15"/>
    <mergeCell ref="M13:M15"/>
    <mergeCell ref="N13:N15"/>
    <mergeCell ref="A6:A8"/>
    <mergeCell ref="B6:B8"/>
    <mergeCell ref="A12:A16"/>
    <mergeCell ref="B12:B16"/>
    <mergeCell ref="D13:D15"/>
    <mergeCell ref="E13:E15"/>
    <mergeCell ref="F13:F15"/>
    <mergeCell ref="F24:F25"/>
    <mergeCell ref="H24:H25"/>
    <mergeCell ref="J24:J25"/>
    <mergeCell ref="L24:L25"/>
    <mergeCell ref="N24:N25"/>
  </mergeCells>
  <printOptions/>
  <pageMargins bottom="0.75" footer="0.0" header="0.0" left="0.7" right="0.7" top="0.75"/>
  <pageSetup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 outlineLevelCol="1"/>
  <cols>
    <col customWidth="1" min="1" max="1" width="5.71"/>
    <col customWidth="1" min="2" max="2" width="22.0"/>
    <col customWidth="1" min="3" max="3" width="32.86"/>
    <col customWidth="1" min="4" max="4" width="7.71" outlineLevel="1"/>
    <col customWidth="1" min="5" max="6" width="8.14" outlineLevel="1"/>
    <col customWidth="1" min="7" max="7" width="8.43" outlineLevel="1"/>
    <col customWidth="1" min="8" max="9" width="8.29" outlineLevel="1"/>
    <col customWidth="1" min="10" max="10" width="8.29"/>
    <col customWidth="1" min="11" max="11" width="8.0"/>
    <col customWidth="1" min="12" max="12" width="7.71"/>
    <col customWidth="1" min="13" max="13" width="8.0"/>
    <col customWidth="1" min="14" max="14" width="7.71"/>
    <col customWidth="1" min="15" max="15" width="7.57"/>
    <col customWidth="1" min="16" max="16" width="8.57"/>
    <col customWidth="1" hidden="1" min="17" max="17" width="16.14"/>
    <col customWidth="1" hidden="1" min="18" max="18" width="15.0"/>
    <col customWidth="1" hidden="1" min="19" max="19" width="9.14"/>
    <col customWidth="1" hidden="1" min="20" max="20" width="14.57"/>
    <col customWidth="1" hidden="1" min="21" max="21" width="7.14"/>
    <col customWidth="1" hidden="1" min="22" max="22" width="8.43"/>
    <col customWidth="1" hidden="1" min="23" max="23" width="19.43"/>
    <col customWidth="1" hidden="1" min="24" max="24" width="9.14"/>
    <col customWidth="1" min="25" max="26" width="9.14"/>
  </cols>
  <sheetData>
    <row r="1" ht="14.25" customHeight="1">
      <c r="A1" s="24" t="s">
        <v>436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ht="14.25" customHeight="1">
      <c r="A2" s="24" t="s">
        <v>647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 ht="14.25" customHeight="1">
      <c r="A3" s="28" t="s">
        <v>84</v>
      </c>
      <c r="B3" s="28" t="s">
        <v>105</v>
      </c>
      <c r="C3" s="28" t="s">
        <v>109</v>
      </c>
      <c r="D3" s="30" t="s">
        <v>438</v>
      </c>
      <c r="E3" s="31"/>
      <c r="F3" s="31"/>
      <c r="G3" s="31"/>
      <c r="H3" s="31"/>
      <c r="I3" s="35"/>
      <c r="J3" s="39" t="s">
        <v>166</v>
      </c>
      <c r="K3" s="31"/>
      <c r="L3" s="31"/>
      <c r="M3" s="31"/>
      <c r="N3" s="31"/>
      <c r="O3" s="31"/>
      <c r="P3" s="35"/>
      <c r="Q3" s="39" t="s">
        <v>53</v>
      </c>
      <c r="R3" s="31"/>
      <c r="S3" s="35"/>
      <c r="T3" s="29" t="s">
        <v>171</v>
      </c>
      <c r="U3" s="29" t="s">
        <v>172</v>
      </c>
      <c r="V3" s="127"/>
      <c r="W3" s="127"/>
      <c r="X3" s="127"/>
      <c r="Y3" s="127"/>
      <c r="Z3" s="127"/>
    </row>
    <row r="4" ht="14.25" customHeight="1">
      <c r="A4" s="42"/>
      <c r="B4" s="42"/>
      <c r="C4" s="42"/>
      <c r="D4" s="98" t="s">
        <v>116</v>
      </c>
      <c r="E4" s="43" t="s">
        <v>199</v>
      </c>
      <c r="F4" s="43" t="s">
        <v>200</v>
      </c>
      <c r="G4" s="43" t="s">
        <v>441</v>
      </c>
      <c r="H4" s="98" t="s">
        <v>442</v>
      </c>
      <c r="I4" s="98" t="s">
        <v>203</v>
      </c>
      <c r="J4" s="43" t="s">
        <v>116</v>
      </c>
      <c r="K4" s="43" t="s">
        <v>199</v>
      </c>
      <c r="L4" s="43" t="s">
        <v>200</v>
      </c>
      <c r="M4" s="43" t="s">
        <v>441</v>
      </c>
      <c r="N4" s="98" t="s">
        <v>442</v>
      </c>
      <c r="O4" s="43" t="s">
        <v>648</v>
      </c>
      <c r="P4" s="43" t="s">
        <v>203</v>
      </c>
      <c r="Q4" s="43" t="s">
        <v>199</v>
      </c>
      <c r="R4" s="43" t="s">
        <v>200</v>
      </c>
      <c r="S4" s="43" t="s">
        <v>201</v>
      </c>
      <c r="T4" s="42"/>
      <c r="U4" s="42"/>
      <c r="V4" s="127" t="s">
        <v>649</v>
      </c>
      <c r="W4" s="127" t="s">
        <v>650</v>
      </c>
      <c r="X4" s="127"/>
      <c r="Y4" s="127"/>
      <c r="Z4" s="127"/>
    </row>
    <row r="5" ht="14.25" customHeight="1">
      <c r="A5" s="49" t="s">
        <v>218</v>
      </c>
      <c r="B5" s="50"/>
      <c r="C5" s="49"/>
      <c r="D5" s="51"/>
      <c r="E5" s="51">
        <f t="shared" ref="E5:I5" si="1">SUM(E6:E76)</f>
        <v>37</v>
      </c>
      <c r="F5" s="51">
        <f t="shared" si="1"/>
        <v>14</v>
      </c>
      <c r="G5" s="51">
        <f t="shared" si="1"/>
        <v>91</v>
      </c>
      <c r="H5" s="51">
        <f t="shared" si="1"/>
        <v>183</v>
      </c>
      <c r="I5" s="51">
        <f t="shared" si="1"/>
        <v>325</v>
      </c>
      <c r="J5" s="51"/>
      <c r="K5" s="51">
        <f t="shared" ref="K5:P5" si="2">SUM(K6:K76)</f>
        <v>36</v>
      </c>
      <c r="L5" s="51">
        <f t="shared" si="2"/>
        <v>9</v>
      </c>
      <c r="M5" s="51">
        <f t="shared" si="2"/>
        <v>71</v>
      </c>
      <c r="N5" s="51">
        <f t="shared" si="2"/>
        <v>97</v>
      </c>
      <c r="O5" s="51">
        <f t="shared" si="2"/>
        <v>33</v>
      </c>
      <c r="P5" s="51">
        <f t="shared" si="2"/>
        <v>246</v>
      </c>
      <c r="Q5" s="53"/>
      <c r="R5" s="53"/>
      <c r="S5" s="217"/>
      <c r="T5" s="51"/>
      <c r="U5" s="51"/>
      <c r="V5" s="127"/>
      <c r="W5" s="127"/>
      <c r="X5" s="127"/>
      <c r="Y5" s="127"/>
      <c r="Z5" s="127"/>
    </row>
    <row r="6" ht="14.25" hidden="1" customHeight="1">
      <c r="A6" s="218">
        <v>1.0</v>
      </c>
      <c r="B6" s="219" t="s">
        <v>264</v>
      </c>
      <c r="C6" s="220"/>
      <c r="D6" s="221">
        <v>1.0</v>
      </c>
      <c r="E6" s="221">
        <v>1.0</v>
      </c>
      <c r="F6" s="221"/>
      <c r="G6" s="221"/>
      <c r="H6" s="221"/>
      <c r="I6" s="60">
        <f t="shared" ref="I6:I76" si="3">SUM(E6:H6)</f>
        <v>1</v>
      </c>
      <c r="J6" s="221">
        <v>1.0</v>
      </c>
      <c r="K6" s="221"/>
      <c r="L6" s="221">
        <v>1.0</v>
      </c>
      <c r="M6" s="221"/>
      <c r="N6" s="221"/>
      <c r="O6" s="221"/>
      <c r="P6" s="222">
        <f t="shared" ref="P6:P76" si="4">SUM(K6:O6)</f>
        <v>1</v>
      </c>
      <c r="Q6" s="223"/>
      <c r="R6" s="223"/>
      <c r="S6" s="223"/>
      <c r="T6" s="224"/>
      <c r="U6" s="224"/>
      <c r="V6" s="127" t="str">
        <f t="shared" ref="V6:V19" si="5">#REF!-P6</f>
        <v>#REF!</v>
      </c>
      <c r="W6" s="127"/>
      <c r="X6" s="127"/>
      <c r="Y6" s="124">
        <f t="shared" ref="Y6:Y76" si="6">P6-I6</f>
        <v>0</v>
      </c>
      <c r="Z6" s="225">
        <f t="shared" ref="Z6:Z76" si="7">SUM(K6:L6)-SUM(E6:F6)</f>
        <v>0</v>
      </c>
    </row>
    <row r="7" ht="14.25" hidden="1" customHeight="1">
      <c r="A7" s="65">
        <v>2.0</v>
      </c>
      <c r="B7" s="66" t="s">
        <v>300</v>
      </c>
      <c r="C7" s="67"/>
      <c r="D7" s="226">
        <v>1.0</v>
      </c>
      <c r="E7" s="226">
        <v>1.0</v>
      </c>
      <c r="F7" s="226">
        <v>1.0</v>
      </c>
      <c r="G7" s="226"/>
      <c r="H7" s="226"/>
      <c r="I7" s="60">
        <f t="shared" si="3"/>
        <v>2</v>
      </c>
      <c r="J7" s="226">
        <v>1.0</v>
      </c>
      <c r="K7" s="226"/>
      <c r="L7" s="226">
        <v>2.0</v>
      </c>
      <c r="M7" s="226"/>
      <c r="N7" s="226"/>
      <c r="O7" s="226"/>
      <c r="P7" s="60">
        <f t="shared" si="4"/>
        <v>2</v>
      </c>
      <c r="Q7" s="227"/>
      <c r="R7" s="227"/>
      <c r="S7" s="227"/>
      <c r="T7" s="60"/>
      <c r="U7" s="60"/>
      <c r="V7" s="127" t="str">
        <f t="shared" si="5"/>
        <v>#REF!</v>
      </c>
      <c r="W7" s="127"/>
      <c r="X7" s="127"/>
      <c r="Y7" s="124">
        <f t="shared" si="6"/>
        <v>0</v>
      </c>
      <c r="Z7" s="225">
        <f t="shared" si="7"/>
        <v>0</v>
      </c>
    </row>
    <row r="8" ht="14.25" hidden="1" customHeight="1">
      <c r="A8" s="65">
        <v>3.0</v>
      </c>
      <c r="B8" s="84" t="s">
        <v>314</v>
      </c>
      <c r="C8" s="66" t="s">
        <v>316</v>
      </c>
      <c r="D8" s="226">
        <v>1.0</v>
      </c>
      <c r="E8" s="226">
        <v>1.0</v>
      </c>
      <c r="F8" s="226"/>
      <c r="G8" s="226"/>
      <c r="H8" s="226"/>
      <c r="I8" s="60">
        <f t="shared" si="3"/>
        <v>1</v>
      </c>
      <c r="J8" s="226">
        <v>1.0</v>
      </c>
      <c r="K8" s="226">
        <v>1.0</v>
      </c>
      <c r="L8" s="226"/>
      <c r="M8" s="226"/>
      <c r="N8" s="226"/>
      <c r="O8" s="226"/>
      <c r="P8" s="60">
        <f t="shared" si="4"/>
        <v>1</v>
      </c>
      <c r="Q8" s="227"/>
      <c r="R8" s="227"/>
      <c r="S8" s="227"/>
      <c r="T8" s="60"/>
      <c r="U8" s="60"/>
      <c r="V8" s="127" t="str">
        <f t="shared" si="5"/>
        <v>#REF!</v>
      </c>
      <c r="W8" s="127"/>
      <c r="X8" s="127"/>
      <c r="Y8" s="124">
        <f t="shared" si="6"/>
        <v>0</v>
      </c>
      <c r="Z8" s="225">
        <f t="shared" si="7"/>
        <v>0</v>
      </c>
    </row>
    <row r="9" ht="14.25" hidden="1" customHeight="1">
      <c r="A9" s="65"/>
      <c r="B9" s="118"/>
      <c r="C9" s="66" t="s">
        <v>331</v>
      </c>
      <c r="D9" s="226">
        <v>1.0</v>
      </c>
      <c r="E9" s="226"/>
      <c r="F9" s="226"/>
      <c r="G9" s="226">
        <v>1.0</v>
      </c>
      <c r="H9" s="226"/>
      <c r="I9" s="60">
        <f t="shared" si="3"/>
        <v>1</v>
      </c>
      <c r="J9" s="226">
        <v>1.0</v>
      </c>
      <c r="K9" s="226"/>
      <c r="L9" s="226"/>
      <c r="M9" s="226">
        <v>1.0</v>
      </c>
      <c r="N9" s="226"/>
      <c r="O9" s="226"/>
      <c r="P9" s="60">
        <f t="shared" si="4"/>
        <v>1</v>
      </c>
      <c r="Q9" s="227"/>
      <c r="R9" s="227"/>
      <c r="S9" s="227"/>
      <c r="T9" s="60"/>
      <c r="U9" s="60"/>
      <c r="V9" s="127" t="str">
        <f t="shared" si="5"/>
        <v>#REF!</v>
      </c>
      <c r="W9" s="127"/>
      <c r="X9" s="127"/>
      <c r="Y9" s="124">
        <f t="shared" si="6"/>
        <v>0</v>
      </c>
      <c r="Z9" s="225">
        <f t="shared" si="7"/>
        <v>0</v>
      </c>
    </row>
    <row r="10" ht="14.25" hidden="1" customHeight="1">
      <c r="A10" s="65"/>
      <c r="B10" s="118"/>
      <c r="C10" s="66" t="s">
        <v>341</v>
      </c>
      <c r="D10" s="226">
        <v>1.0</v>
      </c>
      <c r="E10" s="226"/>
      <c r="F10" s="226"/>
      <c r="G10" s="226">
        <v>1.0</v>
      </c>
      <c r="H10" s="226"/>
      <c r="I10" s="60">
        <f t="shared" si="3"/>
        <v>1</v>
      </c>
      <c r="J10" s="226">
        <v>1.0</v>
      </c>
      <c r="K10" s="226"/>
      <c r="L10" s="226"/>
      <c r="M10" s="226">
        <v>1.0</v>
      </c>
      <c r="N10" s="226"/>
      <c r="O10" s="226"/>
      <c r="P10" s="60">
        <f t="shared" si="4"/>
        <v>1</v>
      </c>
      <c r="Q10" s="227"/>
      <c r="R10" s="227"/>
      <c r="S10" s="227"/>
      <c r="T10" s="60"/>
      <c r="U10" s="60"/>
      <c r="V10" s="127" t="str">
        <f t="shared" si="5"/>
        <v>#REF!</v>
      </c>
      <c r="W10" s="127" t="s">
        <v>651</v>
      </c>
      <c r="X10" s="127"/>
      <c r="Y10" s="124">
        <f t="shared" si="6"/>
        <v>0</v>
      </c>
      <c r="Z10" s="225">
        <f t="shared" si="7"/>
        <v>0</v>
      </c>
    </row>
    <row r="11" ht="14.25" hidden="1" customHeight="1">
      <c r="A11" s="65"/>
      <c r="B11" s="119"/>
      <c r="C11" s="66" t="s">
        <v>349</v>
      </c>
      <c r="D11" s="226">
        <v>1.0</v>
      </c>
      <c r="E11" s="226">
        <v>1.0</v>
      </c>
      <c r="F11" s="226"/>
      <c r="G11" s="226"/>
      <c r="H11" s="226"/>
      <c r="I11" s="60">
        <f t="shared" si="3"/>
        <v>1</v>
      </c>
      <c r="J11" s="226">
        <v>1.0</v>
      </c>
      <c r="K11" s="226">
        <v>1.0</v>
      </c>
      <c r="L11" s="226"/>
      <c r="M11" s="226"/>
      <c r="N11" s="226"/>
      <c r="O11" s="226"/>
      <c r="P11" s="60">
        <f t="shared" si="4"/>
        <v>1</v>
      </c>
      <c r="Q11" s="227"/>
      <c r="R11" s="227"/>
      <c r="S11" s="227"/>
      <c r="T11" s="60"/>
      <c r="U11" s="60"/>
      <c r="V11" s="127" t="str">
        <f t="shared" si="5"/>
        <v>#REF!</v>
      </c>
      <c r="W11" s="127"/>
      <c r="X11" s="127"/>
      <c r="Y11" s="124">
        <f t="shared" si="6"/>
        <v>0</v>
      </c>
      <c r="Z11" s="225">
        <f t="shared" si="7"/>
        <v>0</v>
      </c>
    </row>
    <row r="12" ht="14.25" hidden="1" customHeight="1">
      <c r="A12" s="65">
        <v>2.0</v>
      </c>
      <c r="B12" s="66" t="s">
        <v>360</v>
      </c>
      <c r="C12" s="66" t="s">
        <v>360</v>
      </c>
      <c r="D12" s="226">
        <v>1.0</v>
      </c>
      <c r="E12" s="226"/>
      <c r="F12" s="226">
        <v>1.0</v>
      </c>
      <c r="G12" s="226"/>
      <c r="H12" s="226"/>
      <c r="I12" s="60">
        <f t="shared" si="3"/>
        <v>1</v>
      </c>
      <c r="J12" s="226">
        <v>1.0</v>
      </c>
      <c r="K12" s="226"/>
      <c r="L12" s="226">
        <v>1.0</v>
      </c>
      <c r="M12" s="226"/>
      <c r="N12" s="226"/>
      <c r="O12" s="226"/>
      <c r="P12" s="60">
        <f t="shared" si="4"/>
        <v>1</v>
      </c>
      <c r="Q12" s="227"/>
      <c r="R12" s="227"/>
      <c r="S12" s="227"/>
      <c r="T12" s="60"/>
      <c r="U12" s="60"/>
      <c r="V12" s="127" t="str">
        <f t="shared" si="5"/>
        <v>#REF!</v>
      </c>
      <c r="W12" s="127"/>
      <c r="X12" s="127"/>
      <c r="Y12" s="124">
        <f t="shared" si="6"/>
        <v>0</v>
      </c>
      <c r="Z12" s="225">
        <f t="shared" si="7"/>
        <v>0</v>
      </c>
    </row>
    <row r="13" ht="14.25" hidden="1" customHeight="1">
      <c r="A13" s="65">
        <v>3.0</v>
      </c>
      <c r="B13" s="66" t="s">
        <v>375</v>
      </c>
      <c r="C13" s="66" t="s">
        <v>511</v>
      </c>
      <c r="D13" s="226">
        <v>1.0</v>
      </c>
      <c r="E13" s="226"/>
      <c r="F13" s="226"/>
      <c r="G13" s="226">
        <v>1.0</v>
      </c>
      <c r="H13" s="226"/>
      <c r="I13" s="60">
        <f t="shared" si="3"/>
        <v>1</v>
      </c>
      <c r="J13" s="226"/>
      <c r="K13" s="226"/>
      <c r="L13" s="226"/>
      <c r="M13" s="226"/>
      <c r="N13" s="226"/>
      <c r="O13" s="226"/>
      <c r="P13" s="60">
        <f t="shared" si="4"/>
        <v>0</v>
      </c>
      <c r="Q13" s="227"/>
      <c r="R13" s="227"/>
      <c r="S13" s="227"/>
      <c r="T13" s="60"/>
      <c r="U13" s="60"/>
      <c r="V13" s="127" t="str">
        <f t="shared" si="5"/>
        <v>#REF!</v>
      </c>
      <c r="W13" s="127"/>
      <c r="X13" s="127"/>
      <c r="Y13" s="124">
        <f t="shared" si="6"/>
        <v>-1</v>
      </c>
      <c r="Z13" s="225">
        <f t="shared" si="7"/>
        <v>0</v>
      </c>
    </row>
    <row r="14" ht="14.25" hidden="1" customHeight="1">
      <c r="A14" s="65"/>
      <c r="B14" s="66"/>
      <c r="C14" s="66" t="s">
        <v>377</v>
      </c>
      <c r="D14" s="226">
        <v>1.0</v>
      </c>
      <c r="E14" s="226"/>
      <c r="F14" s="226"/>
      <c r="G14" s="226">
        <v>1.0</v>
      </c>
      <c r="H14" s="226"/>
      <c r="I14" s="60">
        <f t="shared" si="3"/>
        <v>1</v>
      </c>
      <c r="J14" s="226">
        <v>1.0</v>
      </c>
      <c r="K14" s="226"/>
      <c r="L14" s="226"/>
      <c r="M14" s="226">
        <v>1.0</v>
      </c>
      <c r="N14" s="226"/>
      <c r="O14" s="226"/>
      <c r="P14" s="60">
        <f t="shared" si="4"/>
        <v>1</v>
      </c>
      <c r="Q14" s="227"/>
      <c r="R14" s="227"/>
      <c r="S14" s="227"/>
      <c r="T14" s="60"/>
      <c r="U14" s="60"/>
      <c r="V14" s="127" t="str">
        <f t="shared" si="5"/>
        <v>#REF!</v>
      </c>
      <c r="W14" s="127"/>
      <c r="X14" s="127"/>
      <c r="Y14" s="124">
        <f t="shared" si="6"/>
        <v>0</v>
      </c>
      <c r="Z14" s="225">
        <f t="shared" si="7"/>
        <v>0</v>
      </c>
    </row>
    <row r="15" ht="14.25" hidden="1" customHeight="1">
      <c r="A15" s="65"/>
      <c r="B15" s="66"/>
      <c r="C15" s="66" t="s">
        <v>387</v>
      </c>
      <c r="D15" s="226">
        <v>1.0</v>
      </c>
      <c r="E15" s="226"/>
      <c r="F15" s="226"/>
      <c r="G15" s="226"/>
      <c r="H15" s="226"/>
      <c r="I15" s="60">
        <f t="shared" si="3"/>
        <v>0</v>
      </c>
      <c r="J15" s="226"/>
      <c r="K15" s="226"/>
      <c r="L15" s="226"/>
      <c r="M15" s="226"/>
      <c r="N15" s="226"/>
      <c r="O15" s="226"/>
      <c r="P15" s="60">
        <f t="shared" si="4"/>
        <v>0</v>
      </c>
      <c r="Q15" s="227"/>
      <c r="R15" s="227"/>
      <c r="S15" s="227"/>
      <c r="T15" s="60"/>
      <c r="U15" s="60"/>
      <c r="V15" s="127" t="str">
        <f t="shared" si="5"/>
        <v>#REF!</v>
      </c>
      <c r="W15" s="127"/>
      <c r="X15" s="127"/>
      <c r="Y15" s="124">
        <f t="shared" si="6"/>
        <v>0</v>
      </c>
      <c r="Z15" s="225">
        <f t="shared" si="7"/>
        <v>0</v>
      </c>
    </row>
    <row r="16" ht="14.25" hidden="1" customHeight="1">
      <c r="A16" s="65"/>
      <c r="B16" s="66"/>
      <c r="C16" s="66" t="s">
        <v>394</v>
      </c>
      <c r="D16" s="226">
        <v>1.0</v>
      </c>
      <c r="E16" s="226">
        <v>4.0</v>
      </c>
      <c r="F16" s="226">
        <v>1.0</v>
      </c>
      <c r="G16" s="226"/>
      <c r="H16" s="226"/>
      <c r="I16" s="60">
        <f t="shared" si="3"/>
        <v>5</v>
      </c>
      <c r="J16" s="226">
        <v>1.0</v>
      </c>
      <c r="K16" s="226">
        <v>4.0</v>
      </c>
      <c r="L16" s="226">
        <v>1.0</v>
      </c>
      <c r="M16" s="226"/>
      <c r="N16" s="226"/>
      <c r="O16" s="226"/>
      <c r="P16" s="60">
        <f t="shared" si="4"/>
        <v>5</v>
      </c>
      <c r="Q16" s="227"/>
      <c r="R16" s="227"/>
      <c r="S16" s="227"/>
      <c r="T16" s="60"/>
      <c r="U16" s="60"/>
      <c r="V16" s="127" t="str">
        <f t="shared" si="5"/>
        <v>#REF!</v>
      </c>
      <c r="W16" s="127"/>
      <c r="X16" s="127"/>
      <c r="Y16" s="124">
        <f t="shared" si="6"/>
        <v>0</v>
      </c>
      <c r="Z16" s="225">
        <f t="shared" si="7"/>
        <v>0</v>
      </c>
    </row>
    <row r="17" ht="14.25" hidden="1" customHeight="1">
      <c r="A17" s="65">
        <v>4.0</v>
      </c>
      <c r="B17" s="84" t="s">
        <v>405</v>
      </c>
      <c r="C17" s="66" t="s">
        <v>56</v>
      </c>
      <c r="D17" s="226">
        <v>1.0</v>
      </c>
      <c r="E17" s="226">
        <v>1.0</v>
      </c>
      <c r="F17" s="226"/>
      <c r="G17" s="226"/>
      <c r="H17" s="226"/>
      <c r="I17" s="60">
        <f t="shared" si="3"/>
        <v>1</v>
      </c>
      <c r="J17" s="226">
        <v>1.0</v>
      </c>
      <c r="K17" s="226">
        <v>1.0</v>
      </c>
      <c r="L17" s="226"/>
      <c r="M17" s="226"/>
      <c r="N17" s="226"/>
      <c r="O17" s="226"/>
      <c r="P17" s="60">
        <f t="shared" si="4"/>
        <v>1</v>
      </c>
      <c r="Q17" s="227"/>
      <c r="R17" s="227"/>
      <c r="S17" s="227"/>
      <c r="T17" s="60"/>
      <c r="U17" s="60"/>
      <c r="V17" s="127" t="str">
        <f t="shared" si="5"/>
        <v>#REF!</v>
      </c>
      <c r="W17" s="127"/>
      <c r="X17" s="127"/>
      <c r="Y17" s="124">
        <f t="shared" si="6"/>
        <v>0</v>
      </c>
      <c r="Z17" s="225">
        <f t="shared" si="7"/>
        <v>0</v>
      </c>
    </row>
    <row r="18" ht="14.25" hidden="1" customHeight="1">
      <c r="A18" s="65"/>
      <c r="B18" s="85"/>
      <c r="C18" s="66" t="s">
        <v>652</v>
      </c>
      <c r="D18" s="226">
        <v>1.0</v>
      </c>
      <c r="E18" s="226">
        <v>1.0</v>
      </c>
      <c r="F18" s="226"/>
      <c r="G18" s="226"/>
      <c r="H18" s="226"/>
      <c r="I18" s="60">
        <f t="shared" si="3"/>
        <v>1</v>
      </c>
      <c r="J18" s="226">
        <v>1.0</v>
      </c>
      <c r="K18" s="226">
        <v>1.0</v>
      </c>
      <c r="L18" s="226"/>
      <c r="M18" s="226"/>
      <c r="N18" s="226"/>
      <c r="O18" s="226"/>
      <c r="P18" s="60">
        <f t="shared" si="4"/>
        <v>1</v>
      </c>
      <c r="Q18" s="227"/>
      <c r="R18" s="227"/>
      <c r="S18" s="227"/>
      <c r="T18" s="60"/>
      <c r="U18" s="60"/>
      <c r="V18" s="127" t="str">
        <f t="shared" si="5"/>
        <v>#REF!</v>
      </c>
      <c r="W18" s="127"/>
      <c r="X18" s="127"/>
      <c r="Y18" s="124">
        <f t="shared" si="6"/>
        <v>0</v>
      </c>
      <c r="Z18" s="225">
        <f t="shared" si="7"/>
        <v>0</v>
      </c>
    </row>
    <row r="19" ht="14.25" hidden="1" customHeight="1">
      <c r="A19" s="65"/>
      <c r="B19" s="85"/>
      <c r="C19" s="66" t="s">
        <v>653</v>
      </c>
      <c r="D19" s="226">
        <v>1.0</v>
      </c>
      <c r="E19" s="226"/>
      <c r="F19" s="226"/>
      <c r="G19" s="226">
        <v>1.0</v>
      </c>
      <c r="H19" s="226"/>
      <c r="I19" s="60">
        <f t="shared" si="3"/>
        <v>1</v>
      </c>
      <c r="J19" s="226">
        <v>1.0</v>
      </c>
      <c r="K19" s="226"/>
      <c r="L19" s="226"/>
      <c r="M19" s="226">
        <v>1.0</v>
      </c>
      <c r="N19" s="226"/>
      <c r="O19" s="226"/>
      <c r="P19" s="60">
        <f t="shared" si="4"/>
        <v>1</v>
      </c>
      <c r="Q19" s="227"/>
      <c r="R19" s="227"/>
      <c r="S19" s="227"/>
      <c r="T19" s="60"/>
      <c r="U19" s="60"/>
      <c r="V19" s="127" t="str">
        <f t="shared" si="5"/>
        <v>#REF!</v>
      </c>
      <c r="W19" s="127"/>
      <c r="X19" s="127"/>
      <c r="Y19" s="124">
        <f t="shared" si="6"/>
        <v>0</v>
      </c>
      <c r="Z19" s="225">
        <f t="shared" si="7"/>
        <v>0</v>
      </c>
    </row>
    <row r="20" ht="14.25" hidden="1" customHeight="1">
      <c r="A20" s="65"/>
      <c r="B20" s="85"/>
      <c r="C20" s="66" t="s">
        <v>654</v>
      </c>
      <c r="D20" s="226">
        <v>2.0</v>
      </c>
      <c r="E20" s="226"/>
      <c r="F20" s="226"/>
      <c r="G20" s="226">
        <v>1.0</v>
      </c>
      <c r="H20" s="226">
        <v>1.0</v>
      </c>
      <c r="I20" s="60">
        <f t="shared" si="3"/>
        <v>2</v>
      </c>
      <c r="J20" s="226">
        <v>1.0</v>
      </c>
      <c r="K20" s="226"/>
      <c r="L20" s="226"/>
      <c r="M20" s="226">
        <v>1.0</v>
      </c>
      <c r="N20" s="226"/>
      <c r="O20" s="226"/>
      <c r="P20" s="60">
        <f t="shared" si="4"/>
        <v>1</v>
      </c>
      <c r="Q20" s="227"/>
      <c r="R20" s="227"/>
      <c r="S20" s="227"/>
      <c r="T20" s="60"/>
      <c r="U20" s="60"/>
      <c r="V20" s="127"/>
      <c r="W20" s="127"/>
      <c r="X20" s="127"/>
      <c r="Y20" s="124">
        <f t="shared" si="6"/>
        <v>-1</v>
      </c>
      <c r="Z20" s="225">
        <f t="shared" si="7"/>
        <v>0</v>
      </c>
    </row>
    <row r="21" ht="14.25" hidden="1" customHeight="1">
      <c r="A21" s="65"/>
      <c r="B21" s="85"/>
      <c r="C21" s="66" t="s">
        <v>655</v>
      </c>
      <c r="D21" s="226">
        <v>3.0</v>
      </c>
      <c r="E21" s="226"/>
      <c r="F21" s="226"/>
      <c r="G21" s="226">
        <v>6.0</v>
      </c>
      <c r="H21" s="226">
        <v>2.0</v>
      </c>
      <c r="I21" s="60">
        <f t="shared" si="3"/>
        <v>8</v>
      </c>
      <c r="J21" s="226">
        <v>2.0</v>
      </c>
      <c r="K21" s="226"/>
      <c r="L21" s="226"/>
      <c r="M21" s="226">
        <v>5.0</v>
      </c>
      <c r="N21" s="226"/>
      <c r="O21" s="226"/>
      <c r="P21" s="60">
        <f t="shared" si="4"/>
        <v>5</v>
      </c>
      <c r="Q21" s="227"/>
      <c r="R21" s="227"/>
      <c r="S21" s="227"/>
      <c r="T21" s="60"/>
      <c r="U21" s="60"/>
      <c r="V21" s="127"/>
      <c r="W21" s="127"/>
      <c r="X21" s="127"/>
      <c r="Y21" s="124">
        <f t="shared" si="6"/>
        <v>-3</v>
      </c>
      <c r="Z21" s="225">
        <f t="shared" si="7"/>
        <v>0</v>
      </c>
    </row>
    <row r="22" ht="14.25" hidden="1" customHeight="1">
      <c r="A22" s="65"/>
      <c r="B22" s="87"/>
      <c r="C22" s="66" t="s">
        <v>434</v>
      </c>
      <c r="D22" s="226">
        <v>3.0</v>
      </c>
      <c r="E22" s="226"/>
      <c r="F22" s="226"/>
      <c r="G22" s="226">
        <f>8+3</f>
        <v>11</v>
      </c>
      <c r="H22" s="226"/>
      <c r="I22" s="60">
        <f t="shared" si="3"/>
        <v>11</v>
      </c>
      <c r="J22" s="226">
        <v>3.0</v>
      </c>
      <c r="K22" s="226"/>
      <c r="L22" s="226"/>
      <c r="M22" s="226">
        <f>7+3</f>
        <v>10</v>
      </c>
      <c r="N22" s="226"/>
      <c r="O22" s="226"/>
      <c r="P22" s="60">
        <f t="shared" si="4"/>
        <v>10</v>
      </c>
      <c r="Q22" s="227"/>
      <c r="R22" s="227"/>
      <c r="S22" s="227"/>
      <c r="T22" s="60"/>
      <c r="U22" s="60"/>
      <c r="V22" s="127" t="str">
        <f t="shared" ref="V22:V23" si="8">#REF!-P22</f>
        <v>#REF!</v>
      </c>
      <c r="W22" s="127"/>
      <c r="X22" s="127"/>
      <c r="Y22" s="124">
        <f t="shared" si="6"/>
        <v>-1</v>
      </c>
      <c r="Z22" s="225">
        <f t="shared" si="7"/>
        <v>0</v>
      </c>
    </row>
    <row r="23" ht="14.25" customHeight="1">
      <c r="A23" s="65">
        <v>5.0</v>
      </c>
      <c r="B23" s="84" t="s">
        <v>65</v>
      </c>
      <c r="C23" s="66" t="s">
        <v>435</v>
      </c>
      <c r="D23" s="226">
        <v>2.0</v>
      </c>
      <c r="E23" s="226">
        <v>1.0</v>
      </c>
      <c r="F23" s="226">
        <v>1.0</v>
      </c>
      <c r="G23" s="226">
        <v>1.0</v>
      </c>
      <c r="H23" s="226"/>
      <c r="I23" s="60">
        <f t="shared" si="3"/>
        <v>3</v>
      </c>
      <c r="J23" s="226">
        <v>1.0</v>
      </c>
      <c r="K23" s="226">
        <v>1.0</v>
      </c>
      <c r="L23" s="226"/>
      <c r="M23" s="226">
        <v>2.0</v>
      </c>
      <c r="N23" s="226"/>
      <c r="O23" s="226"/>
      <c r="P23" s="60">
        <f t="shared" si="4"/>
        <v>3</v>
      </c>
      <c r="Q23" s="227"/>
      <c r="R23" s="227"/>
      <c r="S23" s="227"/>
      <c r="T23" s="60"/>
      <c r="U23" s="60"/>
      <c r="V23" s="127" t="str">
        <f t="shared" si="8"/>
        <v>#REF!</v>
      </c>
      <c r="W23" s="127"/>
      <c r="X23" s="127"/>
      <c r="Y23" s="124">
        <f t="shared" si="6"/>
        <v>0</v>
      </c>
      <c r="Z23" s="225">
        <f t="shared" si="7"/>
        <v>-1</v>
      </c>
    </row>
    <row r="24" ht="14.25" hidden="1" customHeight="1">
      <c r="A24" s="67"/>
      <c r="B24" s="85"/>
      <c r="C24" s="66" t="s">
        <v>656</v>
      </c>
      <c r="D24" s="226">
        <v>1.0</v>
      </c>
      <c r="E24" s="226">
        <v>1.0</v>
      </c>
      <c r="F24" s="226"/>
      <c r="G24" s="226">
        <v>1.0</v>
      </c>
      <c r="H24" s="226"/>
      <c r="I24" s="60">
        <f t="shared" si="3"/>
        <v>2</v>
      </c>
      <c r="J24" s="226">
        <v>1.0</v>
      </c>
      <c r="K24" s="226">
        <v>1.0</v>
      </c>
      <c r="L24" s="226"/>
      <c r="M24" s="226">
        <v>1.0</v>
      </c>
      <c r="N24" s="226"/>
      <c r="O24" s="226"/>
      <c r="P24" s="60">
        <f t="shared" si="4"/>
        <v>2</v>
      </c>
      <c r="Q24" s="227"/>
      <c r="R24" s="227"/>
      <c r="S24" s="227"/>
      <c r="T24" s="60"/>
      <c r="U24" s="60"/>
      <c r="V24" s="127"/>
      <c r="W24" s="127"/>
      <c r="X24" s="127"/>
      <c r="Y24" s="124">
        <f t="shared" si="6"/>
        <v>0</v>
      </c>
      <c r="Z24" s="225">
        <f t="shared" si="7"/>
        <v>0</v>
      </c>
    </row>
    <row r="25" ht="14.25" hidden="1" customHeight="1">
      <c r="A25" s="67"/>
      <c r="B25" s="85"/>
      <c r="C25" s="66" t="s">
        <v>440</v>
      </c>
      <c r="D25" s="226">
        <v>2.0</v>
      </c>
      <c r="E25" s="226">
        <v>3.0</v>
      </c>
      <c r="F25" s="226"/>
      <c r="G25" s="226">
        <v>1.0</v>
      </c>
      <c r="H25" s="226"/>
      <c r="I25" s="60">
        <f t="shared" si="3"/>
        <v>4</v>
      </c>
      <c r="J25" s="226">
        <v>2.0</v>
      </c>
      <c r="K25" s="226">
        <v>3.0</v>
      </c>
      <c r="L25" s="226"/>
      <c r="M25" s="226">
        <v>1.0</v>
      </c>
      <c r="N25" s="226"/>
      <c r="O25" s="226"/>
      <c r="P25" s="60">
        <f t="shared" si="4"/>
        <v>4</v>
      </c>
      <c r="Q25" s="227"/>
      <c r="R25" s="227"/>
      <c r="S25" s="227"/>
      <c r="T25" s="60"/>
      <c r="U25" s="60"/>
      <c r="V25" s="127" t="str">
        <f t="shared" ref="V25:V27" si="9">#REF!-P25</f>
        <v>#REF!</v>
      </c>
      <c r="W25" s="127"/>
      <c r="X25" s="127"/>
      <c r="Y25" s="124">
        <f t="shared" si="6"/>
        <v>0</v>
      </c>
      <c r="Z25" s="225">
        <f t="shared" si="7"/>
        <v>0</v>
      </c>
    </row>
    <row r="26" ht="14.25" hidden="1" customHeight="1">
      <c r="A26" s="67"/>
      <c r="B26" s="85"/>
      <c r="C26" s="66" t="s">
        <v>445</v>
      </c>
      <c r="D26" s="226">
        <v>2.0</v>
      </c>
      <c r="E26" s="226">
        <v>1.0</v>
      </c>
      <c r="F26" s="226"/>
      <c r="G26" s="226">
        <v>1.0</v>
      </c>
      <c r="H26" s="226"/>
      <c r="I26" s="60">
        <f t="shared" si="3"/>
        <v>2</v>
      </c>
      <c r="J26" s="226">
        <v>1.0</v>
      </c>
      <c r="K26" s="226">
        <v>1.0</v>
      </c>
      <c r="L26" s="226"/>
      <c r="M26" s="226"/>
      <c r="N26" s="226"/>
      <c r="O26" s="226"/>
      <c r="P26" s="60">
        <f t="shared" si="4"/>
        <v>1</v>
      </c>
      <c r="Q26" s="227"/>
      <c r="R26" s="227"/>
      <c r="S26" s="227"/>
      <c r="T26" s="60"/>
      <c r="U26" s="60"/>
      <c r="V26" s="127" t="str">
        <f t="shared" si="9"/>
        <v>#REF!</v>
      </c>
      <c r="W26" s="127"/>
      <c r="X26" s="127"/>
      <c r="Y26" s="124">
        <f t="shared" si="6"/>
        <v>-1</v>
      </c>
      <c r="Z26" s="225">
        <f t="shared" si="7"/>
        <v>0</v>
      </c>
    </row>
    <row r="27" ht="14.25" hidden="1" customHeight="1">
      <c r="A27" s="67"/>
      <c r="B27" s="85"/>
      <c r="C27" s="66" t="s">
        <v>657</v>
      </c>
      <c r="D27" s="226">
        <v>1.0</v>
      </c>
      <c r="E27" s="226"/>
      <c r="F27" s="226"/>
      <c r="G27" s="226"/>
      <c r="H27" s="226">
        <v>1.0</v>
      </c>
      <c r="I27" s="60">
        <f t="shared" si="3"/>
        <v>1</v>
      </c>
      <c r="J27" s="226">
        <v>1.0</v>
      </c>
      <c r="K27" s="226"/>
      <c r="L27" s="226"/>
      <c r="M27" s="226"/>
      <c r="N27" s="226">
        <v>1.0</v>
      </c>
      <c r="O27" s="226"/>
      <c r="P27" s="60">
        <f t="shared" si="4"/>
        <v>1</v>
      </c>
      <c r="Q27" s="227"/>
      <c r="R27" s="227"/>
      <c r="S27" s="227"/>
      <c r="T27" s="60"/>
      <c r="U27" s="60"/>
      <c r="V27" s="127" t="str">
        <f t="shared" si="9"/>
        <v>#REF!</v>
      </c>
      <c r="W27" s="127"/>
      <c r="X27" s="127"/>
      <c r="Y27" s="124">
        <f t="shared" si="6"/>
        <v>0</v>
      </c>
      <c r="Z27" s="225">
        <f t="shared" si="7"/>
        <v>0</v>
      </c>
    </row>
    <row r="28" ht="14.25" hidden="1" customHeight="1">
      <c r="A28" s="65"/>
      <c r="B28" s="87"/>
      <c r="C28" s="66" t="s">
        <v>658</v>
      </c>
      <c r="D28" s="226">
        <v>2.0</v>
      </c>
      <c r="E28" s="226"/>
      <c r="F28" s="226"/>
      <c r="G28" s="226">
        <v>6.0</v>
      </c>
      <c r="H28" s="226"/>
      <c r="I28" s="60">
        <f t="shared" si="3"/>
        <v>6</v>
      </c>
      <c r="J28" s="226">
        <v>1.0</v>
      </c>
      <c r="K28" s="226"/>
      <c r="L28" s="226"/>
      <c r="M28" s="226">
        <v>6.0</v>
      </c>
      <c r="N28" s="226"/>
      <c r="O28" s="226"/>
      <c r="P28" s="60">
        <f t="shared" si="4"/>
        <v>6</v>
      </c>
      <c r="Q28" s="227"/>
      <c r="R28" s="227"/>
      <c r="S28" s="227"/>
      <c r="T28" s="60"/>
      <c r="U28" s="60"/>
      <c r="V28" s="127"/>
      <c r="W28" s="127"/>
      <c r="X28" s="127"/>
      <c r="Y28" s="124">
        <f t="shared" si="6"/>
        <v>0</v>
      </c>
      <c r="Z28" s="225">
        <f t="shared" si="7"/>
        <v>0</v>
      </c>
    </row>
    <row r="29" ht="14.25" customHeight="1">
      <c r="A29" s="65">
        <v>6.0</v>
      </c>
      <c r="B29" s="87" t="s">
        <v>257</v>
      </c>
      <c r="C29" s="66" t="s">
        <v>257</v>
      </c>
      <c r="D29" s="226">
        <v>1.0</v>
      </c>
      <c r="E29" s="226"/>
      <c r="F29" s="226">
        <v>1.0</v>
      </c>
      <c r="G29" s="226"/>
      <c r="H29" s="226"/>
      <c r="I29" s="60">
        <f t="shared" si="3"/>
        <v>1</v>
      </c>
      <c r="J29" s="226"/>
      <c r="K29" s="226"/>
      <c r="L29" s="226"/>
      <c r="M29" s="226"/>
      <c r="N29" s="226"/>
      <c r="O29" s="226"/>
      <c r="P29" s="60">
        <f t="shared" si="4"/>
        <v>0</v>
      </c>
      <c r="Q29" s="227"/>
      <c r="R29" s="227"/>
      <c r="S29" s="227"/>
      <c r="T29" s="60"/>
      <c r="U29" s="60"/>
      <c r="V29" s="127"/>
      <c r="W29" s="127"/>
      <c r="X29" s="127"/>
      <c r="Y29" s="124">
        <f t="shared" si="6"/>
        <v>-1</v>
      </c>
      <c r="Z29" s="225">
        <f t="shared" si="7"/>
        <v>-1</v>
      </c>
    </row>
    <row r="30" ht="14.25" customHeight="1">
      <c r="A30" s="65">
        <v>7.0</v>
      </c>
      <c r="B30" s="102" t="s">
        <v>488</v>
      </c>
      <c r="C30" s="66" t="s">
        <v>368</v>
      </c>
      <c r="D30" s="226">
        <v>3.0</v>
      </c>
      <c r="E30" s="226"/>
      <c r="F30" s="226">
        <v>1.0</v>
      </c>
      <c r="G30" s="226">
        <v>2.0</v>
      </c>
      <c r="H30" s="226"/>
      <c r="I30" s="60">
        <f t="shared" si="3"/>
        <v>3</v>
      </c>
      <c r="J30" s="226">
        <v>2.0</v>
      </c>
      <c r="K30" s="226"/>
      <c r="L30" s="226"/>
      <c r="M30" s="226">
        <v>1.0</v>
      </c>
      <c r="N30" s="226"/>
      <c r="O30" s="226"/>
      <c r="P30" s="60">
        <f t="shared" si="4"/>
        <v>1</v>
      </c>
      <c r="Q30" s="227"/>
      <c r="R30" s="227"/>
      <c r="S30" s="227"/>
      <c r="T30" s="60"/>
      <c r="U30" s="60"/>
      <c r="V30" s="127" t="str">
        <f t="shared" ref="V30:V31" si="10">#REF!-P30</f>
        <v>#REF!</v>
      </c>
      <c r="W30" s="127" t="s">
        <v>659</v>
      </c>
      <c r="X30" s="127"/>
      <c r="Y30" s="124">
        <f t="shared" si="6"/>
        <v>-2</v>
      </c>
      <c r="Z30" s="225">
        <f t="shared" si="7"/>
        <v>-1</v>
      </c>
    </row>
    <row r="31" ht="14.25" hidden="1" customHeight="1">
      <c r="A31" s="65">
        <v>8.0</v>
      </c>
      <c r="B31" s="156" t="s">
        <v>451</v>
      </c>
      <c r="C31" s="66" t="s">
        <v>660</v>
      </c>
      <c r="D31" s="226">
        <v>1.0</v>
      </c>
      <c r="E31" s="226">
        <v>1.0</v>
      </c>
      <c r="F31" s="226"/>
      <c r="G31" s="226"/>
      <c r="H31" s="226"/>
      <c r="I31" s="60">
        <f t="shared" si="3"/>
        <v>1</v>
      </c>
      <c r="J31" s="226">
        <v>1.0</v>
      </c>
      <c r="K31" s="226">
        <v>1.0</v>
      </c>
      <c r="L31" s="226"/>
      <c r="M31" s="226"/>
      <c r="N31" s="226"/>
      <c r="O31" s="226"/>
      <c r="P31" s="60">
        <f t="shared" si="4"/>
        <v>1</v>
      </c>
      <c r="Q31" s="227"/>
      <c r="R31" s="227"/>
      <c r="S31" s="227"/>
      <c r="T31" s="60"/>
      <c r="U31" s="60"/>
      <c r="V31" s="127" t="str">
        <f t="shared" si="10"/>
        <v>#REF!</v>
      </c>
      <c r="W31" s="127"/>
      <c r="X31" s="127"/>
      <c r="Y31" s="124">
        <f t="shared" si="6"/>
        <v>0</v>
      </c>
      <c r="Z31" s="225">
        <f t="shared" si="7"/>
        <v>0</v>
      </c>
    </row>
    <row r="32" ht="14.25" customHeight="1">
      <c r="A32" s="67"/>
      <c r="B32" s="112"/>
      <c r="C32" s="66" t="s">
        <v>452</v>
      </c>
      <c r="D32" s="226">
        <v>3.0</v>
      </c>
      <c r="E32" s="226">
        <v>5.0</v>
      </c>
      <c r="F32" s="226">
        <v>1.0</v>
      </c>
      <c r="G32" s="226">
        <v>2.0</v>
      </c>
      <c r="H32" s="226"/>
      <c r="I32" s="60">
        <f t="shared" si="3"/>
        <v>8</v>
      </c>
      <c r="J32" s="226">
        <v>3.0</v>
      </c>
      <c r="K32" s="226">
        <v>5.0</v>
      </c>
      <c r="L32" s="226"/>
      <c r="M32" s="226">
        <v>3.0</v>
      </c>
      <c r="N32" s="226"/>
      <c r="O32" s="226"/>
      <c r="P32" s="60">
        <f t="shared" si="4"/>
        <v>8</v>
      </c>
      <c r="Q32" s="227"/>
      <c r="R32" s="227"/>
      <c r="S32" s="227"/>
      <c r="T32" s="60"/>
      <c r="U32" s="60"/>
      <c r="V32" s="127"/>
      <c r="W32" s="127"/>
      <c r="X32" s="127"/>
      <c r="Y32" s="124">
        <f t="shared" si="6"/>
        <v>0</v>
      </c>
      <c r="Z32" s="225">
        <f t="shared" si="7"/>
        <v>-1</v>
      </c>
    </row>
    <row r="33" ht="14.25" hidden="1" customHeight="1">
      <c r="A33" s="67"/>
      <c r="B33" s="228"/>
      <c r="C33" s="66" t="s">
        <v>453</v>
      </c>
      <c r="D33" s="226">
        <v>3.0</v>
      </c>
      <c r="E33" s="226">
        <v>1.0</v>
      </c>
      <c r="F33" s="226"/>
      <c r="G33" s="226">
        <v>3.0</v>
      </c>
      <c r="H33" s="226"/>
      <c r="I33" s="60">
        <f t="shared" si="3"/>
        <v>4</v>
      </c>
      <c r="J33" s="226">
        <v>3.0</v>
      </c>
      <c r="K33" s="226">
        <v>1.0</v>
      </c>
      <c r="L33" s="226"/>
      <c r="M33" s="226">
        <v>3.0</v>
      </c>
      <c r="N33" s="226"/>
      <c r="O33" s="226"/>
      <c r="P33" s="60">
        <f t="shared" si="4"/>
        <v>4</v>
      </c>
      <c r="Q33" s="227"/>
      <c r="R33" s="227"/>
      <c r="S33" s="227"/>
      <c r="T33" s="60"/>
      <c r="U33" s="60"/>
      <c r="V33" s="127" t="str">
        <f t="shared" ref="V33:V34" si="11">#REF!-P33</f>
        <v>#REF!</v>
      </c>
      <c r="W33" s="127"/>
      <c r="X33" s="127"/>
      <c r="Y33" s="124">
        <f t="shared" si="6"/>
        <v>0</v>
      </c>
      <c r="Z33" s="225">
        <f t="shared" si="7"/>
        <v>0</v>
      </c>
    </row>
    <row r="34" ht="14.25" hidden="1" customHeight="1">
      <c r="A34" s="65">
        <v>9.0</v>
      </c>
      <c r="B34" s="156" t="s">
        <v>455</v>
      </c>
      <c r="C34" s="121" t="s">
        <v>661</v>
      </c>
      <c r="D34" s="65">
        <v>2.0</v>
      </c>
      <c r="E34" s="65">
        <v>1.0</v>
      </c>
      <c r="F34" s="65"/>
      <c r="G34" s="65">
        <v>1.0</v>
      </c>
      <c r="H34" s="65"/>
      <c r="I34" s="60">
        <f t="shared" si="3"/>
        <v>2</v>
      </c>
      <c r="J34" s="65">
        <v>2.0</v>
      </c>
      <c r="K34" s="65">
        <v>1.0</v>
      </c>
      <c r="L34" s="65"/>
      <c r="M34" s="65">
        <v>1.0</v>
      </c>
      <c r="N34" s="65"/>
      <c r="O34" s="65"/>
      <c r="P34" s="60">
        <f t="shared" si="4"/>
        <v>2</v>
      </c>
      <c r="Q34" s="121"/>
      <c r="R34" s="121"/>
      <c r="S34" s="121"/>
      <c r="T34" s="121"/>
      <c r="U34" s="121"/>
      <c r="V34" s="127" t="str">
        <f t="shared" si="11"/>
        <v>#REF!</v>
      </c>
      <c r="W34" s="127"/>
      <c r="X34" s="127"/>
      <c r="Y34" s="124">
        <f t="shared" si="6"/>
        <v>0</v>
      </c>
      <c r="Z34" s="225">
        <f t="shared" si="7"/>
        <v>0</v>
      </c>
    </row>
    <row r="35" ht="14.25" hidden="1" customHeight="1">
      <c r="A35" s="65"/>
      <c r="B35" s="112"/>
      <c r="C35" s="121" t="s">
        <v>662</v>
      </c>
      <c r="D35" s="65">
        <v>3.0</v>
      </c>
      <c r="E35" s="65">
        <v>1.0</v>
      </c>
      <c r="F35" s="65"/>
      <c r="G35" s="65">
        <v>2.0</v>
      </c>
      <c r="H35" s="65"/>
      <c r="I35" s="60">
        <f t="shared" si="3"/>
        <v>3</v>
      </c>
      <c r="J35" s="65">
        <v>3.0</v>
      </c>
      <c r="K35" s="65">
        <v>1.0</v>
      </c>
      <c r="L35" s="65"/>
      <c r="M35" s="65">
        <v>1.0</v>
      </c>
      <c r="N35" s="65">
        <v>1.0</v>
      </c>
      <c r="O35" s="65"/>
      <c r="P35" s="60">
        <f t="shared" si="4"/>
        <v>3</v>
      </c>
      <c r="Q35" s="121"/>
      <c r="R35" s="121"/>
      <c r="S35" s="121"/>
      <c r="T35" s="121"/>
      <c r="U35" s="121"/>
      <c r="V35" s="127"/>
      <c r="W35" s="127"/>
      <c r="X35" s="127"/>
      <c r="Y35" s="124">
        <f t="shared" si="6"/>
        <v>0</v>
      </c>
      <c r="Z35" s="225">
        <f t="shared" si="7"/>
        <v>0</v>
      </c>
    </row>
    <row r="36" ht="14.25" hidden="1" customHeight="1">
      <c r="A36" s="65"/>
      <c r="B36" s="112"/>
      <c r="C36" s="121" t="s">
        <v>663</v>
      </c>
      <c r="D36" s="65">
        <v>3.0</v>
      </c>
      <c r="E36" s="65"/>
      <c r="F36" s="65"/>
      <c r="G36" s="65">
        <v>2.0</v>
      </c>
      <c r="H36" s="65"/>
      <c r="I36" s="60">
        <f t="shared" si="3"/>
        <v>2</v>
      </c>
      <c r="J36" s="65">
        <v>3.0</v>
      </c>
      <c r="K36" s="65"/>
      <c r="L36" s="65"/>
      <c r="M36" s="65">
        <v>2.0</v>
      </c>
      <c r="N36" s="65"/>
      <c r="O36" s="65"/>
      <c r="P36" s="60">
        <f t="shared" si="4"/>
        <v>2</v>
      </c>
      <c r="Q36" s="121"/>
      <c r="R36" s="121"/>
      <c r="S36" s="121"/>
      <c r="T36" s="121"/>
      <c r="U36" s="121"/>
      <c r="V36" s="127" t="str">
        <f t="shared" ref="V36:V38" si="12">#REF!-P36</f>
        <v>#REF!</v>
      </c>
      <c r="W36" s="127"/>
      <c r="X36" s="127"/>
      <c r="Y36" s="124">
        <f t="shared" si="6"/>
        <v>0</v>
      </c>
      <c r="Z36" s="225">
        <f t="shared" si="7"/>
        <v>0</v>
      </c>
    </row>
    <row r="37" ht="14.25" hidden="1" customHeight="1">
      <c r="A37" s="65"/>
      <c r="B37" s="228"/>
      <c r="C37" s="121" t="s">
        <v>665</v>
      </c>
      <c r="D37" s="65"/>
      <c r="E37" s="65"/>
      <c r="F37" s="65"/>
      <c r="G37" s="65"/>
      <c r="H37" s="65"/>
      <c r="I37" s="60">
        <f t="shared" si="3"/>
        <v>0</v>
      </c>
      <c r="J37" s="65"/>
      <c r="K37" s="65"/>
      <c r="L37" s="65"/>
      <c r="M37" s="65"/>
      <c r="N37" s="65"/>
      <c r="O37" s="65"/>
      <c r="P37" s="60">
        <f t="shared" si="4"/>
        <v>0</v>
      </c>
      <c r="Q37" s="121"/>
      <c r="R37" s="121"/>
      <c r="S37" s="121"/>
      <c r="T37" s="121"/>
      <c r="U37" s="121"/>
      <c r="V37" s="127" t="str">
        <f t="shared" si="12"/>
        <v>#REF!</v>
      </c>
      <c r="W37" s="127"/>
      <c r="X37" s="127"/>
      <c r="Y37" s="124">
        <f t="shared" si="6"/>
        <v>0</v>
      </c>
      <c r="Z37" s="225">
        <f t="shared" si="7"/>
        <v>0</v>
      </c>
    </row>
    <row r="38" ht="14.25" hidden="1" customHeight="1">
      <c r="A38" s="65">
        <v>10.0</v>
      </c>
      <c r="B38" s="156" t="s">
        <v>465</v>
      </c>
      <c r="C38" s="121" t="s">
        <v>666</v>
      </c>
      <c r="D38" s="65">
        <v>1.0</v>
      </c>
      <c r="E38" s="65">
        <v>1.0</v>
      </c>
      <c r="F38" s="65"/>
      <c r="G38" s="65"/>
      <c r="H38" s="65"/>
      <c r="I38" s="60">
        <f t="shared" si="3"/>
        <v>1</v>
      </c>
      <c r="J38" s="65">
        <v>1.0</v>
      </c>
      <c r="K38" s="65">
        <v>1.0</v>
      </c>
      <c r="L38" s="65"/>
      <c r="M38" s="65"/>
      <c r="N38" s="65"/>
      <c r="O38" s="65"/>
      <c r="P38" s="60">
        <f t="shared" si="4"/>
        <v>1</v>
      </c>
      <c r="Q38" s="121"/>
      <c r="R38" s="121"/>
      <c r="S38" s="121"/>
      <c r="T38" s="121"/>
      <c r="U38" s="121"/>
      <c r="V38" s="127" t="str">
        <f t="shared" si="12"/>
        <v>#REF!</v>
      </c>
      <c r="W38" s="127"/>
      <c r="X38" s="127"/>
      <c r="Y38" s="124">
        <f t="shared" si="6"/>
        <v>0</v>
      </c>
      <c r="Z38" s="225">
        <f t="shared" si="7"/>
        <v>0</v>
      </c>
    </row>
    <row r="39" ht="14.25" hidden="1" customHeight="1">
      <c r="A39" s="65"/>
      <c r="B39" s="112"/>
      <c r="C39" s="121" t="s">
        <v>468</v>
      </c>
      <c r="D39" s="65">
        <v>3.0</v>
      </c>
      <c r="E39" s="65">
        <v>1.0</v>
      </c>
      <c r="F39" s="65">
        <v>1.0</v>
      </c>
      <c r="G39" s="65">
        <v>2.0</v>
      </c>
      <c r="H39" s="65">
        <v>5.0</v>
      </c>
      <c r="I39" s="60">
        <f t="shared" si="3"/>
        <v>9</v>
      </c>
      <c r="J39" s="65">
        <v>3.0</v>
      </c>
      <c r="K39" s="65">
        <v>1.0</v>
      </c>
      <c r="L39" s="65">
        <v>1.0</v>
      </c>
      <c r="M39" s="65">
        <v>2.0</v>
      </c>
      <c r="N39" s="65">
        <v>5.0</v>
      </c>
      <c r="O39" s="65"/>
      <c r="P39" s="60">
        <f t="shared" si="4"/>
        <v>9</v>
      </c>
      <c r="Q39" s="121"/>
      <c r="R39" s="121"/>
      <c r="S39" s="121"/>
      <c r="T39" s="121"/>
      <c r="U39" s="121"/>
      <c r="V39" s="127"/>
      <c r="W39" s="127"/>
      <c r="X39" s="127"/>
      <c r="Y39" s="124">
        <f t="shared" si="6"/>
        <v>0</v>
      </c>
      <c r="Z39" s="225">
        <f t="shared" si="7"/>
        <v>0</v>
      </c>
    </row>
    <row r="40" ht="14.25" hidden="1" customHeight="1">
      <c r="A40" s="65"/>
      <c r="B40" s="228"/>
      <c r="C40" s="121" t="s">
        <v>472</v>
      </c>
      <c r="D40" s="65">
        <v>3.0</v>
      </c>
      <c r="E40" s="65">
        <v>1.0</v>
      </c>
      <c r="F40" s="65"/>
      <c r="G40" s="65">
        <v>2.0</v>
      </c>
      <c r="H40" s="65">
        <v>6.0</v>
      </c>
      <c r="I40" s="60">
        <f t="shared" si="3"/>
        <v>9</v>
      </c>
      <c r="J40" s="65">
        <v>3.0</v>
      </c>
      <c r="K40" s="65">
        <v>1.0</v>
      </c>
      <c r="L40" s="65"/>
      <c r="M40" s="65">
        <v>2.0</v>
      </c>
      <c r="N40" s="65">
        <v>6.0</v>
      </c>
      <c r="O40" s="65"/>
      <c r="P40" s="60">
        <f t="shared" si="4"/>
        <v>9</v>
      </c>
      <c r="Q40" s="121"/>
      <c r="R40" s="121"/>
      <c r="S40" s="121"/>
      <c r="T40" s="121"/>
      <c r="U40" s="121"/>
      <c r="V40" s="127" t="str">
        <f>#REF!-P40</f>
        <v>#REF!</v>
      </c>
      <c r="W40" s="127"/>
      <c r="X40" s="127"/>
      <c r="Y40" s="124">
        <f t="shared" si="6"/>
        <v>0</v>
      </c>
      <c r="Z40" s="225">
        <f t="shared" si="7"/>
        <v>0</v>
      </c>
    </row>
    <row r="41" ht="14.25" hidden="1" customHeight="1">
      <c r="A41" s="65">
        <v>11.0</v>
      </c>
      <c r="B41" s="229" t="s">
        <v>479</v>
      </c>
      <c r="C41" s="121" t="s">
        <v>668</v>
      </c>
      <c r="D41" s="65">
        <v>1.0</v>
      </c>
      <c r="E41" s="65">
        <v>2.0</v>
      </c>
      <c r="F41" s="65"/>
      <c r="G41" s="65">
        <v>1.0</v>
      </c>
      <c r="H41" s="65"/>
      <c r="I41" s="60">
        <f t="shared" si="3"/>
        <v>3</v>
      </c>
      <c r="J41" s="65">
        <v>1.0</v>
      </c>
      <c r="K41" s="65">
        <v>2.0</v>
      </c>
      <c r="L41" s="65"/>
      <c r="M41" s="65">
        <v>1.0</v>
      </c>
      <c r="N41" s="65"/>
      <c r="O41" s="65"/>
      <c r="P41" s="60">
        <f t="shared" si="4"/>
        <v>3</v>
      </c>
      <c r="Q41" s="121"/>
      <c r="R41" s="121"/>
      <c r="S41" s="121"/>
      <c r="T41" s="121"/>
      <c r="U41" s="121"/>
      <c r="V41" s="127" t="str">
        <f t="shared" ref="V41:V45" si="13">#REF!-P42</f>
        <v>#REF!</v>
      </c>
      <c r="W41" s="127"/>
      <c r="X41" s="127"/>
      <c r="Y41" s="124">
        <f t="shared" si="6"/>
        <v>0</v>
      </c>
      <c r="Z41" s="225">
        <f t="shared" si="7"/>
        <v>0</v>
      </c>
    </row>
    <row r="42" ht="14.25" hidden="1" customHeight="1">
      <c r="A42" s="65"/>
      <c r="B42" s="229"/>
      <c r="C42" s="121" t="s">
        <v>669</v>
      </c>
      <c r="D42" s="65">
        <v>3.0</v>
      </c>
      <c r="E42" s="65">
        <v>2.0</v>
      </c>
      <c r="F42" s="65"/>
      <c r="G42" s="65">
        <v>1.0</v>
      </c>
      <c r="H42" s="65">
        <v>12.0</v>
      </c>
      <c r="I42" s="60">
        <f t="shared" si="3"/>
        <v>15</v>
      </c>
      <c r="J42" s="65">
        <v>2.0</v>
      </c>
      <c r="K42" s="230">
        <v>2.0</v>
      </c>
      <c r="L42" s="65"/>
      <c r="M42" s="65">
        <v>3.0</v>
      </c>
      <c r="N42" s="65">
        <v>6.0</v>
      </c>
      <c r="O42" s="65"/>
      <c r="P42" s="60">
        <f t="shared" si="4"/>
        <v>11</v>
      </c>
      <c r="Q42" s="121"/>
      <c r="R42" s="121"/>
      <c r="S42" s="121"/>
      <c r="T42" s="121"/>
      <c r="U42" s="121"/>
      <c r="V42" s="127" t="str">
        <f t="shared" si="13"/>
        <v>#REF!</v>
      </c>
      <c r="W42" s="127"/>
      <c r="X42" s="127"/>
      <c r="Y42" s="124">
        <f t="shared" si="6"/>
        <v>-4</v>
      </c>
      <c r="Z42" s="225">
        <f t="shared" si="7"/>
        <v>0</v>
      </c>
    </row>
    <row r="43" ht="14.25" customHeight="1">
      <c r="A43" s="65"/>
      <c r="B43" s="229"/>
      <c r="C43" s="121" t="s">
        <v>670</v>
      </c>
      <c r="D43" s="65">
        <v>1.0</v>
      </c>
      <c r="E43" s="65">
        <v>2.0</v>
      </c>
      <c r="F43" s="65">
        <v>1.0</v>
      </c>
      <c r="G43" s="65">
        <v>2.0</v>
      </c>
      <c r="H43" s="65"/>
      <c r="I43" s="60">
        <f t="shared" si="3"/>
        <v>5</v>
      </c>
      <c r="J43" s="65">
        <v>1.0</v>
      </c>
      <c r="K43" s="65">
        <v>2.0</v>
      </c>
      <c r="L43" s="65"/>
      <c r="M43" s="65">
        <v>3.0</v>
      </c>
      <c r="N43" s="65"/>
      <c r="O43" s="65"/>
      <c r="P43" s="60">
        <f t="shared" si="4"/>
        <v>5</v>
      </c>
      <c r="Q43" s="121"/>
      <c r="R43" s="121"/>
      <c r="S43" s="121"/>
      <c r="T43" s="121"/>
      <c r="U43" s="121"/>
      <c r="V43" s="127" t="str">
        <f t="shared" si="13"/>
        <v>#REF!</v>
      </c>
      <c r="W43" s="127" t="s">
        <v>671</v>
      </c>
      <c r="X43" s="127"/>
      <c r="Y43" s="124">
        <f t="shared" si="6"/>
        <v>0</v>
      </c>
      <c r="Z43" s="225">
        <f t="shared" si="7"/>
        <v>-1</v>
      </c>
    </row>
    <row r="44" ht="14.25" customHeight="1">
      <c r="A44" s="65"/>
      <c r="B44" s="229"/>
      <c r="C44" s="121" t="s">
        <v>672</v>
      </c>
      <c r="D44" s="65">
        <v>1.0</v>
      </c>
      <c r="E44" s="65"/>
      <c r="F44" s="65">
        <v>1.0</v>
      </c>
      <c r="G44" s="65">
        <v>1.0</v>
      </c>
      <c r="H44" s="65">
        <v>3.0</v>
      </c>
      <c r="I44" s="60">
        <f t="shared" si="3"/>
        <v>5</v>
      </c>
      <c r="J44" s="65">
        <v>1.0</v>
      </c>
      <c r="K44" s="230"/>
      <c r="L44" s="65"/>
      <c r="M44" s="232"/>
      <c r="N44" s="65"/>
      <c r="O44" s="65"/>
      <c r="P44" s="60">
        <f t="shared" si="4"/>
        <v>0</v>
      </c>
      <c r="Q44" s="121"/>
      <c r="R44" s="121"/>
      <c r="S44" s="121"/>
      <c r="T44" s="121"/>
      <c r="U44" s="121"/>
      <c r="V44" s="127" t="str">
        <f t="shared" si="13"/>
        <v>#REF!</v>
      </c>
      <c r="W44" s="127"/>
      <c r="X44" s="127"/>
      <c r="Y44" s="124">
        <f t="shared" si="6"/>
        <v>-5</v>
      </c>
      <c r="Z44" s="225">
        <f t="shared" si="7"/>
        <v>-1</v>
      </c>
    </row>
    <row r="45" ht="14.25" hidden="1" customHeight="1">
      <c r="A45" s="65"/>
      <c r="B45" s="229"/>
      <c r="C45" s="121" t="s">
        <v>673</v>
      </c>
      <c r="D45" s="65">
        <v>3.0</v>
      </c>
      <c r="E45" s="65"/>
      <c r="F45" s="65">
        <v>1.0</v>
      </c>
      <c r="G45" s="65">
        <v>5.0</v>
      </c>
      <c r="H45" s="65">
        <v>9.0</v>
      </c>
      <c r="I45" s="60">
        <f t="shared" si="3"/>
        <v>15</v>
      </c>
      <c r="J45" s="65">
        <v>3.0</v>
      </c>
      <c r="K45" s="230">
        <v>1.0</v>
      </c>
      <c r="L45" s="65"/>
      <c r="M45" s="232">
        <v>3.0</v>
      </c>
      <c r="N45" s="65">
        <v>8.0</v>
      </c>
      <c r="O45" s="65"/>
      <c r="P45" s="60">
        <f t="shared" si="4"/>
        <v>12</v>
      </c>
      <c r="Q45" s="121"/>
      <c r="R45" s="121"/>
      <c r="S45" s="121"/>
      <c r="T45" s="121"/>
      <c r="U45" s="121"/>
      <c r="V45" s="127" t="str">
        <f t="shared" si="13"/>
        <v>#REF!</v>
      </c>
      <c r="W45" s="127" t="s">
        <v>651</v>
      </c>
      <c r="X45" s="127"/>
      <c r="Y45" s="124">
        <f t="shared" si="6"/>
        <v>-3</v>
      </c>
      <c r="Z45" s="225">
        <f t="shared" si="7"/>
        <v>0</v>
      </c>
    </row>
    <row r="46" ht="14.25" hidden="1" customHeight="1">
      <c r="A46" s="65">
        <v>12.0</v>
      </c>
      <c r="B46" s="234" t="s">
        <v>491</v>
      </c>
      <c r="C46" s="121" t="s">
        <v>674</v>
      </c>
      <c r="D46" s="65">
        <v>3.0</v>
      </c>
      <c r="E46" s="65">
        <v>1.0</v>
      </c>
      <c r="F46" s="65"/>
      <c r="G46" s="65">
        <v>3.0</v>
      </c>
      <c r="H46" s="65">
        <v>19.0</v>
      </c>
      <c r="I46" s="60">
        <f t="shared" si="3"/>
        <v>23</v>
      </c>
      <c r="J46" s="65">
        <v>2.0</v>
      </c>
      <c r="K46" s="65">
        <v>1.0</v>
      </c>
      <c r="L46" s="65"/>
      <c r="M46" s="65">
        <v>3.0</v>
      </c>
      <c r="N46" s="65">
        <v>8.0</v>
      </c>
      <c r="O46" s="65"/>
      <c r="P46" s="60">
        <f t="shared" si="4"/>
        <v>12</v>
      </c>
      <c r="Q46" s="121"/>
      <c r="R46" s="121"/>
      <c r="S46" s="121"/>
      <c r="T46" s="121"/>
      <c r="U46" s="121"/>
      <c r="V46" s="127" t="str">
        <f>#REF!-P48</f>
        <v>#REF!</v>
      </c>
      <c r="W46" s="127"/>
      <c r="X46" s="127"/>
      <c r="Y46" s="124">
        <f t="shared" si="6"/>
        <v>-11</v>
      </c>
      <c r="Z46" s="225">
        <f t="shared" si="7"/>
        <v>0</v>
      </c>
    </row>
    <row r="47" ht="14.25" hidden="1" customHeight="1">
      <c r="A47" s="65"/>
      <c r="B47" s="234"/>
      <c r="C47" s="121" t="s">
        <v>675</v>
      </c>
      <c r="D47" s="65">
        <v>3.0</v>
      </c>
      <c r="E47" s="65"/>
      <c r="F47" s="65">
        <v>1.0</v>
      </c>
      <c r="G47" s="65">
        <v>2.0</v>
      </c>
      <c r="H47" s="65">
        <v>12.0</v>
      </c>
      <c r="I47" s="60">
        <f t="shared" si="3"/>
        <v>15</v>
      </c>
      <c r="J47" s="65">
        <v>2.0</v>
      </c>
      <c r="K47" s="65"/>
      <c r="L47" s="65">
        <v>1.0</v>
      </c>
      <c r="M47" s="65">
        <v>1.0</v>
      </c>
      <c r="N47" s="65">
        <v>9.0</v>
      </c>
      <c r="O47" s="65"/>
      <c r="P47" s="60">
        <f t="shared" si="4"/>
        <v>11</v>
      </c>
      <c r="Q47" s="121"/>
      <c r="R47" s="121"/>
      <c r="S47" s="121"/>
      <c r="T47" s="121"/>
      <c r="U47" s="121"/>
      <c r="V47" s="127"/>
      <c r="W47" s="127"/>
      <c r="X47" s="127"/>
      <c r="Y47" s="124">
        <f t="shared" si="6"/>
        <v>-4</v>
      </c>
      <c r="Z47" s="225">
        <f t="shared" si="7"/>
        <v>0</v>
      </c>
    </row>
    <row r="48" ht="14.25" hidden="1" customHeight="1">
      <c r="A48" s="65"/>
      <c r="B48" s="234"/>
      <c r="C48" s="121" t="s">
        <v>676</v>
      </c>
      <c r="D48" s="65">
        <v>3.0</v>
      </c>
      <c r="E48" s="65"/>
      <c r="F48" s="65"/>
      <c r="G48" s="65">
        <v>3.0</v>
      </c>
      <c r="H48" s="65">
        <v>9.0</v>
      </c>
      <c r="I48" s="60">
        <f t="shared" si="3"/>
        <v>12</v>
      </c>
      <c r="J48" s="65">
        <v>2.0</v>
      </c>
      <c r="K48" s="65"/>
      <c r="L48" s="65"/>
      <c r="M48" s="235">
        <v>2.0</v>
      </c>
      <c r="N48" s="65">
        <v>5.0</v>
      </c>
      <c r="O48" s="65"/>
      <c r="P48" s="60">
        <f t="shared" si="4"/>
        <v>7</v>
      </c>
      <c r="Q48" s="121"/>
      <c r="R48" s="121"/>
      <c r="S48" s="121"/>
      <c r="T48" s="121"/>
      <c r="U48" s="121"/>
      <c r="V48" s="127" t="str">
        <f t="shared" ref="V48:V60" si="14">#REF!-P49</f>
        <v>#REF!</v>
      </c>
      <c r="W48" s="127"/>
      <c r="X48" s="127"/>
      <c r="Y48" s="124">
        <f t="shared" si="6"/>
        <v>-5</v>
      </c>
      <c r="Z48" s="225">
        <f t="shared" si="7"/>
        <v>0</v>
      </c>
    </row>
    <row r="49" ht="14.25" hidden="1" customHeight="1">
      <c r="A49" s="65"/>
      <c r="B49" s="234"/>
      <c r="C49" s="121" t="s">
        <v>677</v>
      </c>
      <c r="D49" s="65">
        <v>3.0</v>
      </c>
      <c r="E49" s="65"/>
      <c r="F49" s="65"/>
      <c r="G49" s="65">
        <v>3.0</v>
      </c>
      <c r="H49" s="65">
        <v>9.0</v>
      </c>
      <c r="I49" s="60">
        <f t="shared" si="3"/>
        <v>12</v>
      </c>
      <c r="J49" s="65">
        <v>2.0</v>
      </c>
      <c r="K49" s="65"/>
      <c r="L49" s="65"/>
      <c r="M49" s="65">
        <v>2.0</v>
      </c>
      <c r="N49" s="65">
        <v>5.0</v>
      </c>
      <c r="O49" s="65"/>
      <c r="P49" s="60">
        <f t="shared" si="4"/>
        <v>7</v>
      </c>
      <c r="Q49" s="121"/>
      <c r="R49" s="121"/>
      <c r="S49" s="121"/>
      <c r="T49" s="121"/>
      <c r="U49" s="121"/>
      <c r="V49" s="127" t="str">
        <f t="shared" si="14"/>
        <v>#REF!</v>
      </c>
      <c r="W49" s="127"/>
      <c r="X49" s="127"/>
      <c r="Y49" s="124">
        <f t="shared" si="6"/>
        <v>-5</v>
      </c>
      <c r="Z49" s="225">
        <f t="shared" si="7"/>
        <v>0</v>
      </c>
    </row>
    <row r="50" ht="14.25" hidden="1" customHeight="1">
      <c r="A50" s="65"/>
      <c r="B50" s="234"/>
      <c r="C50" s="121" t="s">
        <v>678</v>
      </c>
      <c r="D50" s="65">
        <v>2.0</v>
      </c>
      <c r="E50" s="65"/>
      <c r="F50" s="65"/>
      <c r="G50" s="65">
        <v>1.0</v>
      </c>
      <c r="H50" s="65">
        <v>3.0</v>
      </c>
      <c r="I50" s="60">
        <f t="shared" si="3"/>
        <v>4</v>
      </c>
      <c r="J50" s="65">
        <v>0.0</v>
      </c>
      <c r="K50" s="65"/>
      <c r="L50" s="236"/>
      <c r="M50" s="65"/>
      <c r="N50" s="237">
        <v>5.0</v>
      </c>
      <c r="O50" s="65"/>
      <c r="P50" s="60">
        <f t="shared" si="4"/>
        <v>5</v>
      </c>
      <c r="Q50" s="121"/>
      <c r="R50" s="121"/>
      <c r="S50" s="121"/>
      <c r="T50" s="121"/>
      <c r="U50" s="121"/>
      <c r="V50" s="127" t="str">
        <f t="shared" si="14"/>
        <v>#REF!</v>
      </c>
      <c r="W50" s="127"/>
      <c r="X50" s="127"/>
      <c r="Y50" s="124">
        <f t="shared" si="6"/>
        <v>1</v>
      </c>
      <c r="Z50" s="225">
        <f t="shared" si="7"/>
        <v>0</v>
      </c>
    </row>
    <row r="51" ht="14.25" hidden="1" customHeight="1">
      <c r="A51" s="65"/>
      <c r="B51" s="234"/>
      <c r="C51" s="121" t="s">
        <v>681</v>
      </c>
      <c r="D51" s="65">
        <v>2.0</v>
      </c>
      <c r="E51" s="65"/>
      <c r="F51" s="65"/>
      <c r="G51" s="65">
        <v>1.0</v>
      </c>
      <c r="H51" s="65">
        <v>3.0</v>
      </c>
      <c r="I51" s="60">
        <f t="shared" si="3"/>
        <v>4</v>
      </c>
      <c r="J51" s="65">
        <v>2.0</v>
      </c>
      <c r="K51" s="65"/>
      <c r="L51" s="236"/>
      <c r="M51" s="65"/>
      <c r="N51" s="237">
        <v>4.0</v>
      </c>
      <c r="O51" s="65"/>
      <c r="P51" s="60">
        <f t="shared" si="4"/>
        <v>4</v>
      </c>
      <c r="Q51" s="121"/>
      <c r="R51" s="121"/>
      <c r="S51" s="121"/>
      <c r="T51" s="121"/>
      <c r="U51" s="121"/>
      <c r="V51" s="127" t="str">
        <f t="shared" si="14"/>
        <v>#REF!</v>
      </c>
      <c r="W51" s="127"/>
      <c r="X51" s="127"/>
      <c r="Y51" s="124">
        <f t="shared" si="6"/>
        <v>0</v>
      </c>
      <c r="Z51" s="225">
        <f t="shared" si="7"/>
        <v>0</v>
      </c>
    </row>
    <row r="52" ht="14.25" hidden="1" customHeight="1">
      <c r="A52" s="65"/>
      <c r="B52" s="234"/>
      <c r="C52" s="121" t="s">
        <v>682</v>
      </c>
      <c r="D52" s="65">
        <v>2.0</v>
      </c>
      <c r="E52" s="65"/>
      <c r="F52" s="65"/>
      <c r="G52" s="65">
        <v>1.0</v>
      </c>
      <c r="H52" s="65">
        <v>3.0</v>
      </c>
      <c r="I52" s="60">
        <f t="shared" si="3"/>
        <v>4</v>
      </c>
      <c r="J52" s="65">
        <v>2.0</v>
      </c>
      <c r="K52" s="65"/>
      <c r="L52" s="236"/>
      <c r="M52" s="65"/>
      <c r="N52" s="237"/>
      <c r="O52" s="65"/>
      <c r="P52" s="60">
        <f t="shared" si="4"/>
        <v>0</v>
      </c>
      <c r="Q52" s="121"/>
      <c r="R52" s="121"/>
      <c r="S52" s="121"/>
      <c r="T52" s="121"/>
      <c r="U52" s="121"/>
      <c r="V52" s="127" t="str">
        <f t="shared" si="14"/>
        <v>#REF!</v>
      </c>
      <c r="W52" s="127"/>
      <c r="X52" s="127"/>
      <c r="Y52" s="124">
        <f t="shared" si="6"/>
        <v>-4</v>
      </c>
      <c r="Z52" s="225">
        <f t="shared" si="7"/>
        <v>0</v>
      </c>
    </row>
    <row r="53" ht="14.25" hidden="1" customHeight="1">
      <c r="A53" s="65"/>
      <c r="B53" s="234"/>
      <c r="C53" s="121" t="s">
        <v>578</v>
      </c>
      <c r="D53" s="65">
        <v>2.0</v>
      </c>
      <c r="E53" s="65"/>
      <c r="F53" s="65"/>
      <c r="G53" s="65">
        <v>1.0</v>
      </c>
      <c r="H53" s="65">
        <v>3.0</v>
      </c>
      <c r="I53" s="60">
        <f t="shared" si="3"/>
        <v>4</v>
      </c>
      <c r="J53" s="65">
        <v>2.0</v>
      </c>
      <c r="K53" s="65"/>
      <c r="L53" s="236"/>
      <c r="M53" s="65"/>
      <c r="N53" s="237">
        <v>2.0</v>
      </c>
      <c r="O53" s="65"/>
      <c r="P53" s="60">
        <f t="shared" si="4"/>
        <v>2</v>
      </c>
      <c r="Q53" s="121"/>
      <c r="R53" s="121"/>
      <c r="S53" s="121"/>
      <c r="T53" s="121"/>
      <c r="U53" s="121"/>
      <c r="V53" s="127" t="str">
        <f t="shared" si="14"/>
        <v>#REF!</v>
      </c>
      <c r="W53" s="127"/>
      <c r="X53" s="127"/>
      <c r="Y53" s="124">
        <f t="shared" si="6"/>
        <v>-2</v>
      </c>
      <c r="Z53" s="225">
        <f t="shared" si="7"/>
        <v>0</v>
      </c>
    </row>
    <row r="54" ht="14.25" hidden="1" customHeight="1">
      <c r="A54" s="65"/>
      <c r="B54" s="234"/>
      <c r="C54" s="121" t="s">
        <v>593</v>
      </c>
      <c r="D54" s="65">
        <v>2.0</v>
      </c>
      <c r="E54" s="65"/>
      <c r="F54" s="65"/>
      <c r="G54" s="65"/>
      <c r="H54" s="65">
        <v>4.0</v>
      </c>
      <c r="I54" s="60">
        <f t="shared" si="3"/>
        <v>4</v>
      </c>
      <c r="J54" s="65"/>
      <c r="K54" s="65"/>
      <c r="L54" s="65"/>
      <c r="M54" s="65"/>
      <c r="N54" s="237"/>
      <c r="O54" s="65"/>
      <c r="P54" s="60">
        <f t="shared" si="4"/>
        <v>0</v>
      </c>
      <c r="Q54" s="121"/>
      <c r="R54" s="121"/>
      <c r="S54" s="121"/>
      <c r="T54" s="121"/>
      <c r="U54" s="121"/>
      <c r="V54" s="127" t="str">
        <f t="shared" si="14"/>
        <v>#REF!</v>
      </c>
      <c r="W54" s="127"/>
      <c r="X54" s="127"/>
      <c r="Y54" s="124">
        <f t="shared" si="6"/>
        <v>-4</v>
      </c>
      <c r="Z54" s="225">
        <f t="shared" si="7"/>
        <v>0</v>
      </c>
    </row>
    <row r="55" ht="14.25" hidden="1" customHeight="1">
      <c r="A55" s="65"/>
      <c r="B55" s="234"/>
      <c r="C55" s="121" t="s">
        <v>594</v>
      </c>
      <c r="D55" s="65">
        <v>2.0</v>
      </c>
      <c r="E55" s="65"/>
      <c r="F55" s="65"/>
      <c r="G55" s="65"/>
      <c r="H55" s="65">
        <v>4.0</v>
      </c>
      <c r="I55" s="60">
        <f t="shared" si="3"/>
        <v>4</v>
      </c>
      <c r="J55" s="65"/>
      <c r="K55" s="65"/>
      <c r="L55" s="65"/>
      <c r="M55" s="65"/>
      <c r="N55" s="237"/>
      <c r="O55" s="65"/>
      <c r="P55" s="60">
        <f t="shared" si="4"/>
        <v>0</v>
      </c>
      <c r="Q55" s="121"/>
      <c r="R55" s="121"/>
      <c r="S55" s="121"/>
      <c r="T55" s="121"/>
      <c r="U55" s="121"/>
      <c r="V55" s="127" t="str">
        <f t="shared" si="14"/>
        <v>#REF!</v>
      </c>
      <c r="W55" s="127"/>
      <c r="X55" s="127"/>
      <c r="Y55" s="124">
        <f t="shared" si="6"/>
        <v>-4</v>
      </c>
      <c r="Z55" s="225">
        <f t="shared" si="7"/>
        <v>0</v>
      </c>
    </row>
    <row r="56" ht="14.25" hidden="1" customHeight="1">
      <c r="A56" s="65"/>
      <c r="B56" s="234"/>
      <c r="C56" s="121" t="s">
        <v>516</v>
      </c>
      <c r="D56" s="65">
        <v>2.0</v>
      </c>
      <c r="E56" s="65"/>
      <c r="F56" s="65"/>
      <c r="G56" s="65">
        <v>1.0</v>
      </c>
      <c r="H56" s="65">
        <v>1.0</v>
      </c>
      <c r="I56" s="60">
        <f t="shared" si="3"/>
        <v>2</v>
      </c>
      <c r="J56" s="65">
        <v>2.0</v>
      </c>
      <c r="K56" s="65"/>
      <c r="L56" s="65"/>
      <c r="M56" s="238">
        <v>1.0</v>
      </c>
      <c r="N56" s="239">
        <v>1.0</v>
      </c>
      <c r="O56" s="65"/>
      <c r="P56" s="60">
        <f t="shared" si="4"/>
        <v>2</v>
      </c>
      <c r="Q56" s="121"/>
      <c r="R56" s="121"/>
      <c r="S56" s="121"/>
      <c r="T56" s="121"/>
      <c r="U56" s="121"/>
      <c r="V56" s="127" t="str">
        <f t="shared" si="14"/>
        <v>#REF!</v>
      </c>
      <c r="W56" s="127"/>
      <c r="X56" s="127"/>
      <c r="Y56" s="124">
        <f t="shared" si="6"/>
        <v>0</v>
      </c>
      <c r="Z56" s="225">
        <f t="shared" si="7"/>
        <v>0</v>
      </c>
    </row>
    <row r="57" ht="14.25" hidden="1" customHeight="1">
      <c r="A57" s="65"/>
      <c r="B57" s="234"/>
      <c r="C57" s="121" t="s">
        <v>687</v>
      </c>
      <c r="D57" s="65">
        <v>2.0</v>
      </c>
      <c r="E57" s="65"/>
      <c r="F57" s="65"/>
      <c r="G57" s="65">
        <v>1.0</v>
      </c>
      <c r="H57" s="65">
        <v>1.0</v>
      </c>
      <c r="I57" s="60">
        <f t="shared" si="3"/>
        <v>2</v>
      </c>
      <c r="J57" s="65">
        <v>2.0</v>
      </c>
      <c r="K57" s="65"/>
      <c r="L57" s="65"/>
      <c r="M57" s="238">
        <v>1.0</v>
      </c>
      <c r="N57" s="239">
        <v>1.0</v>
      </c>
      <c r="O57" s="65"/>
      <c r="P57" s="60">
        <f t="shared" si="4"/>
        <v>2</v>
      </c>
      <c r="Q57" s="121"/>
      <c r="R57" s="121"/>
      <c r="S57" s="121"/>
      <c r="T57" s="121"/>
      <c r="U57" s="121"/>
      <c r="V57" s="127" t="str">
        <f t="shared" si="14"/>
        <v>#REF!</v>
      </c>
      <c r="W57" s="127"/>
      <c r="X57" s="127"/>
      <c r="Y57" s="124">
        <f t="shared" si="6"/>
        <v>0</v>
      </c>
      <c r="Z57" s="225">
        <f t="shared" si="7"/>
        <v>0</v>
      </c>
    </row>
    <row r="58" ht="14.25" hidden="1" customHeight="1">
      <c r="A58" s="65"/>
      <c r="B58" s="234"/>
      <c r="C58" s="121" t="s">
        <v>632</v>
      </c>
      <c r="D58" s="65">
        <v>2.0</v>
      </c>
      <c r="E58" s="65"/>
      <c r="F58" s="65"/>
      <c r="G58" s="65"/>
      <c r="H58" s="65">
        <v>1.0</v>
      </c>
      <c r="I58" s="60">
        <f t="shared" si="3"/>
        <v>1</v>
      </c>
      <c r="J58" s="65">
        <v>2.0</v>
      </c>
      <c r="K58" s="65"/>
      <c r="L58" s="65"/>
      <c r="M58" s="238"/>
      <c r="N58" s="239">
        <v>1.0</v>
      </c>
      <c r="O58" s="65"/>
      <c r="P58" s="60">
        <f t="shared" si="4"/>
        <v>1</v>
      </c>
      <c r="Q58" s="121"/>
      <c r="R58" s="121"/>
      <c r="S58" s="121"/>
      <c r="T58" s="121"/>
      <c r="U58" s="121"/>
      <c r="V58" s="127" t="str">
        <f t="shared" si="14"/>
        <v>#REF!</v>
      </c>
      <c r="W58" s="127"/>
      <c r="X58" s="127"/>
      <c r="Y58" s="124">
        <f t="shared" si="6"/>
        <v>0</v>
      </c>
      <c r="Z58" s="225">
        <f t="shared" si="7"/>
        <v>0</v>
      </c>
    </row>
    <row r="59" ht="14.25" hidden="1" customHeight="1">
      <c r="A59" s="65"/>
      <c r="B59" s="234"/>
      <c r="C59" s="121" t="s">
        <v>688</v>
      </c>
      <c r="D59" s="65">
        <v>2.0</v>
      </c>
      <c r="E59" s="65"/>
      <c r="F59" s="65"/>
      <c r="G59" s="65">
        <v>1.0</v>
      </c>
      <c r="H59" s="65"/>
      <c r="I59" s="60">
        <f t="shared" si="3"/>
        <v>1</v>
      </c>
      <c r="J59" s="65">
        <v>2.0</v>
      </c>
      <c r="K59" s="65"/>
      <c r="L59" s="65"/>
      <c r="M59" s="238">
        <v>1.0</v>
      </c>
      <c r="N59" s="239"/>
      <c r="O59" s="65"/>
      <c r="P59" s="60">
        <f t="shared" si="4"/>
        <v>1</v>
      </c>
      <c r="Q59" s="121"/>
      <c r="R59" s="121"/>
      <c r="S59" s="121"/>
      <c r="T59" s="121"/>
      <c r="U59" s="121"/>
      <c r="V59" s="127" t="str">
        <f t="shared" si="14"/>
        <v>#REF!</v>
      </c>
      <c r="W59" s="127"/>
      <c r="X59" s="127"/>
      <c r="Y59" s="124">
        <f t="shared" si="6"/>
        <v>0</v>
      </c>
      <c r="Z59" s="225">
        <f t="shared" si="7"/>
        <v>0</v>
      </c>
    </row>
    <row r="60" ht="14.25" hidden="1" customHeight="1">
      <c r="A60" s="65"/>
      <c r="B60" s="234"/>
      <c r="C60" s="121" t="s">
        <v>689</v>
      </c>
      <c r="D60" s="65">
        <v>2.0</v>
      </c>
      <c r="E60" s="65">
        <v>1.0</v>
      </c>
      <c r="F60" s="65"/>
      <c r="G60" s="65">
        <v>2.0</v>
      </c>
      <c r="H60" s="65">
        <v>6.0</v>
      </c>
      <c r="I60" s="60">
        <f t="shared" si="3"/>
        <v>9</v>
      </c>
      <c r="J60" s="65">
        <v>3.0</v>
      </c>
      <c r="K60" s="65">
        <v>1.0</v>
      </c>
      <c r="L60" s="65"/>
      <c r="M60" s="65">
        <v>2.0</v>
      </c>
      <c r="N60" s="65">
        <v>6.0</v>
      </c>
      <c r="O60" s="65"/>
      <c r="P60" s="60">
        <f t="shared" si="4"/>
        <v>9</v>
      </c>
      <c r="Q60" s="121"/>
      <c r="R60" s="121"/>
      <c r="S60" s="121"/>
      <c r="T60" s="121"/>
      <c r="U60" s="121"/>
      <c r="V60" s="127" t="str">
        <f t="shared" si="14"/>
        <v>#REF!</v>
      </c>
      <c r="W60" s="127" t="s">
        <v>651</v>
      </c>
      <c r="X60" s="127"/>
      <c r="Y60" s="124">
        <f t="shared" si="6"/>
        <v>0</v>
      </c>
      <c r="Z60" s="225">
        <f t="shared" si="7"/>
        <v>0</v>
      </c>
    </row>
    <row r="61" ht="14.25" hidden="1" customHeight="1">
      <c r="A61" s="65"/>
      <c r="B61" s="234"/>
      <c r="C61" s="121" t="s">
        <v>690</v>
      </c>
      <c r="D61" s="65">
        <v>2.0</v>
      </c>
      <c r="E61" s="65"/>
      <c r="F61" s="65"/>
      <c r="G61" s="65"/>
      <c r="H61" s="65">
        <v>2.0</v>
      </c>
      <c r="I61" s="60">
        <f t="shared" si="3"/>
        <v>2</v>
      </c>
      <c r="J61" s="65">
        <v>2.0</v>
      </c>
      <c r="K61" s="240"/>
      <c r="L61" s="65"/>
      <c r="M61" s="65"/>
      <c r="N61" s="241">
        <v>2.0</v>
      </c>
      <c r="O61" s="65"/>
      <c r="P61" s="60">
        <f t="shared" si="4"/>
        <v>2</v>
      </c>
      <c r="Q61" s="121"/>
      <c r="R61" s="121"/>
      <c r="S61" s="121"/>
      <c r="T61" s="121"/>
      <c r="U61" s="121"/>
      <c r="V61" s="127" t="str">
        <f>#REF!-P63</f>
        <v>#REF!</v>
      </c>
      <c r="W61" s="127" t="s">
        <v>651</v>
      </c>
      <c r="X61" s="127"/>
      <c r="Y61" s="124">
        <f t="shared" si="6"/>
        <v>0</v>
      </c>
      <c r="Z61" s="225">
        <f t="shared" si="7"/>
        <v>0</v>
      </c>
    </row>
    <row r="62" ht="14.25" hidden="1" customHeight="1">
      <c r="A62" s="65"/>
      <c r="B62" s="229"/>
      <c r="C62" s="121" t="s">
        <v>692</v>
      </c>
      <c r="D62" s="65">
        <v>2.0</v>
      </c>
      <c r="E62" s="65">
        <v>1.0</v>
      </c>
      <c r="F62" s="65">
        <v>2.0</v>
      </c>
      <c r="G62" s="65">
        <v>2.0</v>
      </c>
      <c r="H62" s="65"/>
      <c r="I62" s="60">
        <f t="shared" si="3"/>
        <v>5</v>
      </c>
      <c r="J62" s="65">
        <v>2.0</v>
      </c>
      <c r="K62" s="240">
        <v>1.0</v>
      </c>
      <c r="L62" s="236">
        <v>2.0</v>
      </c>
      <c r="M62" s="65"/>
      <c r="N62" s="65"/>
      <c r="O62" s="65">
        <v>2.0</v>
      </c>
      <c r="P62" s="60">
        <f t="shared" si="4"/>
        <v>5</v>
      </c>
      <c r="Q62" s="121"/>
      <c r="R62" s="121"/>
      <c r="S62" s="121"/>
      <c r="T62" s="121"/>
      <c r="U62" s="121"/>
      <c r="V62" s="127"/>
      <c r="W62" s="127"/>
      <c r="X62" s="127"/>
      <c r="Y62" s="124">
        <f t="shared" si="6"/>
        <v>0</v>
      </c>
      <c r="Z62" s="225">
        <f t="shared" si="7"/>
        <v>0</v>
      </c>
    </row>
    <row r="63" ht="14.25" hidden="1" customHeight="1">
      <c r="A63" s="65">
        <v>13.0</v>
      </c>
      <c r="B63" s="229" t="s">
        <v>524</v>
      </c>
      <c r="C63" s="121" t="s">
        <v>693</v>
      </c>
      <c r="D63" s="65">
        <v>2.0</v>
      </c>
      <c r="E63" s="65"/>
      <c r="F63" s="65"/>
      <c r="G63" s="65">
        <v>2.0</v>
      </c>
      <c r="H63" s="65">
        <v>2.0</v>
      </c>
      <c r="I63" s="60">
        <f t="shared" si="3"/>
        <v>4</v>
      </c>
      <c r="J63" s="65">
        <v>2.0</v>
      </c>
      <c r="K63" s="240"/>
      <c r="L63" s="65"/>
      <c r="M63" s="65"/>
      <c r="N63" s="241">
        <v>2.0</v>
      </c>
      <c r="O63" s="65"/>
      <c r="P63" s="60">
        <f t="shared" si="4"/>
        <v>2</v>
      </c>
      <c r="Q63" s="121"/>
      <c r="R63" s="121"/>
      <c r="S63" s="121"/>
      <c r="T63" s="121"/>
      <c r="U63" s="121"/>
      <c r="V63" s="127" t="str">
        <f t="shared" ref="V63:V67" si="15">#REF!-P64</f>
        <v>#REF!</v>
      </c>
      <c r="W63" s="127" t="s">
        <v>694</v>
      </c>
      <c r="X63" s="127"/>
      <c r="Y63" s="124">
        <f t="shared" si="6"/>
        <v>-2</v>
      </c>
      <c r="Z63" s="225">
        <f t="shared" si="7"/>
        <v>0</v>
      </c>
    </row>
    <row r="64" ht="14.25" hidden="1" customHeight="1">
      <c r="A64" s="65"/>
      <c r="B64" s="229"/>
      <c r="C64" s="121" t="s">
        <v>695</v>
      </c>
      <c r="D64" s="65">
        <v>1.0</v>
      </c>
      <c r="E64" s="65"/>
      <c r="F64" s="65"/>
      <c r="G64" s="65"/>
      <c r="H64" s="65">
        <v>10.0</v>
      </c>
      <c r="I64" s="60">
        <f t="shared" si="3"/>
        <v>10</v>
      </c>
      <c r="J64" s="65"/>
      <c r="K64" s="65"/>
      <c r="L64" s="65"/>
      <c r="M64" s="65"/>
      <c r="N64" s="65"/>
      <c r="O64" s="65">
        <v>8.0</v>
      </c>
      <c r="P64" s="60">
        <f t="shared" si="4"/>
        <v>8</v>
      </c>
      <c r="Q64" s="121"/>
      <c r="R64" s="121"/>
      <c r="S64" s="121"/>
      <c r="T64" s="121"/>
      <c r="U64" s="121"/>
      <c r="V64" s="127" t="str">
        <f t="shared" si="15"/>
        <v>#REF!</v>
      </c>
      <c r="W64" s="127"/>
      <c r="X64" s="127"/>
      <c r="Y64" s="124">
        <f t="shared" si="6"/>
        <v>-2</v>
      </c>
      <c r="Z64" s="225">
        <f t="shared" si="7"/>
        <v>0</v>
      </c>
    </row>
    <row r="65" ht="14.25" hidden="1" customHeight="1">
      <c r="A65" s="65"/>
      <c r="B65" s="229"/>
      <c r="C65" s="121" t="s">
        <v>697</v>
      </c>
      <c r="D65" s="65">
        <v>2.0</v>
      </c>
      <c r="E65" s="65"/>
      <c r="F65" s="65"/>
      <c r="G65" s="65"/>
      <c r="H65" s="65">
        <v>2.0</v>
      </c>
      <c r="I65" s="60">
        <f t="shared" si="3"/>
        <v>2</v>
      </c>
      <c r="J65" s="65"/>
      <c r="K65" s="65"/>
      <c r="L65" s="65"/>
      <c r="M65" s="235"/>
      <c r="N65" s="65"/>
      <c r="O65" s="65"/>
      <c r="P65" s="60">
        <f t="shared" si="4"/>
        <v>0</v>
      </c>
      <c r="Q65" s="121"/>
      <c r="R65" s="121"/>
      <c r="S65" s="121"/>
      <c r="T65" s="121"/>
      <c r="U65" s="121"/>
      <c r="V65" s="127" t="str">
        <f t="shared" si="15"/>
        <v>#REF!</v>
      </c>
      <c r="W65" s="127" t="s">
        <v>694</v>
      </c>
      <c r="X65" s="127"/>
      <c r="Y65" s="124">
        <f t="shared" si="6"/>
        <v>-2</v>
      </c>
      <c r="Z65" s="225">
        <f t="shared" si="7"/>
        <v>0</v>
      </c>
    </row>
    <row r="66" ht="14.25" hidden="1" customHeight="1">
      <c r="A66" s="65"/>
      <c r="B66" s="229"/>
      <c r="C66" s="121" t="s">
        <v>698</v>
      </c>
      <c r="D66" s="65">
        <v>1.0</v>
      </c>
      <c r="E66" s="65"/>
      <c r="F66" s="65"/>
      <c r="G66" s="65"/>
      <c r="H66" s="65">
        <v>10.0</v>
      </c>
      <c r="I66" s="60">
        <f t="shared" si="3"/>
        <v>10</v>
      </c>
      <c r="J66" s="65"/>
      <c r="K66" s="65"/>
      <c r="L66" s="65"/>
      <c r="M66" s="65"/>
      <c r="N66" s="65"/>
      <c r="O66" s="65">
        <v>8.0</v>
      </c>
      <c r="P66" s="60">
        <f t="shared" si="4"/>
        <v>8</v>
      </c>
      <c r="Q66" s="121"/>
      <c r="R66" s="121"/>
      <c r="S66" s="121"/>
      <c r="T66" s="121"/>
      <c r="U66" s="121"/>
      <c r="V66" s="127" t="str">
        <f t="shared" si="15"/>
        <v>#REF!</v>
      </c>
      <c r="W66" s="127"/>
      <c r="X66" s="127"/>
      <c r="Y66" s="124">
        <f t="shared" si="6"/>
        <v>-2</v>
      </c>
      <c r="Z66" s="225">
        <f t="shared" si="7"/>
        <v>0</v>
      </c>
    </row>
    <row r="67" ht="14.25" hidden="1" customHeight="1">
      <c r="A67" s="65"/>
      <c r="B67" s="229"/>
      <c r="C67" s="121" t="s">
        <v>700</v>
      </c>
      <c r="D67" s="65">
        <v>2.0</v>
      </c>
      <c r="E67" s="65"/>
      <c r="F67" s="65"/>
      <c r="G67" s="65"/>
      <c r="H67" s="65">
        <v>4.0</v>
      </c>
      <c r="I67" s="60">
        <f t="shared" si="3"/>
        <v>4</v>
      </c>
      <c r="J67" s="65"/>
      <c r="K67" s="240"/>
      <c r="L67" s="65"/>
      <c r="M67" s="235"/>
      <c r="N67" s="65"/>
      <c r="O67" s="65"/>
      <c r="P67" s="60">
        <f t="shared" si="4"/>
        <v>0</v>
      </c>
      <c r="Q67" s="121"/>
      <c r="R67" s="121"/>
      <c r="S67" s="121"/>
      <c r="T67" s="121"/>
      <c r="U67" s="121"/>
      <c r="V67" s="127" t="str">
        <f t="shared" si="15"/>
        <v>#REF!</v>
      </c>
      <c r="W67" s="127" t="s">
        <v>651</v>
      </c>
      <c r="X67" s="127"/>
      <c r="Y67" s="124">
        <f t="shared" si="6"/>
        <v>-4</v>
      </c>
      <c r="Z67" s="225">
        <f t="shared" si="7"/>
        <v>0</v>
      </c>
    </row>
    <row r="68" ht="14.25" hidden="1" customHeight="1">
      <c r="A68" s="65"/>
      <c r="B68" s="229"/>
      <c r="C68" s="121" t="s">
        <v>702</v>
      </c>
      <c r="D68" s="65">
        <v>2.0</v>
      </c>
      <c r="E68" s="65"/>
      <c r="F68" s="65"/>
      <c r="G68" s="65"/>
      <c r="H68" s="65">
        <v>2.0</v>
      </c>
      <c r="I68" s="60">
        <f t="shared" si="3"/>
        <v>2</v>
      </c>
      <c r="J68" s="65"/>
      <c r="K68" s="65"/>
      <c r="L68" s="65"/>
      <c r="M68" s="235"/>
      <c r="N68" s="65"/>
      <c r="O68" s="65"/>
      <c r="P68" s="60">
        <f t="shared" si="4"/>
        <v>0</v>
      </c>
      <c r="Q68" s="121"/>
      <c r="R68" s="121"/>
      <c r="S68" s="121"/>
      <c r="T68" s="121"/>
      <c r="U68" s="121"/>
      <c r="V68" s="127" t="str">
        <f t="shared" ref="V68:V69" si="16">#REF!-#REF!</f>
        <v>#REF!</v>
      </c>
      <c r="W68" s="127"/>
      <c r="X68" s="127"/>
      <c r="Y68" s="124">
        <f t="shared" si="6"/>
        <v>-2</v>
      </c>
      <c r="Z68" s="225">
        <f t="shared" si="7"/>
        <v>0</v>
      </c>
    </row>
    <row r="69" ht="14.25" hidden="1" customHeight="1">
      <c r="A69" s="65"/>
      <c r="B69" s="229"/>
      <c r="C69" s="121" t="s">
        <v>530</v>
      </c>
      <c r="D69" s="65">
        <v>3.0</v>
      </c>
      <c r="E69" s="65"/>
      <c r="F69" s="65"/>
      <c r="G69" s="65">
        <v>1.0</v>
      </c>
      <c r="H69" s="65">
        <v>2.0</v>
      </c>
      <c r="I69" s="60">
        <f t="shared" si="3"/>
        <v>3</v>
      </c>
      <c r="J69" s="65"/>
      <c r="K69" s="65"/>
      <c r="L69" s="65"/>
      <c r="M69" s="65"/>
      <c r="N69" s="65"/>
      <c r="O69" s="65"/>
      <c r="P69" s="60">
        <f t="shared" si="4"/>
        <v>0</v>
      </c>
      <c r="Q69" s="121"/>
      <c r="R69" s="121"/>
      <c r="S69" s="121"/>
      <c r="T69" s="121"/>
      <c r="U69" s="121"/>
      <c r="V69" s="127" t="str">
        <f t="shared" si="16"/>
        <v>#REF!</v>
      </c>
      <c r="W69" s="127"/>
      <c r="X69" s="127"/>
      <c r="Y69" s="124">
        <f t="shared" si="6"/>
        <v>-3</v>
      </c>
      <c r="Z69" s="225">
        <f t="shared" si="7"/>
        <v>0</v>
      </c>
    </row>
    <row r="70" ht="14.25" hidden="1" customHeight="1">
      <c r="A70" s="65"/>
      <c r="B70" s="229"/>
      <c r="C70" s="121" t="s">
        <v>705</v>
      </c>
      <c r="D70" s="65">
        <v>3.0</v>
      </c>
      <c r="E70" s="65"/>
      <c r="F70" s="65"/>
      <c r="G70" s="65">
        <v>1.0</v>
      </c>
      <c r="H70" s="65">
        <v>2.0</v>
      </c>
      <c r="I70" s="60">
        <f t="shared" si="3"/>
        <v>3</v>
      </c>
      <c r="J70" s="65">
        <v>1.0</v>
      </c>
      <c r="K70" s="65"/>
      <c r="L70" s="65"/>
      <c r="M70" s="235">
        <v>1.0</v>
      </c>
      <c r="N70" s="65">
        <v>2.0</v>
      </c>
      <c r="O70" s="65"/>
      <c r="P70" s="60">
        <f t="shared" si="4"/>
        <v>3</v>
      </c>
      <c r="Q70" s="121"/>
      <c r="R70" s="121"/>
      <c r="S70" s="121"/>
      <c r="T70" s="121"/>
      <c r="U70" s="121"/>
      <c r="V70" s="127" t="str">
        <f>#REF!-P69</f>
        <v>#REF!</v>
      </c>
      <c r="W70" s="127"/>
      <c r="X70" s="127"/>
      <c r="Y70" s="124">
        <f t="shared" si="6"/>
        <v>0</v>
      </c>
      <c r="Z70" s="225">
        <f t="shared" si="7"/>
        <v>0</v>
      </c>
    </row>
    <row r="71" ht="14.25" hidden="1" customHeight="1">
      <c r="A71" s="65"/>
      <c r="B71" s="229"/>
      <c r="C71" s="121" t="s">
        <v>707</v>
      </c>
      <c r="D71" s="65">
        <v>2.0</v>
      </c>
      <c r="E71" s="65"/>
      <c r="F71" s="65"/>
      <c r="G71" s="65"/>
      <c r="H71" s="65">
        <v>5.0</v>
      </c>
      <c r="I71" s="60">
        <f t="shared" si="3"/>
        <v>5</v>
      </c>
      <c r="J71" s="65"/>
      <c r="K71" s="65"/>
      <c r="L71" s="65"/>
      <c r="M71" s="65"/>
      <c r="N71" s="65">
        <v>5.0</v>
      </c>
      <c r="O71" s="65"/>
      <c r="P71" s="60">
        <f t="shared" si="4"/>
        <v>5</v>
      </c>
      <c r="Q71" s="121"/>
      <c r="R71" s="121"/>
      <c r="S71" s="121"/>
      <c r="T71" s="121"/>
      <c r="U71" s="121"/>
      <c r="V71" s="127" t="str">
        <f>#REF!-#REF!</f>
        <v>#REF!</v>
      </c>
      <c r="W71" s="127"/>
      <c r="X71" s="127"/>
      <c r="Y71" s="124">
        <f t="shared" si="6"/>
        <v>0</v>
      </c>
      <c r="Z71" s="225">
        <f t="shared" si="7"/>
        <v>0</v>
      </c>
    </row>
    <row r="72" ht="14.25" hidden="1" customHeight="1">
      <c r="A72" s="65"/>
      <c r="B72" s="229"/>
      <c r="C72" s="121" t="s">
        <v>708</v>
      </c>
      <c r="D72" s="65">
        <v>2.0</v>
      </c>
      <c r="E72" s="65"/>
      <c r="F72" s="65"/>
      <c r="G72" s="65">
        <v>1.0</v>
      </c>
      <c r="H72" s="65">
        <v>1.0</v>
      </c>
      <c r="I72" s="60">
        <f t="shared" si="3"/>
        <v>2</v>
      </c>
      <c r="J72" s="65">
        <v>1.0</v>
      </c>
      <c r="K72" s="65"/>
      <c r="L72" s="65"/>
      <c r="M72" s="65"/>
      <c r="N72" s="65"/>
      <c r="O72" s="65"/>
      <c r="P72" s="60">
        <f t="shared" si="4"/>
        <v>0</v>
      </c>
      <c r="Q72" s="121"/>
      <c r="R72" s="121"/>
      <c r="S72" s="121"/>
      <c r="T72" s="121"/>
      <c r="U72" s="121"/>
      <c r="V72" s="127" t="str">
        <f t="shared" ref="V72:V75" si="17">#REF!-P71</f>
        <v>#REF!</v>
      </c>
      <c r="W72" s="127" t="s">
        <v>651</v>
      </c>
      <c r="X72" s="127"/>
      <c r="Y72" s="124">
        <f t="shared" si="6"/>
        <v>-2</v>
      </c>
      <c r="Z72" s="225">
        <f t="shared" si="7"/>
        <v>0</v>
      </c>
    </row>
    <row r="73" ht="14.25" hidden="1" customHeight="1">
      <c r="A73" s="65"/>
      <c r="B73" s="229"/>
      <c r="C73" s="121" t="s">
        <v>709</v>
      </c>
      <c r="D73" s="65">
        <v>1.0</v>
      </c>
      <c r="E73" s="65"/>
      <c r="F73" s="65"/>
      <c r="G73" s="65"/>
      <c r="H73" s="65"/>
      <c r="I73" s="60">
        <f t="shared" si="3"/>
        <v>0</v>
      </c>
      <c r="J73" s="65"/>
      <c r="K73" s="65"/>
      <c r="L73" s="65"/>
      <c r="M73" s="65"/>
      <c r="N73" s="65"/>
      <c r="O73" s="65"/>
      <c r="P73" s="60">
        <f t="shared" si="4"/>
        <v>0</v>
      </c>
      <c r="Q73" s="121"/>
      <c r="R73" s="121"/>
      <c r="S73" s="121"/>
      <c r="T73" s="121"/>
      <c r="U73" s="121"/>
      <c r="V73" s="127" t="str">
        <f t="shared" si="17"/>
        <v>#REF!</v>
      </c>
      <c r="W73" s="127"/>
      <c r="X73" s="127"/>
      <c r="Y73" s="124">
        <f t="shared" si="6"/>
        <v>0</v>
      </c>
      <c r="Z73" s="225">
        <f t="shared" si="7"/>
        <v>0</v>
      </c>
    </row>
    <row r="74" ht="14.25" hidden="1" customHeight="1">
      <c r="A74" s="65"/>
      <c r="B74" s="229"/>
      <c r="C74" s="121" t="s">
        <v>710</v>
      </c>
      <c r="D74" s="65">
        <v>3.0</v>
      </c>
      <c r="E74" s="65"/>
      <c r="F74" s="65"/>
      <c r="G74" s="65">
        <v>3.0</v>
      </c>
      <c r="H74" s="65">
        <v>21.0</v>
      </c>
      <c r="I74" s="60">
        <f t="shared" si="3"/>
        <v>24</v>
      </c>
      <c r="J74" s="65">
        <v>2.0</v>
      </c>
      <c r="K74" s="65"/>
      <c r="L74" s="65"/>
      <c r="M74" s="65"/>
      <c r="N74" s="65">
        <v>9.0</v>
      </c>
      <c r="O74" s="65">
        <v>15.0</v>
      </c>
      <c r="P74" s="60">
        <f t="shared" si="4"/>
        <v>24</v>
      </c>
      <c r="Q74" s="121"/>
      <c r="R74" s="121"/>
      <c r="S74" s="121"/>
      <c r="T74" s="121"/>
      <c r="U74" s="121"/>
      <c r="V74" s="127" t="str">
        <f t="shared" si="17"/>
        <v>#REF!</v>
      </c>
      <c r="W74" s="127"/>
      <c r="X74" s="127"/>
      <c r="Y74" s="124">
        <f t="shared" si="6"/>
        <v>0</v>
      </c>
      <c r="Z74" s="225">
        <f t="shared" si="7"/>
        <v>0</v>
      </c>
    </row>
    <row r="75" ht="14.25" hidden="1" customHeight="1">
      <c r="A75" s="65"/>
      <c r="B75" s="229"/>
      <c r="C75" s="121" t="s">
        <v>711</v>
      </c>
      <c r="D75" s="65">
        <v>1.0</v>
      </c>
      <c r="E75" s="65"/>
      <c r="F75" s="65"/>
      <c r="G75" s="65">
        <v>2.0</v>
      </c>
      <c r="H75" s="65"/>
      <c r="I75" s="60">
        <f t="shared" si="3"/>
        <v>2</v>
      </c>
      <c r="J75" s="65">
        <v>1.0</v>
      </c>
      <c r="K75" s="65"/>
      <c r="L75" s="65"/>
      <c r="M75" s="65">
        <v>2.0</v>
      </c>
      <c r="N75" s="65"/>
      <c r="O75" s="65"/>
      <c r="P75" s="60">
        <f t="shared" si="4"/>
        <v>2</v>
      </c>
      <c r="Q75" s="121"/>
      <c r="R75" s="121"/>
      <c r="S75" s="121"/>
      <c r="T75" s="121"/>
      <c r="U75" s="121"/>
      <c r="V75" s="127" t="str">
        <f t="shared" si="17"/>
        <v>#REF!</v>
      </c>
      <c r="W75" s="127"/>
      <c r="X75" s="127"/>
      <c r="Y75" s="124">
        <f t="shared" si="6"/>
        <v>0</v>
      </c>
      <c r="Z75" s="225">
        <f t="shared" si="7"/>
        <v>0</v>
      </c>
    </row>
    <row r="76" ht="14.25" hidden="1" customHeight="1">
      <c r="A76" s="65"/>
      <c r="B76" s="229"/>
      <c r="C76" s="229" t="s">
        <v>713</v>
      </c>
      <c r="D76" s="65">
        <v>3.0</v>
      </c>
      <c r="E76" s="65"/>
      <c r="F76" s="65"/>
      <c r="G76" s="65"/>
      <c r="H76" s="65">
        <v>3.0</v>
      </c>
      <c r="I76" s="60">
        <f t="shared" si="3"/>
        <v>3</v>
      </c>
      <c r="J76" s="65">
        <v>3.0</v>
      </c>
      <c r="K76" s="67"/>
      <c r="L76" s="67"/>
      <c r="M76" s="67"/>
      <c r="N76" s="65">
        <v>3.0</v>
      </c>
      <c r="O76" s="67"/>
      <c r="P76" s="60">
        <f t="shared" si="4"/>
        <v>3</v>
      </c>
      <c r="Q76" s="121"/>
      <c r="R76" s="121"/>
      <c r="S76" s="121"/>
      <c r="T76" s="121"/>
      <c r="U76" s="121"/>
      <c r="V76" s="127" t="str">
        <f>#REF!-P74</f>
        <v>#REF!</v>
      </c>
      <c r="W76" s="127" t="s">
        <v>651</v>
      </c>
      <c r="X76" s="127"/>
      <c r="Y76" s="124">
        <f t="shared" si="6"/>
        <v>0</v>
      </c>
      <c r="Z76" s="225">
        <f t="shared" si="7"/>
        <v>0</v>
      </c>
    </row>
    <row r="77" ht="14.25" hidden="1" customHeight="1">
      <c r="A77" s="65"/>
      <c r="B77" s="121"/>
      <c r="C77" s="121"/>
      <c r="D77" s="67"/>
      <c r="E77" s="67">
        <f t="shared" ref="E77:I77" si="18">SUM(E6:E76)</f>
        <v>37</v>
      </c>
      <c r="F77" s="67">
        <f t="shared" si="18"/>
        <v>14</v>
      </c>
      <c r="G77" s="67">
        <f t="shared" si="18"/>
        <v>91</v>
      </c>
      <c r="H77" s="67">
        <f t="shared" si="18"/>
        <v>183</v>
      </c>
      <c r="I77" s="67">
        <f t="shared" si="18"/>
        <v>325</v>
      </c>
      <c r="J77" s="67"/>
      <c r="K77" s="67">
        <f t="shared" ref="K77:P77" si="19">SUM(K6:K76)</f>
        <v>36</v>
      </c>
      <c r="L77" s="67">
        <f t="shared" si="19"/>
        <v>9</v>
      </c>
      <c r="M77" s="67">
        <f t="shared" si="19"/>
        <v>71</v>
      </c>
      <c r="N77" s="67">
        <f t="shared" si="19"/>
        <v>97</v>
      </c>
      <c r="O77" s="67">
        <f t="shared" si="19"/>
        <v>33</v>
      </c>
      <c r="P77" s="243">
        <f t="shared" si="19"/>
        <v>246</v>
      </c>
      <c r="Q77" s="121"/>
      <c r="R77" s="121"/>
      <c r="S77" s="121"/>
      <c r="T77" s="121">
        <f t="shared" ref="T77:V77" si="20">SUM(T45:T76)</f>
        <v>0</v>
      </c>
      <c r="U77" s="121">
        <f t="shared" si="20"/>
        <v>0</v>
      </c>
      <c r="V77" s="244" t="str">
        <f t="shared" si="20"/>
        <v>#REF!</v>
      </c>
      <c r="W77" s="127">
        <v>14.0</v>
      </c>
      <c r="X77" s="127" t="str">
        <f>V77-W77</f>
        <v>#REF!</v>
      </c>
      <c r="Y77" s="243">
        <f>SUM(Y6:Y76)</f>
        <v>-79</v>
      </c>
      <c r="Z77" s="127"/>
    </row>
    <row r="78" ht="14.25" hidden="1" customHeight="1">
      <c r="A78" s="127"/>
      <c r="B78" s="127"/>
      <c r="C78" s="127"/>
      <c r="D78" s="127"/>
      <c r="E78" s="127"/>
      <c r="F78" s="127"/>
      <c r="G78" s="127"/>
      <c r="H78" s="127"/>
      <c r="I78" s="127"/>
      <c r="J78" s="24"/>
      <c r="O78" s="125"/>
      <c r="P78" s="172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ht="14.25" hidden="1" customHeight="1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ht="14.25" hidden="1" customHeight="1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ht="14.25" hidden="1" customHeight="1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ht="14.25" hidden="1" customHeight="1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ht="14.25" hidden="1" customHeight="1">
      <c r="A83" s="127"/>
      <c r="B83" s="127" t="s">
        <v>718</v>
      </c>
      <c r="C83" s="127" t="s">
        <v>719</v>
      </c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ht="14.25" hidden="1" customHeight="1">
      <c r="A84" s="127"/>
      <c r="B84" s="127"/>
      <c r="C84" s="127" t="s">
        <v>720</v>
      </c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ht="14.25" hidden="1" customHeight="1">
      <c r="A85" s="127"/>
      <c r="B85" s="127"/>
      <c r="C85" s="127" t="s">
        <v>722</v>
      </c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ht="14.25" hidden="1" customHeight="1">
      <c r="A86" s="127"/>
      <c r="B86" s="127"/>
      <c r="C86" s="121" t="s">
        <v>525</v>
      </c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ht="14.25" hidden="1" customHeight="1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ht="14.25" hidden="1" customHeight="1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ht="14.25" hidden="1" customHeight="1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ht="14.25" hidden="1" customHeight="1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ht="14.25" hidden="1" customHeight="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ht="14.25" hidden="1" customHeight="1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ht="14.25" hidden="1" customHeight="1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ht="14.25" hidden="1" customHeight="1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ht="14.25" hidden="1" customHeight="1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ht="14.25" hidden="1" customHeight="1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ht="14.25" hidden="1" customHeight="1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ht="14.25" hidden="1" customHeight="1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ht="14.25" hidden="1" customHeight="1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ht="14.25" hidden="1" customHeight="1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ht="14.25" hidden="1" customHeight="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ht="14.25" hidden="1" customHeight="1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ht="14.25" hidden="1" customHeight="1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ht="14.25" hidden="1" customHeight="1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ht="14.25" hidden="1" customHeight="1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ht="14.25" hidden="1" customHeight="1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ht="14.25" hidden="1" customHeight="1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ht="14.25" hidden="1" customHeight="1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ht="14.25" hidden="1" customHeight="1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ht="14.25" hidden="1" customHeight="1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ht="14.25" hidden="1" customHeight="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ht="14.25" hidden="1" customHeight="1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ht="14.25" hidden="1" customHeight="1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ht="14.25" hidden="1" customHeight="1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ht="14.25" hidden="1" customHeight="1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ht="14.25" hidden="1" customHeight="1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ht="14.25" hidden="1" customHeight="1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ht="14.25" hidden="1" customHeight="1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ht="14.25" hidden="1" customHeight="1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ht="14.25" hidden="1" customHeight="1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ht="14.25" hidden="1" customHeight="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ht="14.25" hidden="1" customHeight="1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ht="14.25" hidden="1" customHeight="1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ht="14.25" hidden="1" customHeight="1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ht="14.25" hidden="1" customHeight="1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ht="14.25" hidden="1" customHeight="1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ht="14.25" hidden="1" customHeight="1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ht="14.25" hidden="1" customHeight="1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ht="14.25" hidden="1" customHeight="1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ht="14.25" hidden="1" customHeight="1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ht="14.25" hidden="1" customHeight="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ht="14.25" hidden="1" customHeight="1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ht="14.25" hidden="1" customHeight="1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ht="14.25" hidden="1" customHeight="1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ht="14.25" hidden="1" customHeight="1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ht="14.25" hidden="1" customHeight="1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ht="14.25" hidden="1" customHeight="1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ht="14.25" hidden="1" customHeight="1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ht="14.25" hidden="1" customHeight="1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ht="14.25" hidden="1" customHeight="1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ht="14.25" hidden="1" customHeight="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ht="14.25" hidden="1" customHeight="1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ht="14.25" hidden="1" customHeight="1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ht="14.25" hidden="1" customHeight="1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ht="14.25" hidden="1" customHeight="1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ht="14.25" hidden="1" customHeight="1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ht="14.25" hidden="1" customHeight="1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ht="14.25" hidden="1" customHeight="1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ht="14.25" hidden="1" customHeight="1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ht="14.25" hidden="1" customHeight="1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ht="14.25" hidden="1" customHeight="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ht="14.25" hidden="1" customHeight="1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ht="14.25" hidden="1" customHeight="1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ht="14.25" hidden="1" customHeight="1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ht="14.25" hidden="1" customHeight="1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ht="14.25" hidden="1" customHeight="1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ht="14.25" hidden="1" customHeight="1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ht="14.25" hidden="1" customHeight="1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ht="14.25" hidden="1" customHeight="1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ht="14.25" hidden="1" customHeight="1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ht="14.25" hidden="1" customHeight="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ht="14.25" hidden="1" customHeight="1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ht="14.25" hidden="1" customHeight="1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ht="14.25" hidden="1" customHeight="1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ht="14.25" hidden="1" customHeight="1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ht="14.25" hidden="1" customHeight="1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ht="14.25" hidden="1" customHeight="1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ht="14.25" hidden="1" customHeight="1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ht="14.25" hidden="1" customHeight="1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ht="14.25" hidden="1" customHeight="1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ht="14.25" hidden="1" customHeight="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ht="14.25" hidden="1" customHeight="1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ht="14.25" hidden="1" customHeight="1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ht="14.25" hidden="1" customHeight="1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ht="14.25" hidden="1" customHeight="1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ht="14.25" hidden="1" customHeight="1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ht="14.25" hidden="1" customHeight="1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ht="14.25" hidden="1" customHeight="1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ht="14.25" hidden="1" customHeight="1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ht="14.25" hidden="1" customHeight="1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ht="14.25" hidden="1" customHeight="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ht="14.25" hidden="1" customHeight="1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ht="14.25" hidden="1" customHeight="1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ht="14.25" hidden="1" customHeight="1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ht="14.25" hidden="1" customHeight="1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ht="14.25" hidden="1" customHeight="1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ht="14.25" hidden="1" customHeight="1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ht="14.25" hidden="1" customHeight="1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ht="14.25" hidden="1" customHeight="1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ht="14.25" hidden="1" customHeight="1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ht="14.25" hidden="1" customHeight="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ht="14.25" hidden="1" customHeight="1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ht="14.25" hidden="1" customHeight="1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ht="14.25" hidden="1" customHeight="1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ht="14.25" hidden="1" customHeight="1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ht="14.25" hidden="1" customHeight="1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ht="14.25" hidden="1" customHeight="1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ht="14.25" hidden="1" customHeight="1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ht="14.25" hidden="1" customHeight="1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ht="14.25" hidden="1" customHeight="1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ht="14.25" hidden="1" customHeight="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ht="14.25" hidden="1" customHeight="1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ht="14.25" hidden="1" customHeight="1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ht="14.25" hidden="1" customHeight="1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ht="14.25" hidden="1" customHeight="1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ht="14.25" hidden="1" customHeight="1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ht="14.25" hidden="1" customHeight="1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ht="14.25" hidden="1" customHeight="1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ht="14.25" hidden="1" customHeight="1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ht="14.25" hidden="1" customHeight="1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ht="14.25" hidden="1" customHeight="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ht="14.25" hidden="1" customHeight="1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ht="14.25" hidden="1" customHeight="1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ht="14.25" hidden="1" customHeight="1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ht="14.25" hidden="1" customHeight="1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ht="14.25" hidden="1" customHeight="1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ht="14.25" hidden="1" customHeight="1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ht="14.25" hidden="1" customHeight="1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ht="14.25" hidden="1" customHeight="1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ht="14.25" hidden="1" customHeight="1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ht="14.25" hidden="1" customHeight="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ht="14.25" hidden="1" customHeight="1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ht="14.25" hidden="1" customHeight="1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ht="14.25" hidden="1" customHeight="1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ht="14.25" hidden="1" customHeight="1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ht="14.25" hidden="1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ht="14.25" hidden="1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t="14.25" hidden="1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4.25" hidden="1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4.25" hidden="1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4.25" hidden="1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4.25" hidden="1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4.25" hidden="1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4.25" hidden="1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4.25" hidden="1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4.25" hidden="1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4.25" hidden="1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4.25" hidden="1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4.25" hidden="1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4.25" hidden="1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4.25" hidden="1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4.25" hidden="1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4.25" hidden="1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4.25" hidden="1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4.25" hidden="1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4.25" hidden="1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4.25" hidden="1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4.25" hidden="1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4.25" hidden="1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4.25" hidden="1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4.25" hidden="1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4.25" hidden="1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4.25" hidden="1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4.25" hidden="1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4.25" hidden="1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4.25" hidden="1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4.25" hidden="1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4.25" hidden="1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4.25" hidden="1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4.25" hidden="1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4.25" hidden="1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4.25" hidden="1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4.25" hidden="1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4.25" hidden="1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4.25" hidden="1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4.25" hidden="1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4.25" hidden="1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4.25" hidden="1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4.25" hidden="1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4.25" hidden="1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4.25" hidden="1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4.25" hidden="1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4.25" hidden="1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4.25" hidden="1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4.25" hidden="1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4.25" hidden="1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4.25" hidden="1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4.25" hidden="1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4.25" hidden="1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4.25" hidden="1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4.25" hidden="1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4.25" hidden="1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4.25" hidden="1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4.25" hidden="1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4.25" hidden="1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4.25" hidden="1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</sheetData>
  <autoFilter ref="$A$5:$AS$1013">
    <filterColumn colId="25">
      <filters>
        <filter val="-1"/>
      </filters>
    </filterColumn>
  </autoFilter>
  <mergeCells count="8">
    <mergeCell ref="A3:A4"/>
    <mergeCell ref="B3:B4"/>
    <mergeCell ref="C3:C4"/>
    <mergeCell ref="D3:I3"/>
    <mergeCell ref="J3:P3"/>
    <mergeCell ref="Q3:S3"/>
    <mergeCell ref="T3:T4"/>
    <mergeCell ref="U3:U4"/>
  </mergeCells>
  <conditionalFormatting sqref="D1:D4 D6:D1013">
    <cfRule type="notContainsBlanks" dxfId="0" priority="1">
      <formula>LEN(TRIM(D1))&gt;0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 outlineLevelCol="1"/>
  <cols>
    <col customWidth="1" min="1" max="1" width="5.71"/>
    <col customWidth="1" min="2" max="2" width="15.57"/>
    <col customWidth="1" min="3" max="3" width="20.71"/>
    <col customWidth="1" min="4" max="4" width="7.71"/>
    <col customWidth="1" min="5" max="7" width="8.29"/>
    <col customWidth="1" min="8" max="9" width="7.86"/>
    <col customWidth="1" hidden="1" min="10" max="10" width="11.14"/>
    <col customWidth="1" min="11" max="14" width="8.57"/>
    <col customWidth="1" min="15" max="15" width="8.43"/>
    <col customWidth="1" min="16" max="16" width="8.0"/>
    <col customWidth="1" hidden="1" min="17" max="17" width="13.86"/>
    <col customWidth="1" hidden="1" min="18" max="18" width="11.43"/>
    <col customWidth="1" hidden="1" min="19" max="19" width="9.57"/>
    <col customWidth="1" hidden="1" min="20" max="20" width="14.57"/>
    <col customWidth="1" hidden="1" min="21" max="21" width="7.14"/>
    <col customWidth="1" min="22" max="22" width="8.71"/>
  </cols>
  <sheetData>
    <row r="1" ht="14.25" customHeight="1">
      <c r="A1" s="24" t="s">
        <v>436</v>
      </c>
    </row>
    <row r="2" ht="14.25" customHeight="1">
      <c r="A2" s="24" t="s">
        <v>664</v>
      </c>
    </row>
    <row r="3" ht="15.0" customHeight="1">
      <c r="A3" s="28" t="s">
        <v>84</v>
      </c>
      <c r="B3" s="28" t="s">
        <v>105</v>
      </c>
      <c r="C3" s="28" t="s">
        <v>109</v>
      </c>
      <c r="D3" s="30" t="s">
        <v>438</v>
      </c>
      <c r="E3" s="31"/>
      <c r="F3" s="31"/>
      <c r="G3" s="31"/>
      <c r="H3" s="31"/>
      <c r="I3" s="35"/>
      <c r="J3" s="28" t="s">
        <v>140</v>
      </c>
      <c r="K3" s="39" t="s">
        <v>166</v>
      </c>
      <c r="L3" s="31"/>
      <c r="M3" s="31"/>
      <c r="N3" s="31"/>
      <c r="O3" s="31"/>
      <c r="P3" s="35"/>
      <c r="Q3" s="39" t="s">
        <v>140</v>
      </c>
      <c r="R3" s="31"/>
      <c r="S3" s="35"/>
      <c r="T3" s="29" t="s">
        <v>171</v>
      </c>
      <c r="U3" s="29" t="s">
        <v>172</v>
      </c>
    </row>
    <row r="4" ht="14.25" customHeight="1">
      <c r="A4" s="42"/>
      <c r="B4" s="42"/>
      <c r="C4" s="42"/>
      <c r="D4" s="98" t="s">
        <v>116</v>
      </c>
      <c r="E4" s="43" t="s">
        <v>199</v>
      </c>
      <c r="F4" s="43" t="s">
        <v>200</v>
      </c>
      <c r="G4" s="43" t="s">
        <v>441</v>
      </c>
      <c r="H4" s="98" t="s">
        <v>667</v>
      </c>
      <c r="I4" s="98" t="s">
        <v>203</v>
      </c>
      <c r="J4" s="42"/>
      <c r="K4" s="43" t="s">
        <v>116</v>
      </c>
      <c r="L4" s="43" t="s">
        <v>199</v>
      </c>
      <c r="M4" s="43" t="s">
        <v>200</v>
      </c>
      <c r="N4" s="43" t="s">
        <v>441</v>
      </c>
      <c r="O4" s="98" t="s">
        <v>667</v>
      </c>
      <c r="P4" s="98" t="s">
        <v>203</v>
      </c>
      <c r="Q4" s="43" t="s">
        <v>199</v>
      </c>
      <c r="R4" s="43" t="s">
        <v>200</v>
      </c>
      <c r="S4" s="43" t="s">
        <v>201</v>
      </c>
      <c r="T4" s="42"/>
      <c r="U4" s="42"/>
      <c r="V4" s="127" t="s">
        <v>542</v>
      </c>
    </row>
    <row r="5" ht="14.25" customHeight="1">
      <c r="A5" s="49" t="s">
        <v>218</v>
      </c>
      <c r="B5" s="136"/>
      <c r="C5" s="142"/>
      <c r="D5" s="51"/>
      <c r="E5" s="51">
        <f t="shared" ref="E5:I5" si="1">SUM(E6:E51)</f>
        <v>14</v>
      </c>
      <c r="F5" s="51">
        <f t="shared" si="1"/>
        <v>1</v>
      </c>
      <c r="G5" s="51">
        <f t="shared" si="1"/>
        <v>30</v>
      </c>
      <c r="H5" s="51">
        <f t="shared" si="1"/>
        <v>74</v>
      </c>
      <c r="I5" s="51">
        <f t="shared" si="1"/>
        <v>118</v>
      </c>
      <c r="J5" s="142"/>
      <c r="K5" s="142"/>
      <c r="L5" s="51">
        <f t="shared" ref="L5:P5" si="2">SUM(L6:L51)</f>
        <v>13</v>
      </c>
      <c r="M5" s="51">
        <f t="shared" si="2"/>
        <v>1</v>
      </c>
      <c r="N5" s="51">
        <f t="shared" si="2"/>
        <v>19</v>
      </c>
      <c r="O5" s="51">
        <f t="shared" si="2"/>
        <v>65</v>
      </c>
      <c r="P5" s="51">
        <f t="shared" si="2"/>
        <v>97</v>
      </c>
      <c r="Q5" s="53">
        <v>9.5082611E7</v>
      </c>
      <c r="R5" s="53">
        <v>4.1612458E7</v>
      </c>
      <c r="S5" s="53">
        <f>SUM(S6:S51)</f>
        <v>0</v>
      </c>
      <c r="T5" s="51"/>
      <c r="U5" s="51"/>
    </row>
    <row r="6" ht="14.25" customHeight="1">
      <c r="A6" s="56">
        <v>1.0</v>
      </c>
      <c r="B6" s="66" t="s">
        <v>264</v>
      </c>
      <c r="C6" s="57"/>
      <c r="D6" s="231">
        <v>1.0</v>
      </c>
      <c r="E6" s="231">
        <v>1.0</v>
      </c>
      <c r="F6" s="231"/>
      <c r="G6" s="231"/>
      <c r="H6" s="231"/>
      <c r="I6" s="220">
        <f t="shared" ref="I6:I21" si="3">SUM(E6:H6)</f>
        <v>1</v>
      </c>
      <c r="J6" s="56"/>
      <c r="K6" s="56">
        <v>1.0</v>
      </c>
      <c r="L6" s="56"/>
      <c r="M6" s="56">
        <v>1.0</v>
      </c>
      <c r="N6" s="56"/>
      <c r="O6" s="56"/>
      <c r="P6" s="220">
        <f t="shared" ref="P6:P21" si="4">SUM(L6:O6)</f>
        <v>1</v>
      </c>
      <c r="Q6" s="58"/>
      <c r="R6" s="58"/>
      <c r="S6" s="58"/>
      <c r="T6" s="59"/>
      <c r="U6" s="59"/>
      <c r="V6" s="124">
        <f t="shared" ref="V6:V21" si="5">P6-I6</f>
        <v>0</v>
      </c>
      <c r="Z6" s="233">
        <f t="shared" ref="Z6:Z51" si="6">SUM(L6:M6)-SUM(E6:F6)</f>
        <v>0</v>
      </c>
    </row>
    <row r="7" ht="14.25" customHeight="1">
      <c r="A7" s="56">
        <v>2.0</v>
      </c>
      <c r="B7" s="85" t="s">
        <v>314</v>
      </c>
      <c r="C7" s="57" t="s">
        <v>316</v>
      </c>
      <c r="D7" s="231">
        <v>1.0</v>
      </c>
      <c r="E7" s="231"/>
      <c r="F7" s="231"/>
      <c r="G7" s="231"/>
      <c r="H7" s="231"/>
      <c r="I7" s="67">
        <f t="shared" si="3"/>
        <v>0</v>
      </c>
      <c r="J7" s="56"/>
      <c r="K7" s="56">
        <v>1.0</v>
      </c>
      <c r="L7" s="56"/>
      <c r="M7" s="56"/>
      <c r="N7" s="56"/>
      <c r="O7" s="56"/>
      <c r="P7" s="67">
        <f t="shared" si="4"/>
        <v>0</v>
      </c>
      <c r="Q7" s="58"/>
      <c r="R7" s="58"/>
      <c r="S7" s="58"/>
      <c r="T7" s="59"/>
      <c r="U7" s="59"/>
      <c r="V7" s="124">
        <f t="shared" si="5"/>
        <v>0</v>
      </c>
      <c r="Z7" s="233">
        <f t="shared" si="6"/>
        <v>0</v>
      </c>
    </row>
    <row r="8" ht="14.25" customHeight="1">
      <c r="A8" s="65"/>
      <c r="B8" s="118"/>
      <c r="C8" s="66" t="s">
        <v>331</v>
      </c>
      <c r="D8" s="226">
        <v>1.0</v>
      </c>
      <c r="E8" s="226">
        <v>1.0</v>
      </c>
      <c r="F8" s="226"/>
      <c r="G8" s="226"/>
      <c r="H8" s="226"/>
      <c r="I8" s="67">
        <f t="shared" si="3"/>
        <v>1</v>
      </c>
      <c r="J8" s="65"/>
      <c r="K8" s="65">
        <v>1.0</v>
      </c>
      <c r="L8" s="65">
        <v>1.0</v>
      </c>
      <c r="M8" s="65"/>
      <c r="N8" s="65"/>
      <c r="O8" s="65"/>
      <c r="P8" s="67">
        <f t="shared" si="4"/>
        <v>1</v>
      </c>
      <c r="Q8" s="67"/>
      <c r="R8" s="67"/>
      <c r="S8" s="67"/>
      <c r="T8" s="60"/>
      <c r="U8" s="60"/>
      <c r="V8" s="124">
        <f t="shared" si="5"/>
        <v>0</v>
      </c>
      <c r="Z8" s="233">
        <f t="shared" si="6"/>
        <v>0</v>
      </c>
    </row>
    <row r="9" ht="14.25" customHeight="1">
      <c r="A9" s="65"/>
      <c r="B9" s="119"/>
      <c r="C9" s="66" t="s">
        <v>349</v>
      </c>
      <c r="D9" s="226">
        <v>1.0</v>
      </c>
      <c r="E9" s="226">
        <v>1.0</v>
      </c>
      <c r="F9" s="226"/>
      <c r="G9" s="226"/>
      <c r="H9" s="226"/>
      <c r="I9" s="67">
        <f t="shared" si="3"/>
        <v>1</v>
      </c>
      <c r="J9" s="65"/>
      <c r="K9" s="65">
        <v>1.0</v>
      </c>
      <c r="L9" s="65">
        <v>1.0</v>
      </c>
      <c r="M9" s="65"/>
      <c r="N9" s="65"/>
      <c r="O9" s="65"/>
      <c r="P9" s="67">
        <f t="shared" si="4"/>
        <v>1</v>
      </c>
      <c r="Q9" s="67"/>
      <c r="R9" s="67"/>
      <c r="S9" s="67"/>
      <c r="T9" s="60"/>
      <c r="U9" s="60"/>
      <c r="V9" s="124">
        <f t="shared" si="5"/>
        <v>0</v>
      </c>
      <c r="Z9" s="233">
        <f t="shared" si="6"/>
        <v>0</v>
      </c>
    </row>
    <row r="10" ht="14.25" customHeight="1">
      <c r="A10" s="65">
        <v>3.0</v>
      </c>
      <c r="B10" s="66" t="s">
        <v>360</v>
      </c>
      <c r="C10" s="66"/>
      <c r="D10" s="226">
        <v>1.0</v>
      </c>
      <c r="E10" s="226">
        <v>1.0</v>
      </c>
      <c r="F10" s="226"/>
      <c r="G10" s="226"/>
      <c r="H10" s="226"/>
      <c r="I10" s="67">
        <f t="shared" si="3"/>
        <v>1</v>
      </c>
      <c r="J10" s="65"/>
      <c r="K10" s="65">
        <v>1.0</v>
      </c>
      <c r="L10" s="65">
        <v>1.0</v>
      </c>
      <c r="M10" s="65"/>
      <c r="N10" s="65"/>
      <c r="O10" s="65"/>
      <c r="P10" s="67">
        <f t="shared" si="4"/>
        <v>1</v>
      </c>
      <c r="Q10" s="67"/>
      <c r="R10" s="67"/>
      <c r="S10" s="67"/>
      <c r="T10" s="60"/>
      <c r="U10" s="60"/>
      <c r="V10" s="124">
        <f t="shared" si="5"/>
        <v>0</v>
      </c>
      <c r="Z10" s="233">
        <f t="shared" si="6"/>
        <v>0</v>
      </c>
    </row>
    <row r="11" ht="14.25" customHeight="1">
      <c r="A11" s="65">
        <v>4.0</v>
      </c>
      <c r="B11" s="66" t="s">
        <v>375</v>
      </c>
      <c r="C11" s="66"/>
      <c r="D11" s="226"/>
      <c r="E11" s="226"/>
      <c r="F11" s="226"/>
      <c r="G11" s="226"/>
      <c r="H11" s="226"/>
      <c r="I11" s="67">
        <f t="shared" si="3"/>
        <v>0</v>
      </c>
      <c r="J11" s="65"/>
      <c r="K11" s="65">
        <v>1.0</v>
      </c>
      <c r="L11" s="65"/>
      <c r="M11" s="65"/>
      <c r="N11" s="65"/>
      <c r="O11" s="65"/>
      <c r="P11" s="67">
        <f t="shared" si="4"/>
        <v>0</v>
      </c>
      <c r="Q11" s="67"/>
      <c r="R11" s="67"/>
      <c r="S11" s="67"/>
      <c r="T11" s="60"/>
      <c r="U11" s="60"/>
      <c r="V11" s="124">
        <f t="shared" si="5"/>
        <v>0</v>
      </c>
      <c r="Z11" s="233">
        <f t="shared" si="6"/>
        <v>0</v>
      </c>
    </row>
    <row r="12" ht="14.25" customHeight="1">
      <c r="A12" s="65">
        <v>5.0</v>
      </c>
      <c r="B12" s="84" t="s">
        <v>405</v>
      </c>
      <c r="C12" s="66" t="s">
        <v>56</v>
      </c>
      <c r="D12" s="226">
        <v>1.0</v>
      </c>
      <c r="E12" s="226"/>
      <c r="F12" s="226"/>
      <c r="G12" s="226"/>
      <c r="H12" s="226"/>
      <c r="I12" s="67">
        <f t="shared" si="3"/>
        <v>0</v>
      </c>
      <c r="J12" s="65"/>
      <c r="K12" s="65"/>
      <c r="L12" s="65"/>
      <c r="M12" s="65"/>
      <c r="N12" s="65"/>
      <c r="O12" s="65"/>
      <c r="P12" s="67">
        <f t="shared" si="4"/>
        <v>0</v>
      </c>
      <c r="Q12" s="67"/>
      <c r="R12" s="67"/>
      <c r="S12" s="67"/>
      <c r="T12" s="60"/>
      <c r="U12" s="60"/>
      <c r="V12" s="124">
        <f t="shared" si="5"/>
        <v>0</v>
      </c>
      <c r="Z12" s="233">
        <f t="shared" si="6"/>
        <v>0</v>
      </c>
    </row>
    <row r="13" ht="14.25" customHeight="1">
      <c r="A13" s="65"/>
      <c r="B13" s="118"/>
      <c r="C13" s="66" t="s">
        <v>679</v>
      </c>
      <c r="D13" s="226">
        <v>1.0</v>
      </c>
      <c r="E13" s="226"/>
      <c r="F13" s="226"/>
      <c r="G13" s="226">
        <v>1.0</v>
      </c>
      <c r="H13" s="226"/>
      <c r="I13" s="67">
        <f t="shared" si="3"/>
        <v>1</v>
      </c>
      <c r="J13" s="65"/>
      <c r="K13" s="65">
        <v>1.0</v>
      </c>
      <c r="L13" s="65"/>
      <c r="M13" s="65"/>
      <c r="N13" s="65">
        <v>1.0</v>
      </c>
      <c r="O13" s="65"/>
      <c r="P13" s="67">
        <f t="shared" si="4"/>
        <v>1</v>
      </c>
      <c r="Q13" s="67"/>
      <c r="R13" s="67"/>
      <c r="S13" s="67"/>
      <c r="T13" s="60"/>
      <c r="U13" s="60"/>
      <c r="V13" s="124">
        <f t="shared" si="5"/>
        <v>0</v>
      </c>
      <c r="Z13" s="233">
        <f t="shared" si="6"/>
        <v>0</v>
      </c>
    </row>
    <row r="14" ht="14.25" customHeight="1">
      <c r="A14" s="65"/>
      <c r="B14" s="118"/>
      <c r="C14" s="66" t="s">
        <v>680</v>
      </c>
      <c r="D14" s="226">
        <v>3.0</v>
      </c>
      <c r="E14" s="226">
        <v>1.0</v>
      </c>
      <c r="F14" s="226"/>
      <c r="G14" s="226">
        <v>5.0</v>
      </c>
      <c r="H14" s="226"/>
      <c r="I14" s="67">
        <f t="shared" si="3"/>
        <v>6</v>
      </c>
      <c r="J14" s="65"/>
      <c r="K14" s="65">
        <v>2.0</v>
      </c>
      <c r="L14" s="65">
        <v>1.0</v>
      </c>
      <c r="M14" s="65"/>
      <c r="N14" s="65">
        <v>2.0</v>
      </c>
      <c r="O14" s="65"/>
      <c r="P14" s="67">
        <f t="shared" si="4"/>
        <v>3</v>
      </c>
      <c r="Q14" s="67"/>
      <c r="R14" s="67"/>
      <c r="S14" s="67"/>
      <c r="T14" s="60"/>
      <c r="U14" s="60"/>
      <c r="V14" s="124">
        <f t="shared" si="5"/>
        <v>-3</v>
      </c>
      <c r="Z14" s="233">
        <f t="shared" si="6"/>
        <v>0</v>
      </c>
    </row>
    <row r="15" ht="14.25" customHeight="1">
      <c r="A15" s="65"/>
      <c r="B15" s="119"/>
      <c r="C15" s="66" t="s">
        <v>434</v>
      </c>
      <c r="D15" s="226">
        <v>3.0</v>
      </c>
      <c r="E15" s="226"/>
      <c r="F15" s="226"/>
      <c r="G15" s="226">
        <v>4.0</v>
      </c>
      <c r="H15" s="226"/>
      <c r="I15" s="67">
        <f t="shared" si="3"/>
        <v>4</v>
      </c>
      <c r="J15" s="65"/>
      <c r="K15" s="65">
        <v>3.0</v>
      </c>
      <c r="L15" s="65"/>
      <c r="M15" s="65"/>
      <c r="N15" s="65">
        <v>4.0</v>
      </c>
      <c r="O15" s="65"/>
      <c r="P15" s="67">
        <f t="shared" si="4"/>
        <v>4</v>
      </c>
      <c r="Q15" s="67"/>
      <c r="R15" s="67"/>
      <c r="S15" s="67"/>
      <c r="T15" s="60"/>
      <c r="U15" s="60"/>
      <c r="V15" s="124">
        <f t="shared" si="5"/>
        <v>0</v>
      </c>
      <c r="Z15" s="233">
        <f t="shared" si="6"/>
        <v>0</v>
      </c>
    </row>
    <row r="16" ht="14.25" customHeight="1">
      <c r="A16" s="65">
        <v>6.0</v>
      </c>
      <c r="B16" s="84" t="s">
        <v>65</v>
      </c>
      <c r="C16" s="66" t="s">
        <v>683</v>
      </c>
      <c r="D16" s="226">
        <v>1.0</v>
      </c>
      <c r="E16" s="226"/>
      <c r="F16" s="226"/>
      <c r="G16" s="226">
        <v>1.0</v>
      </c>
      <c r="H16" s="226"/>
      <c r="I16" s="67">
        <f t="shared" si="3"/>
        <v>1</v>
      </c>
      <c r="J16" s="65"/>
      <c r="K16" s="65">
        <v>1.0</v>
      </c>
      <c r="L16" s="65"/>
      <c r="M16" s="65"/>
      <c r="N16" s="65">
        <v>1.0</v>
      </c>
      <c r="O16" s="65"/>
      <c r="P16" s="67">
        <f t="shared" si="4"/>
        <v>1</v>
      </c>
      <c r="Q16" s="67"/>
      <c r="R16" s="67"/>
      <c r="S16" s="67"/>
      <c r="T16" s="60"/>
      <c r="U16" s="60"/>
      <c r="V16" s="124">
        <f t="shared" si="5"/>
        <v>0</v>
      </c>
      <c r="Z16" s="233">
        <f t="shared" si="6"/>
        <v>0</v>
      </c>
    </row>
    <row r="17" ht="14.25" customHeight="1">
      <c r="A17" s="67"/>
      <c r="B17" s="85"/>
      <c r="C17" s="66" t="s">
        <v>684</v>
      </c>
      <c r="D17" s="226">
        <v>1.0</v>
      </c>
      <c r="E17" s="226">
        <v>1.0</v>
      </c>
      <c r="F17" s="226"/>
      <c r="G17" s="226">
        <v>1.0</v>
      </c>
      <c r="H17" s="226"/>
      <c r="I17" s="67">
        <f t="shared" si="3"/>
        <v>2</v>
      </c>
      <c r="J17" s="65"/>
      <c r="K17" s="65"/>
      <c r="L17" s="65">
        <v>1.0</v>
      </c>
      <c r="M17" s="65"/>
      <c r="N17" s="65">
        <v>1.0</v>
      </c>
      <c r="O17" s="65"/>
      <c r="P17" s="67">
        <f t="shared" si="4"/>
        <v>2</v>
      </c>
      <c r="Q17" s="67"/>
      <c r="R17" s="67"/>
      <c r="S17" s="67"/>
      <c r="T17" s="60"/>
      <c r="U17" s="60"/>
      <c r="V17" s="124">
        <f t="shared" si="5"/>
        <v>0</v>
      </c>
      <c r="Z17" s="233">
        <f t="shared" si="6"/>
        <v>0</v>
      </c>
    </row>
    <row r="18" ht="14.25" customHeight="1">
      <c r="A18" s="67"/>
      <c r="B18" s="85"/>
      <c r="C18" s="66" t="s">
        <v>558</v>
      </c>
      <c r="D18" s="226">
        <v>2.0</v>
      </c>
      <c r="E18" s="226"/>
      <c r="F18" s="226"/>
      <c r="G18" s="226">
        <v>2.0</v>
      </c>
      <c r="H18" s="226"/>
      <c r="I18" s="67">
        <f t="shared" si="3"/>
        <v>2</v>
      </c>
      <c r="J18" s="65"/>
      <c r="K18" s="65">
        <v>1.0</v>
      </c>
      <c r="L18" s="65"/>
      <c r="M18" s="65"/>
      <c r="N18" s="65">
        <v>1.0</v>
      </c>
      <c r="O18" s="65"/>
      <c r="P18" s="67">
        <f t="shared" si="4"/>
        <v>1</v>
      </c>
      <c r="Q18" s="67"/>
      <c r="R18" s="67"/>
      <c r="S18" s="67"/>
      <c r="T18" s="60"/>
      <c r="U18" s="60"/>
      <c r="V18" s="124">
        <f t="shared" si="5"/>
        <v>-1</v>
      </c>
      <c r="Z18" s="233">
        <f t="shared" si="6"/>
        <v>0</v>
      </c>
    </row>
    <row r="19" ht="14.25" customHeight="1">
      <c r="A19" s="67"/>
      <c r="B19" s="85"/>
      <c r="C19" s="66" t="s">
        <v>685</v>
      </c>
      <c r="D19" s="226">
        <v>1.0</v>
      </c>
      <c r="E19" s="226"/>
      <c r="F19" s="226"/>
      <c r="G19" s="226">
        <v>1.0</v>
      </c>
      <c r="H19" s="226"/>
      <c r="I19" s="67">
        <f t="shared" si="3"/>
        <v>1</v>
      </c>
      <c r="J19" s="65"/>
      <c r="K19" s="65">
        <v>1.0</v>
      </c>
      <c r="L19" s="65"/>
      <c r="M19" s="65"/>
      <c r="N19" s="65"/>
      <c r="O19" s="65"/>
      <c r="P19" s="67">
        <f t="shared" si="4"/>
        <v>0</v>
      </c>
      <c r="Q19" s="67"/>
      <c r="R19" s="67"/>
      <c r="S19" s="67"/>
      <c r="T19" s="60"/>
      <c r="U19" s="60"/>
      <c r="V19" s="124">
        <f t="shared" si="5"/>
        <v>-1</v>
      </c>
      <c r="Z19" s="233">
        <f t="shared" si="6"/>
        <v>0</v>
      </c>
    </row>
    <row r="20" ht="14.25" customHeight="1">
      <c r="A20" s="67"/>
      <c r="B20" s="87"/>
      <c r="C20" s="66" t="s">
        <v>445</v>
      </c>
      <c r="D20" s="226">
        <v>1.0</v>
      </c>
      <c r="E20" s="226"/>
      <c r="F20" s="226"/>
      <c r="G20" s="226"/>
      <c r="H20" s="226">
        <v>1.0</v>
      </c>
      <c r="I20" s="67">
        <f t="shared" si="3"/>
        <v>1</v>
      </c>
      <c r="J20" s="65"/>
      <c r="K20" s="65">
        <v>1.0</v>
      </c>
      <c r="L20" s="65"/>
      <c r="M20" s="65"/>
      <c r="N20" s="65">
        <v>1.0</v>
      </c>
      <c r="O20" s="65"/>
      <c r="P20" s="67">
        <f t="shared" si="4"/>
        <v>1</v>
      </c>
      <c r="Q20" s="67"/>
      <c r="R20" s="67"/>
      <c r="S20" s="67"/>
      <c r="T20" s="60"/>
      <c r="U20" s="60"/>
      <c r="V20" s="124">
        <f t="shared" si="5"/>
        <v>0</v>
      </c>
      <c r="Z20" s="233">
        <f t="shared" si="6"/>
        <v>0</v>
      </c>
    </row>
    <row r="21" ht="14.25" customHeight="1">
      <c r="A21" s="67"/>
      <c r="B21" s="102" t="s">
        <v>484</v>
      </c>
      <c r="C21" s="66" t="s">
        <v>686</v>
      </c>
      <c r="D21" s="226"/>
      <c r="E21" s="226"/>
      <c r="F21" s="226"/>
      <c r="G21" s="226"/>
      <c r="H21" s="226"/>
      <c r="I21" s="67">
        <f t="shared" si="3"/>
        <v>0</v>
      </c>
      <c r="J21" s="65"/>
      <c r="K21" s="65">
        <v>1.0</v>
      </c>
      <c r="L21" s="65"/>
      <c r="M21" s="65"/>
      <c r="N21" s="65"/>
      <c r="O21" s="65"/>
      <c r="P21" s="67">
        <f t="shared" si="4"/>
        <v>0</v>
      </c>
      <c r="Q21" s="67"/>
      <c r="R21" s="67"/>
      <c r="S21" s="67"/>
      <c r="T21" s="60"/>
      <c r="U21" s="60"/>
      <c r="V21" s="124">
        <f t="shared" si="5"/>
        <v>0</v>
      </c>
      <c r="Z21" s="233">
        <f t="shared" si="6"/>
        <v>0</v>
      </c>
    </row>
    <row r="22" ht="14.25" customHeight="1">
      <c r="A22" s="65">
        <v>7.0</v>
      </c>
      <c r="B22" s="102" t="s">
        <v>257</v>
      </c>
      <c r="C22" s="66"/>
      <c r="D22" s="226">
        <v>1.0</v>
      </c>
      <c r="E22" s="226"/>
      <c r="F22" s="226"/>
      <c r="G22" s="226">
        <v>1.0</v>
      </c>
      <c r="H22" s="226"/>
      <c r="I22" s="67"/>
      <c r="J22" s="65"/>
      <c r="K22" s="65">
        <v>1.0</v>
      </c>
      <c r="L22" s="65"/>
      <c r="M22" s="65"/>
      <c r="N22" s="65">
        <v>1.0</v>
      </c>
      <c r="O22" s="65"/>
      <c r="P22" s="67"/>
      <c r="Q22" s="67"/>
      <c r="R22" s="67"/>
      <c r="S22" s="67"/>
      <c r="T22" s="60"/>
      <c r="U22" s="60"/>
      <c r="V22" s="124"/>
      <c r="Z22" s="233">
        <f t="shared" si="6"/>
        <v>0</v>
      </c>
    </row>
    <row r="23" ht="14.25" customHeight="1">
      <c r="A23" s="65">
        <v>8.0</v>
      </c>
      <c r="B23" s="102" t="s">
        <v>488</v>
      </c>
      <c r="C23" s="66" t="s">
        <v>368</v>
      </c>
      <c r="D23" s="226">
        <v>2.0</v>
      </c>
      <c r="E23" s="226"/>
      <c r="F23" s="226">
        <v>1.0</v>
      </c>
      <c r="G23" s="226">
        <v>2.0</v>
      </c>
      <c r="H23" s="226"/>
      <c r="I23" s="67">
        <f t="shared" ref="I23:I51" si="7">SUM(E23:H23)</f>
        <v>3</v>
      </c>
      <c r="J23" s="65"/>
      <c r="K23" s="65">
        <v>1.0</v>
      </c>
      <c r="L23" s="65"/>
      <c r="M23" s="65"/>
      <c r="N23" s="65"/>
      <c r="O23" s="65"/>
      <c r="P23" s="67">
        <f t="shared" ref="P23:P51" si="8">SUM(L23:O23)</f>
        <v>0</v>
      </c>
      <c r="Q23" s="67"/>
      <c r="R23" s="67"/>
      <c r="S23" s="67"/>
      <c r="T23" s="60"/>
      <c r="U23" s="60"/>
      <c r="V23" s="124">
        <f t="shared" ref="V23:V30" si="9">P23-I23</f>
        <v>-3</v>
      </c>
      <c r="Z23" s="233">
        <f t="shared" si="6"/>
        <v>-1</v>
      </c>
    </row>
    <row r="24" ht="14.25" customHeight="1">
      <c r="A24" s="65">
        <v>9.0</v>
      </c>
      <c r="B24" s="229" t="s">
        <v>451</v>
      </c>
      <c r="C24" s="66" t="s">
        <v>452</v>
      </c>
      <c r="D24" s="226">
        <v>3.0</v>
      </c>
      <c r="E24" s="226">
        <v>2.0</v>
      </c>
      <c r="F24" s="226"/>
      <c r="G24" s="226">
        <v>2.0</v>
      </c>
      <c r="H24" s="226"/>
      <c r="I24" s="67">
        <f t="shared" si="7"/>
        <v>4</v>
      </c>
      <c r="J24" s="65"/>
      <c r="K24" s="65">
        <v>2.0</v>
      </c>
      <c r="L24" s="65">
        <v>2.0</v>
      </c>
      <c r="M24" s="65"/>
      <c r="N24" s="65">
        <v>1.0</v>
      </c>
      <c r="O24" s="65"/>
      <c r="P24" s="67">
        <f t="shared" si="8"/>
        <v>3</v>
      </c>
      <c r="Q24" s="67"/>
      <c r="R24" s="67"/>
      <c r="S24" s="67"/>
      <c r="T24" s="60"/>
      <c r="U24" s="60"/>
      <c r="V24" s="124">
        <f t="shared" si="9"/>
        <v>-1</v>
      </c>
      <c r="Z24" s="233">
        <f t="shared" si="6"/>
        <v>0</v>
      </c>
    </row>
    <row r="25" ht="14.25" customHeight="1">
      <c r="A25" s="67"/>
      <c r="B25" s="229"/>
      <c r="C25" s="66" t="s">
        <v>453</v>
      </c>
      <c r="D25" s="226">
        <v>3.0</v>
      </c>
      <c r="E25" s="226">
        <v>1.0</v>
      </c>
      <c r="F25" s="226"/>
      <c r="G25" s="226">
        <v>2.0</v>
      </c>
      <c r="H25" s="226"/>
      <c r="I25" s="67">
        <f t="shared" si="7"/>
        <v>3</v>
      </c>
      <c r="J25" s="65"/>
      <c r="K25" s="65">
        <v>2.0</v>
      </c>
      <c r="L25" s="65">
        <v>1.0</v>
      </c>
      <c r="M25" s="65"/>
      <c r="N25" s="65">
        <v>1.0</v>
      </c>
      <c r="O25" s="65"/>
      <c r="P25" s="67">
        <f t="shared" si="8"/>
        <v>2</v>
      </c>
      <c r="Q25" s="121"/>
      <c r="R25" s="121"/>
      <c r="S25" s="121"/>
      <c r="T25" s="121"/>
      <c r="U25" s="121"/>
      <c r="V25" s="124">
        <f t="shared" si="9"/>
        <v>-1</v>
      </c>
      <c r="Z25" s="233">
        <f t="shared" si="6"/>
        <v>0</v>
      </c>
    </row>
    <row r="26" ht="14.25" customHeight="1">
      <c r="A26" s="65">
        <v>10.0</v>
      </c>
      <c r="B26" s="84" t="s">
        <v>691</v>
      </c>
      <c r="C26" s="121" t="s">
        <v>502</v>
      </c>
      <c r="D26" s="65">
        <v>3.0</v>
      </c>
      <c r="E26" s="65"/>
      <c r="F26" s="65"/>
      <c r="G26" s="65">
        <v>1.0</v>
      </c>
      <c r="H26" s="65"/>
      <c r="I26" s="67">
        <f t="shared" si="7"/>
        <v>1</v>
      </c>
      <c r="J26" s="65"/>
      <c r="K26" s="65">
        <v>3.0</v>
      </c>
      <c r="L26" s="65"/>
      <c r="M26" s="65"/>
      <c r="N26" s="65">
        <v>1.0</v>
      </c>
      <c r="O26" s="65"/>
      <c r="P26" s="67">
        <f t="shared" si="8"/>
        <v>1</v>
      </c>
      <c r="Q26" s="121"/>
      <c r="R26" s="121"/>
      <c r="S26" s="121"/>
      <c r="T26" s="121"/>
      <c r="U26" s="121"/>
      <c r="V26" s="124">
        <f t="shared" si="9"/>
        <v>0</v>
      </c>
      <c r="Z26" s="233">
        <f t="shared" si="6"/>
        <v>0</v>
      </c>
    </row>
    <row r="27" ht="14.25" customHeight="1">
      <c r="A27" s="65"/>
      <c r="B27" s="119"/>
      <c r="C27" s="121" t="s">
        <v>507</v>
      </c>
      <c r="D27" s="65">
        <v>3.0</v>
      </c>
      <c r="E27" s="65"/>
      <c r="F27" s="65"/>
      <c r="G27" s="65">
        <v>1.0</v>
      </c>
      <c r="H27" s="65"/>
      <c r="I27" s="67">
        <f t="shared" si="7"/>
        <v>1</v>
      </c>
      <c r="J27" s="65"/>
      <c r="K27" s="65">
        <v>3.0</v>
      </c>
      <c r="L27" s="65"/>
      <c r="M27" s="65"/>
      <c r="N27" s="65"/>
      <c r="O27" s="65"/>
      <c r="P27" s="67">
        <f t="shared" si="8"/>
        <v>0</v>
      </c>
      <c r="Q27" s="121"/>
      <c r="R27" s="121"/>
      <c r="S27" s="121"/>
      <c r="T27" s="121"/>
      <c r="U27" s="121"/>
      <c r="V27" s="124">
        <f t="shared" si="9"/>
        <v>-1</v>
      </c>
      <c r="Z27" s="233">
        <f t="shared" si="6"/>
        <v>0</v>
      </c>
    </row>
    <row r="28" ht="14.25" customHeight="1">
      <c r="A28" s="65">
        <v>11.0</v>
      </c>
      <c r="B28" s="84" t="s">
        <v>465</v>
      </c>
      <c r="C28" s="121" t="s">
        <v>468</v>
      </c>
      <c r="D28" s="65">
        <v>3.0</v>
      </c>
      <c r="E28" s="65">
        <v>1.0</v>
      </c>
      <c r="F28" s="65"/>
      <c r="G28" s="65">
        <v>2.0</v>
      </c>
      <c r="H28" s="65">
        <v>3.0</v>
      </c>
      <c r="I28" s="67">
        <f t="shared" si="7"/>
        <v>6</v>
      </c>
      <c r="J28" s="121"/>
      <c r="K28" s="65">
        <v>3.0</v>
      </c>
      <c r="L28" s="65">
        <v>1.0</v>
      </c>
      <c r="M28" s="65"/>
      <c r="N28" s="65">
        <v>1.0</v>
      </c>
      <c r="O28" s="65">
        <v>1.0</v>
      </c>
      <c r="P28" s="67">
        <f t="shared" si="8"/>
        <v>3</v>
      </c>
      <c r="Q28" s="121"/>
      <c r="R28" s="121"/>
      <c r="S28" s="121"/>
      <c r="T28" s="121"/>
      <c r="U28" s="121"/>
      <c r="V28" s="124">
        <f t="shared" si="9"/>
        <v>-3</v>
      </c>
      <c r="Z28" s="233">
        <f t="shared" si="6"/>
        <v>0</v>
      </c>
    </row>
    <row r="29" ht="14.25" customHeight="1">
      <c r="A29" s="65"/>
      <c r="B29" s="119"/>
      <c r="C29" s="121" t="s">
        <v>569</v>
      </c>
      <c r="D29" s="65">
        <v>3.0</v>
      </c>
      <c r="E29" s="65"/>
      <c r="F29" s="65"/>
      <c r="G29" s="65"/>
      <c r="H29" s="65"/>
      <c r="I29" s="67">
        <f t="shared" si="7"/>
        <v>0</v>
      </c>
      <c r="J29" s="121"/>
      <c r="K29" s="65">
        <v>1.0</v>
      </c>
      <c r="L29" s="65"/>
      <c r="M29" s="65"/>
      <c r="N29" s="65"/>
      <c r="O29" s="65"/>
      <c r="P29" s="67">
        <f t="shared" si="8"/>
        <v>0</v>
      </c>
      <c r="Q29" s="121"/>
      <c r="R29" s="121"/>
      <c r="S29" s="121"/>
      <c r="T29" s="121"/>
      <c r="U29" s="121"/>
      <c r="V29" s="124">
        <f t="shared" si="9"/>
        <v>0</v>
      </c>
      <c r="Z29" s="233">
        <f t="shared" si="6"/>
        <v>0</v>
      </c>
    </row>
    <row r="30" ht="14.25" customHeight="1">
      <c r="A30" s="65">
        <v>12.0</v>
      </c>
      <c r="B30" s="84" t="s">
        <v>479</v>
      </c>
      <c r="C30" s="121" t="s">
        <v>696</v>
      </c>
      <c r="D30" s="65"/>
      <c r="E30" s="65"/>
      <c r="F30" s="65"/>
      <c r="G30" s="65"/>
      <c r="H30" s="65"/>
      <c r="I30" s="67">
        <f t="shared" si="7"/>
        <v>0</v>
      </c>
      <c r="J30" s="121"/>
      <c r="K30" s="65">
        <v>1.0</v>
      </c>
      <c r="L30" s="65"/>
      <c r="M30" s="121"/>
      <c r="N30" s="65"/>
      <c r="O30" s="65"/>
      <c r="P30" s="67">
        <f t="shared" si="8"/>
        <v>0</v>
      </c>
      <c r="Q30" s="121"/>
      <c r="R30" s="121"/>
      <c r="S30" s="121"/>
      <c r="T30" s="121"/>
      <c r="U30" s="121"/>
      <c r="V30" s="124">
        <f t="shared" si="9"/>
        <v>0</v>
      </c>
      <c r="Z30" s="233">
        <f t="shared" si="6"/>
        <v>0</v>
      </c>
    </row>
    <row r="31" ht="14.25" customHeight="1">
      <c r="A31" s="65"/>
      <c r="B31" s="118"/>
      <c r="C31" s="121" t="s">
        <v>666</v>
      </c>
      <c r="D31" s="65">
        <v>1.0</v>
      </c>
      <c r="E31" s="65"/>
      <c r="F31" s="65"/>
      <c r="G31" s="65">
        <v>1.0</v>
      </c>
      <c r="H31" s="65"/>
      <c r="I31" s="67">
        <f t="shared" si="7"/>
        <v>1</v>
      </c>
      <c r="J31" s="121"/>
      <c r="K31" s="65">
        <v>1.0</v>
      </c>
      <c r="L31" s="65"/>
      <c r="M31" s="121"/>
      <c r="N31" s="65"/>
      <c r="O31" s="65"/>
      <c r="P31" s="67">
        <f t="shared" si="8"/>
        <v>0</v>
      </c>
      <c r="Q31" s="121"/>
      <c r="R31" s="121"/>
      <c r="S31" s="121"/>
      <c r="T31" s="121"/>
      <c r="U31" s="121"/>
      <c r="V31" s="124"/>
      <c r="Z31" s="233">
        <f t="shared" si="6"/>
        <v>0</v>
      </c>
    </row>
    <row r="32" ht="14.25" customHeight="1">
      <c r="A32" s="65"/>
      <c r="B32" s="118"/>
      <c r="C32" s="121" t="s">
        <v>489</v>
      </c>
      <c r="D32" s="65">
        <v>3.0</v>
      </c>
      <c r="E32" s="65">
        <v>1.0</v>
      </c>
      <c r="F32" s="65"/>
      <c r="G32" s="65"/>
      <c r="H32" s="65">
        <v>4.0</v>
      </c>
      <c r="I32" s="67">
        <f t="shared" si="7"/>
        <v>5</v>
      </c>
      <c r="J32" s="121"/>
      <c r="K32" s="65">
        <v>1.0</v>
      </c>
      <c r="L32" s="65">
        <v>1.0</v>
      </c>
      <c r="M32" s="121"/>
      <c r="N32" s="65"/>
      <c r="O32" s="65">
        <v>4.0</v>
      </c>
      <c r="P32" s="67">
        <f t="shared" si="8"/>
        <v>5</v>
      </c>
      <c r="Q32" s="121"/>
      <c r="R32" s="121"/>
      <c r="S32" s="121"/>
      <c r="T32" s="121"/>
      <c r="U32" s="121"/>
      <c r="V32" s="124">
        <f t="shared" ref="V32:V51" si="10">P32-I32</f>
        <v>0</v>
      </c>
      <c r="Z32" s="233">
        <f t="shared" si="6"/>
        <v>0</v>
      </c>
    </row>
    <row r="33" ht="14.25" customHeight="1">
      <c r="A33" s="65"/>
      <c r="B33" s="118"/>
      <c r="C33" s="121" t="s">
        <v>699</v>
      </c>
      <c r="D33" s="65">
        <v>3.0</v>
      </c>
      <c r="E33" s="65">
        <v>1.0</v>
      </c>
      <c r="F33" s="65"/>
      <c r="G33" s="65"/>
      <c r="H33" s="65">
        <v>4.0</v>
      </c>
      <c r="I33" s="67">
        <f t="shared" si="7"/>
        <v>5</v>
      </c>
      <c r="J33" s="121"/>
      <c r="K33" s="65">
        <v>3.0</v>
      </c>
      <c r="L33" s="65">
        <v>1.0</v>
      </c>
      <c r="M33" s="121"/>
      <c r="N33" s="65"/>
      <c r="O33" s="65">
        <v>4.0</v>
      </c>
      <c r="P33" s="67">
        <f t="shared" si="8"/>
        <v>5</v>
      </c>
      <c r="Q33" s="121"/>
      <c r="R33" s="121"/>
      <c r="S33" s="121"/>
      <c r="T33" s="121"/>
      <c r="U33" s="121"/>
      <c r="V33" s="124">
        <f t="shared" si="10"/>
        <v>0</v>
      </c>
      <c r="Z33" s="233">
        <f t="shared" si="6"/>
        <v>0</v>
      </c>
    </row>
    <row r="34" ht="14.25" customHeight="1">
      <c r="A34" s="65"/>
      <c r="B34" s="119"/>
      <c r="C34" s="121" t="s">
        <v>701</v>
      </c>
      <c r="D34" s="65">
        <v>3.0</v>
      </c>
      <c r="E34" s="65">
        <v>1.0</v>
      </c>
      <c r="F34" s="65"/>
      <c r="G34" s="65"/>
      <c r="H34" s="65"/>
      <c r="I34" s="67">
        <f t="shared" si="7"/>
        <v>1</v>
      </c>
      <c r="J34" s="121"/>
      <c r="K34" s="65">
        <v>3.0</v>
      </c>
      <c r="L34" s="65">
        <v>1.0</v>
      </c>
      <c r="M34" s="121"/>
      <c r="N34" s="65"/>
      <c r="O34" s="65"/>
      <c r="P34" s="67">
        <f t="shared" si="8"/>
        <v>1</v>
      </c>
      <c r="Q34" s="121"/>
      <c r="R34" s="121"/>
      <c r="S34" s="121"/>
      <c r="T34" s="121"/>
      <c r="U34" s="121"/>
      <c r="V34" s="124">
        <f t="shared" si="10"/>
        <v>0</v>
      </c>
      <c r="Z34" s="233">
        <f t="shared" si="6"/>
        <v>0</v>
      </c>
    </row>
    <row r="35" ht="14.25" customHeight="1">
      <c r="A35" s="65">
        <v>13.0</v>
      </c>
      <c r="B35" s="211" t="s">
        <v>491</v>
      </c>
      <c r="C35" s="121" t="s">
        <v>703</v>
      </c>
      <c r="D35" s="65">
        <v>1.0</v>
      </c>
      <c r="E35" s="65"/>
      <c r="F35" s="65"/>
      <c r="G35" s="65">
        <v>1.0</v>
      </c>
      <c r="H35" s="65"/>
      <c r="I35" s="67">
        <f t="shared" si="7"/>
        <v>1</v>
      </c>
      <c r="J35" s="121"/>
      <c r="K35" s="65">
        <v>1.0</v>
      </c>
      <c r="L35" s="65"/>
      <c r="M35" s="121"/>
      <c r="N35" s="65">
        <v>1.0</v>
      </c>
      <c r="O35" s="65"/>
      <c r="P35" s="67">
        <f t="shared" si="8"/>
        <v>1</v>
      </c>
      <c r="Q35" s="121"/>
      <c r="R35" s="121"/>
      <c r="S35" s="121"/>
      <c r="T35" s="121"/>
      <c r="U35" s="121"/>
      <c r="V35" s="124">
        <f t="shared" si="10"/>
        <v>0</v>
      </c>
      <c r="Z35" s="233">
        <f t="shared" si="6"/>
        <v>0</v>
      </c>
    </row>
    <row r="36" ht="14.25" customHeight="1">
      <c r="A36" s="65"/>
      <c r="B36" s="211"/>
      <c r="C36" s="121" t="s">
        <v>704</v>
      </c>
      <c r="D36" s="65">
        <v>1.0</v>
      </c>
      <c r="E36" s="65"/>
      <c r="F36" s="65"/>
      <c r="G36" s="65"/>
      <c r="H36" s="65"/>
      <c r="I36" s="67">
        <f t="shared" si="7"/>
        <v>0</v>
      </c>
      <c r="J36" s="121"/>
      <c r="K36" s="65">
        <v>1.0</v>
      </c>
      <c r="L36" s="65"/>
      <c r="M36" s="121"/>
      <c r="N36" s="65"/>
      <c r="O36" s="65"/>
      <c r="P36" s="67">
        <f t="shared" si="8"/>
        <v>0</v>
      </c>
      <c r="Q36" s="121"/>
      <c r="R36" s="121"/>
      <c r="S36" s="121"/>
      <c r="T36" s="121"/>
      <c r="U36" s="121"/>
      <c r="V36" s="124">
        <f t="shared" si="10"/>
        <v>0</v>
      </c>
      <c r="Z36" s="233">
        <f t="shared" si="6"/>
        <v>0</v>
      </c>
    </row>
    <row r="37" ht="14.25" customHeight="1">
      <c r="A37" s="65"/>
      <c r="B37" s="211"/>
      <c r="C37" s="121" t="s">
        <v>706</v>
      </c>
      <c r="D37" s="65">
        <v>3.0</v>
      </c>
      <c r="E37" s="65">
        <v>1.0</v>
      </c>
      <c r="F37" s="65"/>
      <c r="G37" s="65">
        <v>2.0</v>
      </c>
      <c r="H37" s="65">
        <v>8.0</v>
      </c>
      <c r="I37" s="67">
        <f t="shared" si="7"/>
        <v>11</v>
      </c>
      <c r="J37" s="121"/>
      <c r="K37" s="65">
        <v>3.0</v>
      </c>
      <c r="L37" s="65">
        <v>1.0</v>
      </c>
      <c r="M37" s="121"/>
      <c r="N37" s="65">
        <v>2.0</v>
      </c>
      <c r="O37" s="65">
        <v>8.0</v>
      </c>
      <c r="P37" s="67">
        <f t="shared" si="8"/>
        <v>11</v>
      </c>
      <c r="Q37" s="121"/>
      <c r="R37" s="121"/>
      <c r="S37" s="121"/>
      <c r="T37" s="121"/>
      <c r="U37" s="121"/>
      <c r="V37" s="124">
        <f t="shared" si="10"/>
        <v>0</v>
      </c>
      <c r="Z37" s="233">
        <f t="shared" si="6"/>
        <v>0</v>
      </c>
    </row>
    <row r="38" ht="14.25" customHeight="1">
      <c r="A38" s="65"/>
      <c r="B38" s="187"/>
      <c r="C38" s="121" t="s">
        <v>501</v>
      </c>
      <c r="D38" s="65">
        <v>2.0</v>
      </c>
      <c r="E38" s="65"/>
      <c r="F38" s="65"/>
      <c r="G38" s="65"/>
      <c r="H38" s="65">
        <v>8.0</v>
      </c>
      <c r="I38" s="67">
        <f t="shared" si="7"/>
        <v>8</v>
      </c>
      <c r="J38" s="121"/>
      <c r="K38" s="65">
        <v>2.0</v>
      </c>
      <c r="L38" s="65"/>
      <c r="M38" s="121"/>
      <c r="N38" s="65"/>
      <c r="O38" s="65">
        <v>8.0</v>
      </c>
      <c r="P38" s="67">
        <f t="shared" si="8"/>
        <v>8</v>
      </c>
      <c r="Q38" s="121"/>
      <c r="R38" s="121"/>
      <c r="S38" s="121"/>
      <c r="T38" s="121"/>
      <c r="U38" s="121"/>
      <c r="V38" s="124">
        <f t="shared" si="10"/>
        <v>0</v>
      </c>
      <c r="Z38" s="233">
        <f t="shared" si="6"/>
        <v>0</v>
      </c>
    </row>
    <row r="39" ht="14.25" customHeight="1">
      <c r="A39" s="65"/>
      <c r="B39" s="187"/>
      <c r="C39" s="121" t="s">
        <v>579</v>
      </c>
      <c r="D39" s="65"/>
      <c r="E39" s="65"/>
      <c r="F39" s="65"/>
      <c r="G39" s="65"/>
      <c r="H39" s="65"/>
      <c r="I39" s="67">
        <f t="shared" si="7"/>
        <v>0</v>
      </c>
      <c r="J39" s="121"/>
      <c r="K39" s="65"/>
      <c r="L39" s="65"/>
      <c r="M39" s="121"/>
      <c r="N39" s="65"/>
      <c r="O39" s="65"/>
      <c r="P39" s="67">
        <f t="shared" si="8"/>
        <v>0</v>
      </c>
      <c r="Q39" s="121"/>
      <c r="R39" s="121"/>
      <c r="S39" s="121"/>
      <c r="T39" s="121"/>
      <c r="U39" s="121"/>
      <c r="V39" s="124">
        <f t="shared" si="10"/>
        <v>0</v>
      </c>
      <c r="Z39" s="233">
        <f t="shared" si="6"/>
        <v>0</v>
      </c>
    </row>
    <row r="40" ht="14.25" customHeight="1">
      <c r="A40" s="65"/>
      <c r="B40" s="187"/>
      <c r="C40" s="121" t="s">
        <v>577</v>
      </c>
      <c r="D40" s="65">
        <v>2.0</v>
      </c>
      <c r="E40" s="65"/>
      <c r="F40" s="65"/>
      <c r="G40" s="65"/>
      <c r="H40" s="65">
        <v>2.0</v>
      </c>
      <c r="I40" s="67">
        <f t="shared" si="7"/>
        <v>2</v>
      </c>
      <c r="J40" s="121"/>
      <c r="K40" s="65">
        <v>2.0</v>
      </c>
      <c r="L40" s="65"/>
      <c r="M40" s="121"/>
      <c r="N40" s="65"/>
      <c r="O40" s="65">
        <v>2.0</v>
      </c>
      <c r="P40" s="67">
        <f t="shared" si="8"/>
        <v>2</v>
      </c>
      <c r="Q40" s="121"/>
      <c r="R40" s="121"/>
      <c r="S40" s="121"/>
      <c r="T40" s="121"/>
      <c r="U40" s="121"/>
      <c r="V40" s="124">
        <f t="shared" si="10"/>
        <v>0</v>
      </c>
      <c r="Z40" s="233">
        <f t="shared" si="6"/>
        <v>0</v>
      </c>
    </row>
    <row r="41" ht="14.25" customHeight="1">
      <c r="A41" s="65"/>
      <c r="B41" s="187"/>
      <c r="C41" s="121" t="s">
        <v>578</v>
      </c>
      <c r="D41" s="65">
        <v>2.0</v>
      </c>
      <c r="E41" s="65"/>
      <c r="F41" s="65"/>
      <c r="G41" s="65"/>
      <c r="H41" s="65">
        <v>2.0</v>
      </c>
      <c r="I41" s="67">
        <f t="shared" si="7"/>
        <v>2</v>
      </c>
      <c r="J41" s="121"/>
      <c r="K41" s="65">
        <v>2.0</v>
      </c>
      <c r="L41" s="65"/>
      <c r="M41" s="121"/>
      <c r="N41" s="65"/>
      <c r="O41" s="65">
        <v>2.0</v>
      </c>
      <c r="P41" s="67">
        <f t="shared" si="8"/>
        <v>2</v>
      </c>
      <c r="Q41" s="121"/>
      <c r="R41" s="121"/>
      <c r="S41" s="121"/>
      <c r="T41" s="121"/>
      <c r="U41" s="121"/>
      <c r="V41" s="124">
        <f t="shared" si="10"/>
        <v>0</v>
      </c>
      <c r="Z41" s="233">
        <f t="shared" si="6"/>
        <v>0</v>
      </c>
    </row>
    <row r="42" ht="14.25" customHeight="1">
      <c r="A42" s="65"/>
      <c r="B42" s="187"/>
      <c r="C42" s="121" t="s">
        <v>712</v>
      </c>
      <c r="D42" s="65">
        <v>1.0</v>
      </c>
      <c r="E42" s="65"/>
      <c r="F42" s="65"/>
      <c r="G42" s="65"/>
      <c r="H42" s="65">
        <v>2.0</v>
      </c>
      <c r="I42" s="67">
        <f t="shared" si="7"/>
        <v>2</v>
      </c>
      <c r="J42" s="121"/>
      <c r="K42" s="65">
        <v>1.0</v>
      </c>
      <c r="L42" s="65"/>
      <c r="M42" s="121"/>
      <c r="N42" s="65"/>
      <c r="O42" s="65">
        <v>2.0</v>
      </c>
      <c r="P42" s="67">
        <f t="shared" si="8"/>
        <v>2</v>
      </c>
      <c r="Q42" s="121"/>
      <c r="R42" s="121"/>
      <c r="S42" s="121"/>
      <c r="T42" s="121"/>
      <c r="U42" s="121"/>
      <c r="V42" s="124">
        <f t="shared" si="10"/>
        <v>0</v>
      </c>
      <c r="Z42" s="233">
        <f t="shared" si="6"/>
        <v>0</v>
      </c>
    </row>
    <row r="43" ht="14.25" customHeight="1">
      <c r="A43" s="65"/>
      <c r="B43" s="187"/>
      <c r="C43" s="121" t="s">
        <v>714</v>
      </c>
      <c r="D43" s="65">
        <v>2.0</v>
      </c>
      <c r="E43" s="65"/>
      <c r="F43" s="65"/>
      <c r="G43" s="65"/>
      <c r="H43" s="65">
        <v>6.0</v>
      </c>
      <c r="I43" s="67">
        <f t="shared" si="7"/>
        <v>6</v>
      </c>
      <c r="J43" s="121"/>
      <c r="K43" s="65">
        <v>1.0</v>
      </c>
      <c r="L43" s="65"/>
      <c r="M43" s="121"/>
      <c r="N43" s="65"/>
      <c r="O43" s="65">
        <v>3.0</v>
      </c>
      <c r="P43" s="67">
        <f t="shared" si="8"/>
        <v>3</v>
      </c>
      <c r="Q43" s="121"/>
      <c r="R43" s="121"/>
      <c r="S43" s="121"/>
      <c r="T43" s="121"/>
      <c r="U43" s="121"/>
      <c r="V43" s="124">
        <f t="shared" si="10"/>
        <v>-3</v>
      </c>
      <c r="Z43" s="233">
        <f t="shared" si="6"/>
        <v>0</v>
      </c>
    </row>
    <row r="44" ht="14.25" customHeight="1">
      <c r="A44" s="65"/>
      <c r="B44" s="242"/>
      <c r="C44" s="121" t="s">
        <v>574</v>
      </c>
      <c r="D44" s="65">
        <v>2.0</v>
      </c>
      <c r="E44" s="65"/>
      <c r="F44" s="65"/>
      <c r="G44" s="65"/>
      <c r="H44" s="65">
        <v>2.0</v>
      </c>
      <c r="I44" s="67">
        <f t="shared" si="7"/>
        <v>2</v>
      </c>
      <c r="J44" s="121"/>
      <c r="K44" s="65">
        <v>2.0</v>
      </c>
      <c r="L44" s="65"/>
      <c r="M44" s="121"/>
      <c r="N44" s="65"/>
      <c r="O44" s="65">
        <v>1.0</v>
      </c>
      <c r="P44" s="67">
        <f t="shared" si="8"/>
        <v>1</v>
      </c>
      <c r="Q44" s="121"/>
      <c r="R44" s="121"/>
      <c r="S44" s="121"/>
      <c r="T44" s="121"/>
      <c r="U44" s="121"/>
      <c r="V44" s="124">
        <f t="shared" si="10"/>
        <v>-1</v>
      </c>
      <c r="Z44" s="233">
        <f t="shared" si="6"/>
        <v>0</v>
      </c>
    </row>
    <row r="45" ht="14.25" customHeight="1">
      <c r="A45" s="65">
        <v>14.0</v>
      </c>
      <c r="B45" s="229" t="s">
        <v>524</v>
      </c>
      <c r="C45" s="121" t="s">
        <v>715</v>
      </c>
      <c r="D45" s="65">
        <v>3.0</v>
      </c>
      <c r="E45" s="65"/>
      <c r="F45" s="65"/>
      <c r="G45" s="65"/>
      <c r="H45" s="65">
        <v>3.0</v>
      </c>
      <c r="I45" s="67">
        <f t="shared" si="7"/>
        <v>3</v>
      </c>
      <c r="J45" s="121"/>
      <c r="K45" s="65">
        <v>2.0</v>
      </c>
      <c r="L45" s="121"/>
      <c r="M45" s="121"/>
      <c r="N45" s="65"/>
      <c r="O45" s="65">
        <v>2.0</v>
      </c>
      <c r="P45" s="67">
        <f t="shared" si="8"/>
        <v>2</v>
      </c>
      <c r="Q45" s="121"/>
      <c r="R45" s="121"/>
      <c r="S45" s="121"/>
      <c r="T45" s="121"/>
      <c r="U45" s="121"/>
      <c r="V45" s="124">
        <f t="shared" si="10"/>
        <v>-1</v>
      </c>
      <c r="Z45" s="233">
        <f t="shared" si="6"/>
        <v>0</v>
      </c>
    </row>
    <row r="46" ht="14.25" customHeight="1">
      <c r="A46" s="65"/>
      <c r="B46" s="229"/>
      <c r="C46" s="121" t="s">
        <v>716</v>
      </c>
      <c r="D46" s="65">
        <v>3.0</v>
      </c>
      <c r="E46" s="65"/>
      <c r="F46" s="65"/>
      <c r="G46" s="65"/>
      <c r="H46" s="65">
        <v>3.0</v>
      </c>
      <c r="I46" s="67">
        <f t="shared" si="7"/>
        <v>3</v>
      </c>
      <c r="J46" s="121"/>
      <c r="K46" s="65">
        <v>2.0</v>
      </c>
      <c r="L46" s="121"/>
      <c r="M46" s="121"/>
      <c r="N46" s="65"/>
      <c r="O46" s="65">
        <v>2.0</v>
      </c>
      <c r="P46" s="67">
        <f t="shared" si="8"/>
        <v>2</v>
      </c>
      <c r="Q46" s="121"/>
      <c r="R46" s="121"/>
      <c r="S46" s="121"/>
      <c r="T46" s="121"/>
      <c r="U46" s="121"/>
      <c r="V46" s="124">
        <f t="shared" si="10"/>
        <v>-1</v>
      </c>
      <c r="Z46" s="233">
        <f t="shared" si="6"/>
        <v>0</v>
      </c>
    </row>
    <row r="47" ht="14.25" customHeight="1">
      <c r="A47" s="65"/>
      <c r="B47" s="229"/>
      <c r="C47" s="121" t="s">
        <v>611</v>
      </c>
      <c r="D47" s="65">
        <v>1.0</v>
      </c>
      <c r="E47" s="65"/>
      <c r="F47" s="65"/>
      <c r="G47" s="65"/>
      <c r="H47" s="65">
        <v>1.0</v>
      </c>
      <c r="I47" s="67">
        <f t="shared" si="7"/>
        <v>1</v>
      </c>
      <c r="J47" s="121"/>
      <c r="K47" s="65">
        <v>1.0</v>
      </c>
      <c r="L47" s="121"/>
      <c r="M47" s="121"/>
      <c r="N47" s="65"/>
      <c r="O47" s="65">
        <v>1.0</v>
      </c>
      <c r="P47" s="67">
        <f t="shared" si="8"/>
        <v>1</v>
      </c>
      <c r="Q47" s="121"/>
      <c r="R47" s="121"/>
      <c r="S47" s="121"/>
      <c r="T47" s="121"/>
      <c r="U47" s="121"/>
      <c r="V47" s="124">
        <f t="shared" si="10"/>
        <v>0</v>
      </c>
      <c r="Z47" s="233">
        <f t="shared" si="6"/>
        <v>0</v>
      </c>
    </row>
    <row r="48" ht="14.25" customHeight="1">
      <c r="A48" s="65"/>
      <c r="B48" s="229"/>
      <c r="C48" s="121" t="s">
        <v>717</v>
      </c>
      <c r="D48" s="65">
        <v>1.0</v>
      </c>
      <c r="E48" s="65"/>
      <c r="F48" s="65"/>
      <c r="G48" s="65"/>
      <c r="H48" s="65"/>
      <c r="I48" s="67">
        <f t="shared" si="7"/>
        <v>0</v>
      </c>
      <c r="J48" s="121"/>
      <c r="K48" s="65">
        <v>1.0</v>
      </c>
      <c r="L48" s="121"/>
      <c r="M48" s="121"/>
      <c r="N48" s="65"/>
      <c r="O48" s="65"/>
      <c r="P48" s="67">
        <f t="shared" si="8"/>
        <v>0</v>
      </c>
      <c r="Q48" s="121"/>
      <c r="R48" s="121"/>
      <c r="S48" s="121"/>
      <c r="T48" s="121"/>
      <c r="U48" s="121"/>
      <c r="V48" s="124">
        <f t="shared" si="10"/>
        <v>0</v>
      </c>
      <c r="Z48" s="233">
        <f t="shared" si="6"/>
        <v>0</v>
      </c>
    </row>
    <row r="49" ht="14.25" customHeight="1">
      <c r="A49" s="65"/>
      <c r="B49" s="229"/>
      <c r="C49" s="121" t="s">
        <v>584</v>
      </c>
      <c r="D49" s="65">
        <v>2.0</v>
      </c>
      <c r="E49" s="65"/>
      <c r="F49" s="65"/>
      <c r="G49" s="65"/>
      <c r="H49" s="65">
        <v>2.0</v>
      </c>
      <c r="I49" s="67">
        <f t="shared" si="7"/>
        <v>2</v>
      </c>
      <c r="J49" s="121"/>
      <c r="K49" s="65">
        <v>2.0</v>
      </c>
      <c r="L49" s="121"/>
      <c r="M49" s="121"/>
      <c r="N49" s="65"/>
      <c r="O49" s="65">
        <v>2.0</v>
      </c>
      <c r="P49" s="67">
        <f t="shared" si="8"/>
        <v>2</v>
      </c>
      <c r="Q49" s="121"/>
      <c r="R49" s="121"/>
      <c r="S49" s="121"/>
      <c r="T49" s="121"/>
      <c r="U49" s="121"/>
      <c r="V49" s="124">
        <f t="shared" si="10"/>
        <v>0</v>
      </c>
      <c r="Z49" s="233">
        <f t="shared" si="6"/>
        <v>0</v>
      </c>
    </row>
    <row r="50" ht="14.25" customHeight="1">
      <c r="A50" s="65"/>
      <c r="B50" s="229"/>
      <c r="C50" s="121" t="s">
        <v>721</v>
      </c>
      <c r="D50" s="65">
        <v>1.0</v>
      </c>
      <c r="E50" s="65"/>
      <c r="F50" s="65"/>
      <c r="G50" s="65"/>
      <c r="H50" s="65">
        <v>1.0</v>
      </c>
      <c r="I50" s="67">
        <f t="shared" si="7"/>
        <v>1</v>
      </c>
      <c r="J50" s="121"/>
      <c r="K50" s="65">
        <v>1.0</v>
      </c>
      <c r="L50" s="121"/>
      <c r="M50" s="121"/>
      <c r="N50" s="65"/>
      <c r="O50" s="65">
        <v>1.0</v>
      </c>
      <c r="P50" s="67">
        <f t="shared" si="8"/>
        <v>1</v>
      </c>
      <c r="Q50" s="121"/>
      <c r="R50" s="121"/>
      <c r="S50" s="121"/>
      <c r="T50" s="121"/>
      <c r="U50" s="121"/>
      <c r="V50" s="124">
        <f t="shared" si="10"/>
        <v>0</v>
      </c>
      <c r="Z50" s="233">
        <f t="shared" si="6"/>
        <v>0</v>
      </c>
    </row>
    <row r="51" ht="14.25" customHeight="1">
      <c r="A51" s="65"/>
      <c r="B51" s="229" t="s">
        <v>713</v>
      </c>
      <c r="C51" s="121"/>
      <c r="D51" s="65">
        <v>3.0</v>
      </c>
      <c r="E51" s="65"/>
      <c r="F51" s="65"/>
      <c r="G51" s="65"/>
      <c r="H51" s="65">
        <v>22.0</v>
      </c>
      <c r="I51" s="67">
        <f t="shared" si="7"/>
        <v>22</v>
      </c>
      <c r="J51" s="121"/>
      <c r="K51" s="65">
        <v>1.0</v>
      </c>
      <c r="L51" s="121"/>
      <c r="M51" s="121"/>
      <c r="N51" s="65"/>
      <c r="O51" s="65">
        <f>2+20</f>
        <v>22</v>
      </c>
      <c r="P51" s="67">
        <f t="shared" si="8"/>
        <v>22</v>
      </c>
      <c r="Q51" s="121"/>
      <c r="R51" s="121"/>
      <c r="S51" s="121"/>
      <c r="T51" s="121"/>
      <c r="U51" s="121"/>
      <c r="V51" s="124">
        <f t="shared" si="10"/>
        <v>0</v>
      </c>
      <c r="Z51" s="233">
        <f t="shared" si="6"/>
        <v>0</v>
      </c>
    </row>
    <row r="52" ht="14.25" customHeight="1">
      <c r="D52" s="67"/>
      <c r="E52" s="67">
        <f t="shared" ref="E52:I52" si="11">SUM(E6:E51)</f>
        <v>14</v>
      </c>
      <c r="F52" s="67">
        <f t="shared" si="11"/>
        <v>1</v>
      </c>
      <c r="G52" s="67">
        <f t="shared" si="11"/>
        <v>30</v>
      </c>
      <c r="H52" s="67">
        <f t="shared" si="11"/>
        <v>74</v>
      </c>
      <c r="I52" s="243">
        <f t="shared" si="11"/>
        <v>118</v>
      </c>
      <c r="J52" s="67"/>
      <c r="K52" s="67">
        <f t="shared" ref="K52:P52" si="12">SUM(K6:K51)</f>
        <v>67</v>
      </c>
      <c r="L52" s="67">
        <f t="shared" si="12"/>
        <v>13</v>
      </c>
      <c r="M52" s="67">
        <f t="shared" si="12"/>
        <v>1</v>
      </c>
      <c r="N52" s="67">
        <f t="shared" si="12"/>
        <v>19</v>
      </c>
      <c r="O52" s="67">
        <f t="shared" si="12"/>
        <v>65</v>
      </c>
      <c r="P52" s="243">
        <f t="shared" si="12"/>
        <v>97</v>
      </c>
      <c r="Q52" s="124">
        <f>SUM(Q7:Q51)</f>
        <v>0</v>
      </c>
      <c r="R52" s="124"/>
      <c r="S52" s="124"/>
      <c r="T52" s="124">
        <f t="shared" ref="T52:U52" si="13">SUM(T7:T51)</f>
        <v>0</v>
      </c>
      <c r="U52" s="124">
        <f t="shared" si="13"/>
        <v>0</v>
      </c>
      <c r="V52" s="243">
        <f>SUM(V6:V51)</f>
        <v>-20</v>
      </c>
    </row>
    <row r="53" ht="14.25" customHeight="1">
      <c r="D53" s="127"/>
      <c r="E53" s="127"/>
      <c r="F53" s="127"/>
      <c r="G53" s="127"/>
      <c r="H53" s="127"/>
      <c r="I53" s="127"/>
      <c r="J53" s="24"/>
      <c r="N53" s="125"/>
      <c r="O53" s="125"/>
      <c r="P53" s="172"/>
    </row>
    <row r="54" ht="14.25" customHeight="1">
      <c r="Q54" s="127" t="s">
        <v>203</v>
      </c>
      <c r="T54" s="124">
        <f>L51+M51+O51</f>
        <v>22</v>
      </c>
    </row>
    <row r="55" ht="14.25" customHeight="1">
      <c r="L55" s="127" t="s">
        <v>723</v>
      </c>
      <c r="Q55" s="127" t="s">
        <v>649</v>
      </c>
      <c r="T55" s="124" t="str">
        <f>#REF!-T54</f>
        <v>#REF!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autoFilter ref="$A$5:$AN$1009"/>
  <mergeCells count="9">
    <mergeCell ref="T3:T4"/>
    <mergeCell ref="U3:U4"/>
    <mergeCell ref="A3:A4"/>
    <mergeCell ref="B3:B4"/>
    <mergeCell ref="C3:C4"/>
    <mergeCell ref="D3:I3"/>
    <mergeCell ref="J3:J4"/>
    <mergeCell ref="K3:P3"/>
    <mergeCell ref="Q3:S3"/>
  </mergeCells>
  <printOptions/>
  <pageMargins bottom="0.75" footer="0.0" header="0.0" left="0.7" right="0.7" top="0.75"/>
  <pageSetup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 outlineLevelCol="1"/>
  <cols>
    <col customWidth="1" min="1" max="1" width="5.71"/>
    <col customWidth="1" min="2" max="2" width="15.57"/>
    <col customWidth="1" min="3" max="3" width="20.71"/>
    <col customWidth="1" min="4" max="4" width="7.71"/>
    <col customWidth="1" min="5" max="7" width="8.29"/>
    <col customWidth="1" min="8" max="9" width="7.86"/>
    <col customWidth="1" hidden="1" min="10" max="10" width="11.14"/>
    <col customWidth="1" min="11" max="14" width="8.57"/>
    <col customWidth="1" min="15" max="15" width="8.43"/>
    <col customWidth="1" min="16" max="16" width="8.0"/>
    <col customWidth="1" hidden="1" min="17" max="17" width="13.86"/>
    <col customWidth="1" hidden="1" min="18" max="18" width="11.43"/>
    <col customWidth="1" hidden="1" min="19" max="19" width="9.57"/>
    <col customWidth="1" hidden="1" min="20" max="20" width="14.57"/>
    <col customWidth="1" hidden="1" min="21" max="21" width="7.14"/>
    <col customWidth="1" min="22" max="22" width="8.71"/>
    <col customWidth="1" min="23" max="23" width="46.43"/>
    <col customWidth="1" min="24" max="26" width="14.43"/>
  </cols>
  <sheetData>
    <row r="1" ht="14.25" customHeight="1">
      <c r="A1" s="24" t="s">
        <v>436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ht="14.25" customHeight="1">
      <c r="A2" s="24" t="s">
        <v>724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ht="15.0" customHeight="1">
      <c r="A3" s="28" t="s">
        <v>84</v>
      </c>
      <c r="B3" s="28" t="s">
        <v>105</v>
      </c>
      <c r="C3" s="28" t="s">
        <v>109</v>
      </c>
      <c r="D3" s="30" t="s">
        <v>438</v>
      </c>
      <c r="E3" s="31"/>
      <c r="F3" s="31"/>
      <c r="G3" s="31"/>
      <c r="H3" s="31"/>
      <c r="I3" s="35"/>
      <c r="J3" s="28" t="s">
        <v>140</v>
      </c>
      <c r="K3" s="39" t="s">
        <v>166</v>
      </c>
      <c r="L3" s="31"/>
      <c r="M3" s="31"/>
      <c r="N3" s="31"/>
      <c r="O3" s="31"/>
      <c r="P3" s="35"/>
      <c r="Q3" s="39" t="s">
        <v>140</v>
      </c>
      <c r="R3" s="31"/>
      <c r="S3" s="35"/>
      <c r="T3" s="29" t="s">
        <v>171</v>
      </c>
      <c r="U3" s="29" t="s">
        <v>172</v>
      </c>
      <c r="V3" s="91"/>
      <c r="W3" s="91"/>
      <c r="X3" s="91"/>
      <c r="Y3" s="91"/>
      <c r="Z3" s="91"/>
    </row>
    <row r="4" ht="14.25" customHeight="1">
      <c r="A4" s="42"/>
      <c r="B4" s="42"/>
      <c r="C4" s="42"/>
      <c r="D4" s="98" t="s">
        <v>116</v>
      </c>
      <c r="E4" s="43" t="s">
        <v>199</v>
      </c>
      <c r="F4" s="43" t="s">
        <v>200</v>
      </c>
      <c r="G4" s="43" t="s">
        <v>441</v>
      </c>
      <c r="H4" s="98" t="s">
        <v>667</v>
      </c>
      <c r="I4" s="98" t="s">
        <v>203</v>
      </c>
      <c r="J4" s="42"/>
      <c r="K4" s="43" t="s">
        <v>116</v>
      </c>
      <c r="L4" s="43" t="s">
        <v>199</v>
      </c>
      <c r="M4" s="43" t="s">
        <v>200</v>
      </c>
      <c r="N4" s="43" t="s">
        <v>441</v>
      </c>
      <c r="O4" s="98" t="s">
        <v>667</v>
      </c>
      <c r="P4" s="98" t="s">
        <v>203</v>
      </c>
      <c r="Q4" s="43" t="s">
        <v>199</v>
      </c>
      <c r="R4" s="43" t="s">
        <v>200</v>
      </c>
      <c r="S4" s="43" t="s">
        <v>201</v>
      </c>
      <c r="T4" s="42"/>
      <c r="U4" s="42"/>
      <c r="V4" s="127" t="s">
        <v>542</v>
      </c>
      <c r="W4" s="127" t="s">
        <v>176</v>
      </c>
      <c r="X4" s="91"/>
      <c r="Y4" s="91"/>
      <c r="Z4" s="91"/>
    </row>
    <row r="5" ht="14.25" customHeight="1">
      <c r="A5" s="49" t="s">
        <v>218</v>
      </c>
      <c r="B5" s="136"/>
      <c r="C5" s="142"/>
      <c r="D5" s="51"/>
      <c r="E5" s="51">
        <f t="shared" ref="E5:I5" si="1">SUM(E6:E50)</f>
        <v>10</v>
      </c>
      <c r="F5" s="51">
        <f t="shared" si="1"/>
        <v>2</v>
      </c>
      <c r="G5" s="51">
        <f t="shared" si="1"/>
        <v>17</v>
      </c>
      <c r="H5" s="51">
        <f t="shared" si="1"/>
        <v>35</v>
      </c>
      <c r="I5" s="51">
        <f t="shared" si="1"/>
        <v>64</v>
      </c>
      <c r="J5" s="142"/>
      <c r="K5" s="142"/>
      <c r="L5" s="51">
        <f t="shared" ref="L5:P5" si="2">SUM(L6:L50)</f>
        <v>10</v>
      </c>
      <c r="M5" s="51">
        <f t="shared" si="2"/>
        <v>1</v>
      </c>
      <c r="N5" s="51">
        <f t="shared" si="2"/>
        <v>12</v>
      </c>
      <c r="O5" s="51">
        <f t="shared" si="2"/>
        <v>23</v>
      </c>
      <c r="P5" s="51">
        <f t="shared" si="2"/>
        <v>46</v>
      </c>
      <c r="Q5" s="53">
        <v>9.5082611E7</v>
      </c>
      <c r="R5" s="53">
        <v>4.1612458E7</v>
      </c>
      <c r="S5" s="53">
        <f>SUM(S6:S51)</f>
        <v>0</v>
      </c>
      <c r="T5" s="51"/>
      <c r="U5" s="51"/>
      <c r="V5" s="91"/>
      <c r="W5" s="91"/>
      <c r="X5" s="91"/>
      <c r="Y5" s="91"/>
      <c r="Z5" s="91"/>
    </row>
    <row r="6" ht="14.25" customHeight="1">
      <c r="A6" s="56">
        <v>1.0</v>
      </c>
      <c r="B6" s="66" t="s">
        <v>264</v>
      </c>
      <c r="C6" s="57"/>
      <c r="D6" s="231"/>
      <c r="E6" s="231"/>
      <c r="F6" s="231"/>
      <c r="G6" s="231"/>
      <c r="H6" s="231"/>
      <c r="I6" s="220">
        <f t="shared" ref="I6:I50" si="3">SUM(E6:H6)</f>
        <v>0</v>
      </c>
      <c r="J6" s="56"/>
      <c r="K6" s="56"/>
      <c r="L6" s="56"/>
      <c r="M6" s="56"/>
      <c r="N6" s="56"/>
      <c r="O6" s="56"/>
      <c r="P6" s="220">
        <f t="shared" ref="P6:P50" si="4">SUM(L6:O6)</f>
        <v>0</v>
      </c>
      <c r="Q6" s="58"/>
      <c r="R6" s="58"/>
      <c r="S6" s="58"/>
      <c r="T6" s="59"/>
      <c r="U6" s="59"/>
      <c r="V6" s="124">
        <f t="shared" ref="V6:V29" si="5">P6-I6</f>
        <v>0</v>
      </c>
      <c r="W6" s="91"/>
      <c r="X6" s="91"/>
      <c r="Y6" s="91"/>
      <c r="Z6" s="249">
        <f t="shared" ref="Z6:Z50" si="6">SUM(L6:M6)-SUM(E6:F6)</f>
        <v>0</v>
      </c>
    </row>
    <row r="7" ht="14.25" customHeight="1">
      <c r="A7" s="56">
        <v>2.0</v>
      </c>
      <c r="B7" s="85" t="s">
        <v>314</v>
      </c>
      <c r="C7" s="57" t="s">
        <v>316</v>
      </c>
      <c r="D7" s="231">
        <v>1.0</v>
      </c>
      <c r="E7" s="231">
        <v>1.0</v>
      </c>
      <c r="F7" s="231"/>
      <c r="G7" s="231"/>
      <c r="H7" s="231"/>
      <c r="I7" s="67">
        <f t="shared" si="3"/>
        <v>1</v>
      </c>
      <c r="J7" s="56"/>
      <c r="K7" s="56">
        <v>1.0</v>
      </c>
      <c r="L7" s="56">
        <v>1.0</v>
      </c>
      <c r="M7" s="56"/>
      <c r="N7" s="56"/>
      <c r="O7" s="56"/>
      <c r="P7" s="67">
        <f t="shared" si="4"/>
        <v>1</v>
      </c>
      <c r="Q7" s="58"/>
      <c r="R7" s="58"/>
      <c r="S7" s="58"/>
      <c r="T7" s="59"/>
      <c r="U7" s="59"/>
      <c r="V7" s="124">
        <f t="shared" si="5"/>
        <v>0</v>
      </c>
      <c r="W7" s="91"/>
      <c r="X7" s="91"/>
      <c r="Y7" s="91"/>
      <c r="Z7" s="249">
        <f t="shared" si="6"/>
        <v>0</v>
      </c>
    </row>
    <row r="8" ht="14.25" customHeight="1">
      <c r="A8" s="65"/>
      <c r="B8" s="15"/>
      <c r="C8" s="66" t="s">
        <v>331</v>
      </c>
      <c r="D8" s="226"/>
      <c r="E8" s="226"/>
      <c r="F8" s="226"/>
      <c r="G8" s="226"/>
      <c r="H8" s="226"/>
      <c r="I8" s="67">
        <f t="shared" si="3"/>
        <v>0</v>
      </c>
      <c r="J8" s="65"/>
      <c r="K8" s="65"/>
      <c r="L8" s="65"/>
      <c r="M8" s="65"/>
      <c r="N8" s="65"/>
      <c r="O8" s="65"/>
      <c r="P8" s="67">
        <f t="shared" si="4"/>
        <v>0</v>
      </c>
      <c r="Q8" s="67"/>
      <c r="R8" s="67"/>
      <c r="S8" s="67"/>
      <c r="T8" s="60"/>
      <c r="U8" s="60"/>
      <c r="V8" s="124">
        <f t="shared" si="5"/>
        <v>0</v>
      </c>
      <c r="W8" s="91"/>
      <c r="X8" s="91"/>
      <c r="Y8" s="91"/>
      <c r="Z8" s="249">
        <f t="shared" si="6"/>
        <v>0</v>
      </c>
    </row>
    <row r="9" ht="14.25" customHeight="1">
      <c r="A9" s="65"/>
      <c r="B9" s="22"/>
      <c r="C9" s="66" t="s">
        <v>349</v>
      </c>
      <c r="D9" s="226"/>
      <c r="E9" s="226"/>
      <c r="F9" s="226"/>
      <c r="G9" s="226"/>
      <c r="H9" s="226"/>
      <c r="I9" s="67">
        <f t="shared" si="3"/>
        <v>0</v>
      </c>
      <c r="J9" s="65"/>
      <c r="K9" s="65"/>
      <c r="L9" s="65"/>
      <c r="M9" s="65"/>
      <c r="N9" s="65"/>
      <c r="O9" s="65"/>
      <c r="P9" s="67">
        <f t="shared" si="4"/>
        <v>0</v>
      </c>
      <c r="Q9" s="67"/>
      <c r="R9" s="67"/>
      <c r="S9" s="67"/>
      <c r="T9" s="60"/>
      <c r="U9" s="60"/>
      <c r="V9" s="124">
        <f t="shared" si="5"/>
        <v>0</v>
      </c>
      <c r="W9" s="91"/>
      <c r="X9" s="91"/>
      <c r="Y9" s="91"/>
      <c r="Z9" s="249">
        <f t="shared" si="6"/>
        <v>0</v>
      </c>
    </row>
    <row r="10" ht="14.25" customHeight="1">
      <c r="A10" s="65">
        <v>3.0</v>
      </c>
      <c r="B10" s="66" t="s">
        <v>360</v>
      </c>
      <c r="C10" s="66"/>
      <c r="D10" s="226"/>
      <c r="E10" s="226"/>
      <c r="F10" s="226"/>
      <c r="G10" s="226"/>
      <c r="H10" s="226"/>
      <c r="I10" s="67">
        <f t="shared" si="3"/>
        <v>0</v>
      </c>
      <c r="J10" s="65"/>
      <c r="K10" s="65"/>
      <c r="L10" s="65"/>
      <c r="M10" s="65"/>
      <c r="N10" s="65"/>
      <c r="O10" s="65"/>
      <c r="P10" s="67">
        <f t="shared" si="4"/>
        <v>0</v>
      </c>
      <c r="Q10" s="67"/>
      <c r="R10" s="67"/>
      <c r="S10" s="67"/>
      <c r="T10" s="60"/>
      <c r="U10" s="60"/>
      <c r="V10" s="124">
        <f t="shared" si="5"/>
        <v>0</v>
      </c>
      <c r="W10" s="91"/>
      <c r="X10" s="91"/>
      <c r="Y10" s="91"/>
      <c r="Z10" s="249">
        <f t="shared" si="6"/>
        <v>0</v>
      </c>
    </row>
    <row r="11" ht="14.25" customHeight="1">
      <c r="A11" s="65">
        <v>4.0</v>
      </c>
      <c r="B11" s="66" t="s">
        <v>375</v>
      </c>
      <c r="C11" s="66"/>
      <c r="D11" s="226"/>
      <c r="E11" s="226"/>
      <c r="F11" s="226"/>
      <c r="G11" s="226"/>
      <c r="H11" s="226"/>
      <c r="I11" s="67">
        <f t="shared" si="3"/>
        <v>0</v>
      </c>
      <c r="J11" s="65"/>
      <c r="K11" s="65"/>
      <c r="L11" s="65"/>
      <c r="M11" s="65"/>
      <c r="N11" s="65"/>
      <c r="O11" s="65"/>
      <c r="P11" s="67">
        <f t="shared" si="4"/>
        <v>0</v>
      </c>
      <c r="Q11" s="67"/>
      <c r="R11" s="67"/>
      <c r="S11" s="67"/>
      <c r="T11" s="60"/>
      <c r="U11" s="60"/>
      <c r="V11" s="124">
        <f t="shared" si="5"/>
        <v>0</v>
      </c>
      <c r="W11" s="91"/>
      <c r="X11" s="91"/>
      <c r="Y11" s="91"/>
      <c r="Z11" s="249">
        <f t="shared" si="6"/>
        <v>0</v>
      </c>
    </row>
    <row r="12" ht="14.25" customHeight="1">
      <c r="A12" s="65">
        <v>5.0</v>
      </c>
      <c r="B12" s="84" t="s">
        <v>405</v>
      </c>
      <c r="C12" s="66" t="s">
        <v>56</v>
      </c>
      <c r="D12" s="226"/>
      <c r="E12" s="226"/>
      <c r="F12" s="226"/>
      <c r="G12" s="226"/>
      <c r="H12" s="226"/>
      <c r="I12" s="67">
        <f t="shared" si="3"/>
        <v>0</v>
      </c>
      <c r="J12" s="65"/>
      <c r="K12" s="65"/>
      <c r="L12" s="65"/>
      <c r="M12" s="65"/>
      <c r="N12" s="65"/>
      <c r="O12" s="65"/>
      <c r="P12" s="67">
        <f t="shared" si="4"/>
        <v>0</v>
      </c>
      <c r="Q12" s="67"/>
      <c r="R12" s="67"/>
      <c r="S12" s="67"/>
      <c r="T12" s="60"/>
      <c r="U12" s="60"/>
      <c r="V12" s="124">
        <f t="shared" si="5"/>
        <v>0</v>
      </c>
      <c r="W12" s="91"/>
      <c r="X12" s="91"/>
      <c r="Y12" s="91"/>
      <c r="Z12" s="249">
        <f t="shared" si="6"/>
        <v>0</v>
      </c>
    </row>
    <row r="13" ht="14.25" customHeight="1">
      <c r="A13" s="65"/>
      <c r="B13" s="15"/>
      <c r="C13" s="66" t="s">
        <v>679</v>
      </c>
      <c r="D13" s="226"/>
      <c r="E13" s="226"/>
      <c r="F13" s="226"/>
      <c r="G13" s="226"/>
      <c r="H13" s="226"/>
      <c r="I13" s="67">
        <f t="shared" si="3"/>
        <v>0</v>
      </c>
      <c r="J13" s="65"/>
      <c r="K13" s="65"/>
      <c r="L13" s="65"/>
      <c r="M13" s="65"/>
      <c r="N13" s="65"/>
      <c r="O13" s="65"/>
      <c r="P13" s="67">
        <f t="shared" si="4"/>
        <v>0</v>
      </c>
      <c r="Q13" s="67"/>
      <c r="R13" s="67"/>
      <c r="S13" s="67"/>
      <c r="T13" s="60"/>
      <c r="U13" s="60"/>
      <c r="V13" s="124">
        <f t="shared" si="5"/>
        <v>0</v>
      </c>
      <c r="W13" s="91"/>
      <c r="X13" s="91"/>
      <c r="Y13" s="91"/>
      <c r="Z13" s="249">
        <f t="shared" si="6"/>
        <v>0</v>
      </c>
    </row>
    <row r="14" ht="14.25" customHeight="1">
      <c r="A14" s="65"/>
      <c r="B14" s="15"/>
      <c r="C14" s="66" t="s">
        <v>680</v>
      </c>
      <c r="D14" s="226"/>
      <c r="E14" s="226"/>
      <c r="F14" s="226"/>
      <c r="G14" s="226"/>
      <c r="H14" s="226"/>
      <c r="I14" s="67">
        <f t="shared" si="3"/>
        <v>0</v>
      </c>
      <c r="J14" s="65"/>
      <c r="K14" s="65"/>
      <c r="L14" s="65"/>
      <c r="M14" s="65"/>
      <c r="N14" s="65"/>
      <c r="O14" s="65"/>
      <c r="P14" s="67">
        <f t="shared" si="4"/>
        <v>0</v>
      </c>
      <c r="Q14" s="67"/>
      <c r="R14" s="67"/>
      <c r="S14" s="67"/>
      <c r="T14" s="60"/>
      <c r="U14" s="60"/>
      <c r="V14" s="124">
        <f t="shared" si="5"/>
        <v>0</v>
      </c>
      <c r="W14" s="91"/>
      <c r="X14" s="91"/>
      <c r="Y14" s="91"/>
      <c r="Z14" s="249">
        <f t="shared" si="6"/>
        <v>0</v>
      </c>
    </row>
    <row r="15" ht="14.25" customHeight="1">
      <c r="A15" s="65"/>
      <c r="B15" s="22"/>
      <c r="C15" s="66" t="s">
        <v>434</v>
      </c>
      <c r="D15" s="226"/>
      <c r="E15" s="226"/>
      <c r="F15" s="226"/>
      <c r="G15" s="226"/>
      <c r="H15" s="226"/>
      <c r="I15" s="67">
        <f t="shared" si="3"/>
        <v>0</v>
      </c>
      <c r="J15" s="65"/>
      <c r="K15" s="65"/>
      <c r="L15" s="65"/>
      <c r="M15" s="65"/>
      <c r="N15" s="65"/>
      <c r="O15" s="65"/>
      <c r="P15" s="67">
        <f t="shared" si="4"/>
        <v>0</v>
      </c>
      <c r="Q15" s="67"/>
      <c r="R15" s="67"/>
      <c r="S15" s="67"/>
      <c r="T15" s="60"/>
      <c r="U15" s="60"/>
      <c r="V15" s="124">
        <f t="shared" si="5"/>
        <v>0</v>
      </c>
      <c r="W15" s="91"/>
      <c r="X15" s="91"/>
      <c r="Y15" s="91"/>
      <c r="Z15" s="249">
        <f t="shared" si="6"/>
        <v>0</v>
      </c>
    </row>
    <row r="16" ht="14.25" customHeight="1">
      <c r="A16" s="65">
        <v>6.0</v>
      </c>
      <c r="B16" s="84" t="s">
        <v>65</v>
      </c>
      <c r="C16" s="66" t="s">
        <v>683</v>
      </c>
      <c r="D16" s="226">
        <v>1.0</v>
      </c>
      <c r="E16" s="226"/>
      <c r="F16" s="226">
        <v>1.0</v>
      </c>
      <c r="G16" s="226"/>
      <c r="H16" s="226"/>
      <c r="I16" s="67">
        <f t="shared" si="3"/>
        <v>1</v>
      </c>
      <c r="J16" s="65"/>
      <c r="K16" s="65">
        <v>1.0</v>
      </c>
      <c r="L16" s="65"/>
      <c r="M16" s="65">
        <v>1.0</v>
      </c>
      <c r="N16" s="65"/>
      <c r="O16" s="65"/>
      <c r="P16" s="67">
        <f t="shared" si="4"/>
        <v>1</v>
      </c>
      <c r="Q16" s="67"/>
      <c r="R16" s="67"/>
      <c r="S16" s="67"/>
      <c r="T16" s="60"/>
      <c r="U16" s="60"/>
      <c r="V16" s="124">
        <f t="shared" si="5"/>
        <v>0</v>
      </c>
      <c r="W16" s="91"/>
      <c r="X16" s="91"/>
      <c r="Y16" s="91"/>
      <c r="Z16" s="249">
        <f t="shared" si="6"/>
        <v>0</v>
      </c>
    </row>
    <row r="17" ht="14.25" customHeight="1">
      <c r="A17" s="67"/>
      <c r="B17" s="85"/>
      <c r="C17" s="66" t="s">
        <v>684</v>
      </c>
      <c r="D17" s="226">
        <v>1.0</v>
      </c>
      <c r="E17" s="226"/>
      <c r="F17" s="226">
        <v>1.0</v>
      </c>
      <c r="G17" s="226"/>
      <c r="H17" s="226"/>
      <c r="I17" s="67">
        <f t="shared" si="3"/>
        <v>1</v>
      </c>
      <c r="J17" s="65"/>
      <c r="K17" s="65"/>
      <c r="L17" s="65"/>
      <c r="M17" s="65"/>
      <c r="N17" s="65"/>
      <c r="O17" s="65"/>
      <c r="P17" s="67">
        <f t="shared" si="4"/>
        <v>0</v>
      </c>
      <c r="Q17" s="67"/>
      <c r="R17" s="67"/>
      <c r="S17" s="67"/>
      <c r="T17" s="60"/>
      <c r="U17" s="60"/>
      <c r="V17" s="124">
        <f t="shared" si="5"/>
        <v>-1</v>
      </c>
      <c r="W17" s="91"/>
      <c r="X17" s="91"/>
      <c r="Y17" s="91"/>
      <c r="Z17" s="249">
        <f t="shared" si="6"/>
        <v>-1</v>
      </c>
    </row>
    <row r="18" ht="14.25" customHeight="1">
      <c r="A18" s="67"/>
      <c r="B18" s="85"/>
      <c r="C18" s="66" t="s">
        <v>558</v>
      </c>
      <c r="D18" s="226"/>
      <c r="E18" s="226"/>
      <c r="F18" s="226"/>
      <c r="G18" s="226"/>
      <c r="H18" s="226">
        <v>1.0</v>
      </c>
      <c r="I18" s="67">
        <f t="shared" si="3"/>
        <v>1</v>
      </c>
      <c r="J18" s="65"/>
      <c r="K18" s="65">
        <v>1.0</v>
      </c>
      <c r="L18" s="65"/>
      <c r="M18" s="65"/>
      <c r="N18" s="65"/>
      <c r="O18" s="65">
        <v>1.0</v>
      </c>
      <c r="P18" s="67">
        <f t="shared" si="4"/>
        <v>1</v>
      </c>
      <c r="Q18" s="67"/>
      <c r="R18" s="67"/>
      <c r="S18" s="67"/>
      <c r="T18" s="60"/>
      <c r="U18" s="60"/>
      <c r="V18" s="124">
        <f t="shared" si="5"/>
        <v>0</v>
      </c>
      <c r="W18" s="91"/>
      <c r="X18" s="91"/>
      <c r="Y18" s="91"/>
      <c r="Z18" s="249">
        <f t="shared" si="6"/>
        <v>0</v>
      </c>
    </row>
    <row r="19" ht="14.25" customHeight="1">
      <c r="A19" s="67"/>
      <c r="B19" s="85"/>
      <c r="C19" s="66" t="s">
        <v>685</v>
      </c>
      <c r="D19" s="226"/>
      <c r="E19" s="226"/>
      <c r="F19" s="226"/>
      <c r="G19" s="226"/>
      <c r="H19" s="226"/>
      <c r="I19" s="67">
        <f t="shared" si="3"/>
        <v>0</v>
      </c>
      <c r="J19" s="65"/>
      <c r="K19" s="65"/>
      <c r="L19" s="65"/>
      <c r="M19" s="65"/>
      <c r="N19" s="65"/>
      <c r="O19" s="65"/>
      <c r="P19" s="67">
        <f t="shared" si="4"/>
        <v>0</v>
      </c>
      <c r="Q19" s="67"/>
      <c r="R19" s="67"/>
      <c r="S19" s="67"/>
      <c r="T19" s="60"/>
      <c r="U19" s="60"/>
      <c r="V19" s="124">
        <f t="shared" si="5"/>
        <v>0</v>
      </c>
      <c r="W19" s="91"/>
      <c r="X19" s="91"/>
      <c r="Y19" s="91"/>
      <c r="Z19" s="249">
        <f t="shared" si="6"/>
        <v>0</v>
      </c>
    </row>
    <row r="20" ht="14.25" customHeight="1">
      <c r="A20" s="67"/>
      <c r="B20" s="87"/>
      <c r="C20" s="66" t="s">
        <v>445</v>
      </c>
      <c r="D20" s="226"/>
      <c r="E20" s="226"/>
      <c r="F20" s="226"/>
      <c r="G20" s="226"/>
      <c r="H20" s="226"/>
      <c r="I20" s="67">
        <f t="shared" si="3"/>
        <v>0</v>
      </c>
      <c r="J20" s="65"/>
      <c r="K20" s="65"/>
      <c r="L20" s="65"/>
      <c r="M20" s="65"/>
      <c r="N20" s="65"/>
      <c r="O20" s="65"/>
      <c r="P20" s="67">
        <f t="shared" si="4"/>
        <v>0</v>
      </c>
      <c r="Q20" s="67"/>
      <c r="R20" s="67"/>
      <c r="S20" s="67"/>
      <c r="T20" s="60"/>
      <c r="U20" s="60"/>
      <c r="V20" s="124">
        <f t="shared" si="5"/>
        <v>0</v>
      </c>
      <c r="W20" s="91"/>
      <c r="X20" s="91"/>
      <c r="Y20" s="91"/>
      <c r="Z20" s="249">
        <f t="shared" si="6"/>
        <v>0</v>
      </c>
    </row>
    <row r="21" ht="14.25" customHeight="1">
      <c r="A21" s="67"/>
      <c r="B21" s="102" t="s">
        <v>484</v>
      </c>
      <c r="C21" s="66" t="s">
        <v>686</v>
      </c>
      <c r="D21" s="226"/>
      <c r="E21" s="226"/>
      <c r="F21" s="226"/>
      <c r="G21" s="226"/>
      <c r="H21" s="226"/>
      <c r="I21" s="67">
        <f t="shared" si="3"/>
        <v>0</v>
      </c>
      <c r="J21" s="65"/>
      <c r="K21" s="65"/>
      <c r="L21" s="65"/>
      <c r="M21" s="65"/>
      <c r="N21" s="65"/>
      <c r="O21" s="65"/>
      <c r="P21" s="67">
        <f t="shared" si="4"/>
        <v>0</v>
      </c>
      <c r="Q21" s="67"/>
      <c r="R21" s="67"/>
      <c r="S21" s="67"/>
      <c r="T21" s="60"/>
      <c r="U21" s="60"/>
      <c r="V21" s="124">
        <f t="shared" si="5"/>
        <v>0</v>
      </c>
      <c r="W21" s="91"/>
      <c r="X21" s="91"/>
      <c r="Y21" s="91"/>
      <c r="Z21" s="249">
        <f t="shared" si="6"/>
        <v>0</v>
      </c>
    </row>
    <row r="22" ht="14.25" customHeight="1">
      <c r="A22" s="65">
        <v>7.0</v>
      </c>
      <c r="B22" s="102" t="s">
        <v>488</v>
      </c>
      <c r="C22" s="66" t="s">
        <v>368</v>
      </c>
      <c r="D22" s="226">
        <v>1.0</v>
      </c>
      <c r="E22" s="226"/>
      <c r="F22" s="226"/>
      <c r="G22" s="226">
        <v>1.0</v>
      </c>
      <c r="H22" s="226"/>
      <c r="I22" s="67">
        <f t="shared" si="3"/>
        <v>1</v>
      </c>
      <c r="J22" s="65"/>
      <c r="K22" s="65"/>
      <c r="L22" s="65"/>
      <c r="M22" s="65"/>
      <c r="N22" s="65"/>
      <c r="O22" s="65"/>
      <c r="P22" s="67">
        <f t="shared" si="4"/>
        <v>0</v>
      </c>
      <c r="Q22" s="67"/>
      <c r="R22" s="67"/>
      <c r="S22" s="67"/>
      <c r="T22" s="60"/>
      <c r="U22" s="60"/>
      <c r="V22" s="124">
        <f t="shared" si="5"/>
        <v>-1</v>
      </c>
      <c r="W22" s="91"/>
      <c r="X22" s="91"/>
      <c r="Y22" s="91"/>
      <c r="Z22" s="249">
        <f t="shared" si="6"/>
        <v>0</v>
      </c>
    </row>
    <row r="23" ht="14.25" customHeight="1">
      <c r="A23" s="65">
        <v>8.0</v>
      </c>
      <c r="B23" s="229" t="s">
        <v>451</v>
      </c>
      <c r="C23" s="66" t="s">
        <v>452</v>
      </c>
      <c r="D23" s="226">
        <v>2.0</v>
      </c>
      <c r="E23" s="226"/>
      <c r="F23" s="226"/>
      <c r="G23" s="226">
        <v>2.0</v>
      </c>
      <c r="H23" s="226"/>
      <c r="I23" s="67">
        <f t="shared" si="3"/>
        <v>2</v>
      </c>
      <c r="J23" s="65"/>
      <c r="K23" s="65">
        <v>2.0</v>
      </c>
      <c r="L23" s="65"/>
      <c r="M23" s="65"/>
      <c r="N23" s="65">
        <v>1.0</v>
      </c>
      <c r="O23" s="65"/>
      <c r="P23" s="67">
        <f t="shared" si="4"/>
        <v>1</v>
      </c>
      <c r="Q23" s="67"/>
      <c r="R23" s="67"/>
      <c r="S23" s="67"/>
      <c r="T23" s="60"/>
      <c r="U23" s="60"/>
      <c r="V23" s="124">
        <f t="shared" si="5"/>
        <v>-1</v>
      </c>
      <c r="W23" s="91"/>
      <c r="X23" s="91"/>
      <c r="Y23" s="91"/>
      <c r="Z23" s="249">
        <f t="shared" si="6"/>
        <v>0</v>
      </c>
    </row>
    <row r="24" ht="14.25" customHeight="1">
      <c r="A24" s="67"/>
      <c r="B24" s="229"/>
      <c r="C24" s="66" t="s">
        <v>453</v>
      </c>
      <c r="D24" s="226">
        <v>1.0</v>
      </c>
      <c r="E24" s="226"/>
      <c r="F24" s="226"/>
      <c r="G24" s="226">
        <v>1.0</v>
      </c>
      <c r="H24" s="226"/>
      <c r="I24" s="67">
        <f t="shared" si="3"/>
        <v>1</v>
      </c>
      <c r="J24" s="65"/>
      <c r="K24" s="65">
        <v>1.0</v>
      </c>
      <c r="L24" s="65"/>
      <c r="M24" s="65"/>
      <c r="N24" s="65">
        <v>1.0</v>
      </c>
      <c r="O24" s="65"/>
      <c r="P24" s="67">
        <f t="shared" si="4"/>
        <v>1</v>
      </c>
      <c r="Q24" s="67"/>
      <c r="R24" s="67"/>
      <c r="S24" s="67"/>
      <c r="T24" s="60"/>
      <c r="U24" s="60"/>
      <c r="V24" s="124">
        <f t="shared" si="5"/>
        <v>0</v>
      </c>
      <c r="W24" s="91"/>
      <c r="X24" s="91"/>
      <c r="Y24" s="91"/>
      <c r="Z24" s="249">
        <f t="shared" si="6"/>
        <v>0</v>
      </c>
    </row>
    <row r="25" ht="14.25" customHeight="1">
      <c r="A25" s="65">
        <v>9.0</v>
      </c>
      <c r="B25" s="84" t="s">
        <v>691</v>
      </c>
      <c r="C25" s="121" t="s">
        <v>502</v>
      </c>
      <c r="D25" s="65">
        <v>3.0</v>
      </c>
      <c r="E25" s="65">
        <v>1.0</v>
      </c>
      <c r="F25" s="65"/>
      <c r="G25" s="65">
        <v>1.0</v>
      </c>
      <c r="H25" s="65">
        <v>1.0</v>
      </c>
      <c r="I25" s="67">
        <f t="shared" si="3"/>
        <v>3</v>
      </c>
      <c r="J25" s="65"/>
      <c r="K25" s="65">
        <v>3.0</v>
      </c>
      <c r="L25" s="65">
        <v>1.0</v>
      </c>
      <c r="M25" s="65"/>
      <c r="N25" s="65">
        <v>1.0</v>
      </c>
      <c r="O25" s="65">
        <v>1.0</v>
      </c>
      <c r="P25" s="67">
        <f t="shared" si="4"/>
        <v>3</v>
      </c>
      <c r="Q25" s="121"/>
      <c r="R25" s="121"/>
      <c r="S25" s="121"/>
      <c r="T25" s="121"/>
      <c r="U25" s="121"/>
      <c r="V25" s="124">
        <f t="shared" si="5"/>
        <v>0</v>
      </c>
      <c r="W25" s="91"/>
      <c r="X25" s="91"/>
      <c r="Y25" s="91"/>
      <c r="Z25" s="249">
        <f t="shared" si="6"/>
        <v>0</v>
      </c>
    </row>
    <row r="26" ht="14.25" customHeight="1">
      <c r="A26" s="65"/>
      <c r="B26" s="22"/>
      <c r="C26" s="121" t="s">
        <v>507</v>
      </c>
      <c r="D26" s="65"/>
      <c r="E26" s="65"/>
      <c r="F26" s="65"/>
      <c r="G26" s="65"/>
      <c r="H26" s="65"/>
      <c r="I26" s="67">
        <f t="shared" si="3"/>
        <v>0</v>
      </c>
      <c r="J26" s="65"/>
      <c r="K26" s="65">
        <v>3.0</v>
      </c>
      <c r="L26" s="65"/>
      <c r="M26" s="65"/>
      <c r="N26" s="65"/>
      <c r="O26" s="65"/>
      <c r="P26" s="67">
        <f t="shared" si="4"/>
        <v>0</v>
      </c>
      <c r="Q26" s="121"/>
      <c r="R26" s="121"/>
      <c r="S26" s="121"/>
      <c r="T26" s="121"/>
      <c r="U26" s="121"/>
      <c r="V26" s="124">
        <f t="shared" si="5"/>
        <v>0</v>
      </c>
      <c r="W26" s="127"/>
      <c r="X26" s="91"/>
      <c r="Y26" s="91"/>
      <c r="Z26" s="249">
        <f t="shared" si="6"/>
        <v>0</v>
      </c>
    </row>
    <row r="27" ht="14.25" customHeight="1">
      <c r="A27" s="65">
        <v>10.0</v>
      </c>
      <c r="B27" s="84" t="s">
        <v>465</v>
      </c>
      <c r="C27" s="121" t="s">
        <v>468</v>
      </c>
      <c r="D27" s="65">
        <v>3.0</v>
      </c>
      <c r="E27" s="65">
        <v>1.0</v>
      </c>
      <c r="F27" s="65"/>
      <c r="G27" s="65">
        <v>1.0</v>
      </c>
      <c r="H27" s="65">
        <v>1.0</v>
      </c>
      <c r="I27" s="67">
        <f t="shared" si="3"/>
        <v>3</v>
      </c>
      <c r="J27" s="121"/>
      <c r="K27" s="65">
        <v>3.0</v>
      </c>
      <c r="L27" s="65">
        <v>1.0</v>
      </c>
      <c r="M27" s="65"/>
      <c r="N27" s="65">
        <v>1.0</v>
      </c>
      <c r="O27" s="65">
        <v>1.0</v>
      </c>
      <c r="P27" s="67">
        <f t="shared" si="4"/>
        <v>3</v>
      </c>
      <c r="Q27" s="121"/>
      <c r="R27" s="121"/>
      <c r="S27" s="121"/>
      <c r="T27" s="121"/>
      <c r="U27" s="121"/>
      <c r="V27" s="124">
        <f t="shared" si="5"/>
        <v>0</v>
      </c>
      <c r="W27" s="127"/>
      <c r="X27" s="91"/>
      <c r="Y27" s="91"/>
      <c r="Z27" s="249">
        <f t="shared" si="6"/>
        <v>0</v>
      </c>
    </row>
    <row r="28" ht="14.25" customHeight="1">
      <c r="A28" s="65"/>
      <c r="B28" s="22"/>
      <c r="C28" s="121" t="s">
        <v>569</v>
      </c>
      <c r="D28" s="65">
        <v>2.0</v>
      </c>
      <c r="E28" s="65"/>
      <c r="F28" s="65"/>
      <c r="G28" s="65">
        <v>1.0</v>
      </c>
      <c r="H28" s="65">
        <v>1.0</v>
      </c>
      <c r="I28" s="67">
        <f t="shared" si="3"/>
        <v>2</v>
      </c>
      <c r="J28" s="121"/>
      <c r="K28" s="65">
        <v>1.0</v>
      </c>
      <c r="L28" s="65"/>
      <c r="M28" s="65"/>
      <c r="N28" s="65"/>
      <c r="O28" s="65"/>
      <c r="P28" s="67">
        <f t="shared" si="4"/>
        <v>0</v>
      </c>
      <c r="Q28" s="121"/>
      <c r="R28" s="121"/>
      <c r="S28" s="121"/>
      <c r="T28" s="121"/>
      <c r="U28" s="121"/>
      <c r="V28" s="124">
        <f t="shared" si="5"/>
        <v>-2</v>
      </c>
      <c r="W28" s="127"/>
      <c r="X28" s="91"/>
      <c r="Y28" s="91"/>
      <c r="Z28" s="249">
        <f t="shared" si="6"/>
        <v>0</v>
      </c>
    </row>
    <row r="29" ht="14.25" customHeight="1">
      <c r="A29" s="65">
        <v>11.0</v>
      </c>
      <c r="B29" s="84" t="s">
        <v>479</v>
      </c>
      <c r="C29" s="121" t="s">
        <v>696</v>
      </c>
      <c r="D29" s="65">
        <v>1.0</v>
      </c>
      <c r="E29" s="65">
        <v>1.0</v>
      </c>
      <c r="F29" s="65"/>
      <c r="G29" s="65"/>
      <c r="H29" s="65"/>
      <c r="I29" s="67">
        <f t="shared" si="3"/>
        <v>1</v>
      </c>
      <c r="J29" s="121"/>
      <c r="K29" s="65">
        <v>1.0</v>
      </c>
      <c r="L29" s="65">
        <v>1.0</v>
      </c>
      <c r="M29" s="121"/>
      <c r="N29" s="65"/>
      <c r="O29" s="65"/>
      <c r="P29" s="67">
        <f t="shared" si="4"/>
        <v>1</v>
      </c>
      <c r="Q29" s="121"/>
      <c r="R29" s="121"/>
      <c r="S29" s="121"/>
      <c r="T29" s="121"/>
      <c r="U29" s="121"/>
      <c r="V29" s="124">
        <f t="shared" si="5"/>
        <v>0</v>
      </c>
      <c r="W29" s="91"/>
      <c r="X29" s="91"/>
      <c r="Y29" s="91"/>
      <c r="Z29" s="249">
        <f t="shared" si="6"/>
        <v>0</v>
      </c>
    </row>
    <row r="30" ht="14.25" customHeight="1">
      <c r="A30" s="65"/>
      <c r="B30" s="15"/>
      <c r="C30" s="121" t="s">
        <v>666</v>
      </c>
      <c r="D30" s="65">
        <v>1.0</v>
      </c>
      <c r="E30" s="65"/>
      <c r="F30" s="65"/>
      <c r="G30" s="65">
        <v>1.0</v>
      </c>
      <c r="H30" s="65"/>
      <c r="I30" s="67">
        <f t="shared" si="3"/>
        <v>1</v>
      </c>
      <c r="J30" s="121"/>
      <c r="K30" s="65">
        <v>1.0</v>
      </c>
      <c r="L30" s="65"/>
      <c r="M30" s="121"/>
      <c r="N30" s="65"/>
      <c r="O30" s="65"/>
      <c r="P30" s="67">
        <f t="shared" si="4"/>
        <v>0</v>
      </c>
      <c r="Q30" s="121"/>
      <c r="R30" s="121"/>
      <c r="S30" s="121"/>
      <c r="T30" s="121"/>
      <c r="U30" s="121"/>
      <c r="V30" s="124"/>
      <c r="W30" s="91"/>
      <c r="X30" s="91"/>
      <c r="Y30" s="91"/>
      <c r="Z30" s="249">
        <f t="shared" si="6"/>
        <v>0</v>
      </c>
    </row>
    <row r="31" ht="14.25" customHeight="1">
      <c r="A31" s="65"/>
      <c r="B31" s="15"/>
      <c r="C31" s="121" t="s">
        <v>489</v>
      </c>
      <c r="D31" s="65">
        <v>1.0</v>
      </c>
      <c r="E31" s="65">
        <v>1.0</v>
      </c>
      <c r="F31" s="65"/>
      <c r="G31" s="65">
        <v>1.0</v>
      </c>
      <c r="H31" s="65">
        <v>1.0</v>
      </c>
      <c r="I31" s="67">
        <f t="shared" si="3"/>
        <v>3</v>
      </c>
      <c r="J31" s="121"/>
      <c r="K31" s="65">
        <v>1.0</v>
      </c>
      <c r="L31" s="65">
        <v>1.0</v>
      </c>
      <c r="M31" s="121"/>
      <c r="N31" s="65">
        <v>1.0</v>
      </c>
      <c r="O31" s="65">
        <v>1.0</v>
      </c>
      <c r="P31" s="67">
        <f t="shared" si="4"/>
        <v>3</v>
      </c>
      <c r="Q31" s="121"/>
      <c r="R31" s="121"/>
      <c r="S31" s="121"/>
      <c r="T31" s="121"/>
      <c r="U31" s="121"/>
      <c r="V31" s="124">
        <f t="shared" ref="V31:V50" si="7">P31-I31</f>
        <v>0</v>
      </c>
      <c r="W31" s="127"/>
      <c r="X31" s="91"/>
      <c r="Y31" s="91"/>
      <c r="Z31" s="249">
        <f t="shared" si="6"/>
        <v>0</v>
      </c>
    </row>
    <row r="32" ht="14.25" customHeight="1">
      <c r="A32" s="65"/>
      <c r="B32" s="15"/>
      <c r="C32" s="121" t="s">
        <v>699</v>
      </c>
      <c r="D32" s="65">
        <v>3.0</v>
      </c>
      <c r="E32" s="65">
        <v>1.0</v>
      </c>
      <c r="F32" s="65"/>
      <c r="G32" s="65">
        <v>2.0</v>
      </c>
      <c r="H32" s="65">
        <v>1.0</v>
      </c>
      <c r="I32" s="67">
        <f t="shared" si="3"/>
        <v>4</v>
      </c>
      <c r="J32" s="121"/>
      <c r="K32" s="65">
        <v>3.0</v>
      </c>
      <c r="L32" s="65">
        <v>1.0</v>
      </c>
      <c r="M32" s="121"/>
      <c r="N32" s="65">
        <v>2.0</v>
      </c>
      <c r="O32" s="65">
        <v>1.0</v>
      </c>
      <c r="P32" s="67">
        <f t="shared" si="4"/>
        <v>4</v>
      </c>
      <c r="Q32" s="121"/>
      <c r="R32" s="121"/>
      <c r="S32" s="121"/>
      <c r="T32" s="121"/>
      <c r="U32" s="121"/>
      <c r="V32" s="124">
        <f t="shared" si="7"/>
        <v>0</v>
      </c>
      <c r="W32" s="127"/>
      <c r="X32" s="91"/>
      <c r="Y32" s="91"/>
      <c r="Z32" s="249">
        <f t="shared" si="6"/>
        <v>0</v>
      </c>
    </row>
    <row r="33" ht="14.25" customHeight="1">
      <c r="A33" s="65"/>
      <c r="B33" s="22"/>
      <c r="C33" s="121" t="s">
        <v>701</v>
      </c>
      <c r="D33" s="65">
        <v>3.0</v>
      </c>
      <c r="E33" s="65"/>
      <c r="F33" s="65"/>
      <c r="G33" s="65"/>
      <c r="H33" s="65"/>
      <c r="I33" s="67">
        <f t="shared" si="3"/>
        <v>0</v>
      </c>
      <c r="J33" s="121"/>
      <c r="K33" s="65">
        <v>3.0</v>
      </c>
      <c r="L33" s="65"/>
      <c r="M33" s="121"/>
      <c r="N33" s="65"/>
      <c r="O33" s="65"/>
      <c r="P33" s="67">
        <f t="shared" si="4"/>
        <v>0</v>
      </c>
      <c r="Q33" s="121"/>
      <c r="R33" s="121"/>
      <c r="S33" s="121"/>
      <c r="T33" s="121"/>
      <c r="U33" s="121"/>
      <c r="V33" s="124">
        <f t="shared" si="7"/>
        <v>0</v>
      </c>
      <c r="W33" s="127"/>
      <c r="X33" s="91"/>
      <c r="Y33" s="91"/>
      <c r="Z33" s="249">
        <f t="shared" si="6"/>
        <v>0</v>
      </c>
    </row>
    <row r="34" ht="14.25" customHeight="1">
      <c r="A34" s="65">
        <v>12.0</v>
      </c>
      <c r="B34" s="211" t="s">
        <v>491</v>
      </c>
      <c r="C34" s="121" t="s">
        <v>703</v>
      </c>
      <c r="D34" s="65">
        <v>1.0</v>
      </c>
      <c r="E34" s="65"/>
      <c r="F34" s="65"/>
      <c r="G34" s="65">
        <v>1.0</v>
      </c>
      <c r="H34" s="65"/>
      <c r="I34" s="67">
        <f t="shared" si="3"/>
        <v>1</v>
      </c>
      <c r="J34" s="121"/>
      <c r="K34" s="65">
        <v>1.0</v>
      </c>
      <c r="L34" s="65"/>
      <c r="M34" s="121"/>
      <c r="N34" s="65"/>
      <c r="O34" s="65"/>
      <c r="P34" s="67">
        <f t="shared" si="4"/>
        <v>0</v>
      </c>
      <c r="Q34" s="121"/>
      <c r="R34" s="121"/>
      <c r="S34" s="121"/>
      <c r="T34" s="121"/>
      <c r="U34" s="121"/>
      <c r="V34" s="124">
        <f t="shared" si="7"/>
        <v>-1</v>
      </c>
      <c r="W34" s="91"/>
      <c r="X34" s="91"/>
      <c r="Y34" s="91"/>
      <c r="Z34" s="249">
        <f t="shared" si="6"/>
        <v>0</v>
      </c>
    </row>
    <row r="35" ht="14.25" customHeight="1">
      <c r="A35" s="65"/>
      <c r="B35" s="211"/>
      <c r="C35" s="121" t="s">
        <v>704</v>
      </c>
      <c r="D35" s="65">
        <v>1.0</v>
      </c>
      <c r="E35" s="65">
        <v>1.0</v>
      </c>
      <c r="F35" s="65"/>
      <c r="G35" s="65"/>
      <c r="H35" s="65"/>
      <c r="I35" s="67">
        <f t="shared" si="3"/>
        <v>1</v>
      </c>
      <c r="J35" s="121"/>
      <c r="K35" s="65">
        <v>1.0</v>
      </c>
      <c r="L35" s="65">
        <v>1.0</v>
      </c>
      <c r="M35" s="121"/>
      <c r="N35" s="65"/>
      <c r="O35" s="65"/>
      <c r="P35" s="67">
        <f t="shared" si="4"/>
        <v>1</v>
      </c>
      <c r="Q35" s="121"/>
      <c r="R35" s="121"/>
      <c r="S35" s="121"/>
      <c r="T35" s="121"/>
      <c r="U35" s="121"/>
      <c r="V35" s="124">
        <f t="shared" si="7"/>
        <v>0</v>
      </c>
      <c r="W35" s="91"/>
      <c r="X35" s="91"/>
      <c r="Y35" s="91"/>
      <c r="Z35" s="249">
        <f t="shared" si="6"/>
        <v>0</v>
      </c>
    </row>
    <row r="36" ht="14.25" customHeight="1">
      <c r="A36" s="65"/>
      <c r="B36" s="211"/>
      <c r="C36" s="121" t="s">
        <v>706</v>
      </c>
      <c r="D36" s="65">
        <v>3.0</v>
      </c>
      <c r="E36" s="65">
        <v>2.0</v>
      </c>
      <c r="F36" s="65"/>
      <c r="G36" s="65">
        <v>5.0</v>
      </c>
      <c r="H36" s="65">
        <v>4.0</v>
      </c>
      <c r="I36" s="67">
        <f t="shared" si="3"/>
        <v>11</v>
      </c>
      <c r="J36" s="121"/>
      <c r="K36" s="65">
        <v>3.0</v>
      </c>
      <c r="L36" s="65">
        <v>2.0</v>
      </c>
      <c r="M36" s="121"/>
      <c r="N36" s="65">
        <v>5.0</v>
      </c>
      <c r="O36" s="65">
        <v>3.0</v>
      </c>
      <c r="P36" s="67">
        <f t="shared" si="4"/>
        <v>10</v>
      </c>
      <c r="Q36" s="121"/>
      <c r="R36" s="121"/>
      <c r="S36" s="121"/>
      <c r="T36" s="121"/>
      <c r="U36" s="121"/>
      <c r="V36" s="124">
        <f t="shared" si="7"/>
        <v>-1</v>
      </c>
      <c r="W36" s="91"/>
      <c r="X36" s="91"/>
      <c r="Y36" s="91"/>
      <c r="Z36" s="249">
        <f t="shared" si="6"/>
        <v>0</v>
      </c>
    </row>
    <row r="37" ht="14.25" customHeight="1">
      <c r="A37" s="65"/>
      <c r="B37" s="187"/>
      <c r="C37" s="121" t="s">
        <v>501</v>
      </c>
      <c r="D37" s="65">
        <v>2.0</v>
      </c>
      <c r="E37" s="65">
        <v>1.0</v>
      </c>
      <c r="F37" s="65"/>
      <c r="G37" s="65"/>
      <c r="H37" s="65">
        <v>5.0</v>
      </c>
      <c r="I37" s="67">
        <f t="shared" si="3"/>
        <v>6</v>
      </c>
      <c r="J37" s="121"/>
      <c r="K37" s="65">
        <v>2.0</v>
      </c>
      <c r="L37" s="65">
        <v>1.0</v>
      </c>
      <c r="M37" s="121"/>
      <c r="N37" s="65"/>
      <c r="O37" s="65">
        <v>5.0</v>
      </c>
      <c r="P37" s="67">
        <f t="shared" si="4"/>
        <v>6</v>
      </c>
      <c r="Q37" s="121"/>
      <c r="R37" s="121"/>
      <c r="S37" s="121"/>
      <c r="T37" s="121"/>
      <c r="U37" s="121"/>
      <c r="V37" s="124">
        <f t="shared" si="7"/>
        <v>0</v>
      </c>
      <c r="W37" s="127"/>
      <c r="X37" s="91"/>
      <c r="Y37" s="91"/>
      <c r="Z37" s="249">
        <f t="shared" si="6"/>
        <v>0</v>
      </c>
    </row>
    <row r="38" ht="14.25" customHeight="1">
      <c r="A38" s="65"/>
      <c r="B38" s="187"/>
      <c r="C38" s="121" t="s">
        <v>579</v>
      </c>
      <c r="D38" s="65"/>
      <c r="E38" s="65"/>
      <c r="F38" s="65"/>
      <c r="G38" s="65"/>
      <c r="H38" s="65"/>
      <c r="I38" s="67">
        <f t="shared" si="3"/>
        <v>0</v>
      </c>
      <c r="J38" s="121"/>
      <c r="K38" s="65"/>
      <c r="L38" s="65"/>
      <c r="M38" s="121"/>
      <c r="N38" s="65"/>
      <c r="O38" s="65"/>
      <c r="P38" s="67">
        <f t="shared" si="4"/>
        <v>0</v>
      </c>
      <c r="Q38" s="121"/>
      <c r="R38" s="121"/>
      <c r="S38" s="121"/>
      <c r="T38" s="121"/>
      <c r="U38" s="121"/>
      <c r="V38" s="124">
        <f t="shared" si="7"/>
        <v>0</v>
      </c>
      <c r="W38" s="127"/>
      <c r="X38" s="91"/>
      <c r="Y38" s="91"/>
      <c r="Z38" s="249">
        <f t="shared" si="6"/>
        <v>0</v>
      </c>
    </row>
    <row r="39" ht="14.25" customHeight="1">
      <c r="A39" s="65"/>
      <c r="B39" s="187"/>
      <c r="C39" s="121" t="s">
        <v>577</v>
      </c>
      <c r="D39" s="65">
        <v>2.0</v>
      </c>
      <c r="E39" s="65"/>
      <c r="F39" s="65"/>
      <c r="G39" s="65"/>
      <c r="H39" s="65">
        <v>2.0</v>
      </c>
      <c r="I39" s="67">
        <f t="shared" si="3"/>
        <v>2</v>
      </c>
      <c r="J39" s="121"/>
      <c r="K39" s="65">
        <v>2.0</v>
      </c>
      <c r="L39" s="65"/>
      <c r="M39" s="121"/>
      <c r="N39" s="65"/>
      <c r="O39" s="65">
        <v>2.0</v>
      </c>
      <c r="P39" s="67">
        <f t="shared" si="4"/>
        <v>2</v>
      </c>
      <c r="Q39" s="121"/>
      <c r="R39" s="121"/>
      <c r="S39" s="121"/>
      <c r="T39" s="121"/>
      <c r="U39" s="121"/>
      <c r="V39" s="124">
        <f t="shared" si="7"/>
        <v>0</v>
      </c>
      <c r="W39" s="127"/>
      <c r="X39" s="91"/>
      <c r="Y39" s="91"/>
      <c r="Z39" s="249">
        <f t="shared" si="6"/>
        <v>0</v>
      </c>
    </row>
    <row r="40" ht="14.25" customHeight="1">
      <c r="A40" s="65"/>
      <c r="B40" s="187"/>
      <c r="C40" s="121" t="s">
        <v>578</v>
      </c>
      <c r="D40" s="65">
        <v>2.0</v>
      </c>
      <c r="E40" s="65"/>
      <c r="F40" s="65"/>
      <c r="G40" s="65"/>
      <c r="H40" s="65">
        <v>2.0</v>
      </c>
      <c r="I40" s="67">
        <f t="shared" si="3"/>
        <v>2</v>
      </c>
      <c r="J40" s="121"/>
      <c r="K40" s="65">
        <v>2.0</v>
      </c>
      <c r="L40" s="65"/>
      <c r="M40" s="121"/>
      <c r="N40" s="65"/>
      <c r="O40" s="65">
        <v>2.0</v>
      </c>
      <c r="P40" s="67">
        <f t="shared" si="4"/>
        <v>2</v>
      </c>
      <c r="Q40" s="121"/>
      <c r="R40" s="121"/>
      <c r="S40" s="121"/>
      <c r="T40" s="121"/>
      <c r="U40" s="121"/>
      <c r="V40" s="124">
        <f t="shared" si="7"/>
        <v>0</v>
      </c>
      <c r="W40" s="127"/>
      <c r="X40" s="91"/>
      <c r="Y40" s="91"/>
      <c r="Z40" s="249">
        <f t="shared" si="6"/>
        <v>0</v>
      </c>
    </row>
    <row r="41" ht="14.25" customHeight="1">
      <c r="A41" s="65"/>
      <c r="B41" s="187"/>
      <c r="C41" s="121" t="s">
        <v>712</v>
      </c>
      <c r="D41" s="65">
        <v>1.0</v>
      </c>
      <c r="E41" s="65"/>
      <c r="F41" s="65"/>
      <c r="G41" s="65"/>
      <c r="H41" s="65">
        <v>1.0</v>
      </c>
      <c r="I41" s="67">
        <f t="shared" si="3"/>
        <v>1</v>
      </c>
      <c r="J41" s="121"/>
      <c r="K41" s="65">
        <v>1.0</v>
      </c>
      <c r="L41" s="65"/>
      <c r="M41" s="121"/>
      <c r="N41" s="65"/>
      <c r="O41" s="65">
        <v>1.0</v>
      </c>
      <c r="P41" s="67">
        <f t="shared" si="4"/>
        <v>1</v>
      </c>
      <c r="Q41" s="121"/>
      <c r="R41" s="121"/>
      <c r="S41" s="121"/>
      <c r="T41" s="121"/>
      <c r="U41" s="121"/>
      <c r="V41" s="124">
        <f t="shared" si="7"/>
        <v>0</v>
      </c>
      <c r="W41" s="127"/>
      <c r="X41" s="91"/>
      <c r="Y41" s="91"/>
      <c r="Z41" s="249">
        <f t="shared" si="6"/>
        <v>0</v>
      </c>
    </row>
    <row r="42" ht="14.25" customHeight="1">
      <c r="A42" s="65"/>
      <c r="B42" s="187"/>
      <c r="C42" s="121" t="s">
        <v>714</v>
      </c>
      <c r="D42" s="65">
        <v>1.0</v>
      </c>
      <c r="E42" s="65"/>
      <c r="F42" s="65"/>
      <c r="G42" s="65"/>
      <c r="H42" s="65">
        <v>3.0</v>
      </c>
      <c r="I42" s="67">
        <f t="shared" si="3"/>
        <v>3</v>
      </c>
      <c r="J42" s="121"/>
      <c r="K42" s="65">
        <v>1.0</v>
      </c>
      <c r="L42" s="65"/>
      <c r="M42" s="121"/>
      <c r="N42" s="65"/>
      <c r="O42" s="65">
        <v>3.0</v>
      </c>
      <c r="P42" s="67">
        <f t="shared" si="4"/>
        <v>3</v>
      </c>
      <c r="Q42" s="121"/>
      <c r="R42" s="121"/>
      <c r="S42" s="121"/>
      <c r="T42" s="121"/>
      <c r="U42" s="121"/>
      <c r="V42" s="124">
        <f t="shared" si="7"/>
        <v>0</v>
      </c>
      <c r="W42" s="127"/>
      <c r="X42" s="91"/>
      <c r="Y42" s="91"/>
      <c r="Z42" s="249">
        <f t="shared" si="6"/>
        <v>0</v>
      </c>
    </row>
    <row r="43" ht="14.25" customHeight="1">
      <c r="A43" s="65"/>
      <c r="B43" s="242"/>
      <c r="C43" s="121" t="s">
        <v>574</v>
      </c>
      <c r="D43" s="65">
        <v>2.0</v>
      </c>
      <c r="E43" s="65"/>
      <c r="F43" s="65"/>
      <c r="G43" s="65"/>
      <c r="H43" s="65">
        <v>2.0</v>
      </c>
      <c r="I43" s="67">
        <f t="shared" si="3"/>
        <v>2</v>
      </c>
      <c r="J43" s="121"/>
      <c r="K43" s="65">
        <v>2.0</v>
      </c>
      <c r="L43" s="65"/>
      <c r="M43" s="121"/>
      <c r="N43" s="65"/>
      <c r="O43" s="65">
        <v>2.0</v>
      </c>
      <c r="P43" s="67">
        <f t="shared" si="4"/>
        <v>2</v>
      </c>
      <c r="Q43" s="121"/>
      <c r="R43" s="121"/>
      <c r="S43" s="121"/>
      <c r="T43" s="121"/>
      <c r="U43" s="121"/>
      <c r="V43" s="124">
        <f t="shared" si="7"/>
        <v>0</v>
      </c>
      <c r="W43" s="127"/>
      <c r="X43" s="91"/>
      <c r="Y43" s="91"/>
      <c r="Z43" s="249">
        <f t="shared" si="6"/>
        <v>0</v>
      </c>
    </row>
    <row r="44" ht="14.25" customHeight="1">
      <c r="A44" s="65">
        <v>13.0</v>
      </c>
      <c r="B44" s="229" t="s">
        <v>524</v>
      </c>
      <c r="C44" s="121" t="s">
        <v>715</v>
      </c>
      <c r="D44" s="65">
        <v>2.0</v>
      </c>
      <c r="E44" s="65"/>
      <c r="F44" s="65"/>
      <c r="G44" s="65"/>
      <c r="H44" s="65">
        <v>2.0</v>
      </c>
      <c r="I44" s="67">
        <f t="shared" si="3"/>
        <v>2</v>
      </c>
      <c r="J44" s="121"/>
      <c r="K44" s="65">
        <v>2.0</v>
      </c>
      <c r="L44" s="121"/>
      <c r="M44" s="121"/>
      <c r="N44" s="65"/>
      <c r="O44" s="65"/>
      <c r="P44" s="67">
        <f t="shared" si="4"/>
        <v>0</v>
      </c>
      <c r="Q44" s="121"/>
      <c r="R44" s="121"/>
      <c r="S44" s="121"/>
      <c r="T44" s="121"/>
      <c r="U44" s="121"/>
      <c r="V44" s="124">
        <f t="shared" si="7"/>
        <v>-2</v>
      </c>
      <c r="W44" s="127"/>
      <c r="X44" s="91"/>
      <c r="Y44" s="91"/>
      <c r="Z44" s="249">
        <f t="shared" si="6"/>
        <v>0</v>
      </c>
    </row>
    <row r="45" ht="14.25" customHeight="1">
      <c r="A45" s="65"/>
      <c r="B45" s="229"/>
      <c r="C45" s="121" t="s">
        <v>716</v>
      </c>
      <c r="D45" s="65">
        <v>2.0</v>
      </c>
      <c r="E45" s="65"/>
      <c r="F45" s="65"/>
      <c r="G45" s="65"/>
      <c r="H45" s="65">
        <v>2.0</v>
      </c>
      <c r="I45" s="67">
        <f t="shared" si="3"/>
        <v>2</v>
      </c>
      <c r="J45" s="121"/>
      <c r="K45" s="65">
        <v>2.0</v>
      </c>
      <c r="L45" s="121"/>
      <c r="M45" s="121"/>
      <c r="N45" s="65"/>
      <c r="O45" s="65"/>
      <c r="P45" s="67">
        <f t="shared" si="4"/>
        <v>0</v>
      </c>
      <c r="Q45" s="121"/>
      <c r="R45" s="121"/>
      <c r="S45" s="121"/>
      <c r="T45" s="121"/>
      <c r="U45" s="121"/>
      <c r="V45" s="124">
        <f t="shared" si="7"/>
        <v>-2</v>
      </c>
      <c r="W45" s="127"/>
      <c r="X45" s="91"/>
      <c r="Y45" s="91"/>
      <c r="Z45" s="249">
        <f t="shared" si="6"/>
        <v>0</v>
      </c>
    </row>
    <row r="46" ht="14.25" customHeight="1">
      <c r="A46" s="65"/>
      <c r="B46" s="229"/>
      <c r="C46" s="121" t="s">
        <v>611</v>
      </c>
      <c r="D46" s="65">
        <v>1.0</v>
      </c>
      <c r="E46" s="65"/>
      <c r="F46" s="65"/>
      <c r="G46" s="65"/>
      <c r="H46" s="65">
        <v>1.0</v>
      </c>
      <c r="I46" s="67">
        <f t="shared" si="3"/>
        <v>1</v>
      </c>
      <c r="J46" s="121"/>
      <c r="K46" s="65">
        <v>1.0</v>
      </c>
      <c r="L46" s="121"/>
      <c r="M46" s="121"/>
      <c r="N46" s="65"/>
      <c r="O46" s="65"/>
      <c r="P46" s="67">
        <f t="shared" si="4"/>
        <v>0</v>
      </c>
      <c r="Q46" s="121"/>
      <c r="R46" s="121"/>
      <c r="S46" s="121"/>
      <c r="T46" s="121"/>
      <c r="U46" s="121"/>
      <c r="V46" s="124">
        <f t="shared" si="7"/>
        <v>-1</v>
      </c>
      <c r="W46" s="127"/>
      <c r="X46" s="91"/>
      <c r="Y46" s="91"/>
      <c r="Z46" s="249">
        <f t="shared" si="6"/>
        <v>0</v>
      </c>
    </row>
    <row r="47" ht="14.25" customHeight="1">
      <c r="A47" s="65"/>
      <c r="B47" s="229"/>
      <c r="C47" s="121" t="s">
        <v>717</v>
      </c>
      <c r="D47" s="65"/>
      <c r="E47" s="65"/>
      <c r="F47" s="65"/>
      <c r="G47" s="65"/>
      <c r="H47" s="65"/>
      <c r="I47" s="67">
        <f t="shared" si="3"/>
        <v>0</v>
      </c>
      <c r="J47" s="121"/>
      <c r="K47" s="65">
        <v>1.0</v>
      </c>
      <c r="L47" s="121"/>
      <c r="M47" s="121"/>
      <c r="N47" s="65"/>
      <c r="O47" s="65"/>
      <c r="P47" s="67">
        <f t="shared" si="4"/>
        <v>0</v>
      </c>
      <c r="Q47" s="121"/>
      <c r="R47" s="121"/>
      <c r="S47" s="121"/>
      <c r="T47" s="121"/>
      <c r="U47" s="121"/>
      <c r="V47" s="124">
        <f t="shared" si="7"/>
        <v>0</v>
      </c>
      <c r="W47" s="127"/>
      <c r="X47" s="91"/>
      <c r="Y47" s="91"/>
      <c r="Z47" s="249">
        <f t="shared" si="6"/>
        <v>0</v>
      </c>
    </row>
    <row r="48" ht="14.25" customHeight="1">
      <c r="A48" s="65"/>
      <c r="B48" s="229"/>
      <c r="C48" s="121" t="s">
        <v>584</v>
      </c>
      <c r="D48" s="65">
        <v>2.0</v>
      </c>
      <c r="E48" s="65"/>
      <c r="F48" s="65"/>
      <c r="G48" s="65"/>
      <c r="H48" s="65">
        <v>4.0</v>
      </c>
      <c r="I48" s="67">
        <f t="shared" si="3"/>
        <v>4</v>
      </c>
      <c r="J48" s="121"/>
      <c r="K48" s="65">
        <v>2.0</v>
      </c>
      <c r="L48" s="121"/>
      <c r="M48" s="121"/>
      <c r="N48" s="65"/>
      <c r="O48" s="65"/>
      <c r="P48" s="67">
        <f t="shared" si="4"/>
        <v>0</v>
      </c>
      <c r="Q48" s="121"/>
      <c r="R48" s="121"/>
      <c r="S48" s="121"/>
      <c r="T48" s="121"/>
      <c r="U48" s="121"/>
      <c r="V48" s="124">
        <f t="shared" si="7"/>
        <v>-4</v>
      </c>
      <c r="W48" s="127"/>
      <c r="X48" s="91"/>
      <c r="Y48" s="91"/>
      <c r="Z48" s="249">
        <f t="shared" si="6"/>
        <v>0</v>
      </c>
    </row>
    <row r="49" ht="14.25" customHeight="1">
      <c r="A49" s="65"/>
      <c r="B49" s="229"/>
      <c r="C49" s="121" t="s">
        <v>721</v>
      </c>
      <c r="D49" s="65"/>
      <c r="E49" s="65"/>
      <c r="F49" s="65"/>
      <c r="G49" s="65"/>
      <c r="H49" s="65"/>
      <c r="I49" s="67">
        <f t="shared" si="3"/>
        <v>0</v>
      </c>
      <c r="J49" s="121"/>
      <c r="K49" s="65">
        <v>1.0</v>
      </c>
      <c r="L49" s="121"/>
      <c r="M49" s="121"/>
      <c r="N49" s="65"/>
      <c r="O49" s="65"/>
      <c r="P49" s="67">
        <f t="shared" si="4"/>
        <v>0</v>
      </c>
      <c r="Q49" s="121"/>
      <c r="R49" s="121"/>
      <c r="S49" s="121"/>
      <c r="T49" s="121"/>
      <c r="U49" s="121"/>
      <c r="V49" s="124">
        <f t="shared" si="7"/>
        <v>0</v>
      </c>
      <c r="W49" s="127"/>
      <c r="X49" s="91"/>
      <c r="Y49" s="91"/>
      <c r="Z49" s="249">
        <f t="shared" si="6"/>
        <v>0</v>
      </c>
    </row>
    <row r="50" ht="14.25" customHeight="1">
      <c r="A50" s="65"/>
      <c r="B50" s="229" t="s">
        <v>713</v>
      </c>
      <c r="C50" s="121"/>
      <c r="D50" s="65">
        <v>1.0</v>
      </c>
      <c r="E50" s="65"/>
      <c r="F50" s="65"/>
      <c r="G50" s="65"/>
      <c r="H50" s="65">
        <v>1.0</v>
      </c>
      <c r="I50" s="67">
        <f t="shared" si="3"/>
        <v>1</v>
      </c>
      <c r="J50" s="121"/>
      <c r="K50" s="65">
        <v>1.0</v>
      </c>
      <c r="L50" s="121"/>
      <c r="M50" s="121"/>
      <c r="N50" s="65"/>
      <c r="O50" s="65"/>
      <c r="P50" s="67">
        <f t="shared" si="4"/>
        <v>0</v>
      </c>
      <c r="Q50" s="121"/>
      <c r="R50" s="121"/>
      <c r="S50" s="121"/>
      <c r="T50" s="121"/>
      <c r="U50" s="121"/>
      <c r="V50" s="124">
        <f t="shared" si="7"/>
        <v>-1</v>
      </c>
      <c r="W50" s="127"/>
      <c r="X50" s="91"/>
      <c r="Y50" s="91"/>
      <c r="Z50" s="249">
        <f t="shared" si="6"/>
        <v>0</v>
      </c>
    </row>
    <row r="51" ht="14.25" customHeight="1">
      <c r="A51" s="91"/>
      <c r="B51" s="91"/>
      <c r="C51" s="91"/>
      <c r="D51" s="67"/>
      <c r="E51" s="67">
        <f t="shared" ref="E51:I51" si="8">SUM(E6:E50)</f>
        <v>10</v>
      </c>
      <c r="F51" s="67">
        <f t="shared" si="8"/>
        <v>2</v>
      </c>
      <c r="G51" s="67">
        <f t="shared" si="8"/>
        <v>17</v>
      </c>
      <c r="H51" s="67">
        <f t="shared" si="8"/>
        <v>35</v>
      </c>
      <c r="I51" s="243">
        <f t="shared" si="8"/>
        <v>64</v>
      </c>
      <c r="J51" s="67"/>
      <c r="K51" s="67">
        <f t="shared" ref="K51:P51" si="9">SUM(K6:K50)</f>
        <v>50</v>
      </c>
      <c r="L51" s="67">
        <f t="shared" si="9"/>
        <v>10</v>
      </c>
      <c r="M51" s="67">
        <f t="shared" si="9"/>
        <v>1</v>
      </c>
      <c r="N51" s="67">
        <f t="shared" si="9"/>
        <v>12</v>
      </c>
      <c r="O51" s="67">
        <f t="shared" si="9"/>
        <v>23</v>
      </c>
      <c r="P51" s="243">
        <f t="shared" si="9"/>
        <v>46</v>
      </c>
      <c r="Q51" s="121"/>
      <c r="R51" s="121"/>
      <c r="S51" s="121"/>
      <c r="T51" s="121"/>
      <c r="U51" s="121"/>
      <c r="V51" s="243">
        <f>SUM(V6:V50)</f>
        <v>-17</v>
      </c>
      <c r="W51" s="91"/>
      <c r="X51" s="91"/>
      <c r="Y51" s="91"/>
      <c r="Z51" s="91"/>
    </row>
    <row r="52" ht="14.25" customHeight="1">
      <c r="A52" s="91"/>
      <c r="B52" s="91"/>
      <c r="C52" s="91"/>
      <c r="D52" s="127"/>
      <c r="E52" s="127"/>
      <c r="F52" s="127"/>
      <c r="G52" s="127"/>
      <c r="H52" s="127"/>
      <c r="I52" s="127"/>
      <c r="J52" s="24"/>
      <c r="K52" s="91"/>
      <c r="L52" s="91"/>
      <c r="M52" s="91"/>
      <c r="N52" s="125"/>
      <c r="O52" s="125"/>
      <c r="P52" s="172"/>
      <c r="Q52" s="124">
        <f>SUM(Q7:Q51)</f>
        <v>0</v>
      </c>
      <c r="R52" s="124"/>
      <c r="S52" s="124"/>
      <c r="T52" s="124">
        <f t="shared" ref="T52:U52" si="10">SUM(T7:T51)</f>
        <v>0</v>
      </c>
      <c r="U52" s="124">
        <f t="shared" si="10"/>
        <v>0</v>
      </c>
      <c r="V52" s="91"/>
      <c r="W52" s="91"/>
      <c r="X52" s="91"/>
      <c r="Y52" s="91"/>
      <c r="Z52" s="91"/>
    </row>
    <row r="53" ht="14.25" customHeight="1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 ht="14.25" customHeight="1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127"/>
      <c r="M54" s="91"/>
      <c r="N54" s="91"/>
      <c r="O54" s="91"/>
      <c r="P54" s="91"/>
      <c r="Q54" s="127" t="s">
        <v>203</v>
      </c>
      <c r="R54" s="91"/>
      <c r="S54" s="91"/>
      <c r="T54" s="124">
        <f>L51+M51+O51</f>
        <v>34</v>
      </c>
      <c r="U54" s="91"/>
      <c r="V54" s="91"/>
      <c r="W54" s="91"/>
      <c r="X54" s="91"/>
      <c r="Y54" s="91"/>
      <c r="Z54" s="91"/>
    </row>
    <row r="55" ht="14.25" customHeight="1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127" t="s">
        <v>649</v>
      </c>
      <c r="R55" s="91"/>
      <c r="S55" s="91"/>
      <c r="T55" s="124" t="str">
        <f>#REF!-T54</f>
        <v>#REF!</v>
      </c>
      <c r="U55" s="91"/>
      <c r="V55" s="91"/>
      <c r="W55" s="91"/>
      <c r="X55" s="91"/>
      <c r="Y55" s="91"/>
      <c r="Z55" s="91"/>
    </row>
    <row r="56" ht="14.25" customHeight="1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ht="14.25" customHeight="1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ht="14.25" customHeight="1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ht="14.25" customHeight="1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ht="14.25" customHeight="1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ht="14.25" customHeight="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ht="14.25" customHeight="1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ht="14.25" customHeight="1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ht="14.25" customHeight="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ht="14.25" customHeight="1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ht="14.25" customHeight="1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ht="14.25" customHeight="1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ht="14.25" customHeight="1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ht="14.25" customHeight="1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ht="14.25" customHeight="1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ht="14.25" customHeight="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ht="14.25" customHeight="1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ht="14.25" customHeight="1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ht="14.25" customHeight="1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ht="14.25" customHeight="1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ht="14.25" customHeight="1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ht="14.25" customHeight="1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ht="14.25" customHeight="1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ht="14.25" customHeight="1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ht="14.25" customHeight="1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ht="14.25" customHeight="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ht="14.25" customHeight="1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ht="14.25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ht="14.25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ht="14.2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ht="14.2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ht="14.2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ht="14.2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ht="14.2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ht="14.2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ht="14.2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ht="14.2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ht="14.2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ht="14.2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ht="14.2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ht="14.2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ht="14.2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ht="14.2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ht="14.2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ht="14.2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ht="14.2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ht="14.2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ht="14.2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ht="14.2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ht="14.2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ht="14.2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ht="14.2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ht="14.2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ht="14.2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ht="14.2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ht="14.2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ht="14.2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ht="14.2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ht="14.2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ht="14.2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ht="14.2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ht="14.2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ht="14.2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ht="14.2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ht="14.2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ht="14.2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ht="14.2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ht="14.2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ht="14.2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ht="14.2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ht="14.2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ht="14.2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ht="14.2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ht="14.2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ht="14.2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ht="14.2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ht="14.2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ht="14.2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ht="14.2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ht="14.2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ht="14.2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ht="14.2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ht="14.2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ht="14.2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ht="14.2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ht="14.2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ht="14.25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ht="14.25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ht="14.25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ht="14.25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ht="14.2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ht="14.2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ht="14.2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ht="14.2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ht="14.2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ht="14.2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ht="14.2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ht="14.2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ht="14.2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ht="14.2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ht="14.2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ht="14.2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ht="14.2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ht="14.2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ht="14.2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ht="14.2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ht="14.2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ht="14.2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ht="14.2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ht="14.2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ht="14.2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ht="14.2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ht="14.2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ht="14.2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ht="14.2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ht="14.2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ht="14.2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ht="14.2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ht="14.2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ht="14.2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ht="14.2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ht="14.2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ht="14.2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ht="14.2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ht="14.2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ht="14.2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ht="14.2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ht="14.2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ht="14.2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ht="14.2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ht="14.2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ht="14.2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ht="14.2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ht="14.2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ht="14.2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ht="14.2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ht="14.2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ht="14.2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ht="14.2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ht="14.2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ht="14.2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ht="14.2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ht="14.2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ht="14.2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ht="14.2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ht="14.2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ht="14.2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ht="14.2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ht="14.2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ht="14.2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ht="14.2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ht="14.2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ht="14.2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ht="14.2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ht="14.2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ht="14.2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ht="14.2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ht="14.2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ht="14.2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ht="14.2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ht="14.2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ht="14.2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ht="14.2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ht="14.2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ht="14.2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ht="14.25" customHeight="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ht="14.25" customHeight="1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ht="14.25" customHeight="1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ht="14.25" customHeight="1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ht="14.25" customHeight="1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ht="14.25" customHeight="1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ht="14.25" customHeight="1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ht="14.25" customHeight="1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ht="14.25" customHeight="1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ht="14.25" customHeight="1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ht="14.25" customHeight="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ht="14.25" customHeight="1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ht="14.25" customHeight="1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ht="14.25" customHeight="1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ht="14.25" customHeight="1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ht="14.25" customHeight="1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ht="14.25" customHeight="1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ht="14.25" customHeight="1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ht="14.25" customHeight="1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ht="14.25" customHeight="1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ht="14.25" customHeight="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ht="14.25" customHeight="1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ht="14.25" customHeight="1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ht="14.25" customHeight="1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ht="14.25" customHeight="1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ht="14.25" customHeight="1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ht="14.25" customHeight="1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ht="14.25" customHeight="1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ht="14.25" customHeight="1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ht="14.25" customHeight="1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ht="14.25" customHeight="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ht="14.25" customHeight="1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ht="14.25" customHeight="1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ht="14.25" customHeight="1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ht="14.25" customHeight="1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ht="15.75" customHeight="1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 ht="15.75" customHeight="1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 ht="15.75" customHeight="1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ht="15.75" customHeight="1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ht="15.75" customHeight="1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ht="15.75" customHeight="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ht="15.75" customHeight="1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 ht="15.75" customHeight="1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 ht="15.75" customHeight="1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 ht="15.75" customHeight="1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 ht="15.75" customHeight="1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 ht="15.75" customHeight="1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 ht="15.75" customHeight="1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 ht="15.75" customHeight="1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 ht="15.75" customHeight="1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 ht="15.75" customHeight="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 ht="15.75" customHeight="1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 ht="15.75" customHeight="1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 ht="15.75" customHeight="1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 ht="15.75" customHeight="1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</row>
    <row r="276" ht="15.75" customHeight="1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</row>
    <row r="277" ht="15.75" customHeight="1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</row>
    <row r="278" ht="15.75" customHeight="1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</row>
    <row r="279" ht="15.75" customHeight="1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</row>
    <row r="280" ht="15.75" customHeight="1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</row>
    <row r="281" ht="15.75" customHeight="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</row>
    <row r="282" ht="15.75" customHeight="1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</row>
    <row r="283" ht="15.75" customHeight="1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</row>
    <row r="284" ht="15.75" customHeight="1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 ht="15.75" customHeight="1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 ht="15.75" customHeight="1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</row>
    <row r="287" ht="15.75" customHeight="1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</row>
    <row r="288" ht="15.75" customHeight="1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</row>
    <row r="289" ht="15.75" customHeight="1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</row>
    <row r="290" ht="15.75" customHeight="1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</row>
    <row r="291" ht="15.75" customHeight="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</row>
    <row r="292" ht="15.75" customHeight="1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</row>
    <row r="293" ht="15.75" customHeight="1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</row>
    <row r="294" ht="15.75" customHeight="1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ht="15.75" customHeight="1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 ht="15.75" customHeight="1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 ht="15.75" customHeight="1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 ht="15.75" customHeight="1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 ht="15.75" customHeight="1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  <row r="300" ht="15.75" customHeight="1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</row>
    <row r="301" ht="15.75" customHeight="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</row>
    <row r="302" ht="15.75" customHeight="1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</row>
    <row r="303" ht="15.75" customHeight="1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</row>
    <row r="304" ht="15.75" customHeight="1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</row>
    <row r="305" ht="15.75" customHeight="1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</row>
    <row r="306" ht="15.75" customHeight="1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</row>
    <row r="307" ht="15.75" customHeight="1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</row>
    <row r="308" ht="15.75" customHeight="1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</row>
    <row r="309" ht="15.75" customHeight="1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</row>
    <row r="310" ht="15.75" customHeight="1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</row>
    <row r="311" ht="15.75" customHeight="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 ht="15.75" customHeight="1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</row>
    <row r="313" ht="15.75" customHeight="1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</row>
    <row r="314" ht="15.75" customHeight="1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</row>
    <row r="315" ht="15.75" customHeight="1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 ht="15.75" customHeight="1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 ht="15.75" customHeight="1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 ht="15.75" customHeight="1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 ht="15.75" customHeight="1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 ht="15.75" customHeight="1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 ht="15.75" customHeight="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 ht="15.75" customHeight="1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 ht="15.75" customHeight="1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 ht="15.75" customHeight="1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 ht="15.75" customHeight="1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 ht="15.75" customHeight="1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 ht="15.75" customHeight="1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 ht="15.75" customHeight="1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 ht="15.75" customHeight="1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 ht="15.75" customHeight="1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 ht="15.75" customHeight="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 ht="15.75" customHeight="1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 ht="15.75" customHeight="1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 ht="15.75" customHeight="1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 ht="15.75" customHeight="1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 ht="15.75" customHeight="1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 ht="15.75" customHeight="1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 ht="15.75" customHeight="1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 ht="15.75" customHeight="1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 ht="15.75" customHeight="1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 ht="15.75" customHeight="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 ht="15.75" customHeight="1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 ht="15.75" customHeight="1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 ht="15.75" customHeight="1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 ht="15.75" customHeight="1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 ht="15.75" customHeight="1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</row>
    <row r="347" ht="15.75" customHeight="1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</row>
    <row r="348" ht="15.75" customHeight="1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</row>
    <row r="349" ht="15.75" customHeight="1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</row>
    <row r="350" ht="15.75" customHeight="1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 ht="15.75" customHeight="1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 ht="15.75" customHeight="1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 ht="15.75" customHeight="1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</row>
    <row r="354" ht="15.75" customHeight="1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</row>
    <row r="355" ht="15.75" customHeight="1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</row>
    <row r="356" ht="15.75" customHeight="1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</row>
    <row r="357" ht="15.75" customHeight="1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</row>
    <row r="358" ht="15.75" customHeight="1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</row>
    <row r="359" ht="15.75" customHeight="1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</row>
    <row r="360" ht="15.75" customHeight="1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</row>
    <row r="361" ht="15.75" customHeight="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</row>
    <row r="362" ht="15.75" customHeight="1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</row>
    <row r="363" ht="15.75" customHeight="1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</row>
    <row r="364" ht="15.75" customHeight="1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</row>
    <row r="365" ht="15.75" customHeight="1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</row>
    <row r="366" ht="15.75" customHeight="1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</row>
    <row r="367" ht="15.75" customHeight="1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</row>
    <row r="368" ht="15.75" customHeight="1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</row>
    <row r="369" ht="15.75" customHeight="1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</row>
    <row r="370" ht="15.75" customHeight="1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</row>
    <row r="371" ht="15.75" customHeight="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</row>
    <row r="372" ht="15.75" customHeight="1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</row>
    <row r="373" ht="15.75" customHeight="1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</row>
    <row r="374" ht="15.75" customHeight="1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</row>
    <row r="375" ht="15.75" customHeight="1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</row>
    <row r="376" ht="15.75" customHeight="1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</row>
    <row r="377" ht="15.75" customHeight="1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</row>
    <row r="378" ht="15.75" customHeight="1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</row>
    <row r="379" ht="15.75" customHeight="1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</row>
    <row r="380" ht="15.75" customHeight="1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</row>
    <row r="381" ht="15.75" customHeight="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 ht="15.75" customHeight="1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 ht="15.75" customHeight="1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 ht="15.75" customHeight="1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 ht="15.75" customHeight="1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 ht="15.75" customHeight="1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 ht="15.75" customHeight="1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 ht="15.75" customHeight="1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 ht="15.75" customHeight="1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 ht="15.75" customHeight="1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 ht="15.75" customHeight="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 ht="15.75" customHeight="1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 ht="15.75" customHeight="1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 ht="15.75" customHeight="1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 ht="15.75" customHeight="1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 ht="15.75" customHeight="1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 ht="15.75" customHeight="1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 ht="15.75" customHeight="1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 ht="15.75" customHeight="1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 ht="15.75" customHeight="1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 ht="15.75" customHeight="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 ht="15.75" customHeight="1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 ht="15.75" customHeight="1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 ht="15.75" customHeight="1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 ht="15.75" customHeight="1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 ht="15.75" customHeight="1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 ht="15.75" customHeight="1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 ht="15.75" customHeight="1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 ht="15.75" customHeight="1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 ht="15.75" customHeight="1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 ht="15.75" customHeight="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 ht="15.75" customHeight="1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 ht="15.75" customHeight="1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ht="15.75" customHeight="1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ht="15.75" customHeight="1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ht="15.75" customHeight="1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ht="15.75" customHeight="1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ht="15.75" customHeight="1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ht="15.75" customHeight="1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ht="15.75" customHeight="1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ht="15.75" customHeight="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ht="15.75" customHeight="1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ht="15.75" customHeight="1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ht="15.75" customHeight="1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ht="15.75" customHeight="1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ht="15.75" customHeight="1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ht="15.75" customHeight="1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ht="15.75" customHeight="1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ht="15.75" customHeight="1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ht="15.75" customHeight="1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ht="15.75" customHeight="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ht="15.75" customHeight="1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ht="15.75" customHeight="1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ht="15.75" customHeight="1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ht="15.75" customHeight="1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 ht="15.75" customHeight="1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 ht="15.75" customHeight="1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 ht="15.75" customHeight="1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 ht="15.75" customHeight="1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 ht="15.75" customHeight="1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 ht="15.75" customHeight="1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 ht="15.75" customHeight="1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 ht="15.75" customHeight="1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 ht="15.75" customHeight="1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 ht="15.75" customHeight="1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 ht="15.75" customHeight="1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 ht="15.75" customHeight="1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 ht="15.75" customHeight="1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 ht="15.75" customHeight="1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 ht="15.75" customHeight="1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 ht="15.75" customHeight="1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 ht="15.75" customHeight="1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 ht="15.75" customHeight="1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 ht="15.75" customHeight="1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 ht="15.75" customHeight="1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 ht="15.75" customHeight="1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 ht="15.75" customHeight="1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 ht="15.75" customHeight="1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 ht="15.75" customHeight="1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 ht="15.75" customHeight="1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 ht="15.75" customHeight="1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 ht="15.75" customHeight="1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 ht="15.75" customHeight="1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 ht="15.75" customHeight="1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 ht="15.75" customHeight="1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 ht="15.75" customHeight="1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 ht="15.75" customHeight="1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 ht="15.75" customHeight="1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 ht="15.75" customHeight="1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 ht="15.75" customHeight="1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 ht="15.75" customHeight="1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 ht="15.75" customHeight="1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 ht="15.75" customHeight="1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 ht="15.75" customHeight="1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 ht="15.75" customHeight="1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 ht="15.75" customHeight="1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 ht="15.75" customHeight="1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 ht="15.75" customHeight="1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 ht="15.75" customHeight="1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 ht="15.75" customHeight="1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 ht="15.75" customHeight="1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 ht="15.75" customHeight="1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 ht="15.75" customHeight="1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 ht="15.75" customHeight="1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 ht="15.75" customHeight="1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 ht="15.75" customHeight="1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 ht="15.75" customHeight="1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 ht="15.75" customHeight="1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 ht="15.75" customHeight="1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 ht="15.75" customHeight="1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 ht="15.75" customHeight="1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 ht="15.75" customHeight="1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 ht="15.75" customHeight="1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 ht="15.75" customHeight="1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 ht="15.75" customHeight="1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 ht="15.75" customHeight="1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 ht="15.75" customHeight="1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 ht="15.75" customHeight="1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 ht="15.75" customHeight="1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 ht="15.75" customHeight="1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 ht="15.75" customHeight="1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 ht="15.75" customHeight="1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 ht="15.75" customHeight="1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 ht="15.75" customHeight="1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 ht="15.75" customHeight="1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 ht="15.75" customHeight="1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 ht="15.75" customHeight="1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 ht="15.75" customHeight="1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 ht="15.75" customHeight="1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 ht="15.75" customHeight="1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 ht="15.75" customHeight="1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 ht="15.75" customHeight="1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 ht="15.75" customHeight="1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 ht="15.75" customHeight="1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 ht="15.75" customHeight="1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 ht="15.75" customHeight="1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 ht="15.75" customHeight="1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 ht="15.75" customHeight="1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 ht="15.75" customHeight="1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 ht="15.75" customHeight="1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 ht="15.75" customHeight="1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 ht="15.75" customHeight="1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 ht="15.75" customHeight="1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 ht="15.75" customHeight="1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 ht="15.75" customHeight="1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 ht="15.75" customHeight="1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 ht="15.75" customHeight="1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 ht="15.75" customHeight="1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 ht="15.75" customHeight="1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 ht="15.75" customHeight="1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 ht="15.75" customHeight="1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 ht="15.75" customHeight="1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 ht="15.75" customHeight="1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 ht="15.75" customHeight="1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 ht="15.75" customHeight="1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 ht="15.75" customHeight="1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 ht="15.75" customHeight="1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 ht="15.75" customHeight="1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 ht="15.75" customHeight="1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 ht="15.75" customHeight="1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 ht="15.75" customHeight="1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 ht="15.75" customHeight="1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 ht="15.75" customHeight="1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 ht="15.75" customHeight="1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 ht="15.75" customHeight="1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 ht="15.75" customHeight="1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 ht="15.75" customHeight="1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 ht="15.75" customHeight="1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 ht="15.75" customHeight="1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 ht="15.75" customHeight="1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 ht="15.75" customHeight="1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 ht="15.75" customHeight="1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 ht="15.75" customHeight="1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 ht="15.75" customHeight="1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 ht="15.75" customHeight="1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 ht="15.75" customHeight="1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 ht="15.75" customHeight="1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 ht="15.75" customHeight="1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 ht="15.75" customHeight="1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 ht="15.75" customHeight="1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 ht="15.75" customHeight="1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 ht="15.75" customHeight="1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 ht="15.75" customHeight="1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 ht="15.75" customHeight="1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 ht="15.75" customHeight="1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 ht="15.75" customHeight="1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 ht="15.75" customHeight="1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 ht="15.75" customHeight="1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 ht="15.75" customHeight="1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 ht="15.75" customHeight="1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 ht="15.75" customHeight="1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 ht="15.75" customHeight="1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 ht="15.75" customHeight="1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 ht="15.75" customHeight="1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 ht="15.75" customHeight="1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 ht="15.75" customHeight="1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 ht="15.75" customHeight="1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 ht="15.75" customHeight="1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 ht="15.75" customHeight="1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 ht="15.75" customHeight="1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 ht="15.75" customHeight="1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 ht="15.75" customHeight="1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 ht="15.75" customHeight="1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 ht="15.75" customHeight="1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 ht="15.75" customHeight="1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 ht="15.75" customHeight="1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 ht="15.75" customHeight="1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 ht="15.75" customHeight="1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 ht="15.75" customHeight="1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 ht="15.75" customHeight="1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 ht="15.75" customHeight="1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 ht="15.75" customHeight="1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 ht="15.75" customHeight="1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 ht="15.75" customHeight="1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 ht="15.75" customHeight="1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 ht="15.75" customHeight="1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 ht="15.75" customHeight="1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 ht="15.75" customHeight="1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 ht="15.75" customHeight="1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 ht="15.75" customHeight="1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 ht="15.75" customHeight="1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 ht="15.75" customHeight="1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 ht="15.75" customHeight="1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 ht="15.75" customHeight="1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 ht="15.75" customHeight="1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 ht="15.75" customHeight="1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 ht="15.75" customHeight="1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 ht="15.75" customHeight="1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 ht="15.75" customHeight="1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 ht="15.75" customHeight="1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 ht="15.75" customHeight="1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 ht="15.75" customHeight="1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 ht="15.75" customHeight="1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 ht="15.75" customHeight="1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 ht="15.75" customHeight="1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 ht="15.75" customHeight="1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 ht="15.75" customHeight="1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 ht="15.75" customHeight="1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 ht="15.75" customHeight="1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 ht="15.75" customHeight="1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 ht="15.75" customHeight="1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 ht="15.75" customHeight="1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 ht="15.75" customHeight="1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 ht="15.75" customHeight="1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 ht="15.75" customHeight="1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 ht="15.75" customHeight="1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 ht="15.75" customHeight="1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 ht="15.75" customHeight="1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 ht="15.75" customHeight="1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 ht="15.75" customHeight="1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 ht="15.75" customHeight="1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 ht="15.75" customHeight="1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 ht="15.75" customHeight="1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 ht="15.75" customHeight="1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 ht="15.75" customHeight="1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 ht="15.75" customHeight="1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 ht="15.75" customHeight="1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 ht="15.75" customHeight="1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 ht="15.75" customHeight="1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 ht="15.75" customHeight="1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 ht="15.75" customHeight="1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 ht="15.75" customHeight="1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 ht="15.75" customHeight="1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 ht="15.75" customHeight="1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 ht="15.75" customHeight="1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 ht="15.75" customHeight="1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 ht="15.75" customHeight="1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 ht="15.75" customHeight="1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 ht="15.75" customHeight="1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 ht="15.75" customHeight="1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 ht="15.75" customHeight="1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 ht="15.75" customHeight="1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 ht="15.75" customHeight="1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 ht="15.75" customHeight="1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 ht="15.75" customHeight="1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 ht="15.75" customHeight="1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 ht="15.75" customHeight="1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 ht="15.75" customHeight="1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 ht="15.75" customHeight="1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 ht="15.75" customHeight="1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 ht="15.75" customHeight="1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 ht="15.75" customHeight="1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 ht="15.75" customHeight="1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 ht="15.75" customHeight="1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 ht="15.75" customHeight="1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 ht="15.75" customHeight="1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 ht="15.75" customHeight="1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 ht="15.75" customHeight="1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 ht="15.75" customHeight="1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 ht="15.75" customHeight="1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 ht="15.75" customHeight="1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 ht="15.75" customHeight="1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 ht="15.75" customHeight="1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 ht="15.75" customHeight="1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 ht="15.75" customHeight="1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 ht="15.75" customHeight="1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 ht="15.75" customHeight="1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 ht="15.75" customHeight="1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 ht="15.75" customHeight="1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 ht="15.75" customHeight="1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 ht="15.75" customHeight="1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 ht="15.75" customHeight="1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 ht="15.75" customHeight="1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 ht="15.75" customHeight="1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 ht="15.75" customHeight="1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 ht="15.75" customHeight="1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 ht="15.75" customHeight="1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 ht="15.75" customHeight="1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 ht="15.75" customHeight="1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 ht="15.75" customHeight="1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 ht="15.75" customHeight="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 ht="15.75" customHeight="1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 ht="15.75" customHeight="1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 ht="15.75" customHeight="1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 ht="15.75" customHeight="1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 ht="15.75" customHeight="1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 ht="15.75" customHeight="1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 ht="15.75" customHeight="1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 ht="15.75" customHeight="1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 ht="15.75" customHeight="1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 ht="15.75" customHeight="1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 ht="15.75" customHeight="1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 ht="15.75" customHeight="1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 ht="15.75" customHeight="1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 ht="15.75" customHeight="1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 ht="15.75" customHeight="1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 ht="15.75" customHeight="1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 ht="15.75" customHeight="1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 ht="15.75" customHeight="1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 ht="15.75" customHeight="1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 ht="15.75" customHeight="1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 ht="15.75" customHeight="1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 ht="15.75" customHeight="1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 ht="15.75" customHeight="1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 ht="15.75" customHeight="1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 ht="15.75" customHeight="1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 ht="15.75" customHeight="1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 ht="15.75" customHeight="1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 ht="15.75" customHeight="1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 ht="15.75" customHeight="1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 ht="15.75" customHeight="1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 ht="15.75" customHeight="1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 ht="15.75" customHeight="1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 ht="15.75" customHeight="1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 ht="15.75" customHeight="1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 ht="15.75" customHeight="1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 ht="15.75" customHeight="1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 ht="15.75" customHeight="1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 ht="15.75" customHeight="1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 ht="15.75" customHeight="1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 ht="15.75" customHeight="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 ht="15.75" customHeight="1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 ht="15.75" customHeight="1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 ht="15.75" customHeight="1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 ht="15.75" customHeight="1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 ht="15.75" customHeight="1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 ht="15.75" customHeight="1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 ht="15.75" customHeight="1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 ht="15.75" customHeight="1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 ht="15.75" customHeight="1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 ht="15.75" customHeight="1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 ht="15.75" customHeight="1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 ht="15.75" customHeight="1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 ht="15.75" customHeight="1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 ht="15.75" customHeight="1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 ht="15.75" customHeight="1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 ht="15.75" customHeight="1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 ht="15.75" customHeight="1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 ht="15.75" customHeight="1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 ht="15.75" customHeight="1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 ht="15.75" customHeight="1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 ht="15.75" customHeight="1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 ht="15.75" customHeight="1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 ht="15.75" customHeight="1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 ht="15.75" customHeight="1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 ht="15.75" customHeight="1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 ht="15.75" customHeight="1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 ht="15.75" customHeight="1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 ht="15.75" customHeight="1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 ht="15.75" customHeight="1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 ht="15.75" customHeight="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 ht="15.75" customHeight="1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 ht="15.75" customHeight="1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 ht="15.75" customHeight="1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 ht="15.75" customHeight="1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 ht="15.75" customHeight="1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 ht="15.75" customHeight="1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 ht="15.75" customHeight="1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 ht="15.75" customHeight="1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 ht="15.75" customHeight="1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 ht="15.75" customHeight="1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 ht="15.75" customHeight="1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 ht="15.75" customHeight="1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 ht="15.75" customHeight="1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 ht="15.75" customHeight="1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 ht="15.75" customHeight="1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 ht="15.75" customHeight="1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 ht="15.75" customHeight="1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 ht="15.75" customHeight="1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 ht="15.75" customHeight="1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 ht="15.75" customHeight="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 ht="15.75" customHeight="1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 ht="15.75" customHeight="1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 ht="15.75" customHeight="1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 ht="15.75" customHeight="1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 ht="15.75" customHeight="1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 ht="15.75" customHeight="1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 ht="15.75" customHeight="1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 ht="15.75" customHeight="1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 ht="15.75" customHeight="1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 ht="15.75" customHeight="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 ht="15.75" customHeight="1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 ht="15.75" customHeight="1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 ht="15.75" customHeight="1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 ht="15.75" customHeight="1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 ht="15.75" customHeight="1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 ht="15.75" customHeight="1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 ht="15.75" customHeight="1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 ht="15.75" customHeight="1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 ht="15.75" customHeight="1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 ht="15.75" customHeight="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 ht="15.75" customHeight="1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 ht="15.75" customHeight="1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 ht="15.75" customHeight="1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 ht="15.75" customHeight="1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 ht="15.75" customHeight="1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 ht="15.75" customHeight="1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 ht="15.75" customHeight="1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 ht="15.75" customHeight="1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 ht="15.75" customHeight="1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 ht="15.75" customHeight="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 ht="15.75" customHeight="1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 ht="15.75" customHeight="1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 ht="15.75" customHeight="1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 ht="15.75" customHeight="1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 ht="15.75" customHeight="1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 ht="15.75" customHeight="1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 ht="15.75" customHeight="1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 ht="15.75" customHeight="1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 ht="15.75" customHeight="1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 ht="15.75" customHeight="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 ht="15.75" customHeight="1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 ht="15.75" customHeight="1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 ht="15.75" customHeight="1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 ht="15.75" customHeight="1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 ht="15.75" customHeight="1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 ht="15.75" customHeight="1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 ht="15.75" customHeight="1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 ht="15.75" customHeight="1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 ht="15.75" customHeight="1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 ht="15.75" customHeight="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 ht="15.75" customHeight="1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 ht="15.75" customHeight="1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 ht="15.75" customHeight="1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 ht="15.75" customHeight="1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 ht="15.75" customHeight="1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 ht="15.75" customHeight="1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 ht="15.75" customHeight="1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 ht="15.75" customHeight="1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 ht="15.75" customHeight="1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 ht="15.75" customHeight="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 ht="15.75" customHeight="1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 ht="15.75" customHeight="1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 ht="15.75" customHeight="1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 ht="15.75" customHeight="1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 ht="15.75" customHeight="1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 ht="15.75" customHeight="1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 ht="15.75" customHeight="1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 ht="15.75" customHeight="1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 ht="15.75" customHeight="1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 ht="15.75" customHeight="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 ht="15.75" customHeight="1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 ht="15.75" customHeight="1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 ht="15.75" customHeight="1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 ht="15.75" customHeight="1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 ht="15.75" customHeight="1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 ht="15.75" customHeight="1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 ht="15.75" customHeight="1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 ht="15.75" customHeight="1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 ht="15.75" customHeight="1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 ht="15.75" customHeight="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 ht="15.75" customHeight="1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 ht="15.75" customHeight="1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 ht="15.75" customHeight="1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 ht="15.75" customHeight="1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 ht="15.75" customHeight="1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 ht="15.75" customHeight="1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 ht="15.75" customHeight="1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 ht="15.75" customHeight="1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 ht="15.75" customHeight="1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 ht="15.75" customHeight="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 ht="15.75" customHeight="1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 ht="15.75" customHeight="1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 ht="15.75" customHeight="1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 ht="15.75" customHeight="1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 ht="15.75" customHeight="1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 ht="15.75" customHeight="1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 ht="15.75" customHeight="1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 ht="15.75" customHeight="1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 ht="15.75" customHeight="1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 ht="15.75" customHeight="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 ht="15.75" customHeight="1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 ht="15.75" customHeight="1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 ht="15.75" customHeight="1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 ht="15.75" customHeight="1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 ht="15.75" customHeight="1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 ht="15.75" customHeight="1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 ht="15.75" customHeight="1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 ht="15.75" customHeight="1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 ht="15.75" customHeight="1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 ht="15.75" customHeight="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 ht="15.75" customHeight="1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 ht="15.75" customHeight="1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 ht="15.75" customHeight="1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 ht="15.75" customHeight="1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 ht="15.75" customHeight="1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 ht="15.75" customHeight="1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 ht="15.75" customHeight="1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 ht="15.75" customHeight="1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 ht="15.75" customHeight="1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 ht="15.75" customHeight="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 ht="15.75" customHeight="1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 ht="15.75" customHeight="1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 ht="15.75" customHeight="1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 ht="15.75" customHeight="1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 ht="15.75" customHeight="1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 ht="15.75" customHeight="1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 ht="15.75" customHeight="1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 ht="15.75" customHeight="1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 ht="15.75" customHeight="1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 ht="15.75" customHeight="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 ht="15.75" customHeight="1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 ht="15.75" customHeight="1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 ht="15.75" customHeight="1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 ht="15.75" customHeight="1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 ht="15.75" customHeight="1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 ht="15.75" customHeight="1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 ht="15.75" customHeight="1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 ht="15.75" customHeight="1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 ht="15.75" customHeight="1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 ht="15.75" customHeight="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 ht="15.75" customHeight="1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 ht="15.75" customHeight="1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 ht="15.75" customHeight="1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 ht="15.75" customHeight="1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 ht="15.75" customHeight="1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 ht="15.75" customHeight="1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 ht="15.75" customHeight="1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 ht="15.75" customHeight="1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 ht="15.75" customHeight="1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 ht="15.75" customHeight="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 ht="15.75" customHeight="1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 ht="15.75" customHeight="1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 ht="15.75" customHeight="1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 ht="15.75" customHeight="1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 ht="15.75" customHeight="1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 ht="15.75" customHeight="1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 ht="15.75" customHeight="1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 ht="15.75" customHeight="1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 ht="15.75" customHeight="1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 ht="15.75" customHeight="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 ht="15.75" customHeight="1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 ht="15.75" customHeight="1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 ht="15.75" customHeight="1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 ht="15.75" customHeight="1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 ht="15.75" customHeight="1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 ht="15.75" customHeight="1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 ht="15.75" customHeight="1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 ht="15.75" customHeight="1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 ht="15.75" customHeight="1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 ht="15.75" customHeight="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 ht="15.75" customHeight="1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 ht="15.75" customHeight="1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 ht="15.75" customHeight="1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 ht="15.75" customHeight="1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 ht="15.75" customHeight="1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 ht="15.75" customHeight="1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 ht="15.75" customHeight="1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 ht="15.75" customHeight="1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 ht="15.75" customHeight="1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 ht="15.75" customHeight="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 ht="15.75" customHeight="1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 ht="15.75" customHeight="1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 ht="15.75" customHeight="1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 ht="15.75" customHeight="1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 ht="15.75" customHeight="1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 ht="15.75" customHeight="1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 ht="15.75" customHeight="1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 ht="15.75" customHeight="1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 ht="15.75" customHeight="1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 ht="15.75" customHeight="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 ht="15.75" customHeight="1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 ht="15.75" customHeight="1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 ht="15.75" customHeight="1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 ht="15.75" customHeight="1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 ht="15.75" customHeight="1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 ht="15.75" customHeight="1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 ht="15.75" customHeight="1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 ht="15.75" customHeight="1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 ht="15.75" customHeight="1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 ht="15.75" customHeight="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 ht="15.75" customHeight="1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 ht="15.75" customHeight="1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 ht="15.75" customHeight="1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 ht="15.75" customHeight="1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 ht="15.75" customHeight="1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 ht="15.75" customHeight="1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 ht="15.75" customHeight="1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 ht="15.75" customHeight="1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 ht="15.75" customHeight="1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 ht="15.75" customHeight="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 ht="15.75" customHeight="1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 ht="15.75" customHeight="1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 ht="15.75" customHeight="1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 ht="15.75" customHeight="1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 ht="15.75" customHeight="1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 ht="15.75" customHeight="1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 ht="15.75" customHeight="1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 ht="15.75" customHeight="1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  <row r="1000" ht="15.75" customHeight="1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</row>
  </sheetData>
  <mergeCells count="14">
    <mergeCell ref="T3:T4"/>
    <mergeCell ref="U3:U4"/>
    <mergeCell ref="B7:B9"/>
    <mergeCell ref="B12:B15"/>
    <mergeCell ref="B25:B26"/>
    <mergeCell ref="B27:B28"/>
    <mergeCell ref="B29:B33"/>
    <mergeCell ref="A3:A4"/>
    <mergeCell ref="B3:B4"/>
    <mergeCell ref="C3:C4"/>
    <mergeCell ref="D3:I3"/>
    <mergeCell ref="J3:J4"/>
    <mergeCell ref="K3:P3"/>
    <mergeCell ref="Q3:S3"/>
  </mergeCells>
  <printOptions/>
  <pageMargins bottom="0.75" footer="0.0" header="0.0" left="0.7" right="0.7" top="0.75"/>
  <pageSetup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 outlineLevelCol="1"/>
  <cols>
    <col customWidth="1" min="1" max="1" width="5.86"/>
    <col customWidth="1" min="2" max="2" width="13.14"/>
    <col customWidth="1" min="3" max="3" width="20.86"/>
    <col customWidth="1" min="4" max="4" width="11.86"/>
    <col customWidth="1" min="5" max="10" width="11.14"/>
    <col customWidth="1" min="11" max="11" width="13.43"/>
    <col customWidth="1" min="12" max="12" width="8.71"/>
    <col customWidth="1" min="13" max="13" width="9.43"/>
    <col customWidth="1" min="14" max="16" width="8.86"/>
    <col customWidth="1" min="17" max="19" width="13.57"/>
    <col customWidth="1" min="20" max="20" width="14.57"/>
    <col customWidth="1" min="21" max="21" width="7.14"/>
    <col customWidth="1" min="22" max="25" width="8.71"/>
    <col customWidth="1" min="26" max="26" width="5.86"/>
    <col customWidth="1" min="27" max="27" width="13.14"/>
    <col customWidth="1" min="28" max="28" width="20.86"/>
    <col customWidth="1" min="29" max="29" width="11.86"/>
    <col customWidth="1" min="30" max="30" width="11.14"/>
    <col customWidth="1" min="31" max="31" width="8.71"/>
    <col customWidth="1" min="32" max="32" width="9.43"/>
    <col customWidth="1" min="33" max="34" width="8.86"/>
    <col customWidth="1" min="35" max="37" width="13.57"/>
    <col customWidth="1" min="38" max="38" width="14.57"/>
    <col customWidth="1" min="39" max="39" width="7.14"/>
    <col customWidth="1" min="40" max="43" width="8.71"/>
  </cols>
  <sheetData>
    <row r="1" ht="14.25" customHeight="1">
      <c r="A1" s="24" t="s">
        <v>58</v>
      </c>
      <c r="N1" s="124"/>
      <c r="O1" s="124"/>
      <c r="P1" s="124"/>
      <c r="Q1" s="245"/>
      <c r="R1" s="245"/>
      <c r="S1" s="245"/>
      <c r="U1" s="246"/>
      <c r="Z1" s="24" t="s">
        <v>69</v>
      </c>
      <c r="AG1" s="124"/>
      <c r="AH1" s="124"/>
      <c r="AI1" s="245"/>
      <c r="AJ1" s="245"/>
      <c r="AK1" s="245"/>
      <c r="AM1" s="246"/>
    </row>
    <row r="2" ht="14.25" customHeight="1">
      <c r="A2" s="24" t="s">
        <v>725</v>
      </c>
      <c r="N2" s="124"/>
      <c r="O2" s="124"/>
      <c r="P2" s="124"/>
      <c r="Q2" s="245"/>
      <c r="R2" s="245"/>
      <c r="S2" s="245"/>
      <c r="U2" s="246"/>
      <c r="Z2" s="24" t="s">
        <v>725</v>
      </c>
      <c r="AG2" s="124"/>
      <c r="AH2" s="124"/>
      <c r="AI2" s="245"/>
      <c r="AJ2" s="245"/>
      <c r="AK2" s="245"/>
      <c r="AM2" s="246"/>
    </row>
    <row r="3" ht="14.25" customHeight="1">
      <c r="A3" s="28" t="s">
        <v>84</v>
      </c>
      <c r="B3" s="28" t="s">
        <v>105</v>
      </c>
      <c r="C3" s="28" t="s">
        <v>109</v>
      </c>
      <c r="D3" s="30" t="s">
        <v>112</v>
      </c>
      <c r="E3" s="31"/>
      <c r="F3" s="31"/>
      <c r="G3" s="31"/>
      <c r="H3" s="35"/>
      <c r="I3" s="247" t="s">
        <v>140</v>
      </c>
      <c r="J3" s="31"/>
      <c r="K3" s="35"/>
      <c r="L3" s="39" t="s">
        <v>166</v>
      </c>
      <c r="M3" s="31"/>
      <c r="N3" s="31"/>
      <c r="O3" s="31"/>
      <c r="P3" s="35"/>
      <c r="Q3" s="247" t="s">
        <v>140</v>
      </c>
      <c r="R3" s="31"/>
      <c r="S3" s="35"/>
      <c r="T3" s="29" t="s">
        <v>171</v>
      </c>
      <c r="U3" s="248" t="s">
        <v>172</v>
      </c>
      <c r="V3" s="127" t="s">
        <v>542</v>
      </c>
      <c r="Z3" s="28" t="s">
        <v>84</v>
      </c>
      <c r="AA3" s="28" t="s">
        <v>105</v>
      </c>
      <c r="AB3" s="28" t="s">
        <v>109</v>
      </c>
      <c r="AC3" s="29" t="s">
        <v>112</v>
      </c>
      <c r="AD3" s="28" t="s">
        <v>140</v>
      </c>
      <c r="AE3" s="39" t="s">
        <v>166</v>
      </c>
      <c r="AF3" s="31"/>
      <c r="AG3" s="31"/>
      <c r="AH3" s="35"/>
      <c r="AI3" s="247" t="s">
        <v>140</v>
      </c>
      <c r="AJ3" s="31"/>
      <c r="AK3" s="35"/>
      <c r="AL3" s="29" t="s">
        <v>171</v>
      </c>
      <c r="AM3" s="248" t="s">
        <v>172</v>
      </c>
    </row>
    <row r="4" ht="14.25" customHeight="1">
      <c r="A4" s="42"/>
      <c r="B4" s="42"/>
      <c r="C4" s="42"/>
      <c r="D4" s="43" t="s">
        <v>199</v>
      </c>
      <c r="E4" s="43" t="s">
        <v>200</v>
      </c>
      <c r="F4" s="43" t="s">
        <v>441</v>
      </c>
      <c r="G4" s="43" t="s">
        <v>442</v>
      </c>
      <c r="H4" s="43" t="s">
        <v>207</v>
      </c>
      <c r="I4" s="43" t="s">
        <v>199</v>
      </c>
      <c r="J4" s="43" t="s">
        <v>200</v>
      </c>
      <c r="K4" s="43" t="s">
        <v>441</v>
      </c>
      <c r="L4" s="43" t="s">
        <v>199</v>
      </c>
      <c r="M4" s="43" t="s">
        <v>200</v>
      </c>
      <c r="N4" s="43" t="s">
        <v>441</v>
      </c>
      <c r="O4" s="43" t="s">
        <v>442</v>
      </c>
      <c r="P4" s="43" t="s">
        <v>207</v>
      </c>
      <c r="Q4" s="43" t="s">
        <v>199</v>
      </c>
      <c r="R4" s="43" t="s">
        <v>200</v>
      </c>
      <c r="S4" s="43" t="s">
        <v>441</v>
      </c>
      <c r="T4" s="42"/>
      <c r="U4" s="42"/>
      <c r="Z4" s="42"/>
      <c r="AA4" s="42"/>
      <c r="AB4" s="42"/>
      <c r="AC4" s="42"/>
      <c r="AD4" s="42"/>
      <c r="AE4" s="43" t="s">
        <v>199</v>
      </c>
      <c r="AF4" s="43" t="s">
        <v>200</v>
      </c>
      <c r="AG4" s="43" t="s">
        <v>201</v>
      </c>
      <c r="AH4" s="43" t="s">
        <v>207</v>
      </c>
      <c r="AI4" s="43" t="s">
        <v>199</v>
      </c>
      <c r="AJ4" s="43" t="s">
        <v>200</v>
      </c>
      <c r="AK4" s="43" t="s">
        <v>201</v>
      </c>
      <c r="AL4" s="42"/>
      <c r="AM4" s="42"/>
    </row>
    <row r="5" ht="14.25" customHeight="1">
      <c r="A5" s="49" t="s">
        <v>218</v>
      </c>
      <c r="B5" s="50"/>
      <c r="C5" s="49"/>
      <c r="D5" s="51">
        <f t="shared" ref="D5:S5" si="1">SUM(D6:D7)</f>
        <v>0</v>
      </c>
      <c r="E5" s="51">
        <f t="shared" si="1"/>
        <v>0</v>
      </c>
      <c r="F5" s="51">
        <f t="shared" si="1"/>
        <v>3</v>
      </c>
      <c r="G5" s="51">
        <f t="shared" si="1"/>
        <v>0</v>
      </c>
      <c r="H5" s="51">
        <f t="shared" si="1"/>
        <v>3</v>
      </c>
      <c r="I5" s="53">
        <f t="shared" si="1"/>
        <v>0</v>
      </c>
      <c r="J5" s="53">
        <f t="shared" si="1"/>
        <v>0</v>
      </c>
      <c r="K5" s="53">
        <f t="shared" si="1"/>
        <v>6965700</v>
      </c>
      <c r="L5" s="51">
        <f t="shared" si="1"/>
        <v>0</v>
      </c>
      <c r="M5" s="51">
        <f t="shared" si="1"/>
        <v>0</v>
      </c>
      <c r="N5" s="51">
        <f t="shared" si="1"/>
        <v>3</v>
      </c>
      <c r="O5" s="51">
        <f t="shared" si="1"/>
        <v>0</v>
      </c>
      <c r="P5" s="51">
        <f t="shared" si="1"/>
        <v>3</v>
      </c>
      <c r="Q5" s="53">
        <f t="shared" si="1"/>
        <v>0</v>
      </c>
      <c r="R5" s="53">
        <f t="shared" si="1"/>
        <v>0</v>
      </c>
      <c r="S5" s="53">
        <f t="shared" si="1"/>
        <v>6634000</v>
      </c>
      <c r="T5" s="53"/>
      <c r="U5" s="176" t="str">
        <f>SUM(Q5:S5)/T5</f>
        <v>#DIV/0!</v>
      </c>
      <c r="Z5" s="49" t="s">
        <v>218</v>
      </c>
      <c r="AA5" s="50"/>
      <c r="AB5" s="49"/>
      <c r="AC5" s="51">
        <f t="shared" ref="AC5:AG5" si="2">SUM(AC6:AC52)</f>
        <v>18</v>
      </c>
      <c r="AD5" s="51">
        <f t="shared" si="2"/>
        <v>0</v>
      </c>
      <c r="AE5" s="51">
        <f t="shared" si="2"/>
        <v>8</v>
      </c>
      <c r="AF5" s="51">
        <f t="shared" si="2"/>
        <v>1</v>
      </c>
      <c r="AG5" s="51">
        <f t="shared" si="2"/>
        <v>9</v>
      </c>
      <c r="AH5" s="51"/>
      <c r="AI5" s="53">
        <v>3.0690454E7</v>
      </c>
      <c r="AJ5" s="53">
        <v>4630086.0</v>
      </c>
      <c r="AK5" s="53">
        <f>SUM(AK6:AK52)</f>
        <v>0</v>
      </c>
      <c r="AL5" s="53"/>
      <c r="AM5" s="176" t="str">
        <f>SUM(AI5:AK5)/AL5</f>
        <v>#DIV/0!</v>
      </c>
    </row>
    <row r="6" ht="14.25" customHeight="1">
      <c r="A6" s="65"/>
      <c r="B6" s="66" t="s">
        <v>461</v>
      </c>
      <c r="C6" s="66" t="s">
        <v>461</v>
      </c>
      <c r="D6" s="60"/>
      <c r="E6" s="67"/>
      <c r="F6" s="65">
        <v>1.0</v>
      </c>
      <c r="G6" s="67"/>
      <c r="H6" s="250">
        <f t="shared" ref="H6:H7" si="3">SUM(D6:F6)</f>
        <v>1</v>
      </c>
      <c r="I6" s="67"/>
      <c r="J6" s="67"/>
      <c r="K6" s="251">
        <v>2490075.0</v>
      </c>
      <c r="L6" s="67"/>
      <c r="M6" s="67"/>
      <c r="N6" s="252">
        <v>1.0</v>
      </c>
      <c r="O6" s="250"/>
      <c r="P6" s="250">
        <f t="shared" ref="P6:P7" si="4">SUM(L6:N6)</f>
        <v>1</v>
      </c>
      <c r="Q6" s="253"/>
      <c r="R6" s="253"/>
      <c r="S6" s="253">
        <f>76500*31*N6</f>
        <v>2371500</v>
      </c>
      <c r="T6" s="253"/>
      <c r="U6" s="254"/>
      <c r="V6" s="124">
        <f t="shared" ref="V6:V7" si="5">H6-P6</f>
        <v>0</v>
      </c>
      <c r="Z6" s="56">
        <v>1.0</v>
      </c>
      <c r="AA6" s="228" t="s">
        <v>726</v>
      </c>
      <c r="AB6" s="57"/>
      <c r="AC6" s="59">
        <v>1.0</v>
      </c>
      <c r="AD6" s="58"/>
      <c r="AE6" s="58">
        <v>1.0</v>
      </c>
      <c r="AF6" s="58"/>
      <c r="AG6" s="250"/>
      <c r="AH6" s="250">
        <f t="shared" ref="AH6:AH52" si="6">SUM(AE6:AG6)</f>
        <v>1</v>
      </c>
      <c r="AI6" s="255"/>
      <c r="AJ6" s="255"/>
      <c r="AK6" s="255"/>
      <c r="AL6" s="255"/>
      <c r="AM6" s="256"/>
    </row>
    <row r="7" ht="14.25" customHeight="1">
      <c r="A7" s="65"/>
      <c r="B7" s="87"/>
      <c r="C7" s="66" t="s">
        <v>434</v>
      </c>
      <c r="D7" s="60"/>
      <c r="E7" s="67"/>
      <c r="F7" s="65">
        <v>2.0</v>
      </c>
      <c r="G7" s="67"/>
      <c r="H7" s="250">
        <f t="shared" si="3"/>
        <v>2</v>
      </c>
      <c r="I7" s="67"/>
      <c r="J7" s="67"/>
      <c r="K7" s="117">
        <v>4475625.0</v>
      </c>
      <c r="L7" s="67"/>
      <c r="M7" s="67"/>
      <c r="N7" s="252">
        <v>2.0</v>
      </c>
      <c r="O7" s="250"/>
      <c r="P7" s="250">
        <f t="shared" si="4"/>
        <v>2</v>
      </c>
      <c r="Q7" s="253"/>
      <c r="R7" s="253"/>
      <c r="S7" s="253">
        <f>(74500*31)+(63000*31)</f>
        <v>4262500</v>
      </c>
      <c r="T7" s="253"/>
      <c r="U7" s="254"/>
      <c r="V7" s="124">
        <f t="shared" si="5"/>
        <v>0</v>
      </c>
      <c r="Z7" s="65">
        <v>2.0</v>
      </c>
      <c r="AA7" s="112" t="s">
        <v>727</v>
      </c>
      <c r="AB7" s="66" t="s">
        <v>331</v>
      </c>
      <c r="AC7" s="257">
        <v>1.0</v>
      </c>
      <c r="AD7" s="67"/>
      <c r="AE7" s="67">
        <v>1.0</v>
      </c>
      <c r="AF7" s="67"/>
      <c r="AG7" s="258"/>
      <c r="AH7" s="250">
        <f t="shared" si="6"/>
        <v>1</v>
      </c>
      <c r="AI7" s="253"/>
      <c r="AJ7" s="253"/>
      <c r="AK7" s="253"/>
      <c r="AL7" s="253"/>
      <c r="AM7" s="254"/>
    </row>
    <row r="8" ht="14.25" customHeight="1">
      <c r="D8" s="201">
        <f t="shared" ref="D8:I8" si="7">SUM(D6:D7)</f>
        <v>0</v>
      </c>
      <c r="E8" s="201">
        <f t="shared" si="7"/>
        <v>0</v>
      </c>
      <c r="F8" s="201">
        <f t="shared" si="7"/>
        <v>3</v>
      </c>
      <c r="G8" s="201">
        <f t="shared" si="7"/>
        <v>0</v>
      </c>
      <c r="H8" s="201">
        <f t="shared" si="7"/>
        <v>3</v>
      </c>
      <c r="I8" s="125">
        <f t="shared" si="7"/>
        <v>0</v>
      </c>
      <c r="J8" s="125"/>
      <c r="K8" s="125"/>
      <c r="L8" s="201">
        <f t="shared" ref="L8:Q8" si="8">SUM(L6:L7)</f>
        <v>0</v>
      </c>
      <c r="M8" s="201">
        <f t="shared" si="8"/>
        <v>0</v>
      </c>
      <c r="N8" s="201">
        <f t="shared" si="8"/>
        <v>3</v>
      </c>
      <c r="O8" s="201">
        <f t="shared" si="8"/>
        <v>0</v>
      </c>
      <c r="P8" s="201">
        <f t="shared" si="8"/>
        <v>3</v>
      </c>
      <c r="Q8" s="245">
        <f t="shared" si="8"/>
        <v>0</v>
      </c>
      <c r="R8" s="245"/>
      <c r="S8" s="245"/>
      <c r="T8" s="245"/>
      <c r="U8" s="256"/>
      <c r="V8" s="201">
        <f>SUM(V6:V7)</f>
        <v>0</v>
      </c>
      <c r="Z8" s="65"/>
      <c r="AA8" s="228"/>
      <c r="AB8" s="66" t="s">
        <v>349</v>
      </c>
      <c r="AC8" s="15"/>
      <c r="AD8" s="67"/>
      <c r="AE8" s="67"/>
      <c r="AF8" s="67"/>
      <c r="AG8" s="258"/>
      <c r="AH8" s="250">
        <f t="shared" si="6"/>
        <v>0</v>
      </c>
      <c r="AI8" s="253"/>
      <c r="AJ8" s="253"/>
      <c r="AK8" s="253"/>
      <c r="AL8" s="253"/>
      <c r="AM8" s="254"/>
    </row>
    <row r="9" ht="14.25" customHeight="1">
      <c r="D9" s="24" t="s">
        <v>644</v>
      </c>
      <c r="N9" s="125"/>
      <c r="O9" s="172"/>
      <c r="P9" s="172"/>
      <c r="Q9" s="245"/>
      <c r="R9" s="245"/>
      <c r="S9" s="245"/>
      <c r="U9" s="246"/>
      <c r="Z9" s="65">
        <v>3.0</v>
      </c>
      <c r="AA9" s="66" t="s">
        <v>360</v>
      </c>
      <c r="AB9" s="66"/>
      <c r="AC9" s="22"/>
      <c r="AD9" s="67"/>
      <c r="AE9" s="67"/>
      <c r="AF9" s="67"/>
      <c r="AG9" s="258"/>
      <c r="AH9" s="250">
        <f t="shared" si="6"/>
        <v>0</v>
      </c>
      <c r="AI9" s="253"/>
      <c r="AJ9" s="253"/>
      <c r="AK9" s="253"/>
      <c r="AL9" s="253"/>
      <c r="AM9" s="254"/>
    </row>
    <row r="10" ht="14.25" customHeight="1">
      <c r="N10" s="124"/>
      <c r="O10" s="124"/>
      <c r="P10" s="124"/>
      <c r="Q10" s="245"/>
      <c r="R10" s="245"/>
      <c r="S10" s="245"/>
      <c r="U10" s="246"/>
      <c r="Z10" s="259">
        <v>4.0</v>
      </c>
      <c r="AA10" s="197" t="s">
        <v>375</v>
      </c>
      <c r="AB10" s="66"/>
      <c r="AC10" s="189">
        <v>1.0</v>
      </c>
      <c r="AD10" s="67"/>
      <c r="AE10" s="67">
        <v>1.0</v>
      </c>
      <c r="AF10" s="67"/>
      <c r="AG10" s="258"/>
      <c r="AH10" s="250">
        <f t="shared" si="6"/>
        <v>1</v>
      </c>
      <c r="AI10" s="253"/>
      <c r="AJ10" s="253"/>
      <c r="AK10" s="253"/>
      <c r="AL10" s="253"/>
      <c r="AM10" s="254"/>
      <c r="AN10" s="260" t="s">
        <v>728</v>
      </c>
    </row>
    <row r="11" ht="14.25" customHeight="1">
      <c r="N11" s="124"/>
      <c r="O11" s="124"/>
      <c r="P11" s="124"/>
      <c r="Q11" s="245"/>
      <c r="R11" s="245"/>
      <c r="S11" s="245"/>
      <c r="U11" s="246"/>
      <c r="Z11" s="65">
        <v>5.0</v>
      </c>
      <c r="AA11" s="84" t="s">
        <v>405</v>
      </c>
      <c r="AB11" s="66" t="s">
        <v>56</v>
      </c>
      <c r="AC11" s="60"/>
      <c r="AD11" s="67"/>
      <c r="AE11" s="67"/>
      <c r="AF11" s="67"/>
      <c r="AG11" s="258"/>
      <c r="AH11" s="250">
        <f t="shared" si="6"/>
        <v>0</v>
      </c>
      <c r="AI11" s="253"/>
      <c r="AJ11" s="253"/>
      <c r="AK11" s="253"/>
      <c r="AL11" s="253"/>
      <c r="AM11" s="254"/>
    </row>
    <row r="12" ht="14.25" customHeight="1">
      <c r="N12" s="124"/>
      <c r="O12" s="124"/>
      <c r="P12" s="124"/>
      <c r="Q12" s="245"/>
      <c r="R12" s="245"/>
      <c r="S12" s="245"/>
      <c r="U12" s="246"/>
      <c r="Z12" s="65"/>
      <c r="AA12" s="15"/>
      <c r="AB12" s="66" t="s">
        <v>461</v>
      </c>
      <c r="AC12" s="60">
        <v>2.0</v>
      </c>
      <c r="AD12" s="67"/>
      <c r="AE12" s="67"/>
      <c r="AF12" s="67"/>
      <c r="AG12" s="258">
        <v>2.0</v>
      </c>
      <c r="AH12" s="250">
        <f t="shared" si="6"/>
        <v>2</v>
      </c>
      <c r="AI12" s="253"/>
      <c r="AJ12" s="253"/>
      <c r="AK12" s="253"/>
      <c r="AL12" s="253"/>
      <c r="AM12" s="254"/>
    </row>
    <row r="13" ht="14.25" customHeight="1">
      <c r="N13" s="124"/>
      <c r="O13" s="124"/>
      <c r="P13" s="124"/>
      <c r="Q13" s="245"/>
      <c r="R13" s="245"/>
      <c r="S13" s="245"/>
      <c r="U13" s="246"/>
      <c r="Z13" s="65"/>
      <c r="AA13" s="22"/>
      <c r="AB13" s="66" t="s">
        <v>434</v>
      </c>
      <c r="AC13" s="60">
        <v>3.0</v>
      </c>
      <c r="AD13" s="67"/>
      <c r="AE13" s="67"/>
      <c r="AF13" s="67"/>
      <c r="AG13" s="258">
        <v>3.0</v>
      </c>
      <c r="AH13" s="250">
        <f t="shared" si="6"/>
        <v>3</v>
      </c>
      <c r="AI13" s="253"/>
      <c r="AJ13" s="253"/>
      <c r="AK13" s="253"/>
      <c r="AL13" s="253"/>
      <c r="AM13" s="254"/>
    </row>
    <row r="14" ht="14.25" customHeight="1">
      <c r="N14" s="124"/>
      <c r="O14" s="124"/>
      <c r="P14" s="124"/>
      <c r="Q14" s="245"/>
      <c r="R14" s="245"/>
      <c r="S14" s="245"/>
      <c r="U14" s="246"/>
      <c r="Z14" s="65">
        <v>6.0</v>
      </c>
      <c r="AA14" s="84" t="s">
        <v>65</v>
      </c>
      <c r="AB14" s="66" t="s">
        <v>435</v>
      </c>
      <c r="AC14" s="60"/>
      <c r="AD14" s="67"/>
      <c r="AE14" s="67"/>
      <c r="AF14" s="67"/>
      <c r="AG14" s="258"/>
      <c r="AH14" s="250">
        <f t="shared" si="6"/>
        <v>0</v>
      </c>
      <c r="AI14" s="253"/>
      <c r="AJ14" s="253"/>
      <c r="AK14" s="253"/>
      <c r="AL14" s="253"/>
      <c r="AM14" s="254"/>
    </row>
    <row r="15" ht="14.25" customHeight="1">
      <c r="N15" s="124"/>
      <c r="O15" s="124"/>
      <c r="P15" s="124"/>
      <c r="Q15" s="245"/>
      <c r="R15" s="245"/>
      <c r="S15" s="245"/>
      <c r="U15" s="246"/>
      <c r="Y15" s="124"/>
      <c r="Z15" s="67"/>
      <c r="AA15" s="15"/>
      <c r="AB15" s="66" t="s">
        <v>558</v>
      </c>
      <c r="AC15" s="60"/>
      <c r="AD15" s="67"/>
      <c r="AE15" s="67"/>
      <c r="AF15" s="67"/>
      <c r="AG15" s="258"/>
      <c r="AH15" s="250">
        <f t="shared" si="6"/>
        <v>0</v>
      </c>
      <c r="AI15" s="253"/>
      <c r="AJ15" s="253"/>
      <c r="AK15" s="253"/>
      <c r="AL15" s="253"/>
      <c r="AM15" s="254"/>
      <c r="AN15" s="261" t="s">
        <v>729</v>
      </c>
    </row>
    <row r="16" ht="14.25" customHeight="1">
      <c r="N16" s="124"/>
      <c r="O16" s="124"/>
      <c r="P16" s="124"/>
      <c r="Q16" s="245"/>
      <c r="R16" s="245"/>
      <c r="S16" s="245"/>
      <c r="U16" s="246"/>
      <c r="Y16" s="124"/>
      <c r="Z16" s="67"/>
      <c r="AA16" s="22"/>
      <c r="AB16" s="66" t="s">
        <v>445</v>
      </c>
      <c r="AC16" s="60"/>
      <c r="AD16" s="67"/>
      <c r="AE16" s="67"/>
      <c r="AF16" s="67"/>
      <c r="AG16" s="258"/>
      <c r="AH16" s="250">
        <f t="shared" si="6"/>
        <v>0</v>
      </c>
      <c r="AI16" s="253"/>
      <c r="AJ16" s="253"/>
      <c r="AK16" s="253"/>
      <c r="AL16" s="253"/>
      <c r="AM16" s="254"/>
      <c r="AN16" s="262"/>
    </row>
    <row r="17" ht="14.25" customHeight="1">
      <c r="N17" s="124"/>
      <c r="O17" s="124"/>
      <c r="P17" s="124"/>
      <c r="Q17" s="245"/>
      <c r="R17" s="245"/>
      <c r="S17" s="245"/>
      <c r="U17" s="246"/>
      <c r="Z17" s="65">
        <v>7.0</v>
      </c>
      <c r="AA17" s="102" t="s">
        <v>488</v>
      </c>
      <c r="AB17" s="66" t="s">
        <v>368</v>
      </c>
      <c r="AC17" s="60"/>
      <c r="AD17" s="67"/>
      <c r="AE17" s="67"/>
      <c r="AF17" s="67"/>
      <c r="AG17" s="258"/>
      <c r="AH17" s="250">
        <f t="shared" si="6"/>
        <v>0</v>
      </c>
      <c r="AI17" s="253"/>
      <c r="AJ17" s="253"/>
      <c r="AK17" s="253"/>
      <c r="AL17" s="253"/>
      <c r="AM17" s="254"/>
    </row>
    <row r="18" ht="14.25" customHeight="1">
      <c r="N18" s="124"/>
      <c r="O18" s="124"/>
      <c r="P18" s="124"/>
      <c r="Q18" s="245"/>
      <c r="R18" s="245"/>
      <c r="S18" s="245"/>
      <c r="U18" s="246"/>
      <c r="Z18" s="65">
        <v>8.0</v>
      </c>
      <c r="AA18" s="112" t="s">
        <v>451</v>
      </c>
      <c r="AB18" s="66" t="s">
        <v>452</v>
      </c>
      <c r="AC18" s="60">
        <v>1.0</v>
      </c>
      <c r="AD18" s="67"/>
      <c r="AE18" s="67"/>
      <c r="AF18" s="67">
        <v>1.0</v>
      </c>
      <c r="AG18" s="258"/>
      <c r="AH18" s="250">
        <f t="shared" si="6"/>
        <v>1</v>
      </c>
      <c r="AI18" s="253"/>
      <c r="AJ18" s="253"/>
      <c r="AK18" s="253"/>
      <c r="AL18" s="253"/>
      <c r="AM18" s="254"/>
    </row>
    <row r="19" ht="14.25" customHeight="1">
      <c r="N19" s="124"/>
      <c r="O19" s="124"/>
      <c r="P19" s="124"/>
      <c r="Q19" s="245"/>
      <c r="R19" s="245"/>
      <c r="S19" s="245"/>
      <c r="U19" s="246"/>
      <c r="Z19" s="67"/>
      <c r="AA19" s="112"/>
      <c r="AB19" s="66" t="s">
        <v>453</v>
      </c>
      <c r="AC19" s="60">
        <v>1.0</v>
      </c>
      <c r="AD19" s="67"/>
      <c r="AE19" s="67"/>
      <c r="AF19" s="67"/>
      <c r="AG19" s="258">
        <v>1.0</v>
      </c>
      <c r="AH19" s="250">
        <f t="shared" si="6"/>
        <v>1</v>
      </c>
      <c r="AI19" s="253"/>
      <c r="AJ19" s="253"/>
      <c r="AK19" s="253"/>
      <c r="AL19" s="253"/>
      <c r="AM19" s="254"/>
    </row>
    <row r="20" ht="14.25" customHeight="1">
      <c r="N20" s="124"/>
      <c r="O20" s="124"/>
      <c r="P20" s="124"/>
      <c r="Q20" s="245"/>
      <c r="R20" s="245"/>
      <c r="S20" s="245"/>
      <c r="U20" s="246"/>
      <c r="Z20" s="56">
        <v>8.0</v>
      </c>
      <c r="AA20" s="84" t="s">
        <v>455</v>
      </c>
      <c r="AB20" s="121" t="s">
        <v>730</v>
      </c>
      <c r="AC20" s="58">
        <v>2.0</v>
      </c>
      <c r="AD20" s="120"/>
      <c r="AE20" s="58">
        <v>1.0</v>
      </c>
      <c r="AF20" s="120"/>
      <c r="AG20" s="250"/>
      <c r="AH20" s="250">
        <f t="shared" si="6"/>
        <v>1</v>
      </c>
      <c r="AI20" s="253"/>
      <c r="AJ20" s="253"/>
      <c r="AK20" s="253"/>
      <c r="AL20" s="253"/>
      <c r="AM20" s="254"/>
    </row>
    <row r="21" ht="14.25" customHeight="1">
      <c r="N21" s="124"/>
      <c r="O21" s="124"/>
      <c r="P21" s="124"/>
      <c r="Q21" s="245"/>
      <c r="R21" s="245"/>
      <c r="S21" s="245"/>
      <c r="U21" s="246"/>
      <c r="Z21" s="65">
        <v>9.0</v>
      </c>
      <c r="AA21" s="84" t="s">
        <v>465</v>
      </c>
      <c r="AB21" s="121" t="s">
        <v>468</v>
      </c>
      <c r="AC21" s="122"/>
      <c r="AD21" s="122"/>
      <c r="AE21" s="67"/>
      <c r="AF21" s="122"/>
      <c r="AG21" s="258"/>
      <c r="AH21" s="250">
        <f t="shared" si="6"/>
        <v>0</v>
      </c>
      <c r="AI21" s="253"/>
      <c r="AJ21" s="253"/>
      <c r="AK21" s="253"/>
      <c r="AL21" s="253"/>
      <c r="AM21" s="254"/>
    </row>
    <row r="22" ht="14.25" customHeight="1">
      <c r="N22" s="124"/>
      <c r="O22" s="124"/>
      <c r="P22" s="124"/>
      <c r="Q22" s="245"/>
      <c r="R22" s="245"/>
      <c r="S22" s="245"/>
      <c r="U22" s="246"/>
      <c r="Z22" s="65"/>
      <c r="AA22" s="15"/>
      <c r="AB22" s="121" t="s">
        <v>472</v>
      </c>
      <c r="AC22" s="122"/>
      <c r="AD22" s="122"/>
      <c r="AE22" s="67"/>
      <c r="AF22" s="122"/>
      <c r="AG22" s="258"/>
      <c r="AH22" s="250">
        <f t="shared" si="6"/>
        <v>0</v>
      </c>
      <c r="AI22" s="253"/>
      <c r="AJ22" s="253"/>
      <c r="AK22" s="253"/>
      <c r="AL22" s="253"/>
      <c r="AM22" s="254"/>
    </row>
    <row r="23" ht="14.25" customHeight="1">
      <c r="N23" s="124"/>
      <c r="O23" s="124"/>
      <c r="P23" s="124"/>
      <c r="Q23" s="245"/>
      <c r="R23" s="245"/>
      <c r="S23" s="245"/>
      <c r="U23" s="246"/>
      <c r="Z23" s="65"/>
      <c r="AA23" s="22"/>
      <c r="AB23" s="121" t="s">
        <v>477</v>
      </c>
      <c r="AC23" s="122"/>
      <c r="AD23" s="122"/>
      <c r="AE23" s="67"/>
      <c r="AF23" s="122"/>
      <c r="AG23" s="258"/>
      <c r="AH23" s="250">
        <f t="shared" si="6"/>
        <v>0</v>
      </c>
      <c r="AI23" s="253"/>
      <c r="AJ23" s="253"/>
      <c r="AK23" s="253"/>
      <c r="AL23" s="253"/>
      <c r="AM23" s="254"/>
    </row>
    <row r="24" ht="14.25" customHeight="1">
      <c r="N24" s="124"/>
      <c r="O24" s="124"/>
      <c r="P24" s="124"/>
      <c r="Q24" s="245"/>
      <c r="R24" s="245"/>
      <c r="S24" s="245"/>
      <c r="U24" s="246"/>
      <c r="Z24" s="65">
        <v>10.0</v>
      </c>
      <c r="AA24" s="84" t="s">
        <v>479</v>
      </c>
      <c r="AB24" s="121" t="s">
        <v>489</v>
      </c>
      <c r="AC24" s="67">
        <v>6.0</v>
      </c>
      <c r="AD24" s="122"/>
      <c r="AE24" s="67">
        <f>2+1</f>
        <v>3</v>
      </c>
      <c r="AF24" s="122"/>
      <c r="AG24" s="258">
        <v>3.0</v>
      </c>
      <c r="AH24" s="250">
        <f t="shared" si="6"/>
        <v>6</v>
      </c>
      <c r="AI24" s="253"/>
      <c r="AJ24" s="253"/>
      <c r="AK24" s="253"/>
      <c r="AL24" s="253"/>
      <c r="AM24" s="254"/>
    </row>
    <row r="25" ht="14.25" customHeight="1">
      <c r="N25" s="124"/>
      <c r="O25" s="124"/>
      <c r="P25" s="124"/>
      <c r="Q25" s="245"/>
      <c r="R25" s="245"/>
      <c r="S25" s="245"/>
      <c r="U25" s="246"/>
      <c r="Z25" s="65"/>
      <c r="AA25" s="15"/>
      <c r="AB25" s="121" t="s">
        <v>732</v>
      </c>
      <c r="AC25" s="122"/>
      <c r="AD25" s="122"/>
      <c r="AE25" s="67">
        <v>1.0</v>
      </c>
      <c r="AF25" s="122"/>
      <c r="AG25" s="258"/>
      <c r="AH25" s="250">
        <f t="shared" si="6"/>
        <v>1</v>
      </c>
      <c r="AI25" s="253"/>
      <c r="AJ25" s="253"/>
      <c r="AK25" s="253"/>
      <c r="AL25" s="253"/>
      <c r="AM25" s="254"/>
    </row>
    <row r="26" ht="14.25" customHeight="1">
      <c r="N26" s="124"/>
      <c r="O26" s="124"/>
      <c r="P26" s="124"/>
      <c r="Q26" s="245"/>
      <c r="R26" s="245"/>
      <c r="S26" s="245"/>
      <c r="U26" s="246"/>
      <c r="Z26" s="65">
        <v>11.0</v>
      </c>
      <c r="AA26" s="187" t="s">
        <v>491</v>
      </c>
      <c r="AB26" s="121" t="s">
        <v>492</v>
      </c>
      <c r="AC26" s="121"/>
      <c r="AD26" s="121"/>
      <c r="AE26" s="121"/>
      <c r="AF26" s="121"/>
      <c r="AG26" s="252"/>
      <c r="AH26" s="250">
        <f t="shared" si="6"/>
        <v>0</v>
      </c>
      <c r="AI26" s="253"/>
      <c r="AJ26" s="253"/>
      <c r="AK26" s="253"/>
      <c r="AL26" s="253"/>
      <c r="AM26" s="254"/>
    </row>
    <row r="27" ht="14.25" customHeight="1">
      <c r="N27" s="124"/>
      <c r="O27" s="124"/>
      <c r="P27" s="124"/>
      <c r="Q27" s="245"/>
      <c r="R27" s="245"/>
      <c r="S27" s="245"/>
      <c r="U27" s="246"/>
      <c r="Z27" s="65"/>
      <c r="AA27" s="15"/>
      <c r="AB27" s="121" t="s">
        <v>497</v>
      </c>
      <c r="AC27" s="121"/>
      <c r="AD27" s="121"/>
      <c r="AE27" s="121"/>
      <c r="AF27" s="121"/>
      <c r="AG27" s="252"/>
      <c r="AH27" s="250">
        <f t="shared" si="6"/>
        <v>0</v>
      </c>
      <c r="AI27" s="253"/>
      <c r="AJ27" s="253"/>
      <c r="AK27" s="253"/>
      <c r="AL27" s="253"/>
      <c r="AM27" s="254"/>
    </row>
    <row r="28" ht="14.25" customHeight="1">
      <c r="N28" s="124"/>
      <c r="O28" s="124"/>
      <c r="P28" s="124"/>
      <c r="Q28" s="245"/>
      <c r="R28" s="245"/>
      <c r="S28" s="245"/>
      <c r="U28" s="246"/>
      <c r="Z28" s="65"/>
      <c r="AA28" s="15"/>
      <c r="AB28" s="121" t="s">
        <v>501</v>
      </c>
      <c r="AC28" s="121"/>
      <c r="AD28" s="121"/>
      <c r="AE28" s="121"/>
      <c r="AF28" s="121"/>
      <c r="AG28" s="252"/>
      <c r="AH28" s="250">
        <f t="shared" si="6"/>
        <v>0</v>
      </c>
      <c r="AI28" s="253"/>
      <c r="AJ28" s="253"/>
      <c r="AK28" s="253"/>
      <c r="AL28" s="253"/>
      <c r="AM28" s="254"/>
    </row>
    <row r="29" ht="14.25" customHeight="1">
      <c r="N29" s="124"/>
      <c r="O29" s="124"/>
      <c r="P29" s="124"/>
      <c r="Q29" s="245"/>
      <c r="R29" s="245"/>
      <c r="S29" s="245"/>
      <c r="U29" s="246"/>
      <c r="Z29" s="65"/>
      <c r="AA29" s="15"/>
      <c r="AB29" s="121" t="s">
        <v>505</v>
      </c>
      <c r="AC29" s="121"/>
      <c r="AD29" s="121"/>
      <c r="AE29" s="121"/>
      <c r="AF29" s="121"/>
      <c r="AG29" s="252"/>
      <c r="AH29" s="250">
        <f t="shared" si="6"/>
        <v>0</v>
      </c>
      <c r="AI29" s="253"/>
      <c r="AJ29" s="253"/>
      <c r="AK29" s="253"/>
      <c r="AL29" s="253"/>
      <c r="AM29" s="254"/>
    </row>
    <row r="30" ht="14.25" customHeight="1">
      <c r="N30" s="124"/>
      <c r="O30" s="124"/>
      <c r="P30" s="124"/>
      <c r="Q30" s="245"/>
      <c r="R30" s="245"/>
      <c r="S30" s="245"/>
      <c r="U30" s="246"/>
      <c r="Z30" s="65"/>
      <c r="AA30" s="15"/>
      <c r="AB30" s="121" t="s">
        <v>510</v>
      </c>
      <c r="AC30" s="121"/>
      <c r="AD30" s="121"/>
      <c r="AE30" s="121"/>
      <c r="AF30" s="121"/>
      <c r="AG30" s="252"/>
      <c r="AH30" s="250">
        <f t="shared" si="6"/>
        <v>0</v>
      </c>
      <c r="AI30" s="253"/>
      <c r="AJ30" s="253"/>
      <c r="AK30" s="253"/>
      <c r="AL30" s="253"/>
      <c r="AM30" s="254"/>
    </row>
    <row r="31" ht="14.25" customHeight="1">
      <c r="N31" s="124"/>
      <c r="O31" s="124"/>
      <c r="P31" s="124"/>
      <c r="Q31" s="245"/>
      <c r="R31" s="245"/>
      <c r="S31" s="245"/>
      <c r="U31" s="246"/>
      <c r="Z31" s="65"/>
      <c r="AA31" s="15"/>
      <c r="AB31" s="121" t="s">
        <v>514</v>
      </c>
      <c r="AC31" s="121"/>
      <c r="AD31" s="121"/>
      <c r="AE31" s="121"/>
      <c r="AF31" s="121"/>
      <c r="AG31" s="252"/>
      <c r="AH31" s="250">
        <f t="shared" si="6"/>
        <v>0</v>
      </c>
      <c r="AI31" s="253"/>
      <c r="AJ31" s="253"/>
      <c r="AK31" s="253"/>
      <c r="AL31" s="253"/>
      <c r="AM31" s="254"/>
    </row>
    <row r="32" ht="14.25" customHeight="1">
      <c r="N32" s="124"/>
      <c r="O32" s="124"/>
      <c r="P32" s="124"/>
      <c r="Q32" s="245"/>
      <c r="R32" s="245"/>
      <c r="S32" s="245"/>
      <c r="U32" s="246"/>
      <c r="Z32" s="65"/>
      <c r="AA32" s="15"/>
      <c r="AB32" s="121" t="s">
        <v>516</v>
      </c>
      <c r="AC32" s="121"/>
      <c r="AD32" s="121"/>
      <c r="AE32" s="121"/>
      <c r="AF32" s="121"/>
      <c r="AG32" s="252"/>
      <c r="AH32" s="250">
        <f t="shared" si="6"/>
        <v>0</v>
      </c>
      <c r="AI32" s="253"/>
      <c r="AJ32" s="253"/>
      <c r="AK32" s="253"/>
      <c r="AL32" s="253"/>
      <c r="AM32" s="254"/>
    </row>
    <row r="33" ht="14.25" customHeight="1">
      <c r="N33" s="124"/>
      <c r="O33" s="124"/>
      <c r="P33" s="124"/>
      <c r="Q33" s="245"/>
      <c r="R33" s="245"/>
      <c r="S33" s="245"/>
      <c r="U33" s="246"/>
      <c r="Z33" s="65"/>
      <c r="AA33" s="22"/>
      <c r="AB33" s="121" t="s">
        <v>521</v>
      </c>
      <c r="AC33" s="121"/>
      <c r="AD33" s="121"/>
      <c r="AE33" s="121"/>
      <c r="AF33" s="121"/>
      <c r="AG33" s="252"/>
      <c r="AH33" s="250">
        <f t="shared" si="6"/>
        <v>0</v>
      </c>
      <c r="AI33" s="253"/>
      <c r="AJ33" s="253"/>
      <c r="AK33" s="253"/>
      <c r="AL33" s="253"/>
      <c r="AM33" s="254"/>
    </row>
    <row r="34" ht="14.25" customHeight="1">
      <c r="N34" s="124"/>
      <c r="O34" s="124"/>
      <c r="P34" s="124"/>
      <c r="Q34" s="245"/>
      <c r="R34" s="245"/>
      <c r="S34" s="245"/>
      <c r="U34" s="246"/>
      <c r="Z34" s="65"/>
      <c r="AA34" s="84" t="s">
        <v>524</v>
      </c>
      <c r="AB34" s="121" t="s">
        <v>525</v>
      </c>
      <c r="AC34" s="121"/>
      <c r="AD34" s="121"/>
      <c r="AE34" s="121"/>
      <c r="AF34" s="121"/>
      <c r="AG34" s="252"/>
      <c r="AH34" s="250">
        <f t="shared" si="6"/>
        <v>0</v>
      </c>
      <c r="AI34" s="253"/>
      <c r="AJ34" s="253"/>
      <c r="AK34" s="253"/>
      <c r="AL34" s="253"/>
      <c r="AM34" s="254"/>
    </row>
    <row r="35" ht="14.25" customHeight="1">
      <c r="N35" s="124"/>
      <c r="O35" s="124"/>
      <c r="P35" s="124"/>
      <c r="Q35" s="245"/>
      <c r="R35" s="245"/>
      <c r="S35" s="245"/>
      <c r="U35" s="246"/>
      <c r="Z35" s="65"/>
      <c r="AA35" s="15"/>
      <c r="AB35" s="121" t="s">
        <v>530</v>
      </c>
      <c r="AC35" s="121"/>
      <c r="AD35" s="121"/>
      <c r="AE35" s="121"/>
      <c r="AF35" s="121"/>
      <c r="AG35" s="252"/>
      <c r="AH35" s="250">
        <f t="shared" si="6"/>
        <v>0</v>
      </c>
      <c r="AI35" s="253"/>
      <c r="AJ35" s="253"/>
      <c r="AK35" s="253"/>
      <c r="AL35" s="253"/>
      <c r="AM35" s="254"/>
    </row>
    <row r="36" ht="14.25" customHeight="1">
      <c r="N36" s="124"/>
      <c r="O36" s="124"/>
      <c r="P36" s="124"/>
      <c r="Q36" s="245"/>
      <c r="R36" s="245"/>
      <c r="S36" s="245"/>
      <c r="U36" s="246"/>
      <c r="Z36" s="65"/>
      <c r="AA36" s="15"/>
      <c r="AB36" s="121" t="s">
        <v>534</v>
      </c>
      <c r="AC36" s="121"/>
      <c r="AD36" s="121"/>
      <c r="AE36" s="121"/>
      <c r="AF36" s="121"/>
      <c r="AG36" s="252"/>
      <c r="AH36" s="250">
        <f t="shared" si="6"/>
        <v>0</v>
      </c>
      <c r="AI36" s="253"/>
      <c r="AJ36" s="253"/>
      <c r="AK36" s="253"/>
      <c r="AL36" s="253"/>
      <c r="AM36" s="254"/>
    </row>
    <row r="37" ht="14.25" customHeight="1">
      <c r="N37" s="124"/>
      <c r="O37" s="124"/>
      <c r="P37" s="124"/>
      <c r="Q37" s="245"/>
      <c r="R37" s="245"/>
      <c r="S37" s="245"/>
      <c r="U37" s="246"/>
      <c r="Z37" s="65"/>
      <c r="AA37" s="15"/>
      <c r="AB37" s="121" t="s">
        <v>535</v>
      </c>
      <c r="AC37" s="121"/>
      <c r="AD37" s="121"/>
      <c r="AE37" s="121"/>
      <c r="AF37" s="121"/>
      <c r="AG37" s="252"/>
      <c r="AH37" s="250">
        <f t="shared" si="6"/>
        <v>0</v>
      </c>
      <c r="AI37" s="253"/>
      <c r="AJ37" s="253"/>
      <c r="AK37" s="253"/>
      <c r="AL37" s="253"/>
      <c r="AM37" s="254"/>
    </row>
    <row r="38" ht="14.25" customHeight="1">
      <c r="N38" s="124"/>
      <c r="O38" s="124"/>
      <c r="P38" s="124"/>
      <c r="Q38" s="245"/>
      <c r="R38" s="245"/>
      <c r="S38" s="245"/>
      <c r="U38" s="246"/>
      <c r="Z38" s="65"/>
      <c r="AA38" s="15"/>
      <c r="AB38" s="121" t="s">
        <v>536</v>
      </c>
      <c r="AC38" s="121"/>
      <c r="AD38" s="121"/>
      <c r="AE38" s="121"/>
      <c r="AF38" s="121"/>
      <c r="AG38" s="252"/>
      <c r="AH38" s="250">
        <f t="shared" si="6"/>
        <v>0</v>
      </c>
      <c r="AI38" s="253"/>
      <c r="AJ38" s="253"/>
      <c r="AK38" s="253"/>
      <c r="AL38" s="253"/>
      <c r="AM38" s="254"/>
    </row>
    <row r="39" ht="14.25" customHeight="1">
      <c r="N39" s="124"/>
      <c r="O39" s="124"/>
      <c r="P39" s="124"/>
      <c r="Q39" s="245"/>
      <c r="R39" s="245"/>
      <c r="S39" s="245"/>
      <c r="U39" s="246"/>
      <c r="Z39" s="65"/>
      <c r="AA39" s="15"/>
      <c r="AB39" s="121" t="s">
        <v>539</v>
      </c>
      <c r="AC39" s="121"/>
      <c r="AD39" s="121"/>
      <c r="AE39" s="121"/>
      <c r="AF39" s="121"/>
      <c r="AG39" s="252"/>
      <c r="AH39" s="250">
        <f t="shared" si="6"/>
        <v>0</v>
      </c>
      <c r="AI39" s="253"/>
      <c r="AJ39" s="253"/>
      <c r="AK39" s="253"/>
      <c r="AL39" s="253"/>
      <c r="AM39" s="254"/>
    </row>
    <row r="40" ht="14.25" customHeight="1">
      <c r="N40" s="124"/>
      <c r="O40" s="124"/>
      <c r="P40" s="124"/>
      <c r="Q40" s="245"/>
      <c r="R40" s="245"/>
      <c r="S40" s="245"/>
      <c r="U40" s="246"/>
      <c r="Z40" s="65"/>
      <c r="AA40" s="15"/>
      <c r="AB40" s="121" t="s">
        <v>540</v>
      </c>
      <c r="AC40" s="121"/>
      <c r="AD40" s="121"/>
      <c r="AE40" s="121"/>
      <c r="AF40" s="121"/>
      <c r="AG40" s="252"/>
      <c r="AH40" s="250">
        <f t="shared" si="6"/>
        <v>0</v>
      </c>
      <c r="AI40" s="253"/>
      <c r="AJ40" s="253"/>
      <c r="AK40" s="253"/>
      <c r="AL40" s="253"/>
      <c r="AM40" s="254"/>
    </row>
    <row r="41" ht="14.25" customHeight="1">
      <c r="N41" s="124"/>
      <c r="O41" s="124"/>
      <c r="P41" s="124"/>
      <c r="Q41" s="245"/>
      <c r="R41" s="245"/>
      <c r="S41" s="245"/>
      <c r="U41" s="246"/>
      <c r="Z41" s="65"/>
      <c r="AA41" s="15"/>
      <c r="AB41" s="121" t="s">
        <v>543</v>
      </c>
      <c r="AC41" s="121"/>
      <c r="AD41" s="121"/>
      <c r="AE41" s="121"/>
      <c r="AF41" s="121"/>
      <c r="AG41" s="252"/>
      <c r="AH41" s="250">
        <f t="shared" si="6"/>
        <v>0</v>
      </c>
      <c r="AI41" s="253"/>
      <c r="AJ41" s="253"/>
      <c r="AK41" s="253"/>
      <c r="AL41" s="253"/>
      <c r="AM41" s="254"/>
    </row>
    <row r="42" ht="14.25" customHeight="1">
      <c r="N42" s="124"/>
      <c r="O42" s="124"/>
      <c r="P42" s="124"/>
      <c r="Q42" s="245"/>
      <c r="R42" s="245"/>
      <c r="S42" s="245"/>
      <c r="U42" s="246"/>
      <c r="Z42" s="65"/>
      <c r="AA42" s="15"/>
      <c r="AB42" s="121" t="s">
        <v>611</v>
      </c>
      <c r="AC42" s="121"/>
      <c r="AD42" s="121"/>
      <c r="AE42" s="121"/>
      <c r="AF42" s="121"/>
      <c r="AG42" s="252"/>
      <c r="AH42" s="250">
        <f t="shared" si="6"/>
        <v>0</v>
      </c>
      <c r="AI42" s="253"/>
      <c r="AJ42" s="253"/>
      <c r="AK42" s="253"/>
      <c r="AL42" s="253"/>
      <c r="AM42" s="254"/>
    </row>
    <row r="43" ht="14.25" customHeight="1">
      <c r="N43" s="124"/>
      <c r="O43" s="124"/>
      <c r="P43" s="124"/>
      <c r="Q43" s="245"/>
      <c r="R43" s="245"/>
      <c r="S43" s="245"/>
      <c r="U43" s="246"/>
      <c r="Z43" s="65"/>
      <c r="AA43" s="15"/>
      <c r="AB43" s="121" t="s">
        <v>559</v>
      </c>
      <c r="AC43" s="121"/>
      <c r="AD43" s="121"/>
      <c r="AE43" s="121"/>
      <c r="AF43" s="121"/>
      <c r="AG43" s="252"/>
      <c r="AH43" s="250">
        <f t="shared" si="6"/>
        <v>0</v>
      </c>
      <c r="AI43" s="253"/>
      <c r="AJ43" s="253"/>
      <c r="AK43" s="253"/>
      <c r="AL43" s="253"/>
      <c r="AM43" s="254"/>
    </row>
    <row r="44" ht="14.25" customHeight="1">
      <c r="N44" s="124"/>
      <c r="O44" s="124"/>
      <c r="P44" s="124"/>
      <c r="Q44" s="245"/>
      <c r="R44" s="245"/>
      <c r="S44" s="245"/>
      <c r="U44" s="246"/>
      <c r="Z44" s="65"/>
      <c r="AA44" s="15"/>
      <c r="AB44" s="121" t="s">
        <v>561</v>
      </c>
      <c r="AC44" s="121"/>
      <c r="AD44" s="121"/>
      <c r="AE44" s="121"/>
      <c r="AF44" s="121"/>
      <c r="AG44" s="252"/>
      <c r="AH44" s="250">
        <f t="shared" si="6"/>
        <v>0</v>
      </c>
      <c r="AI44" s="253"/>
      <c r="AJ44" s="253"/>
      <c r="AK44" s="253"/>
      <c r="AL44" s="253"/>
      <c r="AM44" s="254"/>
    </row>
    <row r="45" ht="14.25" customHeight="1">
      <c r="N45" s="124"/>
      <c r="O45" s="124"/>
      <c r="P45" s="124"/>
      <c r="Q45" s="245"/>
      <c r="R45" s="245"/>
      <c r="S45" s="245"/>
      <c r="U45" s="246"/>
      <c r="Z45" s="65"/>
      <c r="AA45" s="15"/>
      <c r="AB45" s="121" t="s">
        <v>562</v>
      </c>
      <c r="AC45" s="121"/>
      <c r="AD45" s="121"/>
      <c r="AE45" s="121"/>
      <c r="AF45" s="121"/>
      <c r="AG45" s="252"/>
      <c r="AH45" s="250">
        <f t="shared" si="6"/>
        <v>0</v>
      </c>
      <c r="AI45" s="253"/>
      <c r="AJ45" s="253"/>
      <c r="AK45" s="253"/>
      <c r="AL45" s="253"/>
      <c r="AM45" s="254"/>
    </row>
    <row r="46" ht="14.25" customHeight="1">
      <c r="N46" s="124"/>
      <c r="O46" s="124"/>
      <c r="P46" s="124"/>
      <c r="Q46" s="245"/>
      <c r="R46" s="245"/>
      <c r="S46" s="245"/>
      <c r="U46" s="246"/>
      <c r="Z46" s="65"/>
      <c r="AA46" s="15"/>
      <c r="AB46" s="121" t="s">
        <v>566</v>
      </c>
      <c r="AC46" s="121"/>
      <c r="AD46" s="121"/>
      <c r="AE46" s="121"/>
      <c r="AF46" s="121"/>
      <c r="AG46" s="252"/>
      <c r="AH46" s="250">
        <f t="shared" si="6"/>
        <v>0</v>
      </c>
      <c r="AI46" s="253"/>
      <c r="AJ46" s="253"/>
      <c r="AK46" s="253"/>
      <c r="AL46" s="253"/>
      <c r="AM46" s="254"/>
    </row>
    <row r="47" ht="14.25" customHeight="1">
      <c r="N47" s="124"/>
      <c r="O47" s="124"/>
      <c r="P47" s="124"/>
      <c r="Q47" s="245"/>
      <c r="R47" s="245"/>
      <c r="S47" s="245"/>
      <c r="U47" s="246"/>
      <c r="Z47" s="65"/>
      <c r="AA47" s="15"/>
      <c r="AB47" s="121" t="s">
        <v>733</v>
      </c>
      <c r="AC47" s="121"/>
      <c r="AD47" s="121"/>
      <c r="AE47" s="121"/>
      <c r="AF47" s="121"/>
      <c r="AG47" s="252"/>
      <c r="AH47" s="250">
        <f t="shared" si="6"/>
        <v>0</v>
      </c>
      <c r="AI47" s="253"/>
      <c r="AJ47" s="253"/>
      <c r="AK47" s="253"/>
      <c r="AL47" s="253"/>
      <c r="AM47" s="254"/>
    </row>
    <row r="48" ht="14.25" customHeight="1">
      <c r="N48" s="124"/>
      <c r="O48" s="124"/>
      <c r="P48" s="124"/>
      <c r="Q48" s="245"/>
      <c r="R48" s="245"/>
      <c r="S48" s="245"/>
      <c r="U48" s="246"/>
      <c r="Z48" s="65"/>
      <c r="AA48" s="15"/>
      <c r="AB48" s="121" t="s">
        <v>573</v>
      </c>
      <c r="AC48" s="121"/>
      <c r="AD48" s="121"/>
      <c r="AE48" s="121"/>
      <c r="AF48" s="121"/>
      <c r="AG48" s="252"/>
      <c r="AH48" s="250">
        <f t="shared" si="6"/>
        <v>0</v>
      </c>
      <c r="AI48" s="253"/>
      <c r="AJ48" s="253"/>
      <c r="AK48" s="253"/>
      <c r="AL48" s="253"/>
      <c r="AM48" s="254"/>
    </row>
    <row r="49" ht="14.25" customHeight="1">
      <c r="N49" s="124"/>
      <c r="O49" s="124"/>
      <c r="P49" s="124"/>
      <c r="Q49" s="245"/>
      <c r="R49" s="245"/>
      <c r="S49" s="245"/>
      <c r="U49" s="246"/>
      <c r="Z49" s="65"/>
      <c r="AA49" s="15"/>
      <c r="AB49" s="121" t="s">
        <v>584</v>
      </c>
      <c r="AC49" s="121"/>
      <c r="AD49" s="121"/>
      <c r="AE49" s="121"/>
      <c r="AF49" s="121"/>
      <c r="AG49" s="252"/>
      <c r="AH49" s="250">
        <f t="shared" si="6"/>
        <v>0</v>
      </c>
      <c r="AI49" s="253"/>
      <c r="AJ49" s="253"/>
      <c r="AK49" s="253"/>
      <c r="AL49" s="253"/>
      <c r="AM49" s="254"/>
    </row>
    <row r="50" ht="14.25" customHeight="1">
      <c r="N50" s="124"/>
      <c r="O50" s="124"/>
      <c r="P50" s="124"/>
      <c r="Q50" s="245"/>
      <c r="R50" s="245"/>
      <c r="S50" s="245"/>
      <c r="U50" s="246"/>
      <c r="Z50" s="65"/>
      <c r="AA50" s="22"/>
      <c r="AB50" s="121" t="s">
        <v>588</v>
      </c>
      <c r="AC50" s="121"/>
      <c r="AD50" s="121"/>
      <c r="AE50" s="121"/>
      <c r="AF50" s="121"/>
      <c r="AG50" s="252"/>
      <c r="AH50" s="250">
        <f t="shared" si="6"/>
        <v>0</v>
      </c>
      <c r="AI50" s="253"/>
      <c r="AJ50" s="253"/>
      <c r="AK50" s="253"/>
      <c r="AL50" s="253"/>
      <c r="AM50" s="254"/>
    </row>
    <row r="51" ht="14.25" customHeight="1">
      <c r="N51" s="124"/>
      <c r="O51" s="124"/>
      <c r="P51" s="124"/>
      <c r="Q51" s="245"/>
      <c r="R51" s="245"/>
      <c r="S51" s="245"/>
      <c r="U51" s="246"/>
      <c r="Z51" s="65"/>
      <c r="AA51" s="121" t="s">
        <v>600</v>
      </c>
      <c r="AB51" s="121"/>
      <c r="AC51" s="121"/>
      <c r="AD51" s="121"/>
      <c r="AE51" s="121"/>
      <c r="AF51" s="121"/>
      <c r="AG51" s="252"/>
      <c r="AH51" s="250">
        <f t="shared" si="6"/>
        <v>0</v>
      </c>
      <c r="AI51" s="253"/>
      <c r="AJ51" s="253"/>
      <c r="AK51" s="253"/>
      <c r="AL51" s="253"/>
      <c r="AM51" s="254"/>
    </row>
    <row r="52" ht="14.25" customHeight="1">
      <c r="N52" s="124"/>
      <c r="O52" s="124"/>
      <c r="P52" s="124"/>
      <c r="Q52" s="245"/>
      <c r="R52" s="245"/>
      <c r="S52" s="245"/>
      <c r="U52" s="246"/>
      <c r="Z52" s="121"/>
      <c r="AA52" s="121"/>
      <c r="AB52" s="121"/>
      <c r="AC52" s="121"/>
      <c r="AD52" s="121"/>
      <c r="AE52" s="121"/>
      <c r="AF52" s="121"/>
      <c r="AG52" s="252"/>
      <c r="AH52" s="250">
        <f t="shared" si="6"/>
        <v>0</v>
      </c>
      <c r="AI52" s="253"/>
      <c r="AJ52" s="253"/>
      <c r="AK52" s="253"/>
      <c r="AL52" s="253"/>
      <c r="AM52" s="254"/>
    </row>
    <row r="53" ht="14.25" customHeight="1">
      <c r="N53" s="124"/>
      <c r="O53" s="124"/>
      <c r="P53" s="124"/>
      <c r="Q53" s="245"/>
      <c r="R53" s="245"/>
      <c r="S53" s="245"/>
      <c r="U53" s="246"/>
      <c r="AC53" s="125">
        <f>SUM(AC6:AC52)</f>
        <v>18</v>
      </c>
      <c r="AD53" s="125"/>
      <c r="AE53" s="125">
        <f t="shared" ref="AE53:AI53" si="9">SUM(AE6:AE52)</f>
        <v>8</v>
      </c>
      <c r="AF53" s="125">
        <f t="shared" si="9"/>
        <v>1</v>
      </c>
      <c r="AG53" s="125">
        <f t="shared" si="9"/>
        <v>9</v>
      </c>
      <c r="AH53" s="125">
        <f t="shared" si="9"/>
        <v>18</v>
      </c>
      <c r="AI53" s="245">
        <f t="shared" si="9"/>
        <v>0</v>
      </c>
      <c r="AJ53" s="245"/>
      <c r="AK53" s="245"/>
      <c r="AL53" s="245"/>
      <c r="AM53" s="256"/>
    </row>
    <row r="54" ht="14.25" customHeight="1">
      <c r="N54" s="124"/>
      <c r="O54" s="124"/>
      <c r="P54" s="124"/>
      <c r="Q54" s="245"/>
      <c r="R54" s="245"/>
      <c r="S54" s="245"/>
      <c r="U54" s="246"/>
      <c r="AC54" s="24" t="s">
        <v>644</v>
      </c>
      <c r="AG54" s="201">
        <f>AC53-AH53</f>
        <v>0</v>
      </c>
      <c r="AH54" s="194">
        <f>AH53/AC53</f>
        <v>1</v>
      </c>
      <c r="AI54" s="245"/>
      <c r="AJ54" s="245"/>
      <c r="AK54" s="245"/>
      <c r="AM54" s="246"/>
    </row>
    <row r="55" ht="14.25" customHeight="1">
      <c r="N55" s="124"/>
      <c r="O55" s="124"/>
      <c r="P55" s="124"/>
      <c r="Q55" s="245"/>
      <c r="R55" s="245"/>
      <c r="S55" s="245"/>
      <c r="U55" s="246"/>
      <c r="AG55" s="124"/>
      <c r="AH55" s="124"/>
      <c r="AI55" s="245"/>
      <c r="AJ55" s="245"/>
      <c r="AK55" s="245"/>
      <c r="AM55" s="246"/>
    </row>
    <row r="56" ht="14.25" customHeight="1">
      <c r="N56" s="124"/>
      <c r="O56" s="124"/>
      <c r="P56" s="124"/>
      <c r="Q56" s="245"/>
      <c r="R56" s="245"/>
      <c r="S56" s="245"/>
      <c r="U56" s="246"/>
      <c r="AG56" s="124"/>
      <c r="AH56" s="124"/>
      <c r="AI56" s="245"/>
      <c r="AJ56" s="245"/>
      <c r="AK56" s="245"/>
      <c r="AM56" s="246"/>
    </row>
    <row r="57" ht="14.25" customHeight="1">
      <c r="N57" s="124"/>
      <c r="O57" s="124"/>
      <c r="P57" s="124"/>
      <c r="Q57" s="245"/>
      <c r="R57" s="245"/>
      <c r="S57" s="245"/>
      <c r="U57" s="246"/>
      <c r="AG57" s="124"/>
      <c r="AH57" s="124"/>
      <c r="AI57" s="245"/>
      <c r="AJ57" s="245"/>
      <c r="AK57" s="245"/>
      <c r="AM57" s="246"/>
    </row>
    <row r="58" ht="14.25" customHeight="1">
      <c r="N58" s="124"/>
      <c r="O58" s="124"/>
      <c r="P58" s="124"/>
      <c r="Q58" s="245"/>
      <c r="R58" s="245"/>
      <c r="S58" s="245"/>
      <c r="U58" s="246"/>
      <c r="AG58" s="124"/>
      <c r="AH58" s="124"/>
      <c r="AI58" s="245"/>
      <c r="AJ58" s="245"/>
      <c r="AK58" s="245"/>
      <c r="AM58" s="246"/>
    </row>
    <row r="59" ht="14.25" customHeight="1">
      <c r="N59" s="124"/>
      <c r="O59" s="124"/>
      <c r="P59" s="124"/>
      <c r="Q59" s="245"/>
      <c r="R59" s="245"/>
      <c r="S59" s="245"/>
      <c r="U59" s="246"/>
      <c r="AG59" s="124"/>
      <c r="AH59" s="124"/>
      <c r="AI59" s="245"/>
      <c r="AJ59" s="245"/>
      <c r="AK59" s="245"/>
      <c r="AM59" s="246"/>
    </row>
    <row r="60" ht="14.25" customHeight="1">
      <c r="N60" s="124"/>
      <c r="O60" s="124"/>
      <c r="P60" s="124"/>
      <c r="Q60" s="245"/>
      <c r="R60" s="245"/>
      <c r="S60" s="245"/>
      <c r="U60" s="246"/>
      <c r="AG60" s="124"/>
      <c r="AH60" s="124"/>
      <c r="AI60" s="245"/>
      <c r="AJ60" s="245"/>
      <c r="AK60" s="245"/>
      <c r="AM60" s="246"/>
    </row>
    <row r="61" ht="14.25" customHeight="1">
      <c r="N61" s="124"/>
      <c r="O61" s="124"/>
      <c r="P61" s="124"/>
      <c r="Q61" s="245"/>
      <c r="R61" s="245"/>
      <c r="S61" s="245"/>
      <c r="U61" s="246"/>
      <c r="AG61" s="124"/>
      <c r="AH61" s="124"/>
      <c r="AI61" s="245"/>
      <c r="AJ61" s="245"/>
      <c r="AK61" s="245"/>
      <c r="AM61" s="246"/>
    </row>
    <row r="62" ht="14.25" customHeight="1">
      <c r="N62" s="124"/>
      <c r="O62" s="124"/>
      <c r="P62" s="124"/>
      <c r="Q62" s="245"/>
      <c r="R62" s="245"/>
      <c r="S62" s="245"/>
      <c r="U62" s="246"/>
      <c r="AG62" s="124"/>
      <c r="AH62" s="124"/>
      <c r="AI62" s="245"/>
      <c r="AJ62" s="245"/>
      <c r="AK62" s="245"/>
      <c r="AM62" s="246"/>
    </row>
    <row r="63" ht="14.25" customHeight="1">
      <c r="N63" s="124"/>
      <c r="O63" s="124"/>
      <c r="P63" s="124"/>
      <c r="Q63" s="245"/>
      <c r="R63" s="245"/>
      <c r="S63" s="245"/>
      <c r="U63" s="246"/>
      <c r="AG63" s="124"/>
      <c r="AH63" s="124"/>
      <c r="AI63" s="245"/>
      <c r="AJ63" s="245"/>
      <c r="AK63" s="245"/>
      <c r="AM63" s="246"/>
    </row>
    <row r="64" ht="14.25" customHeight="1">
      <c r="N64" s="124"/>
      <c r="O64" s="124"/>
      <c r="P64" s="124"/>
      <c r="Q64" s="245"/>
      <c r="R64" s="245"/>
      <c r="S64" s="245"/>
      <c r="U64" s="246"/>
      <c r="AG64" s="124"/>
      <c r="AH64" s="124"/>
      <c r="AI64" s="245"/>
      <c r="AJ64" s="245"/>
      <c r="AK64" s="245"/>
      <c r="AM64" s="246"/>
    </row>
    <row r="65" ht="14.25" customHeight="1">
      <c r="N65" s="124"/>
      <c r="O65" s="124"/>
      <c r="P65" s="124"/>
      <c r="Q65" s="245"/>
      <c r="R65" s="245"/>
      <c r="S65" s="245"/>
      <c r="U65" s="246"/>
      <c r="AG65" s="124"/>
      <c r="AH65" s="124"/>
      <c r="AI65" s="245"/>
      <c r="AJ65" s="245"/>
      <c r="AK65" s="245"/>
      <c r="AM65" s="246"/>
    </row>
    <row r="66" ht="14.25" customHeight="1">
      <c r="N66" s="124"/>
      <c r="O66" s="124"/>
      <c r="P66" s="124"/>
      <c r="Q66" s="245"/>
      <c r="R66" s="245"/>
      <c r="S66" s="245"/>
      <c r="U66" s="246"/>
      <c r="AG66" s="124"/>
      <c r="AH66" s="124"/>
      <c r="AI66" s="245"/>
      <c r="AJ66" s="245"/>
      <c r="AK66" s="245"/>
      <c r="AM66" s="246"/>
    </row>
    <row r="67" ht="14.25" customHeight="1">
      <c r="N67" s="124"/>
      <c r="O67" s="124"/>
      <c r="P67" s="124"/>
      <c r="Q67" s="245"/>
      <c r="R67" s="245"/>
      <c r="S67" s="245"/>
      <c r="U67" s="246"/>
      <c r="AG67" s="124"/>
      <c r="AH67" s="124"/>
      <c r="AI67" s="245"/>
      <c r="AJ67" s="245"/>
      <c r="AK67" s="245"/>
      <c r="AM67" s="246"/>
    </row>
    <row r="68" ht="14.25" customHeight="1">
      <c r="N68" s="124"/>
      <c r="O68" s="124"/>
      <c r="P68" s="124"/>
      <c r="Q68" s="245"/>
      <c r="R68" s="245"/>
      <c r="S68" s="245"/>
      <c r="U68" s="246"/>
      <c r="AG68" s="124"/>
      <c r="AH68" s="124"/>
      <c r="AI68" s="245"/>
      <c r="AJ68" s="245"/>
      <c r="AK68" s="245"/>
      <c r="AM68" s="246"/>
    </row>
    <row r="69" ht="14.25" customHeight="1">
      <c r="N69" s="124"/>
      <c r="O69" s="124"/>
      <c r="P69" s="124"/>
      <c r="Q69" s="245"/>
      <c r="R69" s="245"/>
      <c r="S69" s="245"/>
      <c r="U69" s="246"/>
      <c r="AG69" s="124"/>
      <c r="AH69" s="124"/>
      <c r="AI69" s="245"/>
      <c r="AJ69" s="245"/>
      <c r="AK69" s="245"/>
      <c r="AM69" s="246"/>
    </row>
    <row r="70" ht="14.25" customHeight="1">
      <c r="N70" s="124"/>
      <c r="O70" s="124"/>
      <c r="P70" s="124"/>
      <c r="Q70" s="245"/>
      <c r="R70" s="245"/>
      <c r="S70" s="245"/>
      <c r="U70" s="246"/>
      <c r="AG70" s="124"/>
      <c r="AH70" s="124"/>
      <c r="AI70" s="245"/>
      <c r="AJ70" s="245"/>
      <c r="AK70" s="245"/>
      <c r="AM70" s="246"/>
    </row>
    <row r="71" ht="14.25" customHeight="1">
      <c r="N71" s="124"/>
      <c r="O71" s="124"/>
      <c r="P71" s="124"/>
      <c r="Q71" s="245"/>
      <c r="R71" s="245"/>
      <c r="S71" s="245"/>
      <c r="U71" s="246"/>
      <c r="AG71" s="124"/>
      <c r="AH71" s="124"/>
      <c r="AI71" s="245"/>
      <c r="AJ71" s="245"/>
      <c r="AK71" s="245"/>
      <c r="AM71" s="246"/>
    </row>
    <row r="72" ht="14.25" customHeight="1">
      <c r="N72" s="124"/>
      <c r="O72" s="124"/>
      <c r="P72" s="124"/>
      <c r="Q72" s="245"/>
      <c r="R72" s="245"/>
      <c r="S72" s="245"/>
      <c r="U72" s="246"/>
      <c r="AG72" s="124"/>
      <c r="AH72" s="124"/>
      <c r="AI72" s="245"/>
      <c r="AJ72" s="245"/>
      <c r="AK72" s="245"/>
      <c r="AM72" s="246"/>
    </row>
    <row r="73" ht="14.25" customHeight="1">
      <c r="N73" s="124"/>
      <c r="O73" s="124"/>
      <c r="P73" s="124"/>
      <c r="Q73" s="245"/>
      <c r="R73" s="245"/>
      <c r="S73" s="245"/>
      <c r="U73" s="246"/>
      <c r="AG73" s="124"/>
      <c r="AH73" s="124"/>
      <c r="AI73" s="245"/>
      <c r="AJ73" s="245"/>
      <c r="AK73" s="245"/>
      <c r="AM73" s="246"/>
    </row>
    <row r="74" ht="14.25" customHeight="1">
      <c r="N74" s="124"/>
      <c r="O74" s="124"/>
      <c r="P74" s="124"/>
      <c r="Q74" s="245"/>
      <c r="R74" s="245"/>
      <c r="S74" s="245"/>
      <c r="U74" s="246"/>
      <c r="AG74" s="124"/>
      <c r="AH74" s="124"/>
      <c r="AI74" s="245"/>
      <c r="AJ74" s="245"/>
      <c r="AK74" s="245"/>
      <c r="AM74" s="246"/>
    </row>
    <row r="75" ht="14.25" customHeight="1">
      <c r="N75" s="124"/>
      <c r="O75" s="124"/>
      <c r="P75" s="124"/>
      <c r="Q75" s="245"/>
      <c r="R75" s="245"/>
      <c r="S75" s="245"/>
      <c r="U75" s="246"/>
      <c r="AG75" s="124"/>
      <c r="AH75" s="124"/>
      <c r="AI75" s="245"/>
      <c r="AJ75" s="245"/>
      <c r="AK75" s="245"/>
      <c r="AM75" s="246"/>
    </row>
    <row r="76" ht="14.25" customHeight="1">
      <c r="N76" s="124"/>
      <c r="O76" s="124"/>
      <c r="P76" s="124"/>
      <c r="Q76" s="245"/>
      <c r="R76" s="245"/>
      <c r="S76" s="245"/>
      <c r="U76" s="246"/>
      <c r="AG76" s="124"/>
      <c r="AH76" s="124"/>
      <c r="AI76" s="245"/>
      <c r="AJ76" s="245"/>
      <c r="AK76" s="245"/>
      <c r="AM76" s="246"/>
    </row>
    <row r="77" ht="14.25" customHeight="1">
      <c r="N77" s="124"/>
      <c r="O77" s="124"/>
      <c r="P77" s="124"/>
      <c r="Q77" s="245"/>
      <c r="R77" s="245"/>
      <c r="S77" s="245"/>
      <c r="U77" s="246"/>
      <c r="AG77" s="124"/>
      <c r="AH77" s="124"/>
      <c r="AI77" s="245"/>
      <c r="AJ77" s="245"/>
      <c r="AK77" s="245"/>
      <c r="AM77" s="246"/>
    </row>
    <row r="78" ht="14.25" customHeight="1">
      <c r="N78" s="124"/>
      <c r="O78" s="124"/>
      <c r="P78" s="124"/>
      <c r="Q78" s="245"/>
      <c r="R78" s="245"/>
      <c r="S78" s="245"/>
      <c r="U78" s="246"/>
      <c r="AG78" s="124"/>
      <c r="AH78" s="124"/>
      <c r="AI78" s="245"/>
      <c r="AJ78" s="245"/>
      <c r="AK78" s="245"/>
      <c r="AM78" s="246"/>
    </row>
    <row r="79" ht="14.25" customHeight="1">
      <c r="N79" s="124"/>
      <c r="O79" s="124"/>
      <c r="P79" s="124"/>
      <c r="Q79" s="245"/>
      <c r="R79" s="245"/>
      <c r="S79" s="245"/>
      <c r="U79" s="246"/>
      <c r="AG79" s="124"/>
      <c r="AH79" s="124"/>
      <c r="AI79" s="245"/>
      <c r="AJ79" s="245"/>
      <c r="AK79" s="245"/>
      <c r="AM79" s="246"/>
    </row>
    <row r="80" ht="14.25" customHeight="1">
      <c r="N80" s="124"/>
      <c r="O80" s="124"/>
      <c r="P80" s="124"/>
      <c r="Q80" s="245"/>
      <c r="R80" s="245"/>
      <c r="S80" s="245"/>
      <c r="U80" s="246"/>
      <c r="AG80" s="124"/>
      <c r="AH80" s="124"/>
      <c r="AI80" s="245"/>
      <c r="AJ80" s="245"/>
      <c r="AK80" s="245"/>
      <c r="AM80" s="246"/>
    </row>
    <row r="81" ht="14.25" customHeight="1">
      <c r="N81" s="124"/>
      <c r="O81" s="124"/>
      <c r="P81" s="124"/>
      <c r="Q81" s="245"/>
      <c r="R81" s="245"/>
      <c r="S81" s="245"/>
      <c r="U81" s="246"/>
      <c r="AG81" s="124"/>
      <c r="AH81" s="124"/>
      <c r="AI81" s="245"/>
      <c r="AJ81" s="245"/>
      <c r="AK81" s="245"/>
      <c r="AM81" s="246"/>
    </row>
    <row r="82" ht="14.25" customHeight="1">
      <c r="N82" s="124"/>
      <c r="O82" s="124"/>
      <c r="P82" s="124"/>
      <c r="Q82" s="245"/>
      <c r="R82" s="245"/>
      <c r="S82" s="245"/>
      <c r="U82" s="246"/>
      <c r="AG82" s="124"/>
      <c r="AH82" s="124"/>
      <c r="AI82" s="245"/>
      <c r="AJ82" s="245"/>
      <c r="AK82" s="245"/>
      <c r="AM82" s="246"/>
    </row>
    <row r="83" ht="14.25" customHeight="1">
      <c r="N83" s="124"/>
      <c r="O83" s="124"/>
      <c r="P83" s="124"/>
      <c r="Q83" s="245"/>
      <c r="R83" s="245"/>
      <c r="S83" s="245"/>
      <c r="U83" s="246"/>
      <c r="AG83" s="124"/>
      <c r="AH83" s="124"/>
      <c r="AI83" s="245"/>
      <c r="AJ83" s="245"/>
      <c r="AK83" s="245"/>
      <c r="AM83" s="246"/>
    </row>
    <row r="84" ht="14.25" customHeight="1">
      <c r="N84" s="124"/>
      <c r="O84" s="124"/>
      <c r="P84" s="124"/>
      <c r="Q84" s="245"/>
      <c r="R84" s="245"/>
      <c r="S84" s="245"/>
      <c r="U84" s="246"/>
      <c r="AG84" s="124"/>
      <c r="AH84" s="124"/>
      <c r="AI84" s="245"/>
      <c r="AJ84" s="245"/>
      <c r="AK84" s="245"/>
      <c r="AM84" s="246"/>
    </row>
    <row r="85" ht="14.25" customHeight="1">
      <c r="N85" s="124"/>
      <c r="O85" s="124"/>
      <c r="P85" s="124"/>
      <c r="Q85" s="245"/>
      <c r="R85" s="245"/>
      <c r="S85" s="245"/>
      <c r="U85" s="246"/>
      <c r="AG85" s="124"/>
      <c r="AH85" s="124"/>
      <c r="AI85" s="245"/>
      <c r="AJ85" s="245"/>
      <c r="AK85" s="245"/>
      <c r="AM85" s="246"/>
    </row>
    <row r="86" ht="14.25" customHeight="1">
      <c r="N86" s="124"/>
      <c r="O86" s="124"/>
      <c r="P86" s="124"/>
      <c r="Q86" s="245"/>
      <c r="R86" s="245"/>
      <c r="S86" s="245"/>
      <c r="U86" s="246"/>
      <c r="AG86" s="124"/>
      <c r="AH86" s="124"/>
      <c r="AI86" s="245"/>
      <c r="AJ86" s="245"/>
      <c r="AK86" s="245"/>
      <c r="AM86" s="246"/>
    </row>
    <row r="87" ht="14.25" customHeight="1">
      <c r="N87" s="124"/>
      <c r="O87" s="124"/>
      <c r="P87" s="124"/>
      <c r="Q87" s="245"/>
      <c r="R87" s="245"/>
      <c r="S87" s="245"/>
      <c r="U87" s="246"/>
      <c r="AG87" s="124"/>
      <c r="AH87" s="124"/>
      <c r="AI87" s="245"/>
      <c r="AJ87" s="245"/>
      <c r="AK87" s="245"/>
      <c r="AM87" s="246"/>
    </row>
    <row r="88" ht="14.25" customHeight="1">
      <c r="N88" s="124"/>
      <c r="O88" s="124"/>
      <c r="P88" s="124"/>
      <c r="Q88" s="245"/>
      <c r="R88" s="245"/>
      <c r="S88" s="245"/>
      <c r="U88" s="246"/>
      <c r="AG88" s="124"/>
      <c r="AH88" s="124"/>
      <c r="AI88" s="245"/>
      <c r="AJ88" s="245"/>
      <c r="AK88" s="245"/>
      <c r="AM88" s="246"/>
    </row>
    <row r="89" ht="14.25" customHeight="1">
      <c r="N89" s="124"/>
      <c r="O89" s="124"/>
      <c r="P89" s="124"/>
      <c r="Q89" s="245"/>
      <c r="R89" s="245"/>
      <c r="S89" s="245"/>
      <c r="U89" s="246"/>
      <c r="AG89" s="124"/>
      <c r="AH89" s="124"/>
      <c r="AI89" s="245"/>
      <c r="AJ89" s="245"/>
      <c r="AK89" s="245"/>
      <c r="AM89" s="246"/>
    </row>
    <row r="90" ht="14.25" customHeight="1">
      <c r="N90" s="124"/>
      <c r="O90" s="124"/>
      <c r="P90" s="124"/>
      <c r="Q90" s="245"/>
      <c r="R90" s="245"/>
      <c r="S90" s="245"/>
      <c r="U90" s="246"/>
      <c r="AG90" s="124"/>
      <c r="AH90" s="124"/>
      <c r="AI90" s="245"/>
      <c r="AJ90" s="245"/>
      <c r="AK90" s="245"/>
      <c r="AM90" s="246"/>
    </row>
    <row r="91" ht="14.25" customHeight="1">
      <c r="N91" s="124"/>
      <c r="O91" s="124"/>
      <c r="P91" s="124"/>
      <c r="Q91" s="245"/>
      <c r="R91" s="245"/>
      <c r="S91" s="245"/>
      <c r="U91" s="246"/>
      <c r="AG91" s="124"/>
      <c r="AH91" s="124"/>
      <c r="AI91" s="245"/>
      <c r="AJ91" s="245"/>
      <c r="AK91" s="245"/>
      <c r="AM91" s="246"/>
    </row>
    <row r="92" ht="14.25" customHeight="1">
      <c r="N92" s="124"/>
      <c r="O92" s="124"/>
      <c r="P92" s="124"/>
      <c r="Q92" s="245"/>
      <c r="R92" s="245"/>
      <c r="S92" s="245"/>
      <c r="U92" s="246"/>
      <c r="AG92" s="124"/>
      <c r="AH92" s="124"/>
      <c r="AI92" s="245"/>
      <c r="AJ92" s="245"/>
      <c r="AK92" s="245"/>
      <c r="AM92" s="246"/>
    </row>
    <row r="93" ht="14.25" customHeight="1">
      <c r="N93" s="124"/>
      <c r="O93" s="124"/>
      <c r="P93" s="124"/>
      <c r="Q93" s="245"/>
      <c r="R93" s="245"/>
      <c r="S93" s="245"/>
      <c r="U93" s="246"/>
      <c r="AG93" s="124"/>
      <c r="AH93" s="124"/>
      <c r="AI93" s="245"/>
      <c r="AJ93" s="245"/>
      <c r="AK93" s="245"/>
      <c r="AM93" s="246"/>
    </row>
    <row r="94" ht="14.25" customHeight="1">
      <c r="N94" s="124"/>
      <c r="O94" s="124"/>
      <c r="P94" s="124"/>
      <c r="Q94" s="245"/>
      <c r="R94" s="245"/>
      <c r="S94" s="245"/>
      <c r="U94" s="246"/>
      <c r="AG94" s="124"/>
      <c r="AH94" s="124"/>
      <c r="AI94" s="245"/>
      <c r="AJ94" s="245"/>
      <c r="AK94" s="245"/>
      <c r="AM94" s="246"/>
    </row>
    <row r="95" ht="14.25" customHeight="1">
      <c r="N95" s="124"/>
      <c r="O95" s="124"/>
      <c r="P95" s="124"/>
      <c r="Q95" s="245"/>
      <c r="R95" s="245"/>
      <c r="S95" s="245"/>
      <c r="U95" s="246"/>
      <c r="AG95" s="124"/>
      <c r="AH95" s="124"/>
      <c r="AI95" s="245"/>
      <c r="AJ95" s="245"/>
      <c r="AK95" s="245"/>
      <c r="AM95" s="246"/>
    </row>
    <row r="96" ht="14.25" customHeight="1">
      <c r="N96" s="124"/>
      <c r="O96" s="124"/>
      <c r="P96" s="124"/>
      <c r="Q96" s="245"/>
      <c r="R96" s="245"/>
      <c r="S96" s="245"/>
      <c r="U96" s="246"/>
      <c r="AG96" s="124"/>
      <c r="AH96" s="124"/>
      <c r="AI96" s="245"/>
      <c r="AJ96" s="245"/>
      <c r="AK96" s="245"/>
      <c r="AM96" s="246"/>
    </row>
    <row r="97" ht="14.25" customHeight="1">
      <c r="N97" s="124"/>
      <c r="O97" s="124"/>
      <c r="P97" s="124"/>
      <c r="Q97" s="245"/>
      <c r="R97" s="245"/>
      <c r="S97" s="245"/>
      <c r="U97" s="246"/>
      <c r="AG97" s="124"/>
      <c r="AH97" s="124"/>
      <c r="AI97" s="245"/>
      <c r="AJ97" s="245"/>
      <c r="AK97" s="245"/>
      <c r="AM97" s="246"/>
    </row>
    <row r="98" ht="14.25" customHeight="1">
      <c r="N98" s="124"/>
      <c r="O98" s="124"/>
      <c r="P98" s="124"/>
      <c r="Q98" s="245"/>
      <c r="R98" s="245"/>
      <c r="S98" s="245"/>
      <c r="U98" s="246"/>
      <c r="AG98" s="124"/>
      <c r="AH98" s="124"/>
      <c r="AI98" s="245"/>
      <c r="AJ98" s="245"/>
      <c r="AK98" s="245"/>
      <c r="AM98" s="246"/>
    </row>
    <row r="99" ht="14.25" customHeight="1">
      <c r="N99" s="124"/>
      <c r="O99" s="124"/>
      <c r="P99" s="124"/>
      <c r="Q99" s="245"/>
      <c r="R99" s="245"/>
      <c r="S99" s="245"/>
      <c r="U99" s="246"/>
      <c r="AG99" s="124"/>
      <c r="AH99" s="124"/>
      <c r="AI99" s="245"/>
      <c r="AJ99" s="245"/>
      <c r="AK99" s="245"/>
      <c r="AM99" s="246"/>
    </row>
    <row r="100" ht="14.25" customHeight="1">
      <c r="N100" s="124"/>
      <c r="O100" s="124"/>
      <c r="P100" s="124"/>
      <c r="Q100" s="245"/>
      <c r="R100" s="245"/>
      <c r="S100" s="245"/>
      <c r="U100" s="246"/>
      <c r="AG100" s="124"/>
      <c r="AH100" s="124"/>
      <c r="AI100" s="245"/>
      <c r="AJ100" s="245"/>
      <c r="AK100" s="245"/>
      <c r="AM100" s="246"/>
    </row>
    <row r="101" ht="14.25" customHeight="1">
      <c r="N101" s="124"/>
      <c r="O101" s="124"/>
      <c r="P101" s="124"/>
      <c r="Q101" s="245"/>
      <c r="R101" s="245"/>
      <c r="S101" s="245"/>
      <c r="U101" s="246"/>
      <c r="AG101" s="124"/>
      <c r="AH101" s="124"/>
      <c r="AI101" s="245"/>
      <c r="AJ101" s="245"/>
      <c r="AK101" s="245"/>
      <c r="AM101" s="246"/>
    </row>
    <row r="102" ht="14.25" customHeight="1">
      <c r="N102" s="124"/>
      <c r="O102" s="124"/>
      <c r="P102" s="124"/>
      <c r="Q102" s="245"/>
      <c r="R102" s="245"/>
      <c r="S102" s="245"/>
      <c r="U102" s="246"/>
      <c r="AG102" s="124"/>
      <c r="AH102" s="124"/>
      <c r="AI102" s="245"/>
      <c r="AJ102" s="245"/>
      <c r="AK102" s="245"/>
      <c r="AM102" s="246"/>
    </row>
    <row r="103" ht="14.25" customHeight="1">
      <c r="N103" s="124"/>
      <c r="O103" s="124"/>
      <c r="P103" s="124"/>
      <c r="Q103" s="245"/>
      <c r="R103" s="245"/>
      <c r="S103" s="245"/>
      <c r="U103" s="246"/>
      <c r="AG103" s="124"/>
      <c r="AH103" s="124"/>
      <c r="AI103" s="245"/>
      <c r="AJ103" s="245"/>
      <c r="AK103" s="245"/>
      <c r="AM103" s="246"/>
    </row>
    <row r="104" ht="14.25" customHeight="1">
      <c r="N104" s="124"/>
      <c r="O104" s="124"/>
      <c r="P104" s="124"/>
      <c r="Q104" s="245"/>
      <c r="R104" s="245"/>
      <c r="S104" s="245"/>
      <c r="U104" s="246"/>
      <c r="AG104" s="124"/>
      <c r="AH104" s="124"/>
      <c r="AI104" s="245"/>
      <c r="AJ104" s="245"/>
      <c r="AK104" s="245"/>
      <c r="AM104" s="246"/>
    </row>
    <row r="105" ht="14.25" customHeight="1">
      <c r="N105" s="124"/>
      <c r="O105" s="124"/>
      <c r="P105" s="124"/>
      <c r="Q105" s="245"/>
      <c r="R105" s="245"/>
      <c r="S105" s="245"/>
      <c r="U105" s="246"/>
      <c r="AG105" s="124"/>
      <c r="AH105" s="124"/>
      <c r="AI105" s="245"/>
      <c r="AJ105" s="245"/>
      <c r="AK105" s="245"/>
      <c r="AM105" s="246"/>
    </row>
    <row r="106" ht="14.25" customHeight="1">
      <c r="N106" s="124"/>
      <c r="O106" s="124"/>
      <c r="P106" s="124"/>
      <c r="Q106" s="245"/>
      <c r="R106" s="245"/>
      <c r="S106" s="245"/>
      <c r="U106" s="246"/>
      <c r="AG106" s="124"/>
      <c r="AH106" s="124"/>
      <c r="AI106" s="245"/>
      <c r="AJ106" s="245"/>
      <c r="AK106" s="245"/>
      <c r="AM106" s="246"/>
    </row>
    <row r="107" ht="14.25" customHeight="1">
      <c r="N107" s="124"/>
      <c r="O107" s="124"/>
      <c r="P107" s="124"/>
      <c r="Q107" s="245"/>
      <c r="R107" s="245"/>
      <c r="S107" s="245"/>
      <c r="U107" s="246"/>
      <c r="AG107" s="124"/>
      <c r="AH107" s="124"/>
      <c r="AI107" s="245"/>
      <c r="AJ107" s="245"/>
      <c r="AK107" s="245"/>
      <c r="AM107" s="246"/>
    </row>
    <row r="108" ht="14.25" customHeight="1">
      <c r="N108" s="124"/>
      <c r="O108" s="124"/>
      <c r="P108" s="124"/>
      <c r="Q108" s="245"/>
      <c r="R108" s="245"/>
      <c r="S108" s="245"/>
      <c r="U108" s="246"/>
      <c r="AG108" s="124"/>
      <c r="AH108" s="124"/>
      <c r="AI108" s="245"/>
      <c r="AJ108" s="245"/>
      <c r="AK108" s="245"/>
      <c r="AM108" s="246"/>
    </row>
    <row r="109" ht="14.25" customHeight="1">
      <c r="N109" s="124"/>
      <c r="O109" s="124"/>
      <c r="P109" s="124"/>
      <c r="Q109" s="245"/>
      <c r="R109" s="245"/>
      <c r="S109" s="245"/>
      <c r="U109" s="246"/>
      <c r="AG109" s="124"/>
      <c r="AH109" s="124"/>
      <c r="AI109" s="245"/>
      <c r="AJ109" s="245"/>
      <c r="AK109" s="245"/>
      <c r="AM109" s="246"/>
    </row>
    <row r="110" ht="14.25" customHeight="1">
      <c r="N110" s="124"/>
      <c r="O110" s="124"/>
      <c r="P110" s="124"/>
      <c r="Q110" s="245"/>
      <c r="R110" s="245"/>
      <c r="S110" s="245"/>
      <c r="U110" s="246"/>
      <c r="AG110" s="124"/>
      <c r="AH110" s="124"/>
      <c r="AI110" s="245"/>
      <c r="AJ110" s="245"/>
      <c r="AK110" s="245"/>
      <c r="AM110" s="246"/>
    </row>
    <row r="111" ht="14.25" customHeight="1">
      <c r="N111" s="124"/>
      <c r="O111" s="124"/>
      <c r="P111" s="124"/>
      <c r="Q111" s="245"/>
      <c r="R111" s="245"/>
      <c r="S111" s="245"/>
      <c r="U111" s="246"/>
      <c r="AG111" s="124"/>
      <c r="AH111" s="124"/>
      <c r="AI111" s="245"/>
      <c r="AJ111" s="245"/>
      <c r="AK111" s="245"/>
      <c r="AM111" s="246"/>
    </row>
    <row r="112" ht="14.25" customHeight="1">
      <c r="N112" s="124"/>
      <c r="O112" s="124"/>
      <c r="P112" s="124"/>
      <c r="Q112" s="245"/>
      <c r="R112" s="245"/>
      <c r="S112" s="245"/>
      <c r="U112" s="246"/>
      <c r="AG112" s="124"/>
      <c r="AH112" s="124"/>
      <c r="AI112" s="245"/>
      <c r="AJ112" s="245"/>
      <c r="AK112" s="245"/>
      <c r="AM112" s="246"/>
    </row>
    <row r="113" ht="14.25" customHeight="1">
      <c r="N113" s="124"/>
      <c r="O113" s="124"/>
      <c r="P113" s="124"/>
      <c r="Q113" s="245"/>
      <c r="R113" s="245"/>
      <c r="S113" s="245"/>
      <c r="U113" s="246"/>
      <c r="AG113" s="124"/>
      <c r="AH113" s="124"/>
      <c r="AI113" s="245"/>
      <c r="AJ113" s="245"/>
      <c r="AK113" s="245"/>
      <c r="AM113" s="246"/>
    </row>
    <row r="114" ht="14.25" customHeight="1">
      <c r="N114" s="124"/>
      <c r="O114" s="124"/>
      <c r="P114" s="124"/>
      <c r="Q114" s="245"/>
      <c r="R114" s="245"/>
      <c r="S114" s="245"/>
      <c r="U114" s="246"/>
      <c r="AG114" s="124"/>
      <c r="AH114" s="124"/>
      <c r="AI114" s="245"/>
      <c r="AJ114" s="245"/>
      <c r="AK114" s="245"/>
      <c r="AM114" s="246"/>
    </row>
    <row r="115" ht="14.25" customHeight="1">
      <c r="N115" s="124"/>
      <c r="O115" s="124"/>
      <c r="P115" s="124"/>
      <c r="Q115" s="245"/>
      <c r="R115" s="245"/>
      <c r="S115" s="245"/>
      <c r="U115" s="246"/>
      <c r="AG115" s="124"/>
      <c r="AH115" s="124"/>
      <c r="AI115" s="245"/>
      <c r="AJ115" s="245"/>
      <c r="AK115" s="245"/>
      <c r="AM115" s="246"/>
    </row>
    <row r="116" ht="14.25" customHeight="1">
      <c r="N116" s="124"/>
      <c r="O116" s="124"/>
      <c r="P116" s="124"/>
      <c r="Q116" s="245"/>
      <c r="R116" s="245"/>
      <c r="S116" s="245"/>
      <c r="U116" s="246"/>
      <c r="AG116" s="124"/>
      <c r="AH116" s="124"/>
      <c r="AI116" s="245"/>
      <c r="AJ116" s="245"/>
      <c r="AK116" s="245"/>
      <c r="AM116" s="246"/>
    </row>
    <row r="117" ht="14.25" customHeight="1">
      <c r="N117" s="124"/>
      <c r="O117" s="124"/>
      <c r="P117" s="124"/>
      <c r="Q117" s="245"/>
      <c r="R117" s="245"/>
      <c r="S117" s="245"/>
      <c r="U117" s="246"/>
      <c r="AG117" s="124"/>
      <c r="AH117" s="124"/>
      <c r="AI117" s="245"/>
      <c r="AJ117" s="245"/>
      <c r="AK117" s="245"/>
      <c r="AM117" s="246"/>
    </row>
    <row r="118" ht="14.25" customHeight="1">
      <c r="N118" s="124"/>
      <c r="O118" s="124"/>
      <c r="P118" s="124"/>
      <c r="Q118" s="245"/>
      <c r="R118" s="245"/>
      <c r="S118" s="245"/>
      <c r="U118" s="246"/>
      <c r="AG118" s="124"/>
      <c r="AH118" s="124"/>
      <c r="AI118" s="245"/>
      <c r="AJ118" s="245"/>
      <c r="AK118" s="245"/>
      <c r="AM118" s="246"/>
    </row>
    <row r="119" ht="14.25" customHeight="1">
      <c r="N119" s="124"/>
      <c r="O119" s="124"/>
      <c r="P119" s="124"/>
      <c r="Q119" s="245"/>
      <c r="R119" s="245"/>
      <c r="S119" s="245"/>
      <c r="U119" s="246"/>
      <c r="AG119" s="124"/>
      <c r="AH119" s="124"/>
      <c r="AI119" s="245"/>
      <c r="AJ119" s="245"/>
      <c r="AK119" s="245"/>
      <c r="AM119" s="246"/>
    </row>
    <row r="120" ht="14.25" customHeight="1">
      <c r="N120" s="124"/>
      <c r="O120" s="124"/>
      <c r="P120" s="124"/>
      <c r="Q120" s="245"/>
      <c r="R120" s="245"/>
      <c r="S120" s="245"/>
      <c r="U120" s="246"/>
      <c r="AG120" s="124"/>
      <c r="AH120" s="124"/>
      <c r="AI120" s="245"/>
      <c r="AJ120" s="245"/>
      <c r="AK120" s="245"/>
      <c r="AM120" s="246"/>
    </row>
    <row r="121" ht="14.25" customHeight="1">
      <c r="N121" s="124"/>
      <c r="O121" s="124"/>
      <c r="P121" s="124"/>
      <c r="Q121" s="245"/>
      <c r="R121" s="245"/>
      <c r="S121" s="245"/>
      <c r="U121" s="246"/>
      <c r="AG121" s="124"/>
      <c r="AH121" s="124"/>
      <c r="AI121" s="245"/>
      <c r="AJ121" s="245"/>
      <c r="AK121" s="245"/>
      <c r="AM121" s="246"/>
    </row>
    <row r="122" ht="14.25" customHeight="1">
      <c r="N122" s="124"/>
      <c r="O122" s="124"/>
      <c r="P122" s="124"/>
      <c r="Q122" s="245"/>
      <c r="R122" s="245"/>
      <c r="S122" s="245"/>
      <c r="U122" s="246"/>
      <c r="AG122" s="124"/>
      <c r="AH122" s="124"/>
      <c r="AI122" s="245"/>
      <c r="AJ122" s="245"/>
      <c r="AK122" s="245"/>
      <c r="AM122" s="246"/>
    </row>
    <row r="123" ht="14.25" customHeight="1">
      <c r="N123" s="124"/>
      <c r="O123" s="124"/>
      <c r="P123" s="124"/>
      <c r="Q123" s="245"/>
      <c r="R123" s="245"/>
      <c r="S123" s="245"/>
      <c r="U123" s="246"/>
      <c r="AG123" s="124"/>
      <c r="AH123" s="124"/>
      <c r="AI123" s="245"/>
      <c r="AJ123" s="245"/>
      <c r="AK123" s="245"/>
      <c r="AM123" s="246"/>
    </row>
    <row r="124" ht="14.25" customHeight="1">
      <c r="N124" s="124"/>
      <c r="O124" s="124"/>
      <c r="P124" s="124"/>
      <c r="Q124" s="245"/>
      <c r="R124" s="245"/>
      <c r="S124" s="245"/>
      <c r="U124" s="246"/>
      <c r="AG124" s="124"/>
      <c r="AH124" s="124"/>
      <c r="AI124" s="245"/>
      <c r="AJ124" s="245"/>
      <c r="AK124" s="245"/>
      <c r="AM124" s="246"/>
    </row>
    <row r="125" ht="14.25" customHeight="1">
      <c r="N125" s="124"/>
      <c r="O125" s="124"/>
      <c r="P125" s="124"/>
      <c r="Q125" s="245"/>
      <c r="R125" s="245"/>
      <c r="S125" s="245"/>
      <c r="U125" s="246"/>
      <c r="AG125" s="124"/>
      <c r="AH125" s="124"/>
      <c r="AI125" s="245"/>
      <c r="AJ125" s="245"/>
      <c r="AK125" s="245"/>
      <c r="AM125" s="246"/>
    </row>
    <row r="126" ht="14.25" customHeight="1">
      <c r="N126" s="124"/>
      <c r="O126" s="124"/>
      <c r="P126" s="124"/>
      <c r="Q126" s="245"/>
      <c r="R126" s="245"/>
      <c r="S126" s="245"/>
      <c r="U126" s="246"/>
      <c r="AG126" s="124"/>
      <c r="AH126" s="124"/>
      <c r="AI126" s="245"/>
      <c r="AJ126" s="245"/>
      <c r="AK126" s="245"/>
      <c r="AM126" s="246"/>
    </row>
    <row r="127" ht="14.25" customHeight="1">
      <c r="N127" s="124"/>
      <c r="O127" s="124"/>
      <c r="P127" s="124"/>
      <c r="Q127" s="245"/>
      <c r="R127" s="245"/>
      <c r="S127" s="245"/>
      <c r="U127" s="246"/>
      <c r="AG127" s="124"/>
      <c r="AH127" s="124"/>
      <c r="AI127" s="245"/>
      <c r="AJ127" s="245"/>
      <c r="AK127" s="245"/>
      <c r="AM127" s="246"/>
    </row>
    <row r="128" ht="14.25" customHeight="1">
      <c r="N128" s="124"/>
      <c r="O128" s="124"/>
      <c r="P128" s="124"/>
      <c r="Q128" s="245"/>
      <c r="R128" s="245"/>
      <c r="S128" s="245"/>
      <c r="U128" s="246"/>
      <c r="AG128" s="124"/>
      <c r="AH128" s="124"/>
      <c r="AI128" s="245"/>
      <c r="AJ128" s="245"/>
      <c r="AK128" s="245"/>
      <c r="AM128" s="246"/>
    </row>
    <row r="129" ht="14.25" customHeight="1">
      <c r="N129" s="124"/>
      <c r="O129" s="124"/>
      <c r="P129" s="124"/>
      <c r="Q129" s="245"/>
      <c r="R129" s="245"/>
      <c r="S129" s="245"/>
      <c r="U129" s="246"/>
      <c r="AG129" s="124"/>
      <c r="AH129" s="124"/>
      <c r="AI129" s="245"/>
      <c r="AJ129" s="245"/>
      <c r="AK129" s="245"/>
      <c r="AM129" s="246"/>
    </row>
    <row r="130" ht="14.25" customHeight="1">
      <c r="N130" s="124"/>
      <c r="O130" s="124"/>
      <c r="P130" s="124"/>
      <c r="Q130" s="245"/>
      <c r="R130" s="245"/>
      <c r="S130" s="245"/>
      <c r="U130" s="246"/>
      <c r="AG130" s="124"/>
      <c r="AH130" s="124"/>
      <c r="AI130" s="245"/>
      <c r="AJ130" s="245"/>
      <c r="AK130" s="245"/>
      <c r="AM130" s="246"/>
    </row>
    <row r="131" ht="14.25" customHeight="1">
      <c r="N131" s="124"/>
      <c r="O131" s="124"/>
      <c r="P131" s="124"/>
      <c r="Q131" s="245"/>
      <c r="R131" s="245"/>
      <c r="S131" s="245"/>
      <c r="U131" s="246"/>
      <c r="AG131" s="124"/>
      <c r="AH131" s="124"/>
      <c r="AI131" s="245"/>
      <c r="AJ131" s="245"/>
      <c r="AK131" s="245"/>
      <c r="AM131" s="246"/>
    </row>
    <row r="132" ht="14.25" customHeight="1">
      <c r="N132" s="124"/>
      <c r="O132" s="124"/>
      <c r="P132" s="124"/>
      <c r="Q132" s="245"/>
      <c r="R132" s="245"/>
      <c r="S132" s="245"/>
      <c r="U132" s="246"/>
      <c r="AG132" s="124"/>
      <c r="AH132" s="124"/>
      <c r="AI132" s="245"/>
      <c r="AJ132" s="245"/>
      <c r="AK132" s="245"/>
      <c r="AM132" s="246"/>
    </row>
    <row r="133" ht="14.25" customHeight="1">
      <c r="N133" s="124"/>
      <c r="O133" s="124"/>
      <c r="P133" s="124"/>
      <c r="Q133" s="245"/>
      <c r="R133" s="245"/>
      <c r="S133" s="245"/>
      <c r="U133" s="246"/>
      <c r="AG133" s="124"/>
      <c r="AH133" s="124"/>
      <c r="AI133" s="245"/>
      <c r="AJ133" s="245"/>
      <c r="AK133" s="245"/>
      <c r="AM133" s="246"/>
    </row>
    <row r="134" ht="14.25" customHeight="1">
      <c r="N134" s="124"/>
      <c r="O134" s="124"/>
      <c r="P134" s="124"/>
      <c r="Q134" s="245"/>
      <c r="R134" s="245"/>
      <c r="S134" s="245"/>
      <c r="U134" s="246"/>
      <c r="AG134" s="124"/>
      <c r="AH134" s="124"/>
      <c r="AI134" s="245"/>
      <c r="AJ134" s="245"/>
      <c r="AK134" s="245"/>
      <c r="AM134" s="246"/>
    </row>
    <row r="135" ht="14.25" customHeight="1">
      <c r="N135" s="124"/>
      <c r="O135" s="124"/>
      <c r="P135" s="124"/>
      <c r="Q135" s="245"/>
      <c r="R135" s="245"/>
      <c r="S135" s="245"/>
      <c r="U135" s="246"/>
      <c r="AG135" s="124"/>
      <c r="AH135" s="124"/>
      <c r="AI135" s="245"/>
      <c r="AJ135" s="245"/>
      <c r="AK135" s="245"/>
      <c r="AM135" s="246"/>
    </row>
    <row r="136" ht="14.25" customHeight="1">
      <c r="N136" s="124"/>
      <c r="O136" s="124"/>
      <c r="P136" s="124"/>
      <c r="Q136" s="245"/>
      <c r="R136" s="245"/>
      <c r="S136" s="245"/>
      <c r="U136" s="246"/>
      <c r="AG136" s="124"/>
      <c r="AH136" s="124"/>
      <c r="AI136" s="245"/>
      <c r="AJ136" s="245"/>
      <c r="AK136" s="245"/>
      <c r="AM136" s="246"/>
    </row>
    <row r="137" ht="14.25" customHeight="1">
      <c r="N137" s="124"/>
      <c r="O137" s="124"/>
      <c r="P137" s="124"/>
      <c r="Q137" s="245"/>
      <c r="R137" s="245"/>
      <c r="S137" s="245"/>
      <c r="U137" s="246"/>
      <c r="AG137" s="124"/>
      <c r="AH137" s="124"/>
      <c r="AI137" s="245"/>
      <c r="AJ137" s="245"/>
      <c r="AK137" s="245"/>
      <c r="AM137" s="246"/>
    </row>
    <row r="138" ht="14.25" customHeight="1">
      <c r="N138" s="124"/>
      <c r="O138" s="124"/>
      <c r="P138" s="124"/>
      <c r="Q138" s="245"/>
      <c r="R138" s="245"/>
      <c r="S138" s="245"/>
      <c r="U138" s="246"/>
      <c r="AG138" s="124"/>
      <c r="AH138" s="124"/>
      <c r="AI138" s="245"/>
      <c r="AJ138" s="245"/>
      <c r="AK138" s="245"/>
      <c r="AM138" s="246"/>
    </row>
    <row r="139" ht="14.25" customHeight="1">
      <c r="N139" s="124"/>
      <c r="O139" s="124"/>
      <c r="P139" s="124"/>
      <c r="Q139" s="245"/>
      <c r="R139" s="245"/>
      <c r="S139" s="245"/>
      <c r="U139" s="246"/>
      <c r="AG139" s="124"/>
      <c r="AH139" s="124"/>
      <c r="AI139" s="245"/>
      <c r="AJ139" s="245"/>
      <c r="AK139" s="245"/>
      <c r="AM139" s="246"/>
    </row>
    <row r="140" ht="14.25" customHeight="1">
      <c r="N140" s="124"/>
      <c r="O140" s="124"/>
      <c r="P140" s="124"/>
      <c r="Q140" s="245"/>
      <c r="R140" s="245"/>
      <c r="S140" s="245"/>
      <c r="U140" s="246"/>
      <c r="AG140" s="124"/>
      <c r="AH140" s="124"/>
      <c r="AI140" s="245"/>
      <c r="AJ140" s="245"/>
      <c r="AK140" s="245"/>
      <c r="AM140" s="246"/>
    </row>
    <row r="141" ht="14.25" customHeight="1">
      <c r="N141" s="124"/>
      <c r="O141" s="124"/>
      <c r="P141" s="124"/>
      <c r="Q141" s="245"/>
      <c r="R141" s="245"/>
      <c r="S141" s="245"/>
      <c r="U141" s="246"/>
      <c r="AG141" s="124"/>
      <c r="AH141" s="124"/>
      <c r="AI141" s="245"/>
      <c r="AJ141" s="245"/>
      <c r="AK141" s="245"/>
      <c r="AM141" s="246"/>
    </row>
    <row r="142" ht="14.25" customHeight="1">
      <c r="N142" s="124"/>
      <c r="O142" s="124"/>
      <c r="P142" s="124"/>
      <c r="Q142" s="245"/>
      <c r="R142" s="245"/>
      <c r="S142" s="245"/>
      <c r="U142" s="246"/>
      <c r="AG142" s="124"/>
      <c r="AH142" s="124"/>
      <c r="AI142" s="245"/>
      <c r="AJ142" s="245"/>
      <c r="AK142" s="245"/>
      <c r="AM142" s="246"/>
    </row>
    <row r="143" ht="14.25" customHeight="1">
      <c r="N143" s="124"/>
      <c r="O143" s="124"/>
      <c r="P143" s="124"/>
      <c r="Q143" s="245"/>
      <c r="R143" s="245"/>
      <c r="S143" s="245"/>
      <c r="U143" s="246"/>
      <c r="AG143" s="124"/>
      <c r="AH143" s="124"/>
      <c r="AI143" s="245"/>
      <c r="AJ143" s="245"/>
      <c r="AK143" s="245"/>
      <c r="AM143" s="246"/>
    </row>
    <row r="144" ht="14.25" customHeight="1">
      <c r="N144" s="124"/>
      <c r="O144" s="124"/>
      <c r="P144" s="124"/>
      <c r="Q144" s="245"/>
      <c r="R144" s="245"/>
      <c r="S144" s="245"/>
      <c r="U144" s="246"/>
      <c r="AG144" s="124"/>
      <c r="AH144" s="124"/>
      <c r="AI144" s="245"/>
      <c r="AJ144" s="245"/>
      <c r="AK144" s="245"/>
      <c r="AM144" s="246"/>
    </row>
    <row r="145" ht="14.25" customHeight="1">
      <c r="N145" s="124"/>
      <c r="O145" s="124"/>
      <c r="P145" s="124"/>
      <c r="Q145" s="245"/>
      <c r="R145" s="245"/>
      <c r="S145" s="245"/>
      <c r="U145" s="246"/>
      <c r="AG145" s="124"/>
      <c r="AH145" s="124"/>
      <c r="AI145" s="245"/>
      <c r="AJ145" s="245"/>
      <c r="AK145" s="245"/>
      <c r="AM145" s="246"/>
    </row>
    <row r="146" ht="14.25" customHeight="1">
      <c r="N146" s="124"/>
      <c r="O146" s="124"/>
      <c r="P146" s="124"/>
      <c r="Q146" s="245"/>
      <c r="R146" s="245"/>
      <c r="S146" s="245"/>
      <c r="U146" s="246"/>
      <c r="AG146" s="124"/>
      <c r="AH146" s="124"/>
      <c r="AI146" s="245"/>
      <c r="AJ146" s="245"/>
      <c r="AK146" s="245"/>
      <c r="AM146" s="246"/>
    </row>
    <row r="147" ht="14.25" customHeight="1">
      <c r="N147" s="124"/>
      <c r="O147" s="124"/>
      <c r="P147" s="124"/>
      <c r="Q147" s="245"/>
      <c r="R147" s="245"/>
      <c r="S147" s="245"/>
      <c r="U147" s="246"/>
      <c r="AG147" s="124"/>
      <c r="AH147" s="124"/>
      <c r="AI147" s="245"/>
      <c r="AJ147" s="245"/>
      <c r="AK147" s="245"/>
      <c r="AM147" s="246"/>
    </row>
    <row r="148" ht="14.25" customHeight="1">
      <c r="N148" s="124"/>
      <c r="O148" s="124"/>
      <c r="P148" s="124"/>
      <c r="Q148" s="245"/>
      <c r="R148" s="245"/>
      <c r="S148" s="245"/>
      <c r="U148" s="246"/>
      <c r="AG148" s="124"/>
      <c r="AH148" s="124"/>
      <c r="AI148" s="245"/>
      <c r="AJ148" s="245"/>
      <c r="AK148" s="245"/>
      <c r="AM148" s="246"/>
    </row>
    <row r="149" ht="14.25" customHeight="1">
      <c r="N149" s="124"/>
      <c r="O149" s="124"/>
      <c r="P149" s="124"/>
      <c r="Q149" s="245"/>
      <c r="R149" s="245"/>
      <c r="S149" s="245"/>
      <c r="U149" s="246"/>
      <c r="AG149" s="124"/>
      <c r="AH149" s="124"/>
      <c r="AI149" s="245"/>
      <c r="AJ149" s="245"/>
      <c r="AK149" s="245"/>
      <c r="AM149" s="246"/>
    </row>
    <row r="150" ht="14.25" customHeight="1">
      <c r="N150" s="124"/>
      <c r="O150" s="124"/>
      <c r="P150" s="124"/>
      <c r="Q150" s="245"/>
      <c r="R150" s="245"/>
      <c r="S150" s="245"/>
      <c r="U150" s="246"/>
      <c r="AG150" s="124"/>
      <c r="AH150" s="124"/>
      <c r="AI150" s="245"/>
      <c r="AJ150" s="245"/>
      <c r="AK150" s="245"/>
      <c r="AM150" s="246"/>
    </row>
    <row r="151" ht="14.25" customHeight="1">
      <c r="N151" s="124"/>
      <c r="O151" s="124"/>
      <c r="P151" s="124"/>
      <c r="Q151" s="245"/>
      <c r="R151" s="245"/>
      <c r="S151" s="245"/>
      <c r="U151" s="246"/>
      <c r="AG151" s="124"/>
      <c r="AH151" s="124"/>
      <c r="AI151" s="245"/>
      <c r="AJ151" s="245"/>
      <c r="AK151" s="245"/>
      <c r="AM151" s="246"/>
    </row>
    <row r="152" ht="14.25" customHeight="1">
      <c r="N152" s="124"/>
      <c r="O152" s="124"/>
      <c r="P152" s="124"/>
      <c r="Q152" s="245"/>
      <c r="R152" s="245"/>
      <c r="S152" s="245"/>
      <c r="U152" s="246"/>
      <c r="AG152" s="124"/>
      <c r="AH152" s="124"/>
      <c r="AI152" s="245"/>
      <c r="AJ152" s="245"/>
      <c r="AK152" s="245"/>
      <c r="AM152" s="246"/>
    </row>
    <row r="153" ht="14.25" customHeight="1">
      <c r="N153" s="124"/>
      <c r="O153" s="124"/>
      <c r="P153" s="124"/>
      <c r="Q153" s="245"/>
      <c r="R153" s="245"/>
      <c r="S153" s="245"/>
      <c r="U153" s="246"/>
      <c r="AG153" s="124"/>
      <c r="AH153" s="124"/>
      <c r="AI153" s="245"/>
      <c r="AJ153" s="245"/>
      <c r="AK153" s="245"/>
      <c r="AM153" s="246"/>
    </row>
    <row r="154" ht="14.25" customHeight="1">
      <c r="N154" s="124"/>
      <c r="O154" s="124"/>
      <c r="P154" s="124"/>
      <c r="Q154" s="245"/>
      <c r="R154" s="245"/>
      <c r="S154" s="245"/>
      <c r="U154" s="246"/>
      <c r="AG154" s="124"/>
      <c r="AH154" s="124"/>
      <c r="AI154" s="245"/>
      <c r="AJ154" s="245"/>
      <c r="AK154" s="245"/>
      <c r="AM154" s="246"/>
    </row>
    <row r="155" ht="14.25" customHeight="1">
      <c r="N155" s="124"/>
      <c r="O155" s="124"/>
      <c r="P155" s="124"/>
      <c r="Q155" s="245"/>
      <c r="R155" s="245"/>
      <c r="S155" s="245"/>
      <c r="U155" s="246"/>
      <c r="AG155" s="124"/>
      <c r="AH155" s="124"/>
      <c r="AI155" s="245"/>
      <c r="AJ155" s="245"/>
      <c r="AK155" s="245"/>
      <c r="AM155" s="246"/>
    </row>
    <row r="156" ht="14.25" customHeight="1">
      <c r="N156" s="124"/>
      <c r="O156" s="124"/>
      <c r="P156" s="124"/>
      <c r="Q156" s="245"/>
      <c r="R156" s="245"/>
      <c r="S156" s="245"/>
      <c r="U156" s="246"/>
      <c r="AG156" s="124"/>
      <c r="AH156" s="124"/>
      <c r="AI156" s="245"/>
      <c r="AJ156" s="245"/>
      <c r="AK156" s="245"/>
      <c r="AM156" s="246"/>
    </row>
    <row r="157" ht="14.25" customHeight="1">
      <c r="N157" s="124"/>
      <c r="O157" s="124"/>
      <c r="P157" s="124"/>
      <c r="Q157" s="245"/>
      <c r="R157" s="245"/>
      <c r="S157" s="245"/>
      <c r="U157" s="246"/>
      <c r="AG157" s="124"/>
      <c r="AH157" s="124"/>
      <c r="AI157" s="245"/>
      <c r="AJ157" s="245"/>
      <c r="AK157" s="245"/>
      <c r="AM157" s="246"/>
    </row>
    <row r="158" ht="14.25" customHeight="1">
      <c r="N158" s="124"/>
      <c r="O158" s="124"/>
      <c r="P158" s="124"/>
      <c r="Q158" s="245"/>
      <c r="R158" s="245"/>
      <c r="S158" s="245"/>
      <c r="U158" s="246"/>
      <c r="AG158" s="124"/>
      <c r="AH158" s="124"/>
      <c r="AI158" s="245"/>
      <c r="AJ158" s="245"/>
      <c r="AK158" s="245"/>
      <c r="AM158" s="246"/>
    </row>
    <row r="159" ht="14.25" customHeight="1">
      <c r="N159" s="124"/>
      <c r="O159" s="124"/>
      <c r="P159" s="124"/>
      <c r="Q159" s="245"/>
      <c r="R159" s="245"/>
      <c r="S159" s="245"/>
      <c r="U159" s="246"/>
      <c r="AG159" s="124"/>
      <c r="AH159" s="124"/>
      <c r="AI159" s="245"/>
      <c r="AJ159" s="245"/>
      <c r="AK159" s="245"/>
      <c r="AM159" s="246"/>
    </row>
    <row r="160" ht="14.25" customHeight="1">
      <c r="N160" s="124"/>
      <c r="O160" s="124"/>
      <c r="P160" s="124"/>
      <c r="Q160" s="245"/>
      <c r="R160" s="245"/>
      <c r="S160" s="245"/>
      <c r="U160" s="246"/>
      <c r="AG160" s="124"/>
      <c r="AH160" s="124"/>
      <c r="AI160" s="245"/>
      <c r="AJ160" s="245"/>
      <c r="AK160" s="245"/>
      <c r="AM160" s="246"/>
    </row>
    <row r="161" ht="14.25" customHeight="1">
      <c r="N161" s="124"/>
      <c r="O161" s="124"/>
      <c r="P161" s="124"/>
      <c r="Q161" s="245"/>
      <c r="R161" s="245"/>
      <c r="S161" s="245"/>
      <c r="U161" s="246"/>
      <c r="AG161" s="124"/>
      <c r="AH161" s="124"/>
      <c r="AI161" s="245"/>
      <c r="AJ161" s="245"/>
      <c r="AK161" s="245"/>
      <c r="AM161" s="246"/>
    </row>
    <row r="162" ht="14.25" customHeight="1">
      <c r="N162" s="124"/>
      <c r="O162" s="124"/>
      <c r="P162" s="124"/>
      <c r="Q162" s="245"/>
      <c r="R162" s="245"/>
      <c r="S162" s="245"/>
      <c r="U162" s="246"/>
      <c r="AG162" s="124"/>
      <c r="AH162" s="124"/>
      <c r="AI162" s="245"/>
      <c r="AJ162" s="245"/>
      <c r="AK162" s="245"/>
      <c r="AM162" s="246"/>
    </row>
    <row r="163" ht="14.25" customHeight="1">
      <c r="N163" s="124"/>
      <c r="O163" s="124"/>
      <c r="P163" s="124"/>
      <c r="Q163" s="245"/>
      <c r="R163" s="245"/>
      <c r="S163" s="245"/>
      <c r="U163" s="246"/>
      <c r="AG163" s="124"/>
      <c r="AH163" s="124"/>
      <c r="AI163" s="245"/>
      <c r="AJ163" s="245"/>
      <c r="AK163" s="245"/>
      <c r="AM163" s="246"/>
    </row>
    <row r="164" ht="14.25" customHeight="1">
      <c r="N164" s="124"/>
      <c r="O164" s="124"/>
      <c r="P164" s="124"/>
      <c r="Q164" s="245"/>
      <c r="R164" s="245"/>
      <c r="S164" s="245"/>
      <c r="U164" s="246"/>
      <c r="AG164" s="124"/>
      <c r="AH164" s="124"/>
      <c r="AI164" s="245"/>
      <c r="AJ164" s="245"/>
      <c r="AK164" s="245"/>
      <c r="AM164" s="246"/>
    </row>
    <row r="165" ht="14.25" customHeight="1">
      <c r="N165" s="124"/>
      <c r="O165" s="124"/>
      <c r="P165" s="124"/>
      <c r="Q165" s="245"/>
      <c r="R165" s="245"/>
      <c r="S165" s="245"/>
      <c r="U165" s="246"/>
      <c r="AG165" s="124"/>
      <c r="AH165" s="124"/>
      <c r="AI165" s="245"/>
      <c r="AJ165" s="245"/>
      <c r="AK165" s="245"/>
      <c r="AM165" s="246"/>
    </row>
    <row r="166" ht="14.25" customHeight="1">
      <c r="N166" s="124"/>
      <c r="O166" s="124"/>
      <c r="P166" s="124"/>
      <c r="Q166" s="245"/>
      <c r="R166" s="245"/>
      <c r="S166" s="245"/>
      <c r="U166" s="246"/>
      <c r="AG166" s="124"/>
      <c r="AH166" s="124"/>
      <c r="AI166" s="245"/>
      <c r="AJ166" s="245"/>
      <c r="AK166" s="245"/>
      <c r="AM166" s="246"/>
    </row>
    <row r="167" ht="14.25" customHeight="1">
      <c r="N167" s="124"/>
      <c r="O167" s="124"/>
      <c r="P167" s="124"/>
      <c r="Q167" s="245"/>
      <c r="R167" s="245"/>
      <c r="S167" s="245"/>
      <c r="U167" s="246"/>
      <c r="AG167" s="124"/>
      <c r="AH167" s="124"/>
      <c r="AI167" s="245"/>
      <c r="AJ167" s="245"/>
      <c r="AK167" s="245"/>
      <c r="AM167" s="246"/>
    </row>
    <row r="168" ht="14.25" customHeight="1">
      <c r="N168" s="124"/>
      <c r="O168" s="124"/>
      <c r="P168" s="124"/>
      <c r="Q168" s="245"/>
      <c r="R168" s="245"/>
      <c r="S168" s="245"/>
      <c r="U168" s="246"/>
      <c r="AG168" s="124"/>
      <c r="AH168" s="124"/>
      <c r="AI168" s="245"/>
      <c r="AJ168" s="245"/>
      <c r="AK168" s="245"/>
      <c r="AM168" s="246"/>
    </row>
    <row r="169" ht="14.25" customHeight="1">
      <c r="N169" s="124"/>
      <c r="O169" s="124"/>
      <c r="P169" s="124"/>
      <c r="Q169" s="245"/>
      <c r="R169" s="245"/>
      <c r="S169" s="245"/>
      <c r="U169" s="246"/>
      <c r="AG169" s="124"/>
      <c r="AH169" s="124"/>
      <c r="AI169" s="245"/>
      <c r="AJ169" s="245"/>
      <c r="AK169" s="245"/>
      <c r="AM169" s="246"/>
    </row>
    <row r="170" ht="14.25" customHeight="1">
      <c r="N170" s="124"/>
      <c r="O170" s="124"/>
      <c r="P170" s="124"/>
      <c r="Q170" s="245"/>
      <c r="R170" s="245"/>
      <c r="S170" s="245"/>
      <c r="U170" s="246"/>
      <c r="AG170" s="124"/>
      <c r="AH170" s="124"/>
      <c r="AI170" s="245"/>
      <c r="AJ170" s="245"/>
      <c r="AK170" s="245"/>
      <c r="AM170" s="246"/>
    </row>
    <row r="171" ht="14.25" customHeight="1">
      <c r="N171" s="124"/>
      <c r="O171" s="124"/>
      <c r="P171" s="124"/>
      <c r="Q171" s="245"/>
      <c r="R171" s="245"/>
      <c r="S171" s="245"/>
      <c r="U171" s="246"/>
      <c r="AG171" s="124"/>
      <c r="AH171" s="124"/>
      <c r="AI171" s="245"/>
      <c r="AJ171" s="245"/>
      <c r="AK171" s="245"/>
      <c r="AM171" s="246"/>
    </row>
    <row r="172" ht="14.25" customHeight="1">
      <c r="N172" s="124"/>
      <c r="O172" s="124"/>
      <c r="P172" s="124"/>
      <c r="Q172" s="245"/>
      <c r="R172" s="245"/>
      <c r="S172" s="245"/>
      <c r="U172" s="246"/>
      <c r="AG172" s="124"/>
      <c r="AH172" s="124"/>
      <c r="AI172" s="245"/>
      <c r="AJ172" s="245"/>
      <c r="AK172" s="245"/>
      <c r="AM172" s="246"/>
    </row>
    <row r="173" ht="14.25" customHeight="1">
      <c r="N173" s="124"/>
      <c r="O173" s="124"/>
      <c r="P173" s="124"/>
      <c r="Q173" s="245"/>
      <c r="R173" s="245"/>
      <c r="S173" s="245"/>
      <c r="U173" s="246"/>
      <c r="AG173" s="124"/>
      <c r="AH173" s="124"/>
      <c r="AI173" s="245"/>
      <c r="AJ173" s="245"/>
      <c r="AK173" s="245"/>
      <c r="AM173" s="246"/>
    </row>
    <row r="174" ht="14.25" customHeight="1">
      <c r="N174" s="124"/>
      <c r="O174" s="124"/>
      <c r="P174" s="124"/>
      <c r="Q174" s="245"/>
      <c r="R174" s="245"/>
      <c r="S174" s="245"/>
      <c r="U174" s="246"/>
      <c r="AG174" s="124"/>
      <c r="AH174" s="124"/>
      <c r="AI174" s="245"/>
      <c r="AJ174" s="245"/>
      <c r="AK174" s="245"/>
      <c r="AM174" s="246"/>
    </row>
    <row r="175" ht="14.25" customHeight="1">
      <c r="N175" s="124"/>
      <c r="O175" s="124"/>
      <c r="P175" s="124"/>
      <c r="Q175" s="245"/>
      <c r="R175" s="245"/>
      <c r="S175" s="245"/>
      <c r="U175" s="246"/>
      <c r="AG175" s="124"/>
      <c r="AH175" s="124"/>
      <c r="AI175" s="245"/>
      <c r="AJ175" s="245"/>
      <c r="AK175" s="245"/>
      <c r="AM175" s="246"/>
    </row>
    <row r="176" ht="14.25" customHeight="1">
      <c r="N176" s="124"/>
      <c r="O176" s="124"/>
      <c r="P176" s="124"/>
      <c r="Q176" s="245"/>
      <c r="R176" s="245"/>
      <c r="S176" s="245"/>
      <c r="U176" s="246"/>
      <c r="AG176" s="124"/>
      <c r="AH176" s="124"/>
      <c r="AI176" s="245"/>
      <c r="AJ176" s="245"/>
      <c r="AK176" s="245"/>
      <c r="AM176" s="246"/>
    </row>
    <row r="177" ht="14.25" customHeight="1">
      <c r="N177" s="124"/>
      <c r="O177" s="124"/>
      <c r="P177" s="124"/>
      <c r="Q177" s="245"/>
      <c r="R177" s="245"/>
      <c r="S177" s="245"/>
      <c r="U177" s="246"/>
      <c r="AG177" s="124"/>
      <c r="AH177" s="124"/>
      <c r="AI177" s="245"/>
      <c r="AJ177" s="245"/>
      <c r="AK177" s="245"/>
      <c r="AM177" s="246"/>
    </row>
    <row r="178" ht="14.25" customHeight="1">
      <c r="N178" s="124"/>
      <c r="O178" s="124"/>
      <c r="P178" s="124"/>
      <c r="Q178" s="245"/>
      <c r="R178" s="245"/>
      <c r="S178" s="245"/>
      <c r="U178" s="246"/>
      <c r="AG178" s="124"/>
      <c r="AH178" s="124"/>
      <c r="AI178" s="245"/>
      <c r="AJ178" s="245"/>
      <c r="AK178" s="245"/>
      <c r="AM178" s="246"/>
    </row>
    <row r="179" ht="14.25" customHeight="1">
      <c r="N179" s="124"/>
      <c r="O179" s="124"/>
      <c r="P179" s="124"/>
      <c r="Q179" s="245"/>
      <c r="R179" s="245"/>
      <c r="S179" s="245"/>
      <c r="U179" s="246"/>
      <c r="AG179" s="124"/>
      <c r="AH179" s="124"/>
      <c r="AI179" s="245"/>
      <c r="AJ179" s="245"/>
      <c r="AK179" s="245"/>
      <c r="AM179" s="246"/>
    </row>
    <row r="180" ht="14.25" customHeight="1">
      <c r="N180" s="124"/>
      <c r="O180" s="124"/>
      <c r="P180" s="124"/>
      <c r="Q180" s="245"/>
      <c r="R180" s="245"/>
      <c r="S180" s="245"/>
      <c r="U180" s="246"/>
      <c r="AG180" s="124"/>
      <c r="AH180" s="124"/>
      <c r="AI180" s="245"/>
      <c r="AJ180" s="245"/>
      <c r="AK180" s="245"/>
      <c r="AM180" s="246"/>
    </row>
    <row r="181" ht="14.25" customHeight="1">
      <c r="N181" s="124"/>
      <c r="O181" s="124"/>
      <c r="P181" s="124"/>
      <c r="Q181" s="245"/>
      <c r="R181" s="245"/>
      <c r="S181" s="245"/>
      <c r="U181" s="246"/>
      <c r="AG181" s="124"/>
      <c r="AH181" s="124"/>
      <c r="AI181" s="245"/>
      <c r="AJ181" s="245"/>
      <c r="AK181" s="245"/>
      <c r="AM181" s="246"/>
    </row>
    <row r="182" ht="14.25" customHeight="1">
      <c r="N182" s="124"/>
      <c r="O182" s="124"/>
      <c r="P182" s="124"/>
      <c r="Q182" s="245"/>
      <c r="R182" s="245"/>
      <c r="S182" s="245"/>
      <c r="U182" s="246"/>
      <c r="AG182" s="124"/>
      <c r="AH182" s="124"/>
      <c r="AI182" s="245"/>
      <c r="AJ182" s="245"/>
      <c r="AK182" s="245"/>
      <c r="AM182" s="246"/>
    </row>
    <row r="183" ht="14.25" customHeight="1">
      <c r="N183" s="124"/>
      <c r="O183" s="124"/>
      <c r="P183" s="124"/>
      <c r="Q183" s="245"/>
      <c r="R183" s="245"/>
      <c r="S183" s="245"/>
      <c r="U183" s="246"/>
      <c r="AG183" s="124"/>
      <c r="AH183" s="124"/>
      <c r="AI183" s="245"/>
      <c r="AJ183" s="245"/>
      <c r="AK183" s="245"/>
      <c r="AM183" s="246"/>
    </row>
    <row r="184" ht="14.25" customHeight="1">
      <c r="N184" s="124"/>
      <c r="O184" s="124"/>
      <c r="P184" s="124"/>
      <c r="Q184" s="245"/>
      <c r="R184" s="245"/>
      <c r="S184" s="245"/>
      <c r="U184" s="246"/>
      <c r="AG184" s="124"/>
      <c r="AH184" s="124"/>
      <c r="AI184" s="245"/>
      <c r="AJ184" s="245"/>
      <c r="AK184" s="245"/>
      <c r="AM184" s="246"/>
    </row>
    <row r="185" ht="14.25" customHeight="1">
      <c r="N185" s="124"/>
      <c r="O185" s="124"/>
      <c r="P185" s="124"/>
      <c r="Q185" s="245"/>
      <c r="R185" s="245"/>
      <c r="S185" s="245"/>
      <c r="U185" s="246"/>
      <c r="AG185" s="124"/>
      <c r="AH185" s="124"/>
      <c r="AI185" s="245"/>
      <c r="AJ185" s="245"/>
      <c r="AK185" s="245"/>
      <c r="AM185" s="246"/>
    </row>
    <row r="186" ht="14.25" customHeight="1">
      <c r="N186" s="124"/>
      <c r="O186" s="124"/>
      <c r="P186" s="124"/>
      <c r="Q186" s="245"/>
      <c r="R186" s="245"/>
      <c r="S186" s="245"/>
      <c r="U186" s="246"/>
      <c r="AG186" s="124"/>
      <c r="AH186" s="124"/>
      <c r="AI186" s="245"/>
      <c r="AJ186" s="245"/>
      <c r="AK186" s="245"/>
      <c r="AM186" s="246"/>
    </row>
    <row r="187" ht="14.25" customHeight="1">
      <c r="N187" s="124"/>
      <c r="O187" s="124"/>
      <c r="P187" s="124"/>
      <c r="Q187" s="245"/>
      <c r="R187" s="245"/>
      <c r="S187" s="245"/>
      <c r="U187" s="246"/>
      <c r="AG187" s="124"/>
      <c r="AH187" s="124"/>
      <c r="AI187" s="245"/>
      <c r="AJ187" s="245"/>
      <c r="AK187" s="245"/>
      <c r="AM187" s="246"/>
    </row>
    <row r="188" ht="14.25" customHeight="1">
      <c r="N188" s="124"/>
      <c r="O188" s="124"/>
      <c r="P188" s="124"/>
      <c r="Q188" s="245"/>
      <c r="R188" s="245"/>
      <c r="S188" s="245"/>
      <c r="U188" s="246"/>
      <c r="AG188" s="124"/>
      <c r="AH188" s="124"/>
      <c r="AI188" s="245"/>
      <c r="AJ188" s="245"/>
      <c r="AK188" s="245"/>
      <c r="AM188" s="246"/>
    </row>
    <row r="189" ht="14.25" customHeight="1">
      <c r="N189" s="124"/>
      <c r="O189" s="124"/>
      <c r="P189" s="124"/>
      <c r="Q189" s="245"/>
      <c r="R189" s="245"/>
      <c r="S189" s="245"/>
      <c r="U189" s="246"/>
      <c r="AG189" s="124"/>
      <c r="AH189" s="124"/>
      <c r="AI189" s="245"/>
      <c r="AJ189" s="245"/>
      <c r="AK189" s="245"/>
      <c r="AM189" s="246"/>
    </row>
    <row r="190" ht="14.25" customHeight="1">
      <c r="N190" s="124"/>
      <c r="O190" s="124"/>
      <c r="P190" s="124"/>
      <c r="Q190" s="245"/>
      <c r="R190" s="245"/>
      <c r="S190" s="245"/>
      <c r="U190" s="246"/>
      <c r="AG190" s="124"/>
      <c r="AH190" s="124"/>
      <c r="AI190" s="245"/>
      <c r="AJ190" s="245"/>
      <c r="AK190" s="245"/>
      <c r="AM190" s="246"/>
    </row>
    <row r="191" ht="14.25" customHeight="1">
      <c r="N191" s="124"/>
      <c r="O191" s="124"/>
      <c r="P191" s="124"/>
      <c r="Q191" s="245"/>
      <c r="R191" s="245"/>
      <c r="S191" s="245"/>
      <c r="U191" s="246"/>
      <c r="AG191" s="124"/>
      <c r="AH191" s="124"/>
      <c r="AI191" s="245"/>
      <c r="AJ191" s="245"/>
      <c r="AK191" s="245"/>
      <c r="AM191" s="246"/>
    </row>
    <row r="192" ht="14.25" customHeight="1">
      <c r="N192" s="124"/>
      <c r="O192" s="124"/>
      <c r="P192" s="124"/>
      <c r="Q192" s="245"/>
      <c r="R192" s="245"/>
      <c r="S192" s="245"/>
      <c r="U192" s="246"/>
      <c r="AG192" s="124"/>
      <c r="AH192" s="124"/>
      <c r="AI192" s="245"/>
      <c r="AJ192" s="245"/>
      <c r="AK192" s="245"/>
      <c r="AM192" s="246"/>
    </row>
    <row r="193" ht="14.25" customHeight="1">
      <c r="N193" s="124"/>
      <c r="O193" s="124"/>
      <c r="P193" s="124"/>
      <c r="Q193" s="245"/>
      <c r="R193" s="245"/>
      <c r="S193" s="245"/>
      <c r="U193" s="246"/>
      <c r="AG193" s="124"/>
      <c r="AH193" s="124"/>
      <c r="AI193" s="245"/>
      <c r="AJ193" s="245"/>
      <c r="AK193" s="245"/>
      <c r="AM193" s="246"/>
    </row>
    <row r="194" ht="14.25" customHeight="1">
      <c r="N194" s="124"/>
      <c r="O194" s="124"/>
      <c r="P194" s="124"/>
      <c r="Q194" s="245"/>
      <c r="R194" s="245"/>
      <c r="S194" s="245"/>
      <c r="U194" s="246"/>
      <c r="AG194" s="124"/>
      <c r="AH194" s="124"/>
      <c r="AI194" s="245"/>
      <c r="AJ194" s="245"/>
      <c r="AK194" s="245"/>
      <c r="AM194" s="246"/>
    </row>
    <row r="195" ht="14.25" customHeight="1">
      <c r="N195" s="124"/>
      <c r="O195" s="124"/>
      <c r="P195" s="124"/>
      <c r="Q195" s="245"/>
      <c r="R195" s="245"/>
      <c r="S195" s="245"/>
      <c r="U195" s="246"/>
      <c r="AG195" s="124"/>
      <c r="AH195" s="124"/>
      <c r="AI195" s="245"/>
      <c r="AJ195" s="245"/>
      <c r="AK195" s="245"/>
      <c r="AM195" s="246"/>
    </row>
    <row r="196" ht="14.25" customHeight="1">
      <c r="N196" s="124"/>
      <c r="O196" s="124"/>
      <c r="P196" s="124"/>
      <c r="Q196" s="245"/>
      <c r="R196" s="245"/>
      <c r="S196" s="245"/>
      <c r="U196" s="246"/>
      <c r="AG196" s="124"/>
      <c r="AH196" s="124"/>
      <c r="AI196" s="245"/>
      <c r="AJ196" s="245"/>
      <c r="AK196" s="245"/>
      <c r="AM196" s="246"/>
    </row>
    <row r="197" ht="14.25" customHeight="1">
      <c r="N197" s="124"/>
      <c r="O197" s="124"/>
      <c r="P197" s="124"/>
      <c r="Q197" s="245"/>
      <c r="R197" s="245"/>
      <c r="S197" s="245"/>
      <c r="U197" s="246"/>
      <c r="AG197" s="124"/>
      <c r="AH197" s="124"/>
      <c r="AI197" s="245"/>
      <c r="AJ197" s="245"/>
      <c r="AK197" s="245"/>
      <c r="AM197" s="246"/>
    </row>
    <row r="198" ht="14.25" customHeight="1">
      <c r="N198" s="124"/>
      <c r="O198" s="124"/>
      <c r="P198" s="124"/>
      <c r="Q198" s="245"/>
      <c r="R198" s="245"/>
      <c r="S198" s="245"/>
      <c r="U198" s="246"/>
      <c r="AG198" s="124"/>
      <c r="AH198" s="124"/>
      <c r="AI198" s="245"/>
      <c r="AJ198" s="245"/>
      <c r="AK198" s="245"/>
      <c r="AM198" s="246"/>
    </row>
    <row r="199" ht="14.25" customHeight="1">
      <c r="N199" s="124"/>
      <c r="O199" s="124"/>
      <c r="P199" s="124"/>
      <c r="Q199" s="245"/>
      <c r="R199" s="245"/>
      <c r="S199" s="245"/>
      <c r="U199" s="246"/>
      <c r="AG199" s="124"/>
      <c r="AH199" s="124"/>
      <c r="AI199" s="245"/>
      <c r="AJ199" s="245"/>
      <c r="AK199" s="245"/>
      <c r="AM199" s="246"/>
    </row>
    <row r="200" ht="14.25" customHeight="1">
      <c r="N200" s="124"/>
      <c r="O200" s="124"/>
      <c r="P200" s="124"/>
      <c r="Q200" s="245"/>
      <c r="R200" s="245"/>
      <c r="S200" s="245"/>
      <c r="U200" s="246"/>
      <c r="AG200" s="124"/>
      <c r="AH200" s="124"/>
      <c r="AI200" s="245"/>
      <c r="AJ200" s="245"/>
      <c r="AK200" s="245"/>
      <c r="AM200" s="246"/>
    </row>
    <row r="201" ht="14.25" customHeight="1">
      <c r="N201" s="124"/>
      <c r="O201" s="124"/>
      <c r="P201" s="124"/>
      <c r="Q201" s="245"/>
      <c r="R201" s="245"/>
      <c r="S201" s="245"/>
      <c r="U201" s="246"/>
      <c r="AG201" s="124"/>
      <c r="AH201" s="124"/>
      <c r="AI201" s="245"/>
      <c r="AJ201" s="245"/>
      <c r="AK201" s="245"/>
      <c r="AM201" s="246"/>
    </row>
    <row r="202" ht="14.25" customHeight="1">
      <c r="N202" s="124"/>
      <c r="O202" s="124"/>
      <c r="P202" s="124"/>
      <c r="Q202" s="245"/>
      <c r="R202" s="245"/>
      <c r="S202" s="245"/>
      <c r="U202" s="246"/>
      <c r="AG202" s="124"/>
      <c r="AH202" s="124"/>
      <c r="AI202" s="245"/>
      <c r="AJ202" s="245"/>
      <c r="AK202" s="245"/>
      <c r="AM202" s="246"/>
    </row>
    <row r="203" ht="14.25" customHeight="1">
      <c r="N203" s="124"/>
      <c r="O203" s="124"/>
      <c r="P203" s="124"/>
      <c r="Q203" s="245"/>
      <c r="R203" s="245"/>
      <c r="S203" s="245"/>
      <c r="U203" s="246"/>
      <c r="AG203" s="124"/>
      <c r="AH203" s="124"/>
      <c r="AI203" s="245"/>
      <c r="AJ203" s="245"/>
      <c r="AK203" s="245"/>
      <c r="AM203" s="246"/>
    </row>
    <row r="204" ht="14.25" customHeight="1">
      <c r="N204" s="124"/>
      <c r="O204" s="124"/>
      <c r="P204" s="124"/>
      <c r="Q204" s="245"/>
      <c r="R204" s="245"/>
      <c r="S204" s="245"/>
      <c r="U204" s="246"/>
      <c r="AG204" s="124"/>
      <c r="AH204" s="124"/>
      <c r="AI204" s="245"/>
      <c r="AJ204" s="245"/>
      <c r="AK204" s="245"/>
      <c r="AM204" s="246"/>
    </row>
    <row r="205" ht="14.25" customHeight="1">
      <c r="N205" s="124"/>
      <c r="O205" s="124"/>
      <c r="P205" s="124"/>
      <c r="Q205" s="245"/>
      <c r="R205" s="245"/>
      <c r="S205" s="245"/>
      <c r="U205" s="246"/>
      <c r="AG205" s="124"/>
      <c r="AH205" s="124"/>
      <c r="AI205" s="245"/>
      <c r="AJ205" s="245"/>
      <c r="AK205" s="245"/>
      <c r="AM205" s="246"/>
    </row>
    <row r="206" ht="14.25" customHeight="1">
      <c r="N206" s="124"/>
      <c r="O206" s="124"/>
      <c r="P206" s="124"/>
      <c r="Q206" s="245"/>
      <c r="R206" s="245"/>
      <c r="S206" s="245"/>
      <c r="U206" s="246"/>
      <c r="AG206" s="124"/>
      <c r="AH206" s="124"/>
      <c r="AI206" s="245"/>
      <c r="AJ206" s="245"/>
      <c r="AK206" s="245"/>
      <c r="AM206" s="246"/>
    </row>
    <row r="207" ht="14.25" customHeight="1">
      <c r="N207" s="124"/>
      <c r="O207" s="124"/>
      <c r="P207" s="124"/>
      <c r="Q207" s="245"/>
      <c r="R207" s="245"/>
      <c r="S207" s="245"/>
      <c r="U207" s="246"/>
      <c r="AG207" s="124"/>
      <c r="AH207" s="124"/>
      <c r="AI207" s="245"/>
      <c r="AJ207" s="245"/>
      <c r="AK207" s="245"/>
      <c r="AM207" s="246"/>
    </row>
    <row r="208" ht="14.25" customHeight="1">
      <c r="N208" s="124"/>
      <c r="O208" s="124"/>
      <c r="P208" s="124"/>
      <c r="Q208" s="245"/>
      <c r="R208" s="245"/>
      <c r="S208" s="245"/>
      <c r="U208" s="246"/>
      <c r="AG208" s="124"/>
      <c r="AH208" s="124"/>
      <c r="AI208" s="245"/>
      <c r="AJ208" s="245"/>
      <c r="AK208" s="245"/>
      <c r="AM208" s="246"/>
    </row>
    <row r="209" ht="14.25" customHeight="1">
      <c r="N209" s="124"/>
      <c r="O209" s="124"/>
      <c r="P209" s="124"/>
      <c r="Q209" s="245"/>
      <c r="R209" s="245"/>
      <c r="S209" s="245"/>
      <c r="U209" s="246"/>
      <c r="AG209" s="124"/>
      <c r="AH209" s="124"/>
      <c r="AI209" s="245"/>
      <c r="AJ209" s="245"/>
      <c r="AK209" s="245"/>
      <c r="AM209" s="246"/>
    </row>
    <row r="210" ht="14.25" customHeight="1">
      <c r="N210" s="124"/>
      <c r="O210" s="124"/>
      <c r="P210" s="124"/>
      <c r="Q210" s="245"/>
      <c r="R210" s="245"/>
      <c r="S210" s="245"/>
      <c r="U210" s="246"/>
      <c r="AG210" s="124"/>
      <c r="AH210" s="124"/>
      <c r="AI210" s="245"/>
      <c r="AJ210" s="245"/>
      <c r="AK210" s="245"/>
      <c r="AM210" s="246"/>
    </row>
    <row r="211" ht="14.25" customHeight="1">
      <c r="N211" s="124"/>
      <c r="O211" s="124"/>
      <c r="P211" s="124"/>
      <c r="Q211" s="245"/>
      <c r="R211" s="245"/>
      <c r="S211" s="245"/>
      <c r="U211" s="246"/>
      <c r="AG211" s="124"/>
      <c r="AH211" s="124"/>
      <c r="AI211" s="245"/>
      <c r="AJ211" s="245"/>
      <c r="AK211" s="245"/>
      <c r="AM211" s="246"/>
    </row>
    <row r="212" ht="14.25" customHeight="1">
      <c r="N212" s="124"/>
      <c r="O212" s="124"/>
      <c r="P212" s="124"/>
      <c r="Q212" s="245"/>
      <c r="R212" s="245"/>
      <c r="S212" s="245"/>
      <c r="U212" s="246"/>
      <c r="AG212" s="124"/>
      <c r="AH212" s="124"/>
      <c r="AI212" s="245"/>
      <c r="AJ212" s="245"/>
      <c r="AK212" s="245"/>
      <c r="AM212" s="246"/>
    </row>
    <row r="213" ht="14.25" customHeight="1">
      <c r="N213" s="124"/>
      <c r="O213" s="124"/>
      <c r="P213" s="124"/>
      <c r="Q213" s="245"/>
      <c r="R213" s="245"/>
      <c r="S213" s="245"/>
      <c r="U213" s="246"/>
      <c r="AG213" s="124"/>
      <c r="AH213" s="124"/>
      <c r="AI213" s="245"/>
      <c r="AJ213" s="245"/>
      <c r="AK213" s="245"/>
      <c r="AM213" s="246"/>
    </row>
    <row r="214" ht="14.25" customHeight="1">
      <c r="N214" s="124"/>
      <c r="O214" s="124"/>
      <c r="P214" s="124"/>
      <c r="Q214" s="245"/>
      <c r="R214" s="245"/>
      <c r="S214" s="245"/>
      <c r="U214" s="246"/>
      <c r="AG214" s="124"/>
      <c r="AH214" s="124"/>
      <c r="AI214" s="245"/>
      <c r="AJ214" s="245"/>
      <c r="AK214" s="245"/>
      <c r="AM214" s="246"/>
    </row>
    <row r="215" ht="14.25" customHeight="1">
      <c r="N215" s="124"/>
      <c r="O215" s="124"/>
      <c r="P215" s="124"/>
      <c r="Q215" s="245"/>
      <c r="R215" s="245"/>
      <c r="S215" s="245"/>
      <c r="U215" s="246"/>
      <c r="AG215" s="124"/>
      <c r="AH215" s="124"/>
      <c r="AI215" s="245"/>
      <c r="AJ215" s="245"/>
      <c r="AK215" s="245"/>
      <c r="AM215" s="246"/>
    </row>
    <row r="216" ht="14.25" customHeight="1">
      <c r="N216" s="124"/>
      <c r="O216" s="124"/>
      <c r="P216" s="124"/>
      <c r="Q216" s="245"/>
      <c r="R216" s="245"/>
      <c r="S216" s="245"/>
      <c r="U216" s="246"/>
      <c r="AG216" s="124"/>
      <c r="AH216" s="124"/>
      <c r="AI216" s="245"/>
      <c r="AJ216" s="245"/>
      <c r="AK216" s="245"/>
      <c r="AM216" s="246"/>
    </row>
    <row r="217" ht="14.25" customHeight="1">
      <c r="N217" s="124"/>
      <c r="O217" s="124"/>
      <c r="P217" s="124"/>
      <c r="Q217" s="245"/>
      <c r="R217" s="245"/>
      <c r="S217" s="245"/>
      <c r="U217" s="246"/>
      <c r="AG217" s="124"/>
      <c r="AH217" s="124"/>
      <c r="AI217" s="245"/>
      <c r="AJ217" s="245"/>
      <c r="AK217" s="245"/>
      <c r="AM217" s="246"/>
    </row>
    <row r="218" ht="14.25" customHeight="1">
      <c r="N218" s="124"/>
      <c r="O218" s="124"/>
      <c r="P218" s="124"/>
      <c r="Q218" s="245"/>
      <c r="R218" s="245"/>
      <c r="S218" s="245"/>
      <c r="U218" s="246"/>
      <c r="AG218" s="124"/>
      <c r="AH218" s="124"/>
      <c r="AI218" s="245"/>
      <c r="AJ218" s="245"/>
      <c r="AK218" s="245"/>
      <c r="AM218" s="246"/>
    </row>
    <row r="219" ht="14.25" customHeight="1">
      <c r="N219" s="124"/>
      <c r="O219" s="124"/>
      <c r="P219" s="124"/>
      <c r="Q219" s="245"/>
      <c r="R219" s="245"/>
      <c r="S219" s="245"/>
      <c r="U219" s="246"/>
      <c r="AG219" s="124"/>
      <c r="AH219" s="124"/>
      <c r="AI219" s="245"/>
      <c r="AJ219" s="245"/>
      <c r="AK219" s="245"/>
      <c r="AM219" s="246"/>
    </row>
    <row r="220" ht="14.25" customHeight="1">
      <c r="N220" s="124"/>
      <c r="O220" s="124"/>
      <c r="P220" s="124"/>
      <c r="Q220" s="245"/>
      <c r="R220" s="245"/>
      <c r="S220" s="245"/>
      <c r="U220" s="246"/>
      <c r="AG220" s="124"/>
      <c r="AH220" s="124"/>
      <c r="AI220" s="245"/>
      <c r="AJ220" s="245"/>
      <c r="AK220" s="245"/>
      <c r="AM220" s="246"/>
    </row>
    <row r="221" ht="14.25" customHeight="1">
      <c r="N221" s="124"/>
      <c r="O221" s="124"/>
      <c r="P221" s="124"/>
      <c r="Q221" s="245"/>
      <c r="R221" s="245"/>
      <c r="S221" s="245"/>
      <c r="U221" s="246"/>
      <c r="AG221" s="124"/>
      <c r="AH221" s="124"/>
      <c r="AI221" s="245"/>
      <c r="AJ221" s="245"/>
      <c r="AK221" s="245"/>
      <c r="AM221" s="246"/>
    </row>
    <row r="222" ht="14.25" customHeight="1">
      <c r="N222" s="124"/>
      <c r="O222" s="124"/>
      <c r="P222" s="124"/>
      <c r="Q222" s="245"/>
      <c r="R222" s="245"/>
      <c r="S222" s="245"/>
      <c r="U222" s="246"/>
      <c r="AG222" s="124"/>
      <c r="AH222" s="124"/>
      <c r="AI222" s="245"/>
      <c r="AJ222" s="245"/>
      <c r="AK222" s="245"/>
      <c r="AM222" s="246"/>
    </row>
    <row r="223" ht="14.25" customHeight="1">
      <c r="N223" s="124"/>
      <c r="O223" s="124"/>
      <c r="P223" s="124"/>
      <c r="Q223" s="245"/>
      <c r="R223" s="245"/>
      <c r="S223" s="245"/>
      <c r="U223" s="246"/>
      <c r="AG223" s="124"/>
      <c r="AH223" s="124"/>
      <c r="AI223" s="245"/>
      <c r="AJ223" s="245"/>
      <c r="AK223" s="245"/>
      <c r="AM223" s="246"/>
    </row>
    <row r="224" ht="14.25" customHeight="1">
      <c r="N224" s="124"/>
      <c r="O224" s="124"/>
      <c r="P224" s="124"/>
      <c r="Q224" s="245"/>
      <c r="R224" s="245"/>
      <c r="S224" s="245"/>
      <c r="U224" s="246"/>
      <c r="AG224" s="124"/>
      <c r="AH224" s="124"/>
      <c r="AI224" s="245"/>
      <c r="AJ224" s="245"/>
      <c r="AK224" s="245"/>
      <c r="AM224" s="246"/>
    </row>
    <row r="225" ht="14.25" customHeight="1">
      <c r="N225" s="124"/>
      <c r="O225" s="124"/>
      <c r="P225" s="124"/>
      <c r="Q225" s="245"/>
      <c r="R225" s="245"/>
      <c r="S225" s="245"/>
      <c r="U225" s="246"/>
      <c r="AG225" s="124"/>
      <c r="AH225" s="124"/>
      <c r="AI225" s="245"/>
      <c r="AJ225" s="245"/>
      <c r="AK225" s="245"/>
      <c r="AM225" s="246"/>
    </row>
    <row r="226" ht="14.25" customHeight="1">
      <c r="N226" s="124"/>
      <c r="O226" s="124"/>
      <c r="P226" s="124"/>
      <c r="Q226" s="245"/>
      <c r="R226" s="245"/>
      <c r="S226" s="245"/>
      <c r="U226" s="246"/>
      <c r="AG226" s="124"/>
      <c r="AH226" s="124"/>
      <c r="AI226" s="245"/>
      <c r="AJ226" s="245"/>
      <c r="AK226" s="245"/>
      <c r="AM226" s="246"/>
    </row>
    <row r="227" ht="14.25" customHeight="1">
      <c r="N227" s="124"/>
      <c r="O227" s="124"/>
      <c r="P227" s="124"/>
      <c r="Q227" s="245"/>
      <c r="R227" s="245"/>
      <c r="S227" s="245"/>
      <c r="U227" s="246"/>
      <c r="AG227" s="124"/>
      <c r="AH227" s="124"/>
      <c r="AI227" s="245"/>
      <c r="AJ227" s="245"/>
      <c r="AK227" s="245"/>
      <c r="AM227" s="246"/>
    </row>
    <row r="228" ht="14.25" customHeight="1">
      <c r="N228" s="124"/>
      <c r="O228" s="124"/>
      <c r="P228" s="124"/>
      <c r="Q228" s="245"/>
      <c r="R228" s="245"/>
      <c r="S228" s="245"/>
      <c r="U228" s="246"/>
      <c r="AG228" s="124"/>
      <c r="AH228" s="124"/>
      <c r="AI228" s="245"/>
      <c r="AJ228" s="245"/>
      <c r="AK228" s="245"/>
      <c r="AM228" s="246"/>
    </row>
    <row r="229" ht="14.25" customHeight="1">
      <c r="N229" s="124"/>
      <c r="O229" s="124"/>
      <c r="P229" s="124"/>
      <c r="Q229" s="245"/>
      <c r="R229" s="245"/>
      <c r="S229" s="245"/>
      <c r="U229" s="246"/>
      <c r="AG229" s="124"/>
      <c r="AH229" s="124"/>
      <c r="AI229" s="245"/>
      <c r="AJ229" s="245"/>
      <c r="AK229" s="245"/>
      <c r="AM229" s="246"/>
    </row>
    <row r="230" ht="14.25" customHeight="1">
      <c r="N230" s="124"/>
      <c r="O230" s="124"/>
      <c r="P230" s="124"/>
      <c r="Q230" s="245"/>
      <c r="R230" s="245"/>
      <c r="S230" s="245"/>
      <c r="U230" s="246"/>
      <c r="AG230" s="124"/>
      <c r="AH230" s="124"/>
      <c r="AI230" s="245"/>
      <c r="AJ230" s="245"/>
      <c r="AK230" s="245"/>
      <c r="AM230" s="246"/>
    </row>
    <row r="231" ht="14.25" customHeight="1">
      <c r="N231" s="124"/>
      <c r="O231" s="124"/>
      <c r="P231" s="124"/>
      <c r="Q231" s="245"/>
      <c r="R231" s="245"/>
      <c r="S231" s="245"/>
      <c r="U231" s="246"/>
      <c r="AG231" s="124"/>
      <c r="AH231" s="124"/>
      <c r="AI231" s="245"/>
      <c r="AJ231" s="245"/>
      <c r="AK231" s="245"/>
      <c r="AM231" s="246"/>
    </row>
    <row r="232" ht="14.25" customHeight="1">
      <c r="N232" s="124"/>
      <c r="O232" s="124"/>
      <c r="P232" s="124"/>
      <c r="Q232" s="245"/>
      <c r="R232" s="245"/>
      <c r="S232" s="245"/>
      <c r="U232" s="246"/>
      <c r="AG232" s="124"/>
      <c r="AH232" s="124"/>
      <c r="AI232" s="245"/>
      <c r="AJ232" s="245"/>
      <c r="AK232" s="245"/>
      <c r="AM232" s="246"/>
    </row>
    <row r="233" ht="14.25" customHeight="1">
      <c r="N233" s="124"/>
      <c r="O233" s="124"/>
      <c r="P233" s="124"/>
      <c r="Q233" s="245"/>
      <c r="R233" s="245"/>
      <c r="S233" s="245"/>
      <c r="U233" s="246"/>
      <c r="AG233" s="124"/>
      <c r="AH233" s="124"/>
      <c r="AI233" s="245"/>
      <c r="AJ233" s="245"/>
      <c r="AK233" s="245"/>
      <c r="AM233" s="246"/>
    </row>
    <row r="234" ht="14.25" customHeight="1">
      <c r="N234" s="124"/>
      <c r="O234" s="124"/>
      <c r="P234" s="124"/>
      <c r="Q234" s="245"/>
      <c r="R234" s="245"/>
      <c r="S234" s="245"/>
      <c r="U234" s="246"/>
      <c r="AG234" s="124"/>
      <c r="AH234" s="124"/>
      <c r="AI234" s="245"/>
      <c r="AJ234" s="245"/>
      <c r="AK234" s="245"/>
      <c r="AM234" s="246"/>
    </row>
    <row r="235" ht="14.25" customHeight="1">
      <c r="N235" s="124"/>
      <c r="O235" s="124"/>
      <c r="P235" s="124"/>
      <c r="Q235" s="245"/>
      <c r="R235" s="245"/>
      <c r="S235" s="245"/>
      <c r="U235" s="246"/>
      <c r="AG235" s="124"/>
      <c r="AH235" s="124"/>
      <c r="AI235" s="245"/>
      <c r="AJ235" s="245"/>
      <c r="AK235" s="245"/>
      <c r="AM235" s="246"/>
    </row>
    <row r="236" ht="14.25" customHeight="1">
      <c r="N236" s="124"/>
      <c r="O236" s="124"/>
      <c r="P236" s="124"/>
      <c r="Q236" s="245"/>
      <c r="R236" s="245"/>
      <c r="S236" s="245"/>
      <c r="U236" s="246"/>
      <c r="AG236" s="124"/>
      <c r="AH236" s="124"/>
      <c r="AI236" s="245"/>
      <c r="AJ236" s="245"/>
      <c r="AK236" s="245"/>
      <c r="AM236" s="246"/>
    </row>
    <row r="237" ht="14.25" customHeight="1">
      <c r="N237" s="124"/>
      <c r="O237" s="124"/>
      <c r="P237" s="124"/>
      <c r="Q237" s="245"/>
      <c r="R237" s="245"/>
      <c r="S237" s="245"/>
      <c r="U237" s="246"/>
      <c r="AG237" s="124"/>
      <c r="AH237" s="124"/>
      <c r="AI237" s="245"/>
      <c r="AJ237" s="245"/>
      <c r="AK237" s="245"/>
      <c r="AM237" s="246"/>
    </row>
    <row r="238" ht="14.25" customHeight="1">
      <c r="N238" s="124"/>
      <c r="O238" s="124"/>
      <c r="P238" s="124"/>
      <c r="Q238" s="245"/>
      <c r="R238" s="245"/>
      <c r="S238" s="245"/>
      <c r="U238" s="246"/>
      <c r="AG238" s="124"/>
      <c r="AH238" s="124"/>
      <c r="AI238" s="245"/>
      <c r="AJ238" s="245"/>
      <c r="AK238" s="245"/>
      <c r="AM238" s="246"/>
    </row>
    <row r="239" ht="14.25" customHeight="1">
      <c r="N239" s="124"/>
      <c r="O239" s="124"/>
      <c r="P239" s="124"/>
      <c r="Q239" s="245"/>
      <c r="R239" s="245"/>
      <c r="S239" s="245"/>
      <c r="U239" s="246"/>
      <c r="AG239" s="124"/>
      <c r="AH239" s="124"/>
      <c r="AI239" s="245"/>
      <c r="AJ239" s="245"/>
      <c r="AK239" s="245"/>
      <c r="AM239" s="246"/>
    </row>
    <row r="240" ht="14.25" customHeight="1">
      <c r="N240" s="124"/>
      <c r="O240" s="124"/>
      <c r="P240" s="124"/>
      <c r="Q240" s="245"/>
      <c r="R240" s="245"/>
      <c r="S240" s="245"/>
      <c r="U240" s="246"/>
      <c r="AG240" s="124"/>
      <c r="AH240" s="124"/>
      <c r="AI240" s="245"/>
      <c r="AJ240" s="245"/>
      <c r="AK240" s="245"/>
      <c r="AM240" s="246"/>
    </row>
    <row r="241" ht="14.25" customHeight="1">
      <c r="N241" s="124"/>
      <c r="O241" s="124"/>
      <c r="P241" s="124"/>
      <c r="Q241" s="245"/>
      <c r="R241" s="245"/>
      <c r="S241" s="245"/>
      <c r="U241" s="246"/>
      <c r="AG241" s="124"/>
      <c r="AH241" s="124"/>
      <c r="AI241" s="245"/>
      <c r="AJ241" s="245"/>
      <c r="AK241" s="245"/>
      <c r="AM241" s="246"/>
    </row>
    <row r="242" ht="14.25" customHeight="1">
      <c r="N242" s="124"/>
      <c r="O242" s="124"/>
      <c r="P242" s="124"/>
      <c r="Q242" s="245"/>
      <c r="R242" s="245"/>
      <c r="S242" s="245"/>
      <c r="U242" s="246"/>
      <c r="AG242" s="124"/>
      <c r="AH242" s="124"/>
      <c r="AI242" s="245"/>
      <c r="AJ242" s="245"/>
      <c r="AK242" s="245"/>
      <c r="AM242" s="246"/>
    </row>
    <row r="243" ht="14.25" customHeight="1">
      <c r="N243" s="124"/>
      <c r="O243" s="124"/>
      <c r="P243" s="124"/>
      <c r="Q243" s="245"/>
      <c r="R243" s="245"/>
      <c r="S243" s="245"/>
      <c r="U243" s="246"/>
      <c r="AG243" s="124"/>
      <c r="AH243" s="124"/>
      <c r="AI243" s="245"/>
      <c r="AJ243" s="245"/>
      <c r="AK243" s="245"/>
      <c r="AM243" s="246"/>
    </row>
    <row r="244" ht="14.25" customHeight="1">
      <c r="N244" s="124"/>
      <c r="O244" s="124"/>
      <c r="P244" s="124"/>
      <c r="Q244" s="245"/>
      <c r="R244" s="245"/>
      <c r="S244" s="245"/>
      <c r="U244" s="246"/>
      <c r="AG244" s="124"/>
      <c r="AH244" s="124"/>
      <c r="AI244" s="245"/>
      <c r="AJ244" s="245"/>
      <c r="AK244" s="245"/>
      <c r="AM244" s="246"/>
    </row>
    <row r="245" ht="14.25" customHeight="1">
      <c r="N245" s="124"/>
      <c r="O245" s="124"/>
      <c r="P245" s="124"/>
      <c r="Q245" s="245"/>
      <c r="R245" s="245"/>
      <c r="S245" s="245"/>
      <c r="U245" s="246"/>
      <c r="AG245" s="124"/>
      <c r="AH245" s="124"/>
      <c r="AI245" s="245"/>
      <c r="AJ245" s="245"/>
      <c r="AK245" s="245"/>
      <c r="AM245" s="246"/>
    </row>
    <row r="246" ht="14.25" customHeight="1">
      <c r="N246" s="124"/>
      <c r="O246" s="124"/>
      <c r="P246" s="124"/>
      <c r="Q246" s="245"/>
      <c r="R246" s="245"/>
      <c r="S246" s="245"/>
      <c r="U246" s="246"/>
      <c r="AG246" s="124"/>
      <c r="AH246" s="124"/>
      <c r="AI246" s="245"/>
      <c r="AJ246" s="245"/>
      <c r="AK246" s="245"/>
      <c r="AM246" s="246"/>
    </row>
    <row r="247" ht="14.25" customHeight="1">
      <c r="N247" s="124"/>
      <c r="O247" s="124"/>
      <c r="P247" s="124"/>
      <c r="Q247" s="245"/>
      <c r="R247" s="245"/>
      <c r="S247" s="245"/>
      <c r="U247" s="246"/>
      <c r="AG247" s="124"/>
      <c r="AH247" s="124"/>
      <c r="AI247" s="245"/>
      <c r="AJ247" s="245"/>
      <c r="AK247" s="245"/>
      <c r="AM247" s="246"/>
    </row>
    <row r="248" ht="14.25" customHeight="1">
      <c r="N248" s="124"/>
      <c r="O248" s="124"/>
      <c r="P248" s="124"/>
      <c r="Q248" s="245"/>
      <c r="R248" s="245"/>
      <c r="S248" s="245"/>
      <c r="U248" s="246"/>
      <c r="AG248" s="124"/>
      <c r="AH248" s="124"/>
      <c r="AI248" s="245"/>
      <c r="AJ248" s="245"/>
      <c r="AK248" s="245"/>
      <c r="AM248" s="246"/>
    </row>
    <row r="249" ht="14.25" customHeight="1">
      <c r="N249" s="124"/>
      <c r="O249" s="124"/>
      <c r="P249" s="124"/>
      <c r="Q249" s="245"/>
      <c r="R249" s="245"/>
      <c r="S249" s="245"/>
      <c r="U249" s="246"/>
      <c r="AG249" s="124"/>
      <c r="AH249" s="124"/>
      <c r="AI249" s="245"/>
      <c r="AJ249" s="245"/>
      <c r="AK249" s="245"/>
      <c r="AM249" s="246"/>
    </row>
    <row r="250" ht="14.25" customHeight="1">
      <c r="N250" s="124"/>
      <c r="O250" s="124"/>
      <c r="P250" s="124"/>
      <c r="Q250" s="245"/>
      <c r="R250" s="245"/>
      <c r="S250" s="245"/>
      <c r="U250" s="246"/>
      <c r="AG250" s="124"/>
      <c r="AH250" s="124"/>
      <c r="AI250" s="245"/>
      <c r="AJ250" s="245"/>
      <c r="AK250" s="245"/>
      <c r="AM250" s="246"/>
    </row>
    <row r="251" ht="14.25" customHeight="1">
      <c r="N251" s="124"/>
      <c r="O251" s="124"/>
      <c r="P251" s="124"/>
      <c r="Q251" s="245"/>
      <c r="R251" s="245"/>
      <c r="S251" s="245"/>
      <c r="U251" s="246"/>
      <c r="AG251" s="124"/>
      <c r="AH251" s="124"/>
      <c r="AI251" s="245"/>
      <c r="AJ251" s="245"/>
      <c r="AK251" s="245"/>
      <c r="AM251" s="246"/>
    </row>
    <row r="252" ht="14.25" customHeight="1">
      <c r="N252" s="124"/>
      <c r="O252" s="124"/>
      <c r="P252" s="124"/>
      <c r="Q252" s="245"/>
      <c r="R252" s="245"/>
      <c r="S252" s="245"/>
      <c r="U252" s="246"/>
      <c r="AG252" s="124"/>
      <c r="AH252" s="124"/>
      <c r="AI252" s="245"/>
      <c r="AJ252" s="245"/>
      <c r="AK252" s="245"/>
      <c r="AM252" s="246"/>
    </row>
    <row r="253" ht="14.25" customHeight="1">
      <c r="N253" s="124"/>
      <c r="O253" s="124"/>
      <c r="P253" s="124"/>
      <c r="Q253" s="245"/>
      <c r="R253" s="245"/>
      <c r="S253" s="245"/>
      <c r="U253" s="246"/>
      <c r="AG253" s="124"/>
      <c r="AH253" s="124"/>
      <c r="AI253" s="245"/>
      <c r="AJ253" s="245"/>
      <c r="AK253" s="245"/>
      <c r="AM253" s="246"/>
    </row>
    <row r="254" ht="14.25" customHeight="1">
      <c r="N254" s="124"/>
      <c r="O254" s="124"/>
      <c r="P254" s="124"/>
      <c r="Q254" s="245"/>
      <c r="R254" s="245"/>
      <c r="S254" s="245"/>
      <c r="U254" s="246"/>
      <c r="AG254" s="124"/>
      <c r="AH254" s="124"/>
      <c r="AI254" s="245"/>
      <c r="AJ254" s="245"/>
      <c r="AK254" s="245"/>
      <c r="AM254" s="246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3:A4"/>
    <mergeCell ref="B3:B4"/>
    <mergeCell ref="C3:C4"/>
    <mergeCell ref="D3:H3"/>
    <mergeCell ref="I3:K3"/>
    <mergeCell ref="L3:P3"/>
    <mergeCell ref="Q3:S3"/>
    <mergeCell ref="AE3:AH3"/>
    <mergeCell ref="AI3:AK3"/>
    <mergeCell ref="AL3:AL4"/>
    <mergeCell ref="AM3:AM4"/>
    <mergeCell ref="AN15:AQ16"/>
    <mergeCell ref="AA3:AA4"/>
    <mergeCell ref="AA11:AA13"/>
    <mergeCell ref="AA14:AA16"/>
    <mergeCell ref="AA21:AA23"/>
    <mergeCell ref="AA24:AA25"/>
    <mergeCell ref="AA26:AA33"/>
    <mergeCell ref="AA34:AA50"/>
    <mergeCell ref="T3:T4"/>
    <mergeCell ref="U3:U4"/>
    <mergeCell ref="Z3:Z4"/>
    <mergeCell ref="AB3:AB4"/>
    <mergeCell ref="AC3:AC4"/>
    <mergeCell ref="AD3:AD4"/>
    <mergeCell ref="AC7:AC9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 outlineLevelCol="1"/>
  <cols>
    <col customWidth="1" min="1" max="1" width="5.57"/>
    <col customWidth="1" min="2" max="2" width="13.14"/>
    <col customWidth="1" min="3" max="3" width="36.86"/>
    <col customWidth="1" min="4" max="6" width="11.86"/>
    <col customWidth="1" min="7" max="8" width="11.14"/>
    <col customWidth="1" hidden="1" min="9" max="9" width="11.14"/>
    <col customWidth="1" min="10" max="10" width="8.71"/>
    <col customWidth="1" min="11" max="11" width="12.14"/>
    <col customWidth="1" min="12" max="14" width="11.57"/>
    <col customWidth="1" min="15" max="15" width="13.0"/>
    <col customWidth="1" hidden="1" min="16" max="18" width="13.0"/>
    <col customWidth="1" hidden="1" min="19" max="19" width="14.57"/>
    <col customWidth="1" hidden="1" min="20" max="20" width="7.14"/>
    <col customWidth="1" hidden="1" min="21" max="21" width="8.71"/>
    <col customWidth="1" min="22" max="23" width="8.71"/>
    <col customWidth="1" min="24" max="24" width="5.57"/>
    <col customWidth="1" min="25" max="25" width="13.14"/>
    <col customWidth="1" min="26" max="26" width="36.86"/>
    <col customWidth="1" min="27" max="27" width="11.86"/>
    <col customWidth="1" hidden="1" min="28" max="28" width="11.14"/>
    <col customWidth="1" min="29" max="29" width="8.71"/>
    <col customWidth="1" min="30" max="30" width="12.14"/>
    <col customWidth="1" min="31" max="32" width="11.57"/>
    <col customWidth="1" hidden="1" min="33" max="35" width="13.0"/>
    <col customWidth="1" hidden="1" min="36" max="36" width="14.57"/>
    <col customWidth="1" hidden="1" min="37" max="37" width="7.14"/>
    <col customWidth="1" hidden="1" min="38" max="38" width="8.71"/>
  </cols>
  <sheetData>
    <row r="1" ht="14.25" customHeight="1">
      <c r="A1" s="24" t="s">
        <v>58</v>
      </c>
      <c r="O1" s="27"/>
      <c r="P1" s="27"/>
      <c r="Q1" s="27"/>
      <c r="R1" s="27"/>
      <c r="X1" s="24" t="s">
        <v>69</v>
      </c>
      <c r="AG1" s="27"/>
      <c r="AH1" s="27"/>
      <c r="AI1" s="27"/>
    </row>
    <row r="2" ht="14.25" customHeight="1">
      <c r="A2" s="24" t="s">
        <v>731</v>
      </c>
      <c r="O2" s="27"/>
      <c r="P2" s="27"/>
      <c r="Q2" s="27"/>
      <c r="R2" s="27"/>
      <c r="X2" s="24" t="s">
        <v>731</v>
      </c>
      <c r="AG2" s="27"/>
      <c r="AH2" s="27"/>
      <c r="AI2" s="27"/>
    </row>
    <row r="3" ht="14.25" customHeight="1">
      <c r="A3" s="28" t="s">
        <v>84</v>
      </c>
      <c r="B3" s="28" t="s">
        <v>105</v>
      </c>
      <c r="C3" s="28" t="s">
        <v>109</v>
      </c>
      <c r="D3" s="30" t="s">
        <v>438</v>
      </c>
      <c r="E3" s="31"/>
      <c r="F3" s="31"/>
      <c r="G3" s="31"/>
      <c r="H3" s="35"/>
      <c r="I3" s="28" t="s">
        <v>140</v>
      </c>
      <c r="J3" s="39" t="s">
        <v>166</v>
      </c>
      <c r="K3" s="31"/>
      <c r="L3" s="31"/>
      <c r="M3" s="31"/>
      <c r="N3" s="35"/>
      <c r="O3" s="263" t="s">
        <v>542</v>
      </c>
      <c r="P3" s="264" t="s">
        <v>140</v>
      </c>
      <c r="Q3" s="31"/>
      <c r="R3" s="35"/>
      <c r="S3" s="29" t="s">
        <v>171</v>
      </c>
      <c r="T3" s="29" t="s">
        <v>172</v>
      </c>
      <c r="X3" s="28" t="s">
        <v>84</v>
      </c>
      <c r="Y3" s="28" t="s">
        <v>105</v>
      </c>
      <c r="Z3" s="28" t="s">
        <v>109</v>
      </c>
      <c r="AA3" s="29" t="s">
        <v>112</v>
      </c>
      <c r="AB3" s="28" t="s">
        <v>140</v>
      </c>
      <c r="AC3" s="39" t="s">
        <v>166</v>
      </c>
      <c r="AD3" s="31"/>
      <c r="AE3" s="31"/>
      <c r="AF3" s="35"/>
      <c r="AG3" s="264" t="s">
        <v>140</v>
      </c>
      <c r="AH3" s="31"/>
      <c r="AI3" s="35"/>
      <c r="AJ3" s="29" t="s">
        <v>171</v>
      </c>
      <c r="AK3" s="29" t="s">
        <v>172</v>
      </c>
    </row>
    <row r="4" ht="14.25" customHeight="1">
      <c r="A4" s="42"/>
      <c r="B4" s="42"/>
      <c r="C4" s="42"/>
      <c r="D4" s="43" t="s">
        <v>199</v>
      </c>
      <c r="E4" s="43" t="s">
        <v>200</v>
      </c>
      <c r="F4" s="43" t="s">
        <v>441</v>
      </c>
      <c r="G4" s="43" t="s">
        <v>442</v>
      </c>
      <c r="H4" s="43" t="s">
        <v>207</v>
      </c>
      <c r="I4" s="42"/>
      <c r="J4" s="43" t="s">
        <v>199</v>
      </c>
      <c r="K4" s="43" t="s">
        <v>200</v>
      </c>
      <c r="L4" s="43" t="s">
        <v>441</v>
      </c>
      <c r="M4" s="43" t="s">
        <v>442</v>
      </c>
      <c r="N4" s="43" t="s">
        <v>207</v>
      </c>
      <c r="O4" s="42"/>
      <c r="P4" s="43" t="s">
        <v>199</v>
      </c>
      <c r="Q4" s="43" t="s">
        <v>200</v>
      </c>
      <c r="R4" s="43" t="s">
        <v>201</v>
      </c>
      <c r="S4" s="42"/>
      <c r="T4" s="42"/>
      <c r="X4" s="42"/>
      <c r="Y4" s="42"/>
      <c r="Z4" s="42"/>
      <c r="AA4" s="42"/>
      <c r="AB4" s="42"/>
      <c r="AC4" s="43" t="s">
        <v>199</v>
      </c>
      <c r="AD4" s="43" t="s">
        <v>200</v>
      </c>
      <c r="AE4" s="43" t="s">
        <v>201</v>
      </c>
      <c r="AF4" s="43" t="s">
        <v>207</v>
      </c>
      <c r="AG4" s="43" t="s">
        <v>199</v>
      </c>
      <c r="AH4" s="43" t="s">
        <v>200</v>
      </c>
      <c r="AI4" s="43" t="s">
        <v>201</v>
      </c>
      <c r="AJ4" s="42"/>
      <c r="AK4" s="42"/>
    </row>
    <row r="5" ht="14.25" customHeight="1">
      <c r="A5" s="134" t="s">
        <v>218</v>
      </c>
      <c r="B5" s="136"/>
      <c r="C5" s="136"/>
      <c r="D5" s="265">
        <f t="shared" ref="D5:H5" si="1">SUM(D6:D26)</f>
        <v>9</v>
      </c>
      <c r="E5" s="265">
        <f t="shared" si="1"/>
        <v>2</v>
      </c>
      <c r="F5" s="265">
        <f t="shared" si="1"/>
        <v>22</v>
      </c>
      <c r="G5" s="265">
        <f t="shared" si="1"/>
        <v>0</v>
      </c>
      <c r="H5" s="265">
        <f t="shared" si="1"/>
        <v>33</v>
      </c>
      <c r="I5" s="136"/>
      <c r="J5" s="265">
        <f t="shared" ref="J5:O5" si="2">SUM(J6:J26)</f>
        <v>9</v>
      </c>
      <c r="K5" s="265">
        <f t="shared" si="2"/>
        <v>2</v>
      </c>
      <c r="L5" s="265">
        <f t="shared" si="2"/>
        <v>22</v>
      </c>
      <c r="M5" s="265">
        <f t="shared" si="2"/>
        <v>0</v>
      </c>
      <c r="N5" s="265">
        <f t="shared" si="2"/>
        <v>33</v>
      </c>
      <c r="O5" s="265">
        <f t="shared" si="2"/>
        <v>0</v>
      </c>
      <c r="P5" s="266">
        <v>5.5081835E7</v>
      </c>
      <c r="Q5" s="266">
        <v>9272942.0</v>
      </c>
      <c r="R5" s="53">
        <f>SUM(R6:R26)</f>
        <v>24800000</v>
      </c>
      <c r="S5" s="51"/>
      <c r="T5" s="51"/>
      <c r="X5" s="49" t="s">
        <v>218</v>
      </c>
      <c r="Y5" s="142"/>
      <c r="Z5" s="142"/>
      <c r="AA5" s="51">
        <f>SUM(AA6:AA34)</f>
        <v>24</v>
      </c>
      <c r="AB5" s="142"/>
      <c r="AC5" s="51">
        <f t="shared" ref="AC5:AE5" si="3">SUM(AC6:AC34)</f>
        <v>9</v>
      </c>
      <c r="AD5" s="51">
        <f t="shared" si="3"/>
        <v>3</v>
      </c>
      <c r="AE5" s="51">
        <f t="shared" si="3"/>
        <v>10</v>
      </c>
      <c r="AF5" s="51"/>
      <c r="AG5" s="266">
        <v>5.5081835E7</v>
      </c>
      <c r="AH5" s="266">
        <v>9272942.0</v>
      </c>
      <c r="AI5" s="53">
        <f>SUM(AI6:AI34)</f>
        <v>24800000</v>
      </c>
      <c r="AJ5" s="51"/>
      <c r="AK5" s="51"/>
    </row>
    <row r="6" ht="14.25" customHeight="1">
      <c r="A6" s="65">
        <v>1.0</v>
      </c>
      <c r="B6" s="84" t="s">
        <v>314</v>
      </c>
      <c r="C6" s="66" t="s">
        <v>316</v>
      </c>
      <c r="D6" s="113"/>
      <c r="E6" s="113"/>
      <c r="F6" s="113"/>
      <c r="G6" s="116"/>
      <c r="H6" s="115">
        <f t="shared" ref="H6:H26" si="4">SUM(D6:G6)</f>
        <v>0</v>
      </c>
      <c r="I6" s="116"/>
      <c r="J6" s="113"/>
      <c r="K6" s="113"/>
      <c r="L6" s="116"/>
      <c r="M6" s="116"/>
      <c r="N6" s="115">
        <f t="shared" ref="N6:N26" si="5">SUM(J6:M6)</f>
        <v>0</v>
      </c>
      <c r="O6" s="115">
        <f t="shared" ref="O6:O26" si="6">H6-N6</f>
        <v>0</v>
      </c>
      <c r="P6" s="267"/>
      <c r="Q6" s="267"/>
      <c r="R6" s="267"/>
      <c r="S6" s="59"/>
      <c r="T6" s="59"/>
      <c r="X6" s="56">
        <v>1.0</v>
      </c>
      <c r="Y6" s="85" t="s">
        <v>314</v>
      </c>
      <c r="Z6" s="57" t="s">
        <v>316</v>
      </c>
      <c r="AA6" s="59"/>
      <c r="AB6" s="58"/>
      <c r="AC6" s="58"/>
      <c r="AD6" s="58"/>
      <c r="AE6" s="58"/>
      <c r="AF6" s="58">
        <f t="shared" ref="AF6:AF34" si="7">SUM(AC6:AE6)</f>
        <v>0</v>
      </c>
      <c r="AG6" s="267"/>
      <c r="AH6" s="267"/>
      <c r="AI6" s="267"/>
      <c r="AJ6" s="59"/>
      <c r="AK6" s="59"/>
    </row>
    <row r="7" ht="14.25" customHeight="1">
      <c r="A7" s="65"/>
      <c r="B7" s="15"/>
      <c r="C7" s="66" t="s">
        <v>331</v>
      </c>
      <c r="D7" s="113"/>
      <c r="E7" s="113"/>
      <c r="F7" s="113"/>
      <c r="G7" s="116"/>
      <c r="H7" s="115">
        <f t="shared" si="4"/>
        <v>0</v>
      </c>
      <c r="I7" s="116"/>
      <c r="J7" s="113"/>
      <c r="K7" s="113"/>
      <c r="L7" s="116"/>
      <c r="M7" s="116"/>
      <c r="N7" s="115">
        <f t="shared" si="5"/>
        <v>0</v>
      </c>
      <c r="O7" s="115">
        <f t="shared" si="6"/>
        <v>0</v>
      </c>
      <c r="P7" s="268"/>
      <c r="Q7" s="268"/>
      <c r="R7" s="268"/>
      <c r="S7" s="60"/>
      <c r="T7" s="60"/>
      <c r="X7" s="65"/>
      <c r="Y7" s="15"/>
      <c r="Z7" s="66" t="s">
        <v>331</v>
      </c>
      <c r="AA7" s="60">
        <v>1.0</v>
      </c>
      <c r="AB7" s="67"/>
      <c r="AC7" s="67"/>
      <c r="AD7" s="67"/>
      <c r="AE7" s="67">
        <v>1.0</v>
      </c>
      <c r="AF7" s="58">
        <f t="shared" si="7"/>
        <v>1</v>
      </c>
      <c r="AG7" s="268"/>
      <c r="AH7" s="268"/>
      <c r="AI7" s="268"/>
      <c r="AJ7" s="60"/>
      <c r="AK7" s="60"/>
    </row>
    <row r="8" ht="14.25" customHeight="1">
      <c r="A8" s="65"/>
      <c r="B8" s="22"/>
      <c r="C8" s="66" t="s">
        <v>734</v>
      </c>
      <c r="D8" s="113"/>
      <c r="E8" s="113"/>
      <c r="F8" s="116">
        <v>2.0</v>
      </c>
      <c r="G8" s="116"/>
      <c r="H8" s="115">
        <f t="shared" si="4"/>
        <v>2</v>
      </c>
      <c r="I8" s="116"/>
      <c r="J8" s="113"/>
      <c r="K8" s="113"/>
      <c r="L8" s="116">
        <v>2.0</v>
      </c>
      <c r="M8" s="116"/>
      <c r="N8" s="115">
        <f t="shared" si="5"/>
        <v>2</v>
      </c>
      <c r="O8" s="115">
        <f t="shared" si="6"/>
        <v>0</v>
      </c>
      <c r="P8" s="268"/>
      <c r="Q8" s="268"/>
      <c r="R8" s="268">
        <f>115000*20</f>
        <v>2300000</v>
      </c>
      <c r="S8" s="60"/>
      <c r="T8" s="60"/>
      <c r="X8" s="65"/>
      <c r="Y8" s="22"/>
      <c r="Z8" s="66" t="s">
        <v>349</v>
      </c>
      <c r="AA8" s="60"/>
      <c r="AB8" s="67"/>
      <c r="AC8" s="67"/>
      <c r="AD8" s="67"/>
      <c r="AE8" s="67"/>
      <c r="AF8" s="58">
        <f t="shared" si="7"/>
        <v>0</v>
      </c>
      <c r="AG8" s="268"/>
      <c r="AH8" s="268"/>
      <c r="AI8" s="268">
        <f>115000*20</f>
        <v>2300000</v>
      </c>
      <c r="AJ8" s="60"/>
      <c r="AK8" s="60"/>
    </row>
    <row r="9" ht="14.25" customHeight="1">
      <c r="A9" s="65">
        <v>2.0</v>
      </c>
      <c r="B9" s="102" t="s">
        <v>461</v>
      </c>
      <c r="C9" s="66" t="s">
        <v>735</v>
      </c>
      <c r="D9" s="113"/>
      <c r="E9" s="113"/>
      <c r="F9" s="116">
        <v>2.0</v>
      </c>
      <c r="G9" s="116"/>
      <c r="H9" s="115">
        <f t="shared" si="4"/>
        <v>2</v>
      </c>
      <c r="I9" s="116"/>
      <c r="J9" s="113"/>
      <c r="K9" s="113"/>
      <c r="L9" s="116">
        <v>2.0</v>
      </c>
      <c r="M9" s="116"/>
      <c r="N9" s="115">
        <f t="shared" si="5"/>
        <v>2</v>
      </c>
      <c r="O9" s="115">
        <f t="shared" si="6"/>
        <v>0</v>
      </c>
      <c r="P9" s="268"/>
      <c r="Q9" s="268"/>
      <c r="R9" s="268">
        <f>(150000*25)+(100000*20)+(150000*25)</f>
        <v>9500000</v>
      </c>
      <c r="S9" s="60"/>
      <c r="T9" s="60"/>
      <c r="U9" s="127" t="s">
        <v>736</v>
      </c>
      <c r="X9" s="65">
        <v>2.0</v>
      </c>
      <c r="Y9" s="66" t="s">
        <v>360</v>
      </c>
      <c r="Z9" s="66"/>
      <c r="AA9" s="60"/>
      <c r="AB9" s="67"/>
      <c r="AC9" s="67"/>
      <c r="AD9" s="67"/>
      <c r="AE9" s="67"/>
      <c r="AF9" s="58">
        <f t="shared" si="7"/>
        <v>0</v>
      </c>
      <c r="AG9" s="268"/>
      <c r="AH9" s="268"/>
      <c r="AI9" s="268"/>
      <c r="AJ9" s="60"/>
      <c r="AK9" s="60"/>
    </row>
    <row r="10" ht="14.25" customHeight="1">
      <c r="A10" s="65"/>
      <c r="B10" s="102"/>
      <c r="C10" s="66" t="s">
        <v>737</v>
      </c>
      <c r="D10" s="113"/>
      <c r="E10" s="113"/>
      <c r="F10" s="116">
        <v>2.0</v>
      </c>
      <c r="G10" s="116"/>
      <c r="H10" s="115">
        <f t="shared" si="4"/>
        <v>2</v>
      </c>
      <c r="I10" s="116"/>
      <c r="J10" s="113"/>
      <c r="K10" s="113"/>
      <c r="L10" s="116">
        <v>2.0</v>
      </c>
      <c r="M10" s="116"/>
      <c r="N10" s="115">
        <f t="shared" si="5"/>
        <v>2</v>
      </c>
      <c r="O10" s="115">
        <f t="shared" si="6"/>
        <v>0</v>
      </c>
      <c r="P10" s="268"/>
      <c r="Q10" s="268"/>
      <c r="R10" s="268"/>
      <c r="S10" s="60"/>
      <c r="T10" s="60"/>
      <c r="X10" s="65">
        <v>3.0</v>
      </c>
      <c r="Y10" s="66" t="s">
        <v>375</v>
      </c>
      <c r="Z10" s="66"/>
      <c r="AA10" s="60"/>
      <c r="AB10" s="67"/>
      <c r="AC10" s="67"/>
      <c r="AD10" s="67"/>
      <c r="AE10" s="67"/>
      <c r="AF10" s="58">
        <f t="shared" si="7"/>
        <v>0</v>
      </c>
      <c r="AG10" s="268"/>
      <c r="AH10" s="268"/>
      <c r="AI10" s="268"/>
      <c r="AJ10" s="60"/>
      <c r="AK10" s="60"/>
    </row>
    <row r="11" ht="14.25" customHeight="1">
      <c r="A11" s="65"/>
      <c r="B11" s="102"/>
      <c r="C11" s="66" t="s">
        <v>434</v>
      </c>
      <c r="D11" s="113"/>
      <c r="E11" s="113"/>
      <c r="F11" s="116">
        <v>3.0</v>
      </c>
      <c r="G11" s="116"/>
      <c r="H11" s="115">
        <f t="shared" si="4"/>
        <v>3</v>
      </c>
      <c r="I11" s="116"/>
      <c r="J11" s="113"/>
      <c r="K11" s="113"/>
      <c r="L11" s="116">
        <v>3.0</v>
      </c>
      <c r="M11" s="116"/>
      <c r="N11" s="115">
        <f t="shared" si="5"/>
        <v>3</v>
      </c>
      <c r="O11" s="115">
        <f t="shared" si="6"/>
        <v>0</v>
      </c>
      <c r="P11" s="268"/>
      <c r="Q11" s="268"/>
      <c r="R11" s="268">
        <v>3500000.0</v>
      </c>
      <c r="S11" s="60"/>
      <c r="T11" s="60"/>
      <c r="U11" s="127" t="s">
        <v>738</v>
      </c>
      <c r="X11" s="65">
        <v>4.0</v>
      </c>
      <c r="Y11" s="84" t="s">
        <v>405</v>
      </c>
      <c r="Z11" s="66" t="s">
        <v>56</v>
      </c>
      <c r="AA11" s="60"/>
      <c r="AB11" s="67"/>
      <c r="AC11" s="67"/>
      <c r="AD11" s="67"/>
      <c r="AE11" s="67"/>
      <c r="AF11" s="58">
        <f t="shared" si="7"/>
        <v>0</v>
      </c>
      <c r="AG11" s="268"/>
      <c r="AH11" s="268"/>
      <c r="AI11" s="268"/>
      <c r="AJ11" s="60"/>
      <c r="AK11" s="60"/>
    </row>
    <row r="12" ht="14.25" customHeight="1">
      <c r="A12" s="65">
        <v>3.0</v>
      </c>
      <c r="B12" s="102" t="s">
        <v>65</v>
      </c>
      <c r="C12" s="66" t="s">
        <v>435</v>
      </c>
      <c r="D12" s="113"/>
      <c r="E12" s="113">
        <v>1.0</v>
      </c>
      <c r="F12" s="116"/>
      <c r="G12" s="116"/>
      <c r="H12" s="115">
        <f t="shared" si="4"/>
        <v>1</v>
      </c>
      <c r="I12" s="116"/>
      <c r="J12" s="113"/>
      <c r="K12" s="113">
        <v>1.0</v>
      </c>
      <c r="L12" s="116"/>
      <c r="M12" s="116"/>
      <c r="N12" s="115">
        <f t="shared" si="5"/>
        <v>1</v>
      </c>
      <c r="O12" s="115">
        <f t="shared" si="6"/>
        <v>0</v>
      </c>
      <c r="P12" s="268"/>
      <c r="Q12" s="268"/>
      <c r="R12" s="268"/>
      <c r="S12" s="60"/>
      <c r="T12" s="60"/>
      <c r="X12" s="65"/>
      <c r="Y12" s="15"/>
      <c r="Z12" s="66" t="s">
        <v>461</v>
      </c>
      <c r="AA12" s="60">
        <v>2.0</v>
      </c>
      <c r="AB12" s="67"/>
      <c r="AC12" s="67"/>
      <c r="AD12" s="67"/>
      <c r="AE12" s="67">
        <v>3.0</v>
      </c>
      <c r="AF12" s="58">
        <f t="shared" si="7"/>
        <v>3</v>
      </c>
      <c r="AG12" s="268"/>
      <c r="AH12" s="268"/>
      <c r="AI12" s="268">
        <f>(150000*25)+(100000*20)+(150000*25)</f>
        <v>9500000</v>
      </c>
      <c r="AJ12" s="60"/>
      <c r="AK12" s="60"/>
      <c r="AL12" s="127" t="s">
        <v>736</v>
      </c>
    </row>
    <row r="13" ht="14.25" customHeight="1">
      <c r="A13" s="67"/>
      <c r="B13" s="102"/>
      <c r="C13" s="66" t="s">
        <v>558</v>
      </c>
      <c r="D13" s="113"/>
      <c r="E13" s="113">
        <v>1.0</v>
      </c>
      <c r="F13" s="116"/>
      <c r="G13" s="116"/>
      <c r="H13" s="115">
        <f t="shared" si="4"/>
        <v>1</v>
      </c>
      <c r="I13" s="116"/>
      <c r="J13" s="113"/>
      <c r="K13" s="113">
        <v>1.0</v>
      </c>
      <c r="L13" s="116"/>
      <c r="M13" s="116"/>
      <c r="N13" s="115">
        <f t="shared" si="5"/>
        <v>1</v>
      </c>
      <c r="O13" s="115">
        <f t="shared" si="6"/>
        <v>0</v>
      </c>
      <c r="P13" s="268"/>
      <c r="Q13" s="268"/>
      <c r="R13" s="268"/>
      <c r="S13" s="60"/>
      <c r="T13" s="60"/>
      <c r="X13" s="65"/>
      <c r="Y13" s="22"/>
      <c r="Z13" s="66" t="s">
        <v>434</v>
      </c>
      <c r="AA13" s="60">
        <v>2.0</v>
      </c>
      <c r="AB13" s="67"/>
      <c r="AC13" s="67"/>
      <c r="AD13" s="67"/>
      <c r="AE13" s="67">
        <v>1.0</v>
      </c>
      <c r="AF13" s="58">
        <f t="shared" si="7"/>
        <v>1</v>
      </c>
      <c r="AG13" s="268"/>
      <c r="AH13" s="268"/>
      <c r="AI13" s="268">
        <v>3500000.0</v>
      </c>
      <c r="AJ13" s="60"/>
      <c r="AK13" s="60"/>
      <c r="AL13" s="127" t="s">
        <v>738</v>
      </c>
    </row>
    <row r="14" ht="14.25" customHeight="1">
      <c r="A14" s="67"/>
      <c r="B14" s="102"/>
      <c r="C14" s="66" t="s">
        <v>445</v>
      </c>
      <c r="D14" s="113"/>
      <c r="E14" s="113"/>
      <c r="F14" s="116"/>
      <c r="G14" s="116"/>
      <c r="H14" s="115">
        <f t="shared" si="4"/>
        <v>0</v>
      </c>
      <c r="I14" s="116"/>
      <c r="J14" s="113"/>
      <c r="K14" s="113"/>
      <c r="L14" s="116"/>
      <c r="M14" s="116"/>
      <c r="N14" s="115">
        <f t="shared" si="5"/>
        <v>0</v>
      </c>
      <c r="O14" s="115">
        <f t="shared" si="6"/>
        <v>0</v>
      </c>
      <c r="P14" s="268"/>
      <c r="Q14" s="268"/>
      <c r="R14" s="268"/>
      <c r="S14" s="60"/>
      <c r="T14" s="60"/>
      <c r="X14" s="65">
        <v>5.0</v>
      </c>
      <c r="Y14" s="84" t="s">
        <v>65</v>
      </c>
      <c r="Z14" s="66" t="s">
        <v>435</v>
      </c>
      <c r="AA14" s="60">
        <v>1.0</v>
      </c>
      <c r="AB14" s="67"/>
      <c r="AC14" s="67">
        <v>1.0</v>
      </c>
      <c r="AD14" s="67"/>
      <c r="AE14" s="67"/>
      <c r="AF14" s="58">
        <f t="shared" si="7"/>
        <v>1</v>
      </c>
      <c r="AG14" s="268"/>
      <c r="AH14" s="268"/>
      <c r="AI14" s="268"/>
      <c r="AJ14" s="60"/>
      <c r="AK14" s="60"/>
    </row>
    <row r="15" ht="14.25" customHeight="1">
      <c r="A15" s="65"/>
      <c r="B15" s="102"/>
      <c r="C15" s="66" t="s">
        <v>532</v>
      </c>
      <c r="D15" s="113"/>
      <c r="E15" s="113"/>
      <c r="F15" s="116">
        <v>2.0</v>
      </c>
      <c r="G15" s="116"/>
      <c r="H15" s="115">
        <f t="shared" si="4"/>
        <v>2</v>
      </c>
      <c r="I15" s="116"/>
      <c r="J15" s="113"/>
      <c r="K15" s="113"/>
      <c r="L15" s="116">
        <v>2.0</v>
      </c>
      <c r="M15" s="116"/>
      <c r="N15" s="115">
        <f t="shared" si="5"/>
        <v>2</v>
      </c>
      <c r="O15" s="115">
        <f t="shared" si="6"/>
        <v>0</v>
      </c>
      <c r="P15" s="268"/>
      <c r="Q15" s="268"/>
      <c r="R15" s="268"/>
      <c r="S15" s="60"/>
      <c r="T15" s="60"/>
      <c r="X15" s="67"/>
      <c r="Y15" s="15"/>
      <c r="Z15" s="66" t="s">
        <v>558</v>
      </c>
      <c r="AA15" s="60"/>
      <c r="AB15" s="67"/>
      <c r="AC15" s="67"/>
      <c r="AD15" s="67">
        <v>1.0</v>
      </c>
      <c r="AE15" s="67"/>
      <c r="AF15" s="58">
        <f t="shared" si="7"/>
        <v>1</v>
      </c>
      <c r="AG15" s="268"/>
      <c r="AH15" s="268"/>
      <c r="AI15" s="268"/>
      <c r="AJ15" s="60"/>
      <c r="AK15" s="60"/>
    </row>
    <row r="16" ht="14.25" customHeight="1">
      <c r="A16" s="65">
        <v>4.0</v>
      </c>
      <c r="B16" s="102" t="s">
        <v>488</v>
      </c>
      <c r="C16" s="66" t="s">
        <v>368</v>
      </c>
      <c r="D16" s="113"/>
      <c r="E16" s="113"/>
      <c r="F16" s="116"/>
      <c r="G16" s="116"/>
      <c r="H16" s="115">
        <f t="shared" si="4"/>
        <v>0</v>
      </c>
      <c r="I16" s="116"/>
      <c r="J16" s="113"/>
      <c r="K16" s="113"/>
      <c r="L16" s="116"/>
      <c r="M16" s="116"/>
      <c r="N16" s="115">
        <f t="shared" si="5"/>
        <v>0</v>
      </c>
      <c r="O16" s="115">
        <f t="shared" si="6"/>
        <v>0</v>
      </c>
      <c r="P16" s="268"/>
      <c r="Q16" s="268"/>
      <c r="R16" s="268"/>
      <c r="S16" s="60"/>
      <c r="T16" s="60"/>
      <c r="X16" s="67"/>
      <c r="Y16" s="22"/>
      <c r="Z16" s="66" t="s">
        <v>445</v>
      </c>
      <c r="AA16" s="60"/>
      <c r="AB16" s="67"/>
      <c r="AC16" s="67"/>
      <c r="AD16" s="67"/>
      <c r="AE16" s="67">
        <v>1.0</v>
      </c>
      <c r="AF16" s="58">
        <f t="shared" si="7"/>
        <v>1</v>
      </c>
      <c r="AG16" s="268"/>
      <c r="AH16" s="268"/>
      <c r="AI16" s="268"/>
      <c r="AJ16" s="60"/>
      <c r="AK16" s="60"/>
    </row>
    <row r="17" ht="14.25" customHeight="1">
      <c r="A17" s="65">
        <v>5.0</v>
      </c>
      <c r="B17" s="229" t="s">
        <v>451</v>
      </c>
      <c r="C17" s="66" t="s">
        <v>739</v>
      </c>
      <c r="D17" s="113">
        <v>1.0</v>
      </c>
      <c r="E17" s="113"/>
      <c r="F17" s="116"/>
      <c r="G17" s="116"/>
      <c r="H17" s="115">
        <f t="shared" si="4"/>
        <v>1</v>
      </c>
      <c r="I17" s="116"/>
      <c r="J17" s="113">
        <v>1.0</v>
      </c>
      <c r="K17" s="113"/>
      <c r="L17" s="116"/>
      <c r="M17" s="116"/>
      <c r="N17" s="115">
        <f t="shared" si="5"/>
        <v>1</v>
      </c>
      <c r="O17" s="115">
        <f t="shared" si="6"/>
        <v>0</v>
      </c>
      <c r="P17" s="268"/>
      <c r="Q17" s="268"/>
      <c r="R17" s="268"/>
      <c r="S17" s="60"/>
      <c r="T17" s="60"/>
      <c r="U17" s="127" t="s">
        <v>740</v>
      </c>
      <c r="X17" s="65">
        <v>6.0</v>
      </c>
      <c r="Y17" s="102" t="s">
        <v>488</v>
      </c>
      <c r="Z17" s="66" t="s">
        <v>368</v>
      </c>
      <c r="AA17" s="60">
        <v>1.0</v>
      </c>
      <c r="AB17" s="67"/>
      <c r="AC17" s="67"/>
      <c r="AD17" s="67"/>
      <c r="AE17" s="67"/>
      <c r="AF17" s="58">
        <f t="shared" si="7"/>
        <v>0</v>
      </c>
      <c r="AG17" s="268"/>
      <c r="AH17" s="268"/>
      <c r="AI17" s="268"/>
      <c r="AJ17" s="60"/>
      <c r="AK17" s="60"/>
    </row>
    <row r="18" ht="14.25" customHeight="1">
      <c r="A18" s="67"/>
      <c r="B18" s="229"/>
      <c r="C18" s="66" t="s">
        <v>452</v>
      </c>
      <c r="D18" s="113">
        <v>1.0</v>
      </c>
      <c r="E18" s="113"/>
      <c r="F18" s="116">
        <v>1.0</v>
      </c>
      <c r="G18" s="116"/>
      <c r="H18" s="115">
        <f t="shared" si="4"/>
        <v>2</v>
      </c>
      <c r="I18" s="116"/>
      <c r="J18" s="113">
        <v>1.0</v>
      </c>
      <c r="K18" s="113"/>
      <c r="L18" s="116">
        <v>1.0</v>
      </c>
      <c r="M18" s="116"/>
      <c r="N18" s="115">
        <f t="shared" si="5"/>
        <v>2</v>
      </c>
      <c r="O18" s="115">
        <f t="shared" si="6"/>
        <v>0</v>
      </c>
      <c r="P18" s="268"/>
      <c r="Q18" s="268"/>
      <c r="R18" s="268"/>
      <c r="S18" s="60"/>
      <c r="T18" s="60"/>
      <c r="X18" s="65">
        <v>7.0</v>
      </c>
      <c r="Y18" s="112" t="s">
        <v>451</v>
      </c>
      <c r="Z18" s="66" t="s">
        <v>452</v>
      </c>
      <c r="AA18" s="60">
        <v>1.0</v>
      </c>
      <c r="AB18" s="67"/>
      <c r="AC18" s="67">
        <v>2.0</v>
      </c>
      <c r="AD18" s="67"/>
      <c r="AE18" s="67"/>
      <c r="AF18" s="58">
        <f t="shared" si="7"/>
        <v>2</v>
      </c>
      <c r="AG18" s="268"/>
      <c r="AH18" s="268"/>
      <c r="AI18" s="268"/>
      <c r="AJ18" s="60"/>
      <c r="AK18" s="60"/>
      <c r="AL18" s="127" t="s">
        <v>740</v>
      </c>
    </row>
    <row r="19" ht="14.25" customHeight="1">
      <c r="A19" s="67"/>
      <c r="B19" s="229"/>
      <c r="C19" s="66" t="s">
        <v>741</v>
      </c>
      <c r="D19" s="113">
        <v>1.0</v>
      </c>
      <c r="E19" s="113"/>
      <c r="F19" s="116"/>
      <c r="G19" s="116"/>
      <c r="H19" s="115">
        <f t="shared" si="4"/>
        <v>1</v>
      </c>
      <c r="I19" s="116"/>
      <c r="J19" s="113">
        <v>1.0</v>
      </c>
      <c r="K19" s="113"/>
      <c r="L19" s="116"/>
      <c r="M19" s="116"/>
      <c r="N19" s="115">
        <f t="shared" si="5"/>
        <v>1</v>
      </c>
      <c r="O19" s="115">
        <f t="shared" si="6"/>
        <v>0</v>
      </c>
      <c r="P19" s="268"/>
      <c r="Q19" s="268"/>
      <c r="R19" s="268"/>
      <c r="S19" s="60"/>
      <c r="T19" s="60"/>
      <c r="X19" s="67"/>
      <c r="Y19" s="112"/>
      <c r="Z19" s="66" t="s">
        <v>453</v>
      </c>
      <c r="AA19" s="60">
        <v>1.0</v>
      </c>
      <c r="AB19" s="67"/>
      <c r="AC19" s="67">
        <v>1.0</v>
      </c>
      <c r="AD19" s="67"/>
      <c r="AE19" s="67"/>
      <c r="AF19" s="58">
        <f t="shared" si="7"/>
        <v>1</v>
      </c>
      <c r="AG19" s="268"/>
      <c r="AH19" s="268"/>
      <c r="AI19" s="268"/>
      <c r="AJ19" s="60"/>
      <c r="AK19" s="60"/>
      <c r="AL19" s="127" t="s">
        <v>742</v>
      </c>
    </row>
    <row r="20" ht="14.25" customHeight="1">
      <c r="A20" s="67"/>
      <c r="B20" s="229"/>
      <c r="C20" s="66" t="s">
        <v>453</v>
      </c>
      <c r="D20" s="113"/>
      <c r="E20" s="113"/>
      <c r="F20" s="116">
        <v>1.0</v>
      </c>
      <c r="G20" s="116"/>
      <c r="H20" s="115">
        <f t="shared" si="4"/>
        <v>1</v>
      </c>
      <c r="I20" s="116"/>
      <c r="J20" s="113"/>
      <c r="K20" s="113"/>
      <c r="L20" s="116">
        <v>1.0</v>
      </c>
      <c r="M20" s="116"/>
      <c r="N20" s="115">
        <f t="shared" si="5"/>
        <v>1</v>
      </c>
      <c r="O20" s="115">
        <f t="shared" si="6"/>
        <v>0</v>
      </c>
      <c r="P20" s="268"/>
      <c r="Q20" s="268"/>
      <c r="R20" s="268"/>
      <c r="S20" s="60"/>
      <c r="T20" s="60"/>
      <c r="U20" s="127" t="s">
        <v>742</v>
      </c>
      <c r="X20" s="56">
        <v>8.0</v>
      </c>
      <c r="Y20" s="84" t="s">
        <v>455</v>
      </c>
      <c r="Z20" s="119" t="s">
        <v>495</v>
      </c>
      <c r="AA20" s="120"/>
      <c r="AB20" s="120"/>
      <c r="AC20" s="120"/>
      <c r="AD20" s="120"/>
      <c r="AE20" s="120"/>
      <c r="AF20" s="58">
        <f t="shared" si="7"/>
        <v>0</v>
      </c>
      <c r="AG20" s="269"/>
      <c r="AH20" s="269"/>
      <c r="AI20" s="269"/>
      <c r="AJ20" s="119"/>
      <c r="AK20" s="119"/>
    </row>
    <row r="21" ht="14.25" customHeight="1">
      <c r="A21" s="65">
        <v>6.0</v>
      </c>
      <c r="B21" s="102" t="s">
        <v>455</v>
      </c>
      <c r="C21" s="121" t="s">
        <v>743</v>
      </c>
      <c r="D21" s="116"/>
      <c r="E21" s="116"/>
      <c r="F21" s="116">
        <v>2.0</v>
      </c>
      <c r="G21" s="116"/>
      <c r="H21" s="115">
        <f t="shared" si="4"/>
        <v>2</v>
      </c>
      <c r="I21" s="116"/>
      <c r="J21" s="116"/>
      <c r="K21" s="116"/>
      <c r="L21" s="116">
        <v>2.0</v>
      </c>
      <c r="M21" s="116"/>
      <c r="N21" s="115">
        <f t="shared" si="5"/>
        <v>2</v>
      </c>
      <c r="O21" s="115">
        <f t="shared" si="6"/>
        <v>0</v>
      </c>
      <c r="P21" s="270"/>
      <c r="Q21" s="270"/>
      <c r="R21" s="270"/>
      <c r="S21" s="121"/>
      <c r="T21" s="121"/>
      <c r="X21" s="65"/>
      <c r="Y21" s="15"/>
      <c r="Z21" s="121" t="s">
        <v>499</v>
      </c>
      <c r="AA21" s="122"/>
      <c r="AB21" s="122"/>
      <c r="AC21" s="122"/>
      <c r="AD21" s="122"/>
      <c r="AE21" s="122"/>
      <c r="AF21" s="58">
        <f t="shared" si="7"/>
        <v>0</v>
      </c>
      <c r="AG21" s="270"/>
      <c r="AH21" s="270"/>
      <c r="AI21" s="270"/>
      <c r="AJ21" s="121"/>
      <c r="AK21" s="121"/>
    </row>
    <row r="22" ht="14.25" customHeight="1">
      <c r="A22" s="65"/>
      <c r="B22" s="102"/>
      <c r="C22" s="121" t="s">
        <v>744</v>
      </c>
      <c r="D22" s="116"/>
      <c r="E22" s="116"/>
      <c r="F22" s="116">
        <v>2.0</v>
      </c>
      <c r="G22" s="207"/>
      <c r="H22" s="115">
        <f t="shared" si="4"/>
        <v>2</v>
      </c>
      <c r="I22" s="207"/>
      <c r="J22" s="116"/>
      <c r="K22" s="116"/>
      <c r="L22" s="116">
        <v>2.0</v>
      </c>
      <c r="M22" s="116"/>
      <c r="N22" s="115">
        <f t="shared" si="5"/>
        <v>2</v>
      </c>
      <c r="O22" s="115">
        <f t="shared" si="6"/>
        <v>0</v>
      </c>
      <c r="P22" s="270"/>
      <c r="Q22" s="270"/>
      <c r="R22" s="270">
        <f>140000*25</f>
        <v>3500000</v>
      </c>
      <c r="S22" s="121"/>
      <c r="T22" s="121"/>
      <c r="X22" s="65"/>
      <c r="Y22" s="15"/>
      <c r="Z22" s="121" t="s">
        <v>502</v>
      </c>
      <c r="AA22" s="122"/>
      <c r="AB22" s="122"/>
      <c r="AC22" s="122"/>
      <c r="AD22" s="122"/>
      <c r="AE22" s="122"/>
      <c r="AF22" s="58">
        <f t="shared" si="7"/>
        <v>0</v>
      </c>
      <c r="AG22" s="270"/>
      <c r="AH22" s="270"/>
      <c r="AI22" s="270"/>
      <c r="AJ22" s="121"/>
      <c r="AK22" s="121"/>
    </row>
    <row r="23" ht="14.25" customHeight="1">
      <c r="A23" s="65">
        <v>7.0</v>
      </c>
      <c r="B23" s="102" t="s">
        <v>479</v>
      </c>
      <c r="C23" s="121" t="s">
        <v>745</v>
      </c>
      <c r="D23" s="116">
        <v>1.0</v>
      </c>
      <c r="E23" s="116"/>
      <c r="F23" s="116"/>
      <c r="G23" s="207"/>
      <c r="H23" s="115">
        <f t="shared" si="4"/>
        <v>1</v>
      </c>
      <c r="I23" s="207"/>
      <c r="J23" s="116">
        <v>1.0</v>
      </c>
      <c r="K23" s="116"/>
      <c r="L23" s="116"/>
      <c r="M23" s="116"/>
      <c r="N23" s="115">
        <f t="shared" si="5"/>
        <v>1</v>
      </c>
      <c r="O23" s="115">
        <f t="shared" si="6"/>
        <v>0</v>
      </c>
      <c r="P23" s="270"/>
      <c r="Q23" s="270"/>
      <c r="R23" s="270">
        <f>+(120000*25*2)</f>
        <v>6000000</v>
      </c>
      <c r="S23" s="121"/>
      <c r="T23" s="121"/>
      <c r="X23" s="65"/>
      <c r="Y23" s="15"/>
      <c r="Z23" s="121" t="s">
        <v>746</v>
      </c>
      <c r="AA23" s="122"/>
      <c r="AB23" s="122"/>
      <c r="AC23" s="122"/>
      <c r="AD23" s="122"/>
      <c r="AE23" s="122"/>
      <c r="AF23" s="58">
        <f t="shared" si="7"/>
        <v>0</v>
      </c>
      <c r="AG23" s="270"/>
      <c r="AH23" s="270"/>
      <c r="AI23" s="270"/>
      <c r="AJ23" s="121"/>
      <c r="AK23" s="121"/>
    </row>
    <row r="24" ht="14.25" customHeight="1">
      <c r="A24" s="65"/>
      <c r="B24" s="121"/>
      <c r="C24" s="121" t="s">
        <v>747</v>
      </c>
      <c r="D24" s="116">
        <v>1.0</v>
      </c>
      <c r="E24" s="116"/>
      <c r="F24" s="207"/>
      <c r="G24" s="207"/>
      <c r="H24" s="115">
        <f t="shared" si="4"/>
        <v>1</v>
      </c>
      <c r="I24" s="207"/>
      <c r="J24" s="116">
        <v>1.0</v>
      </c>
      <c r="K24" s="116"/>
      <c r="L24" s="207"/>
      <c r="M24" s="116"/>
      <c r="N24" s="115">
        <f t="shared" si="5"/>
        <v>1</v>
      </c>
      <c r="O24" s="115">
        <f t="shared" si="6"/>
        <v>0</v>
      </c>
      <c r="P24" s="270"/>
      <c r="Q24" s="270"/>
      <c r="R24" s="270"/>
      <c r="S24" s="121"/>
      <c r="T24" s="121"/>
      <c r="X24" s="65"/>
      <c r="Y24" s="15"/>
      <c r="Z24" s="121" t="s">
        <v>743</v>
      </c>
      <c r="AA24" s="67">
        <v>2.0</v>
      </c>
      <c r="AB24" s="67"/>
      <c r="AC24" s="67"/>
      <c r="AD24" s="67">
        <v>1.0</v>
      </c>
      <c r="AE24" s="67">
        <v>1.0</v>
      </c>
      <c r="AF24" s="58">
        <f t="shared" si="7"/>
        <v>2</v>
      </c>
      <c r="AG24" s="270"/>
      <c r="AH24" s="270"/>
      <c r="AI24" s="270"/>
      <c r="AJ24" s="121"/>
      <c r="AK24" s="121"/>
    </row>
    <row r="25" ht="14.25" customHeight="1">
      <c r="A25" s="65"/>
      <c r="B25" s="121"/>
      <c r="C25" s="121" t="s">
        <v>748</v>
      </c>
      <c r="D25" s="116">
        <v>4.0</v>
      </c>
      <c r="E25" s="116"/>
      <c r="F25" s="116">
        <v>5.0</v>
      </c>
      <c r="G25" s="207"/>
      <c r="H25" s="115">
        <f t="shared" si="4"/>
        <v>9</v>
      </c>
      <c r="I25" s="207"/>
      <c r="J25" s="116">
        <v>4.0</v>
      </c>
      <c r="K25" s="116"/>
      <c r="L25" s="116">
        <v>5.0</v>
      </c>
      <c r="M25" s="116"/>
      <c r="N25" s="115">
        <f t="shared" si="5"/>
        <v>9</v>
      </c>
      <c r="O25" s="115">
        <f t="shared" si="6"/>
        <v>0</v>
      </c>
      <c r="P25" s="270"/>
      <c r="Q25" s="270"/>
      <c r="R25" s="270"/>
      <c r="S25" s="121"/>
      <c r="T25" s="121"/>
      <c r="X25" s="65"/>
      <c r="Y25" s="22"/>
      <c r="Z25" s="121" t="s">
        <v>744</v>
      </c>
      <c r="AA25" s="67">
        <v>2.0</v>
      </c>
      <c r="AB25" s="122"/>
      <c r="AC25" s="67"/>
      <c r="AD25" s="122"/>
      <c r="AE25" s="67">
        <v>2.0</v>
      </c>
      <c r="AF25" s="58">
        <f t="shared" si="7"/>
        <v>2</v>
      </c>
      <c r="AG25" s="270"/>
      <c r="AH25" s="270"/>
      <c r="AI25" s="270">
        <f>140000*25</f>
        <v>3500000</v>
      </c>
      <c r="AJ25" s="121"/>
      <c r="AK25" s="121"/>
    </row>
    <row r="26" ht="14.25" customHeight="1">
      <c r="A26" s="65">
        <v>8.0</v>
      </c>
      <c r="B26" s="121" t="s">
        <v>257</v>
      </c>
      <c r="C26" s="121" t="s">
        <v>749</v>
      </c>
      <c r="D26" s="116"/>
      <c r="E26" s="116"/>
      <c r="F26" s="207"/>
      <c r="G26" s="207"/>
      <c r="H26" s="115">
        <f t="shared" si="4"/>
        <v>0</v>
      </c>
      <c r="I26" s="207"/>
      <c r="J26" s="116"/>
      <c r="K26" s="116"/>
      <c r="L26" s="207"/>
      <c r="M26" s="116"/>
      <c r="N26" s="115">
        <f t="shared" si="5"/>
        <v>0</v>
      </c>
      <c r="O26" s="115">
        <f t="shared" si="6"/>
        <v>0</v>
      </c>
      <c r="P26" s="270"/>
      <c r="Q26" s="270"/>
      <c r="R26" s="270"/>
      <c r="S26" s="121"/>
      <c r="T26" s="121"/>
      <c r="X26" s="65">
        <v>9.0</v>
      </c>
      <c r="Y26" s="84" t="s">
        <v>479</v>
      </c>
      <c r="Z26" s="121" t="s">
        <v>522</v>
      </c>
      <c r="AA26" s="122"/>
      <c r="AB26" s="122"/>
      <c r="AC26" s="122"/>
      <c r="AD26" s="122"/>
      <c r="AE26" s="122"/>
      <c r="AF26" s="58">
        <f t="shared" si="7"/>
        <v>0</v>
      </c>
      <c r="AG26" s="270"/>
      <c r="AH26" s="270"/>
      <c r="AI26" s="270"/>
      <c r="AJ26" s="121"/>
      <c r="AK26" s="121"/>
    </row>
    <row r="27" ht="14.25" customHeight="1">
      <c r="D27" s="213">
        <f t="shared" ref="D27:H27" si="8">SUM(D6:D26)</f>
        <v>9</v>
      </c>
      <c r="E27" s="213">
        <f t="shared" si="8"/>
        <v>2</v>
      </c>
      <c r="F27" s="213">
        <f t="shared" si="8"/>
        <v>22</v>
      </c>
      <c r="G27" s="213">
        <f t="shared" si="8"/>
        <v>0</v>
      </c>
      <c r="H27" s="213">
        <f t="shared" si="8"/>
        <v>33</v>
      </c>
      <c r="I27" s="260"/>
      <c r="J27" s="213">
        <f t="shared" ref="J27:O27" si="9">SUM(J6:J26)</f>
        <v>9</v>
      </c>
      <c r="K27" s="213">
        <f t="shared" si="9"/>
        <v>2</v>
      </c>
      <c r="L27" s="213">
        <f t="shared" si="9"/>
        <v>22</v>
      </c>
      <c r="M27" s="213">
        <f t="shared" si="9"/>
        <v>0</v>
      </c>
      <c r="N27" s="213">
        <f t="shared" si="9"/>
        <v>33</v>
      </c>
      <c r="O27" s="213">
        <f t="shared" si="9"/>
        <v>0</v>
      </c>
      <c r="P27" s="27"/>
      <c r="Q27" s="27"/>
      <c r="R27" s="27"/>
      <c r="X27" s="65"/>
      <c r="Y27" s="15"/>
      <c r="Z27" s="121" t="s">
        <v>526</v>
      </c>
      <c r="AA27" s="122"/>
      <c r="AB27" s="122"/>
      <c r="AC27" s="122"/>
      <c r="AD27" s="122"/>
      <c r="AE27" s="122"/>
      <c r="AF27" s="58">
        <f t="shared" si="7"/>
        <v>0</v>
      </c>
      <c r="AG27" s="270"/>
      <c r="AH27" s="270"/>
      <c r="AI27" s="270"/>
      <c r="AJ27" s="121"/>
      <c r="AK27" s="121"/>
    </row>
    <row r="28" ht="14.25" customHeight="1">
      <c r="D28" s="24"/>
      <c r="E28" s="24"/>
      <c r="F28" s="24"/>
      <c r="O28" s="27"/>
      <c r="P28" s="27"/>
      <c r="Q28" s="27"/>
      <c r="R28" s="27"/>
      <c r="X28" s="65"/>
      <c r="Y28" s="15"/>
      <c r="Z28" s="121" t="s">
        <v>669</v>
      </c>
      <c r="AA28" s="122"/>
      <c r="AB28" s="122"/>
      <c r="AC28" s="122"/>
      <c r="AD28" s="122"/>
      <c r="AE28" s="122"/>
      <c r="AF28" s="58">
        <f t="shared" si="7"/>
        <v>0</v>
      </c>
      <c r="AG28" s="270"/>
      <c r="AH28" s="270"/>
      <c r="AI28" s="270"/>
      <c r="AJ28" s="121"/>
      <c r="AK28" s="121"/>
    </row>
    <row r="29" ht="14.25" customHeight="1">
      <c r="O29" s="27"/>
      <c r="P29" s="27"/>
      <c r="Q29" s="27"/>
      <c r="R29" s="27"/>
      <c r="X29" s="65"/>
      <c r="Y29" s="15"/>
      <c r="Z29" s="121" t="s">
        <v>485</v>
      </c>
      <c r="AA29" s="122"/>
      <c r="AB29" s="122"/>
      <c r="AC29" s="122"/>
      <c r="AD29" s="122"/>
      <c r="AE29" s="122"/>
      <c r="AF29" s="58">
        <f t="shared" si="7"/>
        <v>0</v>
      </c>
      <c r="AG29" s="270"/>
      <c r="AH29" s="270"/>
      <c r="AI29" s="270"/>
      <c r="AJ29" s="121"/>
      <c r="AK29" s="121"/>
    </row>
    <row r="30" ht="14.25" customHeight="1">
      <c r="O30" s="27"/>
      <c r="P30" s="27"/>
      <c r="Q30" s="27"/>
      <c r="R30" s="27"/>
      <c r="X30" s="65"/>
      <c r="Y30" s="15"/>
      <c r="Z30" s="121" t="s">
        <v>487</v>
      </c>
      <c r="AA30" s="122"/>
      <c r="AB30" s="122"/>
      <c r="AC30" s="122"/>
      <c r="AD30" s="122"/>
      <c r="AE30" s="122"/>
      <c r="AF30" s="58">
        <f t="shared" si="7"/>
        <v>0</v>
      </c>
      <c r="AG30" s="270"/>
      <c r="AH30" s="270"/>
      <c r="AI30" s="270"/>
      <c r="AJ30" s="121"/>
      <c r="AK30" s="121"/>
    </row>
    <row r="31" ht="14.25" customHeight="1">
      <c r="O31" s="27"/>
      <c r="P31" s="27"/>
      <c r="Q31" s="27"/>
      <c r="R31" s="27"/>
      <c r="X31" s="65"/>
      <c r="Y31" s="15"/>
      <c r="Z31" s="121" t="s">
        <v>489</v>
      </c>
      <c r="AA31" s="122"/>
      <c r="AB31" s="122"/>
      <c r="AC31" s="122"/>
      <c r="AD31" s="122"/>
      <c r="AE31" s="122"/>
      <c r="AF31" s="58">
        <f t="shared" si="7"/>
        <v>0</v>
      </c>
      <c r="AG31" s="270"/>
      <c r="AH31" s="270"/>
      <c r="AI31" s="270"/>
      <c r="AJ31" s="121"/>
      <c r="AK31" s="121"/>
    </row>
    <row r="32" ht="14.25" customHeight="1">
      <c r="O32" s="27"/>
      <c r="P32" s="27"/>
      <c r="Q32" s="27"/>
      <c r="R32" s="27"/>
      <c r="X32" s="65"/>
      <c r="Y32" s="15"/>
      <c r="Z32" s="121" t="s">
        <v>490</v>
      </c>
      <c r="AA32" s="122"/>
      <c r="AB32" s="122"/>
      <c r="AC32" s="122"/>
      <c r="AD32" s="122"/>
      <c r="AE32" s="122"/>
      <c r="AF32" s="58">
        <f t="shared" si="7"/>
        <v>0</v>
      </c>
      <c r="AG32" s="270"/>
      <c r="AH32" s="270"/>
      <c r="AI32" s="270"/>
      <c r="AJ32" s="121"/>
      <c r="AK32" s="121"/>
    </row>
    <row r="33" ht="14.25" customHeight="1">
      <c r="O33" s="27"/>
      <c r="P33" s="27"/>
      <c r="Q33" s="27"/>
      <c r="R33" s="27"/>
      <c r="X33" s="65"/>
      <c r="Y33" s="15"/>
      <c r="Z33" s="121" t="s">
        <v>750</v>
      </c>
      <c r="AA33" s="67">
        <v>10.0</v>
      </c>
      <c r="AB33" s="122"/>
      <c r="AC33" s="67">
        <v>5.0</v>
      </c>
      <c r="AD33" s="122"/>
      <c r="AE33" s="67">
        <v>1.0</v>
      </c>
      <c r="AF33" s="58">
        <f t="shared" si="7"/>
        <v>6</v>
      </c>
      <c r="AG33" s="270"/>
      <c r="AH33" s="270"/>
      <c r="AI33" s="270">
        <f>+(120000*25*2)</f>
        <v>6000000</v>
      </c>
      <c r="AJ33" s="121"/>
      <c r="AK33" s="121"/>
    </row>
    <row r="34" ht="14.25" customHeight="1">
      <c r="O34" s="27"/>
      <c r="P34" s="27"/>
      <c r="Q34" s="27"/>
      <c r="R34" s="27"/>
      <c r="X34" s="65">
        <v>10.0</v>
      </c>
      <c r="Y34" s="121" t="s">
        <v>257</v>
      </c>
      <c r="Z34" s="121" t="s">
        <v>749</v>
      </c>
      <c r="AA34" s="67">
        <v>1.0</v>
      </c>
      <c r="AB34" s="122"/>
      <c r="AC34" s="122"/>
      <c r="AD34" s="67">
        <v>1.0</v>
      </c>
      <c r="AE34" s="122"/>
      <c r="AF34" s="67">
        <f t="shared" si="7"/>
        <v>1</v>
      </c>
      <c r="AG34" s="270"/>
      <c r="AH34" s="270"/>
      <c r="AI34" s="270"/>
      <c r="AJ34" s="121"/>
      <c r="AK34" s="121"/>
    </row>
    <row r="35" ht="14.25" customHeight="1">
      <c r="O35" s="27"/>
      <c r="P35" s="27"/>
      <c r="Q35" s="27"/>
      <c r="R35" s="27"/>
      <c r="AA35" s="201">
        <f>SUM(AA6:AA34)</f>
        <v>24</v>
      </c>
      <c r="AC35" s="125">
        <f t="shared" ref="AC35:AF35" si="10">SUM(AC6:AC34)</f>
        <v>9</v>
      </c>
      <c r="AD35" s="125">
        <f t="shared" si="10"/>
        <v>3</v>
      </c>
      <c r="AE35" s="201">
        <f t="shared" si="10"/>
        <v>10</v>
      </c>
      <c r="AF35" s="201">
        <f t="shared" si="10"/>
        <v>22</v>
      </c>
      <c r="AG35" s="27"/>
      <c r="AH35" s="27"/>
      <c r="AI35" s="27"/>
    </row>
    <row r="36" ht="14.25" customHeight="1">
      <c r="O36" s="27"/>
      <c r="P36" s="27"/>
      <c r="Q36" s="27"/>
      <c r="R36" s="27"/>
      <c r="AA36" s="24" t="s">
        <v>644</v>
      </c>
      <c r="AE36" s="201">
        <f>AA35-AF35</f>
        <v>2</v>
      </c>
      <c r="AF36" s="194">
        <f>AF35/AA35</f>
        <v>0.9166666667</v>
      </c>
      <c r="AG36" s="27"/>
      <c r="AH36" s="27"/>
      <c r="AI36" s="27"/>
    </row>
    <row r="37" ht="14.25" customHeight="1">
      <c r="O37" s="27"/>
      <c r="P37" s="27"/>
      <c r="Q37" s="27"/>
      <c r="R37" s="27"/>
      <c r="AG37" s="27"/>
      <c r="AH37" s="27"/>
      <c r="AI37" s="27"/>
    </row>
    <row r="38" ht="14.25" customHeight="1">
      <c r="O38" s="27"/>
      <c r="P38" s="27"/>
      <c r="Q38" s="27"/>
      <c r="R38" s="27"/>
      <c r="AG38" s="27"/>
      <c r="AH38" s="27"/>
      <c r="AI38" s="27"/>
    </row>
    <row r="39" ht="14.25" customHeight="1">
      <c r="O39" s="27"/>
      <c r="P39" s="27"/>
      <c r="Q39" s="27"/>
      <c r="R39" s="27"/>
      <c r="AG39" s="27"/>
      <c r="AH39" s="27"/>
      <c r="AI39" s="27"/>
    </row>
    <row r="40" ht="14.25" customHeight="1">
      <c r="O40" s="27"/>
      <c r="P40" s="27"/>
      <c r="Q40" s="27"/>
      <c r="R40" s="27"/>
      <c r="AG40" s="27"/>
      <c r="AH40" s="27"/>
      <c r="AI40" s="27"/>
    </row>
    <row r="41" ht="14.25" customHeight="1">
      <c r="O41" s="27"/>
      <c r="P41" s="27"/>
      <c r="Q41" s="27"/>
      <c r="R41" s="27"/>
      <c r="AG41" s="27"/>
      <c r="AH41" s="27"/>
      <c r="AI41" s="27"/>
    </row>
    <row r="42" ht="14.25" customHeight="1">
      <c r="O42" s="27"/>
      <c r="P42" s="27"/>
      <c r="Q42" s="27"/>
      <c r="R42" s="27"/>
      <c r="AG42" s="27"/>
      <c r="AH42" s="27"/>
      <c r="AI42" s="27"/>
    </row>
    <row r="43" ht="14.25" customHeight="1">
      <c r="O43" s="27"/>
      <c r="P43" s="27"/>
      <c r="Q43" s="27"/>
      <c r="R43" s="27"/>
      <c r="AG43" s="27"/>
      <c r="AH43" s="27"/>
      <c r="AI43" s="27"/>
    </row>
    <row r="44" ht="14.25" customHeight="1">
      <c r="O44" s="27"/>
      <c r="P44" s="27"/>
      <c r="Q44" s="27"/>
      <c r="R44" s="27"/>
      <c r="AG44" s="27"/>
      <c r="AH44" s="27"/>
      <c r="AI44" s="27"/>
    </row>
    <row r="45" ht="14.25" customHeight="1">
      <c r="O45" s="27"/>
      <c r="P45" s="27"/>
      <c r="Q45" s="27"/>
      <c r="R45" s="27"/>
      <c r="AG45" s="27"/>
      <c r="AH45" s="27"/>
      <c r="AI45" s="27"/>
    </row>
    <row r="46" ht="14.25" customHeight="1">
      <c r="O46" s="27"/>
      <c r="P46" s="27"/>
      <c r="Q46" s="27"/>
      <c r="R46" s="27"/>
      <c r="AG46" s="27"/>
      <c r="AH46" s="27"/>
      <c r="AI46" s="27"/>
    </row>
    <row r="47" ht="14.25" customHeight="1">
      <c r="O47" s="27"/>
      <c r="P47" s="27"/>
      <c r="Q47" s="27"/>
      <c r="R47" s="27"/>
      <c r="AG47" s="27"/>
      <c r="AH47" s="27"/>
      <c r="AI47" s="27"/>
    </row>
    <row r="48" ht="14.25" customHeight="1">
      <c r="O48" s="27"/>
      <c r="P48" s="27"/>
      <c r="Q48" s="27"/>
      <c r="R48" s="27"/>
      <c r="AG48" s="27"/>
      <c r="AH48" s="27"/>
      <c r="AI48" s="27"/>
    </row>
    <row r="49" ht="14.25" customHeight="1">
      <c r="O49" s="27"/>
      <c r="P49" s="27"/>
      <c r="Q49" s="27"/>
      <c r="R49" s="27"/>
      <c r="AG49" s="27"/>
      <c r="AH49" s="27"/>
      <c r="AI49" s="27"/>
    </row>
    <row r="50" ht="14.25" customHeight="1">
      <c r="O50" s="27"/>
      <c r="P50" s="27"/>
      <c r="Q50" s="27"/>
      <c r="R50" s="27"/>
      <c r="AG50" s="27"/>
      <c r="AH50" s="27"/>
      <c r="AI50" s="27"/>
    </row>
    <row r="51" ht="14.25" customHeight="1">
      <c r="O51" s="27"/>
      <c r="P51" s="27"/>
      <c r="Q51" s="27"/>
      <c r="R51" s="27"/>
      <c r="AG51" s="27"/>
      <c r="AH51" s="27"/>
      <c r="AI51" s="27"/>
    </row>
    <row r="52" ht="14.25" customHeight="1">
      <c r="O52" s="27"/>
      <c r="P52" s="27"/>
      <c r="Q52" s="27"/>
      <c r="R52" s="27"/>
      <c r="AG52" s="27"/>
      <c r="AH52" s="27"/>
      <c r="AI52" s="27"/>
    </row>
    <row r="53" ht="14.25" customHeight="1">
      <c r="O53" s="27"/>
      <c r="P53" s="27"/>
      <c r="Q53" s="27"/>
      <c r="R53" s="27"/>
      <c r="AG53" s="27"/>
      <c r="AH53" s="27"/>
      <c r="AI53" s="27"/>
    </row>
    <row r="54" ht="14.25" customHeight="1">
      <c r="O54" s="27"/>
      <c r="P54" s="27"/>
      <c r="Q54" s="27"/>
      <c r="R54" s="27"/>
      <c r="AG54" s="27"/>
      <c r="AH54" s="27"/>
      <c r="AI54" s="27"/>
    </row>
    <row r="55" ht="14.25" customHeight="1">
      <c r="O55" s="27"/>
      <c r="P55" s="27"/>
      <c r="Q55" s="27"/>
      <c r="R55" s="27"/>
      <c r="AG55" s="27"/>
      <c r="AH55" s="27"/>
      <c r="AI55" s="27"/>
    </row>
    <row r="56" ht="14.25" customHeight="1">
      <c r="O56" s="27"/>
      <c r="P56" s="27"/>
      <c r="Q56" s="27"/>
      <c r="R56" s="27"/>
      <c r="AG56" s="27"/>
      <c r="AH56" s="27"/>
      <c r="AI56" s="27"/>
    </row>
    <row r="57" ht="14.25" customHeight="1">
      <c r="O57" s="27"/>
      <c r="P57" s="27"/>
      <c r="Q57" s="27"/>
      <c r="R57" s="27"/>
      <c r="AG57" s="27"/>
      <c r="AH57" s="27"/>
      <c r="AI57" s="27"/>
    </row>
    <row r="58" ht="14.25" customHeight="1">
      <c r="O58" s="27"/>
      <c r="P58" s="27"/>
      <c r="Q58" s="27"/>
      <c r="R58" s="27"/>
      <c r="AG58" s="27"/>
      <c r="AH58" s="27"/>
      <c r="AI58" s="27"/>
    </row>
    <row r="59" ht="14.25" customHeight="1">
      <c r="O59" s="27"/>
      <c r="P59" s="27"/>
      <c r="Q59" s="27"/>
      <c r="R59" s="27"/>
      <c r="AG59" s="27"/>
      <c r="AH59" s="27"/>
      <c r="AI59" s="27"/>
    </row>
    <row r="60" ht="14.25" customHeight="1">
      <c r="O60" s="27"/>
      <c r="P60" s="27"/>
      <c r="Q60" s="27"/>
      <c r="R60" s="27"/>
      <c r="AG60" s="27"/>
      <c r="AH60" s="27"/>
      <c r="AI60" s="27"/>
    </row>
    <row r="61" ht="14.25" customHeight="1">
      <c r="O61" s="27"/>
      <c r="P61" s="27"/>
      <c r="Q61" s="27"/>
      <c r="R61" s="27"/>
      <c r="AG61" s="27"/>
      <c r="AH61" s="27"/>
      <c r="AI61" s="27"/>
    </row>
    <row r="62" ht="14.25" customHeight="1">
      <c r="O62" s="27"/>
      <c r="P62" s="27"/>
      <c r="Q62" s="27"/>
      <c r="R62" s="27"/>
      <c r="AG62" s="27"/>
      <c r="AH62" s="27"/>
      <c r="AI62" s="27"/>
    </row>
    <row r="63" ht="14.25" customHeight="1">
      <c r="O63" s="27"/>
      <c r="P63" s="27"/>
      <c r="Q63" s="27"/>
      <c r="R63" s="27"/>
      <c r="AG63" s="27"/>
      <c r="AH63" s="27"/>
      <c r="AI63" s="27"/>
    </row>
    <row r="64" ht="14.25" customHeight="1">
      <c r="O64" s="27"/>
      <c r="P64" s="27"/>
      <c r="Q64" s="27"/>
      <c r="R64" s="27"/>
      <c r="AG64" s="27"/>
      <c r="AH64" s="27"/>
      <c r="AI64" s="27"/>
    </row>
    <row r="65" ht="14.25" customHeight="1">
      <c r="O65" s="27"/>
      <c r="P65" s="27"/>
      <c r="Q65" s="27"/>
      <c r="R65" s="27"/>
      <c r="AG65" s="27"/>
      <c r="AH65" s="27"/>
      <c r="AI65" s="27"/>
    </row>
    <row r="66" ht="14.25" customHeight="1">
      <c r="O66" s="27"/>
      <c r="P66" s="27"/>
      <c r="Q66" s="27"/>
      <c r="R66" s="27"/>
      <c r="AG66" s="27"/>
      <c r="AH66" s="27"/>
      <c r="AI66" s="27"/>
    </row>
    <row r="67" ht="14.25" customHeight="1">
      <c r="O67" s="27"/>
      <c r="P67" s="27"/>
      <c r="Q67" s="27"/>
      <c r="R67" s="27"/>
      <c r="AG67" s="27"/>
      <c r="AH67" s="27"/>
      <c r="AI67" s="27"/>
    </row>
    <row r="68" ht="14.25" customHeight="1">
      <c r="O68" s="27"/>
      <c r="P68" s="27"/>
      <c r="Q68" s="27"/>
      <c r="R68" s="27"/>
      <c r="AG68" s="27"/>
      <c r="AH68" s="27"/>
      <c r="AI68" s="27"/>
    </row>
    <row r="69" ht="14.25" customHeight="1">
      <c r="O69" s="27"/>
      <c r="P69" s="27"/>
      <c r="Q69" s="27"/>
      <c r="R69" s="27"/>
      <c r="AG69" s="27"/>
      <c r="AH69" s="27"/>
      <c r="AI69" s="27"/>
    </row>
    <row r="70" ht="14.25" customHeight="1">
      <c r="O70" s="27"/>
      <c r="P70" s="27"/>
      <c r="Q70" s="27"/>
      <c r="R70" s="27"/>
      <c r="AG70" s="27"/>
      <c r="AH70" s="27"/>
      <c r="AI70" s="27"/>
    </row>
    <row r="71" ht="14.25" customHeight="1">
      <c r="O71" s="27"/>
      <c r="P71" s="27"/>
      <c r="Q71" s="27"/>
      <c r="R71" s="27"/>
      <c r="AG71" s="27"/>
      <c r="AH71" s="27"/>
      <c r="AI71" s="27"/>
    </row>
    <row r="72" ht="14.25" customHeight="1">
      <c r="O72" s="27"/>
      <c r="P72" s="27"/>
      <c r="Q72" s="27"/>
      <c r="R72" s="27"/>
      <c r="AG72" s="27"/>
      <c r="AH72" s="27"/>
      <c r="AI72" s="27"/>
    </row>
    <row r="73" ht="14.25" customHeight="1">
      <c r="O73" s="27"/>
      <c r="P73" s="27"/>
      <c r="Q73" s="27"/>
      <c r="R73" s="27"/>
      <c r="AG73" s="27"/>
      <c r="AH73" s="27"/>
      <c r="AI73" s="27"/>
    </row>
    <row r="74" ht="14.25" customHeight="1">
      <c r="O74" s="27"/>
      <c r="P74" s="27"/>
      <c r="Q74" s="27"/>
      <c r="R74" s="27"/>
      <c r="AG74" s="27"/>
      <c r="AH74" s="27"/>
      <c r="AI74" s="27"/>
    </row>
    <row r="75" ht="14.25" customHeight="1">
      <c r="O75" s="27"/>
      <c r="P75" s="27"/>
      <c r="Q75" s="27"/>
      <c r="R75" s="27"/>
      <c r="AG75" s="27"/>
      <c r="AH75" s="27"/>
      <c r="AI75" s="27"/>
    </row>
    <row r="76" ht="14.25" customHeight="1">
      <c r="O76" s="27"/>
      <c r="P76" s="27"/>
      <c r="Q76" s="27"/>
      <c r="R76" s="27"/>
      <c r="AG76" s="27"/>
      <c r="AH76" s="27"/>
      <c r="AI76" s="27"/>
    </row>
    <row r="77" ht="14.25" customHeight="1">
      <c r="O77" s="27"/>
      <c r="P77" s="27"/>
      <c r="Q77" s="27"/>
      <c r="R77" s="27"/>
      <c r="AG77" s="27"/>
      <c r="AH77" s="27"/>
      <c r="AI77" s="27"/>
    </row>
    <row r="78" ht="14.25" customHeight="1">
      <c r="O78" s="27"/>
      <c r="P78" s="27"/>
      <c r="Q78" s="27"/>
      <c r="R78" s="27"/>
      <c r="AG78" s="27"/>
      <c r="AH78" s="27"/>
      <c r="AI78" s="27"/>
    </row>
    <row r="79" ht="14.25" customHeight="1">
      <c r="O79" s="27"/>
      <c r="P79" s="27"/>
      <c r="Q79" s="27"/>
      <c r="R79" s="27"/>
      <c r="AG79" s="27"/>
      <c r="AH79" s="27"/>
      <c r="AI79" s="27"/>
    </row>
    <row r="80" ht="14.25" customHeight="1">
      <c r="O80" s="27"/>
      <c r="P80" s="27"/>
      <c r="Q80" s="27"/>
      <c r="R80" s="27"/>
      <c r="AG80" s="27"/>
      <c r="AH80" s="27"/>
      <c r="AI80" s="27"/>
    </row>
    <row r="81" ht="14.25" customHeight="1">
      <c r="O81" s="27"/>
      <c r="P81" s="27"/>
      <c r="Q81" s="27"/>
      <c r="R81" s="27"/>
      <c r="AG81" s="27"/>
      <c r="AH81" s="27"/>
      <c r="AI81" s="27"/>
    </row>
    <row r="82" ht="14.25" customHeight="1">
      <c r="O82" s="27"/>
      <c r="P82" s="27"/>
      <c r="Q82" s="27"/>
      <c r="R82" s="27"/>
      <c r="AG82" s="27"/>
      <c r="AH82" s="27"/>
      <c r="AI82" s="27"/>
    </row>
    <row r="83" ht="14.25" customHeight="1">
      <c r="O83" s="27"/>
      <c r="P83" s="27"/>
      <c r="Q83" s="27"/>
      <c r="R83" s="27"/>
      <c r="AG83" s="27"/>
      <c r="AH83" s="27"/>
      <c r="AI83" s="27"/>
    </row>
    <row r="84" ht="14.25" customHeight="1">
      <c r="O84" s="27"/>
      <c r="P84" s="27"/>
      <c r="Q84" s="27"/>
      <c r="R84" s="27"/>
      <c r="AG84" s="27"/>
      <c r="AH84" s="27"/>
      <c r="AI84" s="27"/>
    </row>
    <row r="85" ht="14.25" customHeight="1">
      <c r="O85" s="27"/>
      <c r="P85" s="27"/>
      <c r="Q85" s="27"/>
      <c r="R85" s="27"/>
      <c r="AG85" s="27"/>
      <c r="AH85" s="27"/>
      <c r="AI85" s="27"/>
    </row>
    <row r="86" ht="14.25" customHeight="1">
      <c r="O86" s="27"/>
      <c r="P86" s="27"/>
      <c r="Q86" s="27"/>
      <c r="R86" s="27"/>
      <c r="AG86" s="27"/>
      <c r="AH86" s="27"/>
      <c r="AI86" s="27"/>
    </row>
    <row r="87" ht="14.25" customHeight="1">
      <c r="O87" s="27"/>
      <c r="P87" s="27"/>
      <c r="Q87" s="27"/>
      <c r="R87" s="27"/>
      <c r="AG87" s="27"/>
      <c r="AH87" s="27"/>
      <c r="AI87" s="27"/>
    </row>
    <row r="88" ht="14.25" customHeight="1">
      <c r="O88" s="27"/>
      <c r="P88" s="27"/>
      <c r="Q88" s="27"/>
      <c r="R88" s="27"/>
      <c r="AG88" s="27"/>
      <c r="AH88" s="27"/>
      <c r="AI88" s="27"/>
    </row>
    <row r="89" ht="14.25" customHeight="1">
      <c r="O89" s="27"/>
      <c r="P89" s="27"/>
      <c r="Q89" s="27"/>
      <c r="R89" s="27"/>
      <c r="AG89" s="27"/>
      <c r="AH89" s="27"/>
      <c r="AI89" s="27"/>
    </row>
    <row r="90" ht="14.25" customHeight="1">
      <c r="O90" s="27"/>
      <c r="P90" s="27"/>
      <c r="Q90" s="27"/>
      <c r="R90" s="27"/>
      <c r="AG90" s="27"/>
      <c r="AH90" s="27"/>
      <c r="AI90" s="27"/>
    </row>
    <row r="91" ht="14.25" customHeight="1">
      <c r="O91" s="27"/>
      <c r="P91" s="27"/>
      <c r="Q91" s="27"/>
      <c r="R91" s="27"/>
      <c r="AG91" s="27"/>
      <c r="AH91" s="27"/>
      <c r="AI91" s="27"/>
    </row>
    <row r="92" ht="14.25" customHeight="1">
      <c r="O92" s="27"/>
      <c r="P92" s="27"/>
      <c r="Q92" s="27"/>
      <c r="R92" s="27"/>
      <c r="AG92" s="27"/>
      <c r="AH92" s="27"/>
      <c r="AI92" s="27"/>
    </row>
    <row r="93" ht="14.25" customHeight="1">
      <c r="O93" s="27"/>
      <c r="P93" s="27"/>
      <c r="Q93" s="27"/>
      <c r="R93" s="27"/>
      <c r="AG93" s="27"/>
      <c r="AH93" s="27"/>
      <c r="AI93" s="27"/>
    </row>
    <row r="94" ht="14.25" customHeight="1">
      <c r="O94" s="27"/>
      <c r="P94" s="27"/>
      <c r="Q94" s="27"/>
      <c r="R94" s="27"/>
      <c r="AG94" s="27"/>
      <c r="AH94" s="27"/>
      <c r="AI94" s="27"/>
    </row>
    <row r="95" ht="14.25" customHeight="1">
      <c r="O95" s="27"/>
      <c r="P95" s="27"/>
      <c r="Q95" s="27"/>
      <c r="R95" s="27"/>
      <c r="AG95" s="27"/>
      <c r="AH95" s="27"/>
      <c r="AI95" s="27"/>
    </row>
    <row r="96" ht="14.25" customHeight="1">
      <c r="O96" s="27"/>
      <c r="P96" s="27"/>
      <c r="Q96" s="27"/>
      <c r="R96" s="27"/>
      <c r="AG96" s="27"/>
      <c r="AH96" s="27"/>
      <c r="AI96" s="27"/>
    </row>
    <row r="97" ht="14.25" customHeight="1">
      <c r="O97" s="27"/>
      <c r="P97" s="27"/>
      <c r="Q97" s="27"/>
      <c r="R97" s="27"/>
      <c r="AG97" s="27"/>
      <c r="AH97" s="27"/>
      <c r="AI97" s="27"/>
    </row>
    <row r="98" ht="14.25" customHeight="1">
      <c r="O98" s="27"/>
      <c r="P98" s="27"/>
      <c r="Q98" s="27"/>
      <c r="R98" s="27"/>
      <c r="AG98" s="27"/>
      <c r="AH98" s="27"/>
      <c r="AI98" s="27"/>
    </row>
    <row r="99" ht="14.25" customHeight="1">
      <c r="O99" s="27"/>
      <c r="P99" s="27"/>
      <c r="Q99" s="27"/>
      <c r="R99" s="27"/>
      <c r="AG99" s="27"/>
      <c r="AH99" s="27"/>
      <c r="AI99" s="27"/>
    </row>
    <row r="100" ht="14.25" customHeight="1">
      <c r="O100" s="27"/>
      <c r="P100" s="27"/>
      <c r="Q100" s="27"/>
      <c r="R100" s="27"/>
      <c r="AG100" s="27"/>
      <c r="AH100" s="27"/>
      <c r="AI100" s="27"/>
    </row>
    <row r="101" ht="14.25" customHeight="1">
      <c r="O101" s="27"/>
      <c r="P101" s="27"/>
      <c r="Q101" s="27"/>
      <c r="R101" s="27"/>
      <c r="AG101" s="27"/>
      <c r="AH101" s="27"/>
      <c r="AI101" s="27"/>
    </row>
    <row r="102" ht="14.25" customHeight="1">
      <c r="O102" s="27"/>
      <c r="P102" s="27"/>
      <c r="Q102" s="27"/>
      <c r="R102" s="27"/>
      <c r="AG102" s="27"/>
      <c r="AH102" s="27"/>
      <c r="AI102" s="27"/>
    </row>
    <row r="103" ht="14.25" customHeight="1">
      <c r="O103" s="27"/>
      <c r="P103" s="27"/>
      <c r="Q103" s="27"/>
      <c r="R103" s="27"/>
      <c r="AG103" s="27"/>
      <c r="AH103" s="27"/>
      <c r="AI103" s="27"/>
    </row>
    <row r="104" ht="14.25" customHeight="1">
      <c r="O104" s="27"/>
      <c r="P104" s="27"/>
      <c r="Q104" s="27"/>
      <c r="R104" s="27"/>
      <c r="AG104" s="27"/>
      <c r="AH104" s="27"/>
      <c r="AI104" s="27"/>
    </row>
    <row r="105" ht="14.25" customHeight="1">
      <c r="O105" s="27"/>
      <c r="P105" s="27"/>
      <c r="Q105" s="27"/>
      <c r="R105" s="27"/>
      <c r="AG105" s="27"/>
      <c r="AH105" s="27"/>
      <c r="AI105" s="27"/>
    </row>
    <row r="106" ht="14.25" customHeight="1">
      <c r="O106" s="27"/>
      <c r="P106" s="27"/>
      <c r="Q106" s="27"/>
      <c r="R106" s="27"/>
      <c r="AG106" s="27"/>
      <c r="AH106" s="27"/>
      <c r="AI106" s="27"/>
    </row>
    <row r="107" ht="14.25" customHeight="1">
      <c r="O107" s="27"/>
      <c r="P107" s="27"/>
      <c r="Q107" s="27"/>
      <c r="R107" s="27"/>
      <c r="AG107" s="27"/>
      <c r="AH107" s="27"/>
      <c r="AI107" s="27"/>
    </row>
    <row r="108" ht="14.25" customHeight="1">
      <c r="O108" s="27"/>
      <c r="P108" s="27"/>
      <c r="Q108" s="27"/>
      <c r="R108" s="27"/>
      <c r="AG108" s="27"/>
      <c r="AH108" s="27"/>
      <c r="AI108" s="27"/>
    </row>
    <row r="109" ht="14.25" customHeight="1">
      <c r="O109" s="27"/>
      <c r="P109" s="27"/>
      <c r="Q109" s="27"/>
      <c r="R109" s="27"/>
      <c r="AG109" s="27"/>
      <c r="AH109" s="27"/>
      <c r="AI109" s="27"/>
    </row>
    <row r="110" ht="14.25" customHeight="1">
      <c r="O110" s="27"/>
      <c r="P110" s="27"/>
      <c r="Q110" s="27"/>
      <c r="R110" s="27"/>
      <c r="AG110" s="27"/>
      <c r="AH110" s="27"/>
      <c r="AI110" s="27"/>
    </row>
    <row r="111" ht="14.25" customHeight="1">
      <c r="O111" s="27"/>
      <c r="P111" s="27"/>
      <c r="Q111" s="27"/>
      <c r="R111" s="27"/>
      <c r="AG111" s="27"/>
      <c r="AH111" s="27"/>
      <c r="AI111" s="27"/>
    </row>
    <row r="112" ht="14.25" customHeight="1">
      <c r="O112" s="27"/>
      <c r="P112" s="27"/>
      <c r="Q112" s="27"/>
      <c r="R112" s="27"/>
      <c r="AG112" s="27"/>
      <c r="AH112" s="27"/>
      <c r="AI112" s="27"/>
    </row>
    <row r="113" ht="14.25" customHeight="1">
      <c r="O113" s="27"/>
      <c r="P113" s="27"/>
      <c r="Q113" s="27"/>
      <c r="R113" s="27"/>
      <c r="AG113" s="27"/>
      <c r="AH113" s="27"/>
      <c r="AI113" s="27"/>
    </row>
    <row r="114" ht="14.25" customHeight="1">
      <c r="O114" s="27"/>
      <c r="P114" s="27"/>
      <c r="Q114" s="27"/>
      <c r="R114" s="27"/>
      <c r="AG114" s="27"/>
      <c r="AH114" s="27"/>
      <c r="AI114" s="27"/>
    </row>
    <row r="115" ht="14.25" customHeight="1">
      <c r="O115" s="27"/>
      <c r="P115" s="27"/>
      <c r="Q115" s="27"/>
      <c r="R115" s="27"/>
      <c r="AG115" s="27"/>
      <c r="AH115" s="27"/>
      <c r="AI115" s="27"/>
    </row>
    <row r="116" ht="14.25" customHeight="1">
      <c r="O116" s="27"/>
      <c r="P116" s="27"/>
      <c r="Q116" s="27"/>
      <c r="R116" s="27"/>
      <c r="AG116" s="27"/>
      <c r="AH116" s="27"/>
      <c r="AI116" s="27"/>
    </row>
    <row r="117" ht="14.25" customHeight="1">
      <c r="O117" s="27"/>
      <c r="P117" s="27"/>
      <c r="Q117" s="27"/>
      <c r="R117" s="27"/>
      <c r="AG117" s="27"/>
      <c r="AH117" s="27"/>
      <c r="AI117" s="27"/>
    </row>
    <row r="118" ht="14.25" customHeight="1">
      <c r="O118" s="27"/>
      <c r="P118" s="27"/>
      <c r="Q118" s="27"/>
      <c r="R118" s="27"/>
      <c r="AG118" s="27"/>
      <c r="AH118" s="27"/>
      <c r="AI118" s="27"/>
    </row>
    <row r="119" ht="14.25" customHeight="1">
      <c r="O119" s="27"/>
      <c r="P119" s="27"/>
      <c r="Q119" s="27"/>
      <c r="R119" s="27"/>
      <c r="AG119" s="27"/>
      <c r="AH119" s="27"/>
      <c r="AI119" s="27"/>
    </row>
    <row r="120" ht="14.25" customHeight="1">
      <c r="O120" s="27"/>
      <c r="P120" s="27"/>
      <c r="Q120" s="27"/>
      <c r="R120" s="27"/>
      <c r="AG120" s="27"/>
      <c r="AH120" s="27"/>
      <c r="AI120" s="27"/>
    </row>
    <row r="121" ht="14.25" customHeight="1">
      <c r="O121" s="27"/>
      <c r="P121" s="27"/>
      <c r="Q121" s="27"/>
      <c r="R121" s="27"/>
      <c r="AG121" s="27"/>
      <c r="AH121" s="27"/>
      <c r="AI121" s="27"/>
    </row>
    <row r="122" ht="14.25" customHeight="1">
      <c r="O122" s="27"/>
      <c r="P122" s="27"/>
      <c r="Q122" s="27"/>
      <c r="R122" s="27"/>
      <c r="AG122" s="27"/>
      <c r="AH122" s="27"/>
      <c r="AI122" s="27"/>
    </row>
    <row r="123" ht="14.25" customHeight="1">
      <c r="O123" s="27"/>
      <c r="P123" s="27"/>
      <c r="Q123" s="27"/>
      <c r="R123" s="27"/>
      <c r="AG123" s="27"/>
      <c r="AH123" s="27"/>
      <c r="AI123" s="27"/>
    </row>
    <row r="124" ht="14.25" customHeight="1">
      <c r="O124" s="27"/>
      <c r="P124" s="27"/>
      <c r="Q124" s="27"/>
      <c r="R124" s="27"/>
      <c r="AG124" s="27"/>
      <c r="AH124" s="27"/>
      <c r="AI124" s="27"/>
    </row>
    <row r="125" ht="14.25" customHeight="1">
      <c r="O125" s="27"/>
      <c r="P125" s="27"/>
      <c r="Q125" s="27"/>
      <c r="R125" s="27"/>
      <c r="AG125" s="27"/>
      <c r="AH125" s="27"/>
      <c r="AI125" s="27"/>
    </row>
    <row r="126" ht="14.25" customHeight="1">
      <c r="O126" s="27"/>
      <c r="P126" s="27"/>
      <c r="Q126" s="27"/>
      <c r="R126" s="27"/>
      <c r="AG126" s="27"/>
      <c r="AH126" s="27"/>
      <c r="AI126" s="27"/>
    </row>
    <row r="127" ht="14.25" customHeight="1">
      <c r="O127" s="27"/>
      <c r="P127" s="27"/>
      <c r="Q127" s="27"/>
      <c r="R127" s="27"/>
      <c r="AG127" s="27"/>
      <c r="AH127" s="27"/>
      <c r="AI127" s="27"/>
    </row>
    <row r="128" ht="14.25" customHeight="1">
      <c r="O128" s="27"/>
      <c r="P128" s="27"/>
      <c r="Q128" s="27"/>
      <c r="R128" s="27"/>
      <c r="AG128" s="27"/>
      <c r="AH128" s="27"/>
      <c r="AI128" s="27"/>
    </row>
    <row r="129" ht="14.25" customHeight="1">
      <c r="O129" s="27"/>
      <c r="P129" s="27"/>
      <c r="Q129" s="27"/>
      <c r="R129" s="27"/>
      <c r="AG129" s="27"/>
      <c r="AH129" s="27"/>
      <c r="AI129" s="27"/>
    </row>
    <row r="130" ht="14.25" customHeight="1">
      <c r="O130" s="27"/>
      <c r="P130" s="27"/>
      <c r="Q130" s="27"/>
      <c r="R130" s="27"/>
      <c r="AG130" s="27"/>
      <c r="AH130" s="27"/>
      <c r="AI130" s="27"/>
    </row>
    <row r="131" ht="14.25" customHeight="1">
      <c r="O131" s="27"/>
      <c r="P131" s="27"/>
      <c r="Q131" s="27"/>
      <c r="R131" s="27"/>
      <c r="AG131" s="27"/>
      <c r="AH131" s="27"/>
      <c r="AI131" s="27"/>
    </row>
    <row r="132" ht="14.25" customHeight="1">
      <c r="O132" s="27"/>
      <c r="P132" s="27"/>
      <c r="Q132" s="27"/>
      <c r="R132" s="27"/>
      <c r="AG132" s="27"/>
      <c r="AH132" s="27"/>
      <c r="AI132" s="27"/>
    </row>
    <row r="133" ht="14.25" customHeight="1">
      <c r="O133" s="27"/>
      <c r="P133" s="27"/>
      <c r="Q133" s="27"/>
      <c r="R133" s="27"/>
      <c r="AG133" s="27"/>
      <c r="AH133" s="27"/>
      <c r="AI133" s="27"/>
    </row>
    <row r="134" ht="14.25" customHeight="1">
      <c r="O134" s="27"/>
      <c r="P134" s="27"/>
      <c r="Q134" s="27"/>
      <c r="R134" s="27"/>
      <c r="AG134" s="27"/>
      <c r="AH134" s="27"/>
      <c r="AI134" s="27"/>
    </row>
    <row r="135" ht="14.25" customHeight="1">
      <c r="O135" s="27"/>
      <c r="P135" s="27"/>
      <c r="Q135" s="27"/>
      <c r="R135" s="27"/>
      <c r="AG135" s="27"/>
      <c r="AH135" s="27"/>
      <c r="AI135" s="27"/>
    </row>
    <row r="136" ht="14.25" customHeight="1">
      <c r="O136" s="27"/>
      <c r="P136" s="27"/>
      <c r="Q136" s="27"/>
      <c r="R136" s="27"/>
      <c r="AG136" s="27"/>
      <c r="AH136" s="27"/>
      <c r="AI136" s="27"/>
    </row>
    <row r="137" ht="14.25" customHeight="1">
      <c r="O137" s="27"/>
      <c r="P137" s="27"/>
      <c r="Q137" s="27"/>
      <c r="R137" s="27"/>
      <c r="AG137" s="27"/>
      <c r="AH137" s="27"/>
      <c r="AI137" s="27"/>
    </row>
    <row r="138" ht="14.25" customHeight="1">
      <c r="O138" s="27"/>
      <c r="P138" s="27"/>
      <c r="Q138" s="27"/>
      <c r="R138" s="27"/>
      <c r="AG138" s="27"/>
      <c r="AH138" s="27"/>
      <c r="AI138" s="27"/>
    </row>
    <row r="139" ht="14.25" customHeight="1">
      <c r="O139" s="27"/>
      <c r="P139" s="27"/>
      <c r="Q139" s="27"/>
      <c r="R139" s="27"/>
      <c r="AG139" s="27"/>
      <c r="AH139" s="27"/>
      <c r="AI139" s="27"/>
    </row>
    <row r="140" ht="14.25" customHeight="1">
      <c r="O140" s="27"/>
      <c r="P140" s="27"/>
      <c r="Q140" s="27"/>
      <c r="R140" s="27"/>
      <c r="AG140" s="27"/>
      <c r="AH140" s="27"/>
      <c r="AI140" s="27"/>
    </row>
    <row r="141" ht="14.25" customHeight="1">
      <c r="O141" s="27"/>
      <c r="P141" s="27"/>
      <c r="Q141" s="27"/>
      <c r="R141" s="27"/>
      <c r="AG141" s="27"/>
      <c r="AH141" s="27"/>
      <c r="AI141" s="27"/>
    </row>
    <row r="142" ht="14.25" customHeight="1">
      <c r="O142" s="27"/>
      <c r="P142" s="27"/>
      <c r="Q142" s="27"/>
      <c r="R142" s="27"/>
      <c r="AG142" s="27"/>
      <c r="AH142" s="27"/>
      <c r="AI142" s="27"/>
    </row>
    <row r="143" ht="14.25" customHeight="1">
      <c r="O143" s="27"/>
      <c r="P143" s="27"/>
      <c r="Q143" s="27"/>
      <c r="R143" s="27"/>
      <c r="AG143" s="27"/>
      <c r="AH143" s="27"/>
      <c r="AI143" s="27"/>
    </row>
    <row r="144" ht="14.25" customHeight="1">
      <c r="O144" s="27"/>
      <c r="P144" s="27"/>
      <c r="Q144" s="27"/>
      <c r="R144" s="27"/>
      <c r="AG144" s="27"/>
      <c r="AH144" s="27"/>
      <c r="AI144" s="27"/>
    </row>
    <row r="145" ht="14.25" customHeight="1">
      <c r="O145" s="27"/>
      <c r="P145" s="27"/>
      <c r="Q145" s="27"/>
      <c r="R145" s="27"/>
      <c r="AG145" s="27"/>
      <c r="AH145" s="27"/>
      <c r="AI145" s="27"/>
    </row>
    <row r="146" ht="14.25" customHeight="1">
      <c r="O146" s="27"/>
      <c r="P146" s="27"/>
      <c r="Q146" s="27"/>
      <c r="R146" s="27"/>
      <c r="AG146" s="27"/>
      <c r="AH146" s="27"/>
      <c r="AI146" s="27"/>
    </row>
    <row r="147" ht="14.25" customHeight="1">
      <c r="O147" s="27"/>
      <c r="P147" s="27"/>
      <c r="Q147" s="27"/>
      <c r="R147" s="27"/>
      <c r="AG147" s="27"/>
      <c r="AH147" s="27"/>
      <c r="AI147" s="27"/>
    </row>
    <row r="148" ht="14.25" customHeight="1">
      <c r="O148" s="27"/>
      <c r="P148" s="27"/>
      <c r="Q148" s="27"/>
      <c r="R148" s="27"/>
      <c r="AG148" s="27"/>
      <c r="AH148" s="27"/>
      <c r="AI148" s="27"/>
    </row>
    <row r="149" ht="14.25" customHeight="1">
      <c r="O149" s="27"/>
      <c r="P149" s="27"/>
      <c r="Q149" s="27"/>
      <c r="R149" s="27"/>
      <c r="AG149" s="27"/>
      <c r="AH149" s="27"/>
      <c r="AI149" s="27"/>
    </row>
    <row r="150" ht="14.25" customHeight="1">
      <c r="O150" s="27"/>
      <c r="P150" s="27"/>
      <c r="Q150" s="27"/>
      <c r="R150" s="27"/>
      <c r="AG150" s="27"/>
      <c r="AH150" s="27"/>
      <c r="AI150" s="27"/>
    </row>
    <row r="151" ht="14.25" customHeight="1">
      <c r="O151" s="27"/>
      <c r="P151" s="27"/>
      <c r="Q151" s="27"/>
      <c r="R151" s="27"/>
      <c r="AG151" s="27"/>
      <c r="AH151" s="27"/>
      <c r="AI151" s="27"/>
    </row>
    <row r="152" ht="14.25" customHeight="1">
      <c r="O152" s="27"/>
      <c r="P152" s="27"/>
      <c r="Q152" s="27"/>
      <c r="R152" s="27"/>
      <c r="AG152" s="27"/>
      <c r="AH152" s="27"/>
      <c r="AI152" s="27"/>
    </row>
    <row r="153" ht="14.25" customHeight="1">
      <c r="O153" s="27"/>
      <c r="P153" s="27"/>
      <c r="Q153" s="27"/>
      <c r="R153" s="27"/>
      <c r="AG153" s="27"/>
      <c r="AH153" s="27"/>
      <c r="AI153" s="27"/>
    </row>
    <row r="154" ht="14.25" customHeight="1">
      <c r="O154" s="27"/>
      <c r="P154" s="27"/>
      <c r="Q154" s="27"/>
      <c r="R154" s="27"/>
      <c r="AG154" s="27"/>
      <c r="AH154" s="27"/>
      <c r="AI154" s="27"/>
    </row>
    <row r="155" ht="14.25" customHeight="1">
      <c r="O155" s="27"/>
      <c r="P155" s="27"/>
      <c r="Q155" s="27"/>
      <c r="R155" s="27"/>
      <c r="AG155" s="27"/>
      <c r="AH155" s="27"/>
      <c r="AI155" s="27"/>
    </row>
    <row r="156" ht="14.25" customHeight="1">
      <c r="O156" s="27"/>
      <c r="P156" s="27"/>
      <c r="Q156" s="27"/>
      <c r="R156" s="27"/>
      <c r="AG156" s="27"/>
      <c r="AH156" s="27"/>
      <c r="AI156" s="27"/>
    </row>
    <row r="157" ht="14.25" customHeight="1">
      <c r="O157" s="27"/>
      <c r="P157" s="27"/>
      <c r="Q157" s="27"/>
      <c r="R157" s="27"/>
      <c r="AG157" s="27"/>
      <c r="AH157" s="27"/>
      <c r="AI157" s="27"/>
    </row>
    <row r="158" ht="14.25" customHeight="1">
      <c r="O158" s="27"/>
      <c r="P158" s="27"/>
      <c r="Q158" s="27"/>
      <c r="R158" s="27"/>
      <c r="AG158" s="27"/>
      <c r="AH158" s="27"/>
      <c r="AI158" s="27"/>
    </row>
    <row r="159" ht="14.25" customHeight="1">
      <c r="O159" s="27"/>
      <c r="P159" s="27"/>
      <c r="Q159" s="27"/>
      <c r="R159" s="27"/>
      <c r="AG159" s="27"/>
      <c r="AH159" s="27"/>
      <c r="AI159" s="27"/>
    </row>
    <row r="160" ht="14.25" customHeight="1">
      <c r="O160" s="27"/>
      <c r="P160" s="27"/>
      <c r="Q160" s="27"/>
      <c r="R160" s="27"/>
      <c r="AG160" s="27"/>
      <c r="AH160" s="27"/>
      <c r="AI160" s="27"/>
    </row>
    <row r="161" ht="14.25" customHeight="1">
      <c r="O161" s="27"/>
      <c r="P161" s="27"/>
      <c r="Q161" s="27"/>
      <c r="R161" s="27"/>
      <c r="AG161" s="27"/>
      <c r="AH161" s="27"/>
      <c r="AI161" s="27"/>
    </row>
    <row r="162" ht="14.25" customHeight="1">
      <c r="O162" s="27"/>
      <c r="P162" s="27"/>
      <c r="Q162" s="27"/>
      <c r="R162" s="27"/>
      <c r="AG162" s="27"/>
      <c r="AH162" s="27"/>
      <c r="AI162" s="27"/>
    </row>
    <row r="163" ht="14.25" customHeight="1">
      <c r="O163" s="27"/>
      <c r="P163" s="27"/>
      <c r="Q163" s="27"/>
      <c r="R163" s="27"/>
      <c r="AG163" s="27"/>
      <c r="AH163" s="27"/>
      <c r="AI163" s="27"/>
    </row>
    <row r="164" ht="14.25" customHeight="1">
      <c r="O164" s="27"/>
      <c r="P164" s="27"/>
      <c r="Q164" s="27"/>
      <c r="R164" s="27"/>
      <c r="AG164" s="27"/>
      <c r="AH164" s="27"/>
      <c r="AI164" s="27"/>
    </row>
    <row r="165" ht="14.25" customHeight="1">
      <c r="O165" s="27"/>
      <c r="P165" s="27"/>
      <c r="Q165" s="27"/>
      <c r="R165" s="27"/>
      <c r="AG165" s="27"/>
      <c r="AH165" s="27"/>
      <c r="AI165" s="27"/>
    </row>
    <row r="166" ht="14.25" customHeight="1">
      <c r="O166" s="27"/>
      <c r="P166" s="27"/>
      <c r="Q166" s="27"/>
      <c r="R166" s="27"/>
      <c r="AG166" s="27"/>
      <c r="AH166" s="27"/>
      <c r="AI166" s="27"/>
    </row>
    <row r="167" ht="14.25" customHeight="1">
      <c r="O167" s="27"/>
      <c r="P167" s="27"/>
      <c r="Q167" s="27"/>
      <c r="R167" s="27"/>
      <c r="AG167" s="27"/>
      <c r="AH167" s="27"/>
      <c r="AI167" s="27"/>
    </row>
    <row r="168" ht="14.25" customHeight="1">
      <c r="O168" s="27"/>
      <c r="P168" s="27"/>
      <c r="Q168" s="27"/>
      <c r="R168" s="27"/>
      <c r="AG168" s="27"/>
      <c r="AH168" s="27"/>
      <c r="AI168" s="27"/>
    </row>
    <row r="169" ht="14.25" customHeight="1">
      <c r="O169" s="27"/>
      <c r="P169" s="27"/>
      <c r="Q169" s="27"/>
      <c r="R169" s="27"/>
      <c r="AG169" s="27"/>
      <c r="AH169" s="27"/>
      <c r="AI169" s="27"/>
    </row>
    <row r="170" ht="14.25" customHeight="1">
      <c r="O170" s="27"/>
      <c r="P170" s="27"/>
      <c r="Q170" s="27"/>
      <c r="R170" s="27"/>
      <c r="AG170" s="27"/>
      <c r="AH170" s="27"/>
      <c r="AI170" s="27"/>
    </row>
    <row r="171" ht="14.25" customHeight="1">
      <c r="O171" s="27"/>
      <c r="P171" s="27"/>
      <c r="Q171" s="27"/>
      <c r="R171" s="27"/>
      <c r="AG171" s="27"/>
      <c r="AH171" s="27"/>
      <c r="AI171" s="27"/>
    </row>
    <row r="172" ht="14.25" customHeight="1">
      <c r="O172" s="27"/>
      <c r="P172" s="27"/>
      <c r="Q172" s="27"/>
      <c r="R172" s="27"/>
      <c r="AG172" s="27"/>
      <c r="AH172" s="27"/>
      <c r="AI172" s="27"/>
    </row>
    <row r="173" ht="14.25" customHeight="1">
      <c r="O173" s="27"/>
      <c r="P173" s="27"/>
      <c r="Q173" s="27"/>
      <c r="R173" s="27"/>
      <c r="AG173" s="27"/>
      <c r="AH173" s="27"/>
      <c r="AI173" s="27"/>
    </row>
    <row r="174" ht="14.25" customHeight="1">
      <c r="O174" s="27"/>
      <c r="P174" s="27"/>
      <c r="Q174" s="27"/>
      <c r="R174" s="27"/>
      <c r="AG174" s="27"/>
      <c r="AH174" s="27"/>
      <c r="AI174" s="27"/>
    </row>
    <row r="175" ht="14.25" customHeight="1">
      <c r="O175" s="27"/>
      <c r="P175" s="27"/>
      <c r="Q175" s="27"/>
      <c r="R175" s="27"/>
      <c r="AG175" s="27"/>
      <c r="AH175" s="27"/>
      <c r="AI175" s="27"/>
    </row>
    <row r="176" ht="14.25" customHeight="1">
      <c r="O176" s="27"/>
      <c r="P176" s="27"/>
      <c r="Q176" s="27"/>
      <c r="R176" s="27"/>
      <c r="AG176" s="27"/>
      <c r="AH176" s="27"/>
      <c r="AI176" s="27"/>
    </row>
    <row r="177" ht="14.25" customHeight="1">
      <c r="O177" s="27"/>
      <c r="P177" s="27"/>
      <c r="Q177" s="27"/>
      <c r="R177" s="27"/>
      <c r="AG177" s="27"/>
      <c r="AH177" s="27"/>
      <c r="AI177" s="27"/>
    </row>
    <row r="178" ht="14.25" customHeight="1">
      <c r="O178" s="27"/>
      <c r="P178" s="27"/>
      <c r="Q178" s="27"/>
      <c r="R178" s="27"/>
      <c r="AG178" s="27"/>
      <c r="AH178" s="27"/>
      <c r="AI178" s="27"/>
    </row>
    <row r="179" ht="14.25" customHeight="1">
      <c r="O179" s="27"/>
      <c r="P179" s="27"/>
      <c r="Q179" s="27"/>
      <c r="R179" s="27"/>
      <c r="AG179" s="27"/>
      <c r="AH179" s="27"/>
      <c r="AI179" s="27"/>
    </row>
    <row r="180" ht="14.25" customHeight="1">
      <c r="O180" s="27"/>
      <c r="P180" s="27"/>
      <c r="Q180" s="27"/>
      <c r="R180" s="27"/>
      <c r="AG180" s="27"/>
      <c r="AH180" s="27"/>
      <c r="AI180" s="27"/>
    </row>
    <row r="181" ht="14.25" customHeight="1">
      <c r="O181" s="27"/>
      <c r="P181" s="27"/>
      <c r="Q181" s="27"/>
      <c r="R181" s="27"/>
      <c r="AG181" s="27"/>
      <c r="AH181" s="27"/>
      <c r="AI181" s="27"/>
    </row>
    <row r="182" ht="14.25" customHeight="1">
      <c r="O182" s="27"/>
      <c r="P182" s="27"/>
      <c r="Q182" s="27"/>
      <c r="R182" s="27"/>
      <c r="AG182" s="27"/>
      <c r="AH182" s="27"/>
      <c r="AI182" s="27"/>
    </row>
    <row r="183" ht="14.25" customHeight="1">
      <c r="O183" s="27"/>
      <c r="P183" s="27"/>
      <c r="Q183" s="27"/>
      <c r="R183" s="27"/>
      <c r="AG183" s="27"/>
      <c r="AH183" s="27"/>
      <c r="AI183" s="27"/>
    </row>
    <row r="184" ht="14.25" customHeight="1">
      <c r="O184" s="27"/>
      <c r="P184" s="27"/>
      <c r="Q184" s="27"/>
      <c r="R184" s="27"/>
      <c r="AG184" s="27"/>
      <c r="AH184" s="27"/>
      <c r="AI184" s="27"/>
    </row>
    <row r="185" ht="14.25" customHeight="1">
      <c r="O185" s="27"/>
      <c r="P185" s="27"/>
      <c r="Q185" s="27"/>
      <c r="R185" s="27"/>
      <c r="AG185" s="27"/>
      <c r="AH185" s="27"/>
      <c r="AI185" s="27"/>
    </row>
    <row r="186" ht="14.25" customHeight="1">
      <c r="O186" s="27"/>
      <c r="P186" s="27"/>
      <c r="Q186" s="27"/>
      <c r="R186" s="27"/>
      <c r="AG186" s="27"/>
      <c r="AH186" s="27"/>
      <c r="AI186" s="27"/>
    </row>
    <row r="187" ht="14.25" customHeight="1">
      <c r="O187" s="27"/>
      <c r="P187" s="27"/>
      <c r="Q187" s="27"/>
      <c r="R187" s="27"/>
      <c r="AG187" s="27"/>
      <c r="AH187" s="27"/>
      <c r="AI187" s="27"/>
    </row>
    <row r="188" ht="14.25" customHeight="1">
      <c r="O188" s="27"/>
      <c r="P188" s="27"/>
      <c r="Q188" s="27"/>
      <c r="R188" s="27"/>
      <c r="AG188" s="27"/>
      <c r="AH188" s="27"/>
      <c r="AI188" s="27"/>
    </row>
    <row r="189" ht="14.25" customHeight="1">
      <c r="O189" s="27"/>
      <c r="P189" s="27"/>
      <c r="Q189" s="27"/>
      <c r="R189" s="27"/>
      <c r="AG189" s="27"/>
      <c r="AH189" s="27"/>
      <c r="AI189" s="27"/>
    </row>
    <row r="190" ht="14.25" customHeight="1">
      <c r="O190" s="27"/>
      <c r="P190" s="27"/>
      <c r="Q190" s="27"/>
      <c r="R190" s="27"/>
      <c r="AG190" s="27"/>
      <c r="AH190" s="27"/>
      <c r="AI190" s="27"/>
    </row>
    <row r="191" ht="14.25" customHeight="1">
      <c r="O191" s="27"/>
      <c r="P191" s="27"/>
      <c r="Q191" s="27"/>
      <c r="R191" s="27"/>
      <c r="AG191" s="27"/>
      <c r="AH191" s="27"/>
      <c r="AI191" s="27"/>
    </row>
    <row r="192" ht="14.25" customHeight="1">
      <c r="O192" s="27"/>
      <c r="P192" s="27"/>
      <c r="Q192" s="27"/>
      <c r="R192" s="27"/>
      <c r="AG192" s="27"/>
      <c r="AH192" s="27"/>
      <c r="AI192" s="27"/>
    </row>
    <row r="193" ht="14.25" customHeight="1">
      <c r="O193" s="27"/>
      <c r="P193" s="27"/>
      <c r="Q193" s="27"/>
      <c r="R193" s="27"/>
      <c r="AG193" s="27"/>
      <c r="AH193" s="27"/>
      <c r="AI193" s="27"/>
    </row>
    <row r="194" ht="14.25" customHeight="1">
      <c r="O194" s="27"/>
      <c r="P194" s="27"/>
      <c r="Q194" s="27"/>
      <c r="R194" s="27"/>
      <c r="AG194" s="27"/>
      <c r="AH194" s="27"/>
      <c r="AI194" s="27"/>
    </row>
    <row r="195" ht="14.25" customHeight="1">
      <c r="O195" s="27"/>
      <c r="P195" s="27"/>
      <c r="Q195" s="27"/>
      <c r="R195" s="27"/>
      <c r="AG195" s="27"/>
      <c r="AH195" s="27"/>
      <c r="AI195" s="27"/>
    </row>
    <row r="196" ht="14.25" customHeight="1">
      <c r="O196" s="27"/>
      <c r="P196" s="27"/>
      <c r="Q196" s="27"/>
      <c r="R196" s="27"/>
      <c r="AG196" s="27"/>
      <c r="AH196" s="27"/>
      <c r="AI196" s="27"/>
    </row>
    <row r="197" ht="14.25" customHeight="1">
      <c r="O197" s="27"/>
      <c r="P197" s="27"/>
      <c r="Q197" s="27"/>
      <c r="R197" s="27"/>
      <c r="AG197" s="27"/>
      <c r="AH197" s="27"/>
      <c r="AI197" s="27"/>
    </row>
    <row r="198" ht="14.25" customHeight="1">
      <c r="O198" s="27"/>
      <c r="P198" s="27"/>
      <c r="Q198" s="27"/>
      <c r="R198" s="27"/>
      <c r="AG198" s="27"/>
      <c r="AH198" s="27"/>
      <c r="AI198" s="27"/>
    </row>
    <row r="199" ht="14.25" customHeight="1">
      <c r="O199" s="27"/>
      <c r="P199" s="27"/>
      <c r="Q199" s="27"/>
      <c r="R199" s="27"/>
      <c r="AG199" s="27"/>
      <c r="AH199" s="27"/>
      <c r="AI199" s="27"/>
    </row>
    <row r="200" ht="14.25" customHeight="1">
      <c r="O200" s="27"/>
      <c r="P200" s="27"/>
      <c r="Q200" s="27"/>
      <c r="R200" s="27"/>
      <c r="AG200" s="27"/>
      <c r="AH200" s="27"/>
      <c r="AI200" s="27"/>
    </row>
    <row r="201" ht="14.25" customHeight="1">
      <c r="O201" s="27"/>
      <c r="P201" s="27"/>
      <c r="Q201" s="27"/>
      <c r="R201" s="27"/>
      <c r="AG201" s="27"/>
      <c r="AH201" s="27"/>
      <c r="AI201" s="27"/>
    </row>
    <row r="202" ht="14.25" customHeight="1">
      <c r="O202" s="27"/>
      <c r="P202" s="27"/>
      <c r="Q202" s="27"/>
      <c r="R202" s="27"/>
      <c r="AG202" s="27"/>
      <c r="AH202" s="27"/>
      <c r="AI202" s="27"/>
    </row>
    <row r="203" ht="14.25" customHeight="1">
      <c r="O203" s="27"/>
      <c r="P203" s="27"/>
      <c r="Q203" s="27"/>
      <c r="R203" s="27"/>
      <c r="AG203" s="27"/>
      <c r="AH203" s="27"/>
      <c r="AI203" s="27"/>
    </row>
    <row r="204" ht="14.25" customHeight="1">
      <c r="O204" s="27"/>
      <c r="P204" s="27"/>
      <c r="Q204" s="27"/>
      <c r="R204" s="27"/>
      <c r="AG204" s="27"/>
      <c r="AH204" s="27"/>
      <c r="AI204" s="27"/>
    </row>
    <row r="205" ht="14.25" customHeight="1">
      <c r="O205" s="27"/>
      <c r="P205" s="27"/>
      <c r="Q205" s="27"/>
      <c r="R205" s="27"/>
      <c r="AG205" s="27"/>
      <c r="AH205" s="27"/>
      <c r="AI205" s="27"/>
    </row>
    <row r="206" ht="14.25" customHeight="1">
      <c r="O206" s="27"/>
      <c r="P206" s="27"/>
      <c r="Q206" s="27"/>
      <c r="R206" s="27"/>
      <c r="AG206" s="27"/>
      <c r="AH206" s="27"/>
      <c r="AI206" s="27"/>
    </row>
    <row r="207" ht="14.25" customHeight="1">
      <c r="O207" s="27"/>
      <c r="P207" s="27"/>
      <c r="Q207" s="27"/>
      <c r="R207" s="27"/>
      <c r="AG207" s="27"/>
      <c r="AH207" s="27"/>
      <c r="AI207" s="27"/>
    </row>
    <row r="208" ht="14.25" customHeight="1">
      <c r="O208" s="27"/>
      <c r="P208" s="27"/>
      <c r="Q208" s="27"/>
      <c r="R208" s="27"/>
      <c r="AG208" s="27"/>
      <c r="AH208" s="27"/>
      <c r="AI208" s="27"/>
    </row>
    <row r="209" ht="14.25" customHeight="1">
      <c r="O209" s="27"/>
      <c r="P209" s="27"/>
      <c r="Q209" s="27"/>
      <c r="R209" s="27"/>
      <c r="AG209" s="27"/>
      <c r="AH209" s="27"/>
      <c r="AI209" s="27"/>
    </row>
    <row r="210" ht="14.25" customHeight="1">
      <c r="O210" s="27"/>
      <c r="P210" s="27"/>
      <c r="Q210" s="27"/>
      <c r="R210" s="27"/>
      <c r="AG210" s="27"/>
      <c r="AH210" s="27"/>
      <c r="AI210" s="27"/>
    </row>
    <row r="211" ht="14.25" customHeight="1">
      <c r="O211" s="27"/>
      <c r="P211" s="27"/>
      <c r="Q211" s="27"/>
      <c r="R211" s="27"/>
      <c r="AG211" s="27"/>
      <c r="AH211" s="27"/>
      <c r="AI211" s="27"/>
    </row>
    <row r="212" ht="14.25" customHeight="1">
      <c r="O212" s="27"/>
      <c r="P212" s="27"/>
      <c r="Q212" s="27"/>
      <c r="R212" s="27"/>
      <c r="AG212" s="27"/>
      <c r="AH212" s="27"/>
      <c r="AI212" s="27"/>
    </row>
    <row r="213" ht="14.25" customHeight="1">
      <c r="O213" s="27"/>
      <c r="P213" s="27"/>
      <c r="Q213" s="27"/>
      <c r="R213" s="27"/>
      <c r="AG213" s="27"/>
      <c r="AH213" s="27"/>
      <c r="AI213" s="27"/>
    </row>
    <row r="214" ht="14.25" customHeight="1">
      <c r="O214" s="27"/>
      <c r="P214" s="27"/>
      <c r="Q214" s="27"/>
      <c r="R214" s="27"/>
      <c r="AG214" s="27"/>
      <c r="AH214" s="27"/>
      <c r="AI214" s="27"/>
    </row>
    <row r="215" ht="14.25" customHeight="1">
      <c r="O215" s="27"/>
      <c r="P215" s="27"/>
      <c r="Q215" s="27"/>
      <c r="R215" s="27"/>
      <c r="AG215" s="27"/>
      <c r="AH215" s="27"/>
      <c r="AI215" s="27"/>
    </row>
    <row r="216" ht="14.25" customHeight="1">
      <c r="O216" s="27"/>
      <c r="P216" s="27"/>
      <c r="Q216" s="27"/>
      <c r="R216" s="27"/>
      <c r="AG216" s="27"/>
      <c r="AH216" s="27"/>
      <c r="AI216" s="27"/>
    </row>
    <row r="217" ht="14.25" customHeight="1">
      <c r="O217" s="27"/>
      <c r="P217" s="27"/>
      <c r="Q217" s="27"/>
      <c r="R217" s="27"/>
      <c r="AG217" s="27"/>
      <c r="AH217" s="27"/>
      <c r="AI217" s="27"/>
    </row>
    <row r="218" ht="14.25" customHeight="1">
      <c r="O218" s="27"/>
      <c r="P218" s="27"/>
      <c r="Q218" s="27"/>
      <c r="R218" s="27"/>
      <c r="AG218" s="27"/>
      <c r="AH218" s="27"/>
      <c r="AI218" s="27"/>
    </row>
    <row r="219" ht="14.25" customHeight="1">
      <c r="O219" s="27"/>
      <c r="P219" s="27"/>
      <c r="Q219" s="27"/>
      <c r="R219" s="27"/>
      <c r="AG219" s="27"/>
      <c r="AH219" s="27"/>
      <c r="AI219" s="27"/>
    </row>
    <row r="220" ht="14.25" customHeight="1">
      <c r="O220" s="27"/>
      <c r="P220" s="27"/>
      <c r="Q220" s="27"/>
      <c r="R220" s="27"/>
      <c r="AG220" s="27"/>
      <c r="AH220" s="27"/>
      <c r="AI220" s="27"/>
    </row>
    <row r="221" ht="14.25" customHeight="1">
      <c r="O221" s="27"/>
      <c r="P221" s="27"/>
      <c r="Q221" s="27"/>
      <c r="R221" s="27"/>
      <c r="AG221" s="27"/>
      <c r="AH221" s="27"/>
      <c r="AI221" s="27"/>
    </row>
    <row r="222" ht="14.25" customHeight="1">
      <c r="O222" s="27"/>
      <c r="P222" s="27"/>
      <c r="Q222" s="27"/>
      <c r="R222" s="27"/>
      <c r="AG222" s="27"/>
      <c r="AH222" s="27"/>
      <c r="AI222" s="27"/>
    </row>
    <row r="223" ht="14.25" customHeight="1">
      <c r="O223" s="27"/>
      <c r="P223" s="27"/>
      <c r="Q223" s="27"/>
      <c r="R223" s="27"/>
      <c r="AG223" s="27"/>
      <c r="AH223" s="27"/>
      <c r="AI223" s="27"/>
    </row>
    <row r="224" ht="14.25" customHeight="1">
      <c r="O224" s="27"/>
      <c r="P224" s="27"/>
      <c r="Q224" s="27"/>
      <c r="R224" s="27"/>
      <c r="AG224" s="27"/>
      <c r="AH224" s="27"/>
      <c r="AI224" s="27"/>
    </row>
    <row r="225" ht="14.25" customHeight="1">
      <c r="O225" s="27"/>
      <c r="P225" s="27"/>
      <c r="Q225" s="27"/>
      <c r="R225" s="27"/>
      <c r="AG225" s="27"/>
      <c r="AH225" s="27"/>
      <c r="AI225" s="27"/>
    </row>
    <row r="226" ht="14.25" customHeight="1">
      <c r="O226" s="27"/>
      <c r="P226" s="27"/>
      <c r="Q226" s="27"/>
      <c r="R226" s="27"/>
      <c r="AG226" s="27"/>
      <c r="AH226" s="27"/>
      <c r="AI226" s="27"/>
    </row>
    <row r="227" ht="14.25" customHeight="1">
      <c r="O227" s="27"/>
      <c r="P227" s="27"/>
      <c r="Q227" s="27"/>
      <c r="R227" s="27"/>
      <c r="AG227" s="27"/>
      <c r="AH227" s="27"/>
      <c r="AI227" s="27"/>
    </row>
    <row r="228" ht="14.25" customHeight="1">
      <c r="O228" s="27"/>
      <c r="P228" s="27"/>
      <c r="Q228" s="27"/>
      <c r="R228" s="27"/>
      <c r="AG228" s="27"/>
      <c r="AH228" s="27"/>
      <c r="AI228" s="27"/>
    </row>
    <row r="229" ht="14.25" customHeight="1">
      <c r="O229" s="27"/>
      <c r="P229" s="27"/>
      <c r="Q229" s="27"/>
      <c r="R229" s="27"/>
      <c r="AG229" s="27"/>
      <c r="AH229" s="27"/>
      <c r="AI229" s="27"/>
    </row>
    <row r="230" ht="14.25" customHeight="1">
      <c r="O230" s="27"/>
      <c r="P230" s="27"/>
      <c r="Q230" s="27"/>
      <c r="R230" s="27"/>
      <c r="AG230" s="27"/>
      <c r="AH230" s="27"/>
      <c r="AI230" s="27"/>
    </row>
    <row r="231" ht="14.25" customHeight="1">
      <c r="O231" s="27"/>
      <c r="P231" s="27"/>
      <c r="Q231" s="27"/>
      <c r="R231" s="27"/>
      <c r="AG231" s="27"/>
      <c r="AH231" s="27"/>
      <c r="AI231" s="27"/>
    </row>
    <row r="232" ht="14.25" customHeight="1">
      <c r="O232" s="27"/>
      <c r="P232" s="27"/>
      <c r="Q232" s="27"/>
      <c r="R232" s="27"/>
      <c r="AG232" s="27"/>
      <c r="AH232" s="27"/>
      <c r="AI232" s="27"/>
    </row>
    <row r="233" ht="14.25" customHeight="1">
      <c r="O233" s="27"/>
      <c r="P233" s="27"/>
      <c r="Q233" s="27"/>
      <c r="R233" s="27"/>
      <c r="AG233" s="27"/>
      <c r="AH233" s="27"/>
      <c r="AI233" s="27"/>
    </row>
    <row r="234" ht="14.25" customHeight="1">
      <c r="O234" s="27"/>
      <c r="P234" s="27"/>
      <c r="Q234" s="27"/>
      <c r="R234" s="27"/>
      <c r="AG234" s="27"/>
      <c r="AH234" s="27"/>
      <c r="AI234" s="27"/>
    </row>
    <row r="235" ht="14.25" customHeight="1">
      <c r="O235" s="27"/>
      <c r="P235" s="27"/>
      <c r="Q235" s="27"/>
      <c r="R235" s="27"/>
      <c r="AG235" s="27"/>
      <c r="AH235" s="27"/>
      <c r="AI235" s="27"/>
    </row>
    <row r="236" ht="14.25" customHeight="1">
      <c r="O236" s="27"/>
      <c r="P236" s="27"/>
      <c r="Q236" s="27"/>
      <c r="R236" s="27"/>
      <c r="AG236" s="27"/>
      <c r="AH236" s="27"/>
      <c r="AI236" s="27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3:A4"/>
    <mergeCell ref="B3:B4"/>
    <mergeCell ref="C3:C4"/>
    <mergeCell ref="D3:H3"/>
    <mergeCell ref="I3:I4"/>
    <mergeCell ref="J3:N3"/>
    <mergeCell ref="O3:O4"/>
    <mergeCell ref="B6:B8"/>
    <mergeCell ref="AB3:AB4"/>
    <mergeCell ref="AC3:AF3"/>
    <mergeCell ref="AG3:AI3"/>
    <mergeCell ref="AJ3:AJ4"/>
    <mergeCell ref="AK3:AK4"/>
    <mergeCell ref="Y6:Y8"/>
    <mergeCell ref="Y11:Y13"/>
    <mergeCell ref="Y14:Y16"/>
    <mergeCell ref="Y20:Y25"/>
    <mergeCell ref="Y26:Y33"/>
    <mergeCell ref="P3:R3"/>
    <mergeCell ref="S3:S4"/>
    <mergeCell ref="T3:T4"/>
    <mergeCell ref="X3:X4"/>
    <mergeCell ref="Y3:Y4"/>
    <mergeCell ref="Z3:Z4"/>
    <mergeCell ref="AA3:AA4"/>
  </mergeCells>
  <printOptions/>
  <pageMargins bottom="0.75" footer="0.0" header="0.0" left="0.7" right="0.7" top="0.75"/>
  <pageSetup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 outlineLevelCol="1"/>
  <cols>
    <col customWidth="1" min="1" max="1" width="13.29"/>
    <col customWidth="1" min="2" max="10" width="14.43"/>
    <col customWidth="1" min="11" max="15" width="17.71"/>
    <col customWidth="1" min="16" max="16" width="16.29"/>
    <col customWidth="1" min="17" max="17" width="13.86"/>
    <col customWidth="1" min="18" max="18" width="13.0"/>
    <col customWidth="1" min="19" max="19" width="8.71"/>
    <col customWidth="1" min="20" max="20" width="11.0"/>
    <col customWidth="1" min="21" max="21" width="9.86"/>
    <col customWidth="1" min="22" max="23" width="8.71"/>
  </cols>
  <sheetData>
    <row r="1" ht="14.25" customHeight="1">
      <c r="A1" s="24" t="s">
        <v>751</v>
      </c>
      <c r="B1" s="24"/>
      <c r="C1" s="24"/>
      <c r="S1" s="24"/>
    </row>
    <row r="2" ht="14.25" customHeight="1">
      <c r="A2" s="24" t="s">
        <v>752</v>
      </c>
      <c r="B2" s="24"/>
      <c r="C2" s="24"/>
      <c r="H2" s="246"/>
      <c r="I2" s="246"/>
      <c r="J2" s="246"/>
      <c r="S2" s="24"/>
    </row>
    <row r="3" ht="14.25" customHeight="1">
      <c r="H3" s="246"/>
      <c r="I3" s="246"/>
      <c r="M3" s="125" t="s">
        <v>753</v>
      </c>
      <c r="V3" s="124"/>
    </row>
    <row r="4" ht="14.25" customHeight="1">
      <c r="A4" s="271" t="s">
        <v>754</v>
      </c>
      <c r="B4" s="272" t="s">
        <v>438</v>
      </c>
      <c r="C4" s="10"/>
      <c r="D4" s="10"/>
      <c r="E4" s="11"/>
      <c r="F4" s="272" t="s">
        <v>166</v>
      </c>
      <c r="G4" s="10"/>
      <c r="H4" s="10"/>
      <c r="I4" s="11"/>
      <c r="J4" s="271" t="s">
        <v>644</v>
      </c>
      <c r="K4" s="273"/>
      <c r="L4" s="273"/>
      <c r="M4" s="122"/>
      <c r="N4" s="122"/>
      <c r="O4" s="274"/>
    </row>
    <row r="5" ht="14.25" customHeight="1">
      <c r="A5" s="22"/>
      <c r="B5" s="275" t="s">
        <v>755</v>
      </c>
      <c r="C5" s="275" t="s">
        <v>756</v>
      </c>
      <c r="D5" s="275" t="s">
        <v>757</v>
      </c>
      <c r="E5" s="276" t="s">
        <v>758</v>
      </c>
      <c r="F5" s="275" t="s">
        <v>755</v>
      </c>
      <c r="G5" s="275" t="s">
        <v>756</v>
      </c>
      <c r="H5" s="275" t="s">
        <v>757</v>
      </c>
      <c r="I5" s="276" t="s">
        <v>759</v>
      </c>
      <c r="J5" s="22"/>
      <c r="K5" s="273" t="s">
        <v>760</v>
      </c>
      <c r="L5" s="273" t="s">
        <v>761</v>
      </c>
      <c r="M5" s="122" t="s">
        <v>762</v>
      </c>
      <c r="N5" s="122" t="s">
        <v>763</v>
      </c>
      <c r="O5" s="274" t="s">
        <v>764</v>
      </c>
    </row>
    <row r="6" ht="14.25" customHeight="1">
      <c r="A6" s="121" t="s">
        <v>765</v>
      </c>
      <c r="B6" s="205">
        <f>SBY!D112+SBY!E112</f>
        <v>130</v>
      </c>
      <c r="C6" s="205">
        <f>SBY!F112</f>
        <v>182</v>
      </c>
      <c r="D6" s="205">
        <f>SBY!G112</f>
        <v>270</v>
      </c>
      <c r="E6" s="205">
        <f t="shared" ref="E6:E13" si="2">SUM(B6:D6)</f>
        <v>582</v>
      </c>
      <c r="F6" s="205">
        <f>SBY!N112+SBY!O112</f>
        <v>124</v>
      </c>
      <c r="G6" s="205">
        <f>SBY!P112</f>
        <v>114</v>
      </c>
      <c r="H6" s="205">
        <f>SBY!Q112</f>
        <v>204</v>
      </c>
      <c r="I6" s="205">
        <f t="shared" ref="I6:I13" si="3">SUM(F6:H6)</f>
        <v>442</v>
      </c>
      <c r="J6" s="277">
        <f t="shared" ref="J6:J13" si="4">E6-I6</f>
        <v>140</v>
      </c>
      <c r="K6" s="278">
        <f t="shared" ref="K6:L6" si="1">(F6-B6)/B6</f>
        <v>-0.04615384615</v>
      </c>
      <c r="L6" s="278">
        <f t="shared" si="1"/>
        <v>-0.3736263736</v>
      </c>
      <c r="M6" s="279">
        <f t="shared" ref="M6:M9" si="5">I6-E6</f>
        <v>-140</v>
      </c>
      <c r="N6" s="280">
        <f>M6/E6</f>
        <v>-0.2405498282</v>
      </c>
      <c r="O6" s="121" t="s">
        <v>766</v>
      </c>
      <c r="U6" s="281"/>
      <c r="V6" s="281"/>
      <c r="W6" s="246"/>
    </row>
    <row r="7" ht="14.25" customHeight="1">
      <c r="A7" s="282" t="s">
        <v>767</v>
      </c>
      <c r="B7" s="205">
        <f>BKS!D15+BKS!E15</f>
        <v>1</v>
      </c>
      <c r="C7" s="205">
        <f>BKS!F15</f>
        <v>13</v>
      </c>
      <c r="D7" s="205">
        <f>BKS!G15</f>
        <v>6</v>
      </c>
      <c r="E7" s="205">
        <f t="shared" si="2"/>
        <v>20</v>
      </c>
      <c r="F7" s="205">
        <f>BKS!N15+BKS!O15</f>
        <v>1</v>
      </c>
      <c r="G7" s="205">
        <f>BKS!P15</f>
        <v>13</v>
      </c>
      <c r="H7" s="205">
        <f>BKS!Q15</f>
        <v>0</v>
      </c>
      <c r="I7" s="205">
        <f t="shared" si="3"/>
        <v>14</v>
      </c>
      <c r="J7" s="277">
        <f t="shared" si="4"/>
        <v>6</v>
      </c>
      <c r="K7" s="283">
        <v>0.0</v>
      </c>
      <c r="L7" s="283">
        <v>0.0</v>
      </c>
      <c r="M7" s="284">
        <f t="shared" si="5"/>
        <v>-6</v>
      </c>
      <c r="N7" s="283">
        <v>0.0</v>
      </c>
      <c r="O7" s="285"/>
      <c r="U7" s="281"/>
      <c r="V7" s="281"/>
      <c r="W7" s="246"/>
    </row>
    <row r="8" ht="14.25" customHeight="1">
      <c r="A8" s="121" t="s">
        <v>768</v>
      </c>
      <c r="B8" s="205">
        <f>BWN!E77+BWN!F77</f>
        <v>51</v>
      </c>
      <c r="C8" s="205">
        <f>BWN!G77</f>
        <v>91</v>
      </c>
      <c r="D8" s="205">
        <f>BWN!H77</f>
        <v>183</v>
      </c>
      <c r="E8" s="205">
        <f t="shared" si="2"/>
        <v>325</v>
      </c>
      <c r="F8" s="205">
        <f>BWN!K77+BWN!L77</f>
        <v>45</v>
      </c>
      <c r="G8" s="205">
        <f>BWN!M77</f>
        <v>71</v>
      </c>
      <c r="H8" s="205">
        <f>BWN!N77+BWN!O77</f>
        <v>130</v>
      </c>
      <c r="I8" s="205">
        <f t="shared" si="3"/>
        <v>246</v>
      </c>
      <c r="J8" s="277">
        <f t="shared" si="4"/>
        <v>79</v>
      </c>
      <c r="K8" s="278">
        <f t="shared" ref="K8:L8" si="6">(F8-B8)/B8</f>
        <v>-0.1176470588</v>
      </c>
      <c r="L8" s="278">
        <f t="shared" si="6"/>
        <v>-0.2197802198</v>
      </c>
      <c r="M8" s="279">
        <f t="shared" si="5"/>
        <v>-79</v>
      </c>
      <c r="N8" s="280">
        <f t="shared" ref="N8:N9" si="8">M8/E8</f>
        <v>-0.2430769231</v>
      </c>
      <c r="O8" s="121" t="s">
        <v>769</v>
      </c>
      <c r="U8" s="281"/>
      <c r="V8" s="281"/>
      <c r="W8" s="246"/>
    </row>
    <row r="9" ht="14.25" customHeight="1">
      <c r="A9" s="121" t="s">
        <v>770</v>
      </c>
      <c r="B9" s="205">
        <f>NGK!E52+NGK!F52</f>
        <v>15</v>
      </c>
      <c r="C9" s="205">
        <f>NGK!G52</f>
        <v>30</v>
      </c>
      <c r="D9" s="205">
        <f>NGK!H52</f>
        <v>74</v>
      </c>
      <c r="E9" s="205">
        <f t="shared" si="2"/>
        <v>119</v>
      </c>
      <c r="F9" s="205">
        <f>NGK!L52+NGK!M52</f>
        <v>14</v>
      </c>
      <c r="G9" s="205">
        <f>NGK!N52</f>
        <v>19</v>
      </c>
      <c r="H9" s="205">
        <f>NGK!O52</f>
        <v>65</v>
      </c>
      <c r="I9" s="205">
        <f t="shared" si="3"/>
        <v>98</v>
      </c>
      <c r="J9" s="277">
        <f t="shared" si="4"/>
        <v>21</v>
      </c>
      <c r="K9" s="278">
        <f t="shared" ref="K9:L9" si="7">(F9-B9)/B9</f>
        <v>-0.06666666667</v>
      </c>
      <c r="L9" s="278">
        <f t="shared" si="7"/>
        <v>-0.3666666667</v>
      </c>
      <c r="M9" s="279">
        <f t="shared" si="5"/>
        <v>-21</v>
      </c>
      <c r="N9" s="280">
        <f t="shared" si="8"/>
        <v>-0.1764705882</v>
      </c>
      <c r="O9" s="121" t="s">
        <v>771</v>
      </c>
      <c r="U9" s="281"/>
      <c r="V9" s="281"/>
      <c r="W9" s="246"/>
    </row>
    <row r="10" ht="14.25" customHeight="1">
      <c r="A10" s="121" t="s">
        <v>772</v>
      </c>
      <c r="B10" s="205">
        <f>DCI!E51+DCI!F51</f>
        <v>12</v>
      </c>
      <c r="C10" s="205">
        <f>DCI!G51</f>
        <v>17</v>
      </c>
      <c r="D10" s="205">
        <f>DCI!H51</f>
        <v>35</v>
      </c>
      <c r="E10" s="205">
        <f t="shared" si="2"/>
        <v>64</v>
      </c>
      <c r="F10" s="205">
        <f>DCI!L51+DCI!M51</f>
        <v>11</v>
      </c>
      <c r="G10" s="205">
        <f>DCI!N51</f>
        <v>12</v>
      </c>
      <c r="H10" s="205">
        <f>DCI!O51</f>
        <v>23</v>
      </c>
      <c r="I10" s="205">
        <f t="shared" si="3"/>
        <v>46</v>
      </c>
      <c r="J10" s="277">
        <f t="shared" si="4"/>
        <v>18</v>
      </c>
      <c r="K10" s="278"/>
      <c r="L10" s="278"/>
      <c r="M10" s="279"/>
      <c r="N10" s="280"/>
      <c r="O10" s="121" t="s">
        <v>769</v>
      </c>
      <c r="U10" s="281"/>
      <c r="V10" s="281"/>
      <c r="W10" s="246"/>
    </row>
    <row r="11" ht="14.25" customHeight="1">
      <c r="A11" s="282" t="s">
        <v>773</v>
      </c>
      <c r="B11" s="205">
        <f>JBR!D8+JBR!E8</f>
        <v>0</v>
      </c>
      <c r="C11" s="205">
        <f>JBR!F8</f>
        <v>3</v>
      </c>
      <c r="D11" s="205">
        <f>JBR!G8</f>
        <v>0</v>
      </c>
      <c r="E11" s="205">
        <f t="shared" si="2"/>
        <v>3</v>
      </c>
      <c r="F11" s="205">
        <f>JBR!L8+JBR!M8</f>
        <v>0</v>
      </c>
      <c r="G11" s="205">
        <f>JBR!N8</f>
        <v>3</v>
      </c>
      <c r="H11" s="205">
        <f>JBR!O8</f>
        <v>0</v>
      </c>
      <c r="I11" s="205">
        <f t="shared" si="3"/>
        <v>3</v>
      </c>
      <c r="J11" s="277">
        <f t="shared" si="4"/>
        <v>0</v>
      </c>
      <c r="K11" s="278">
        <v>0.0</v>
      </c>
      <c r="L11" s="278">
        <f>(G11-C11)/C11</f>
        <v>0</v>
      </c>
      <c r="M11" s="279">
        <f t="shared" ref="M11:M14" si="9">I11-E11</f>
        <v>0</v>
      </c>
      <c r="N11" s="278">
        <f t="shared" ref="N11:N14" si="10">M11/E11</f>
        <v>0</v>
      </c>
      <c r="O11" s="285"/>
      <c r="U11" s="281"/>
      <c r="V11" s="281"/>
      <c r="W11" s="246"/>
    </row>
    <row r="12" ht="14.25" customHeight="1">
      <c r="A12" s="121" t="s">
        <v>774</v>
      </c>
      <c r="B12" s="205">
        <f>DPS!D40+DPS!E40</f>
        <v>14</v>
      </c>
      <c r="C12" s="205">
        <f>DPS!F40</f>
        <v>24</v>
      </c>
      <c r="D12" s="205">
        <f>DPS!G40</f>
        <v>6</v>
      </c>
      <c r="E12" s="205">
        <f t="shared" si="2"/>
        <v>44</v>
      </c>
      <c r="F12" s="205">
        <f>DPS!J40+DPS!K40</f>
        <v>14</v>
      </c>
      <c r="G12" s="205">
        <f>DPS!L40</f>
        <v>23</v>
      </c>
      <c r="H12" s="205">
        <f>DPS!M40</f>
        <v>6</v>
      </c>
      <c r="I12" s="205">
        <f t="shared" si="3"/>
        <v>43</v>
      </c>
      <c r="J12" s="277">
        <f t="shared" si="4"/>
        <v>1</v>
      </c>
      <c r="K12" s="278">
        <f t="shared" ref="K12:K13" si="11">(F12-B12)/B12</f>
        <v>0</v>
      </c>
      <c r="L12" s="278">
        <f t="shared" ref="L12:L13" si="12">(G12-C13)/C13</f>
        <v>0.04545454545</v>
      </c>
      <c r="M12" s="279">
        <f t="shared" si="9"/>
        <v>-1</v>
      </c>
      <c r="N12" s="278">
        <f t="shared" si="10"/>
        <v>-0.02272727273</v>
      </c>
      <c r="O12" s="285"/>
      <c r="U12" s="281"/>
      <c r="V12" s="281"/>
      <c r="W12" s="246"/>
    </row>
    <row r="13" ht="14.25" customHeight="1">
      <c r="A13" s="121" t="s">
        <v>775</v>
      </c>
      <c r="B13" s="205">
        <f>ATNG!D27+ATNG!E27</f>
        <v>11</v>
      </c>
      <c r="C13" s="205">
        <f>ATNG!F27</f>
        <v>22</v>
      </c>
      <c r="D13" s="205">
        <f>ATNG!G27</f>
        <v>0</v>
      </c>
      <c r="E13" s="205">
        <f t="shared" si="2"/>
        <v>33</v>
      </c>
      <c r="F13" s="205">
        <f>ATNG!J27+ATNG!K27</f>
        <v>11</v>
      </c>
      <c r="G13" s="205">
        <f>ATNG!L27</f>
        <v>22</v>
      </c>
      <c r="H13" s="205">
        <f>ATNG!M27</f>
        <v>0</v>
      </c>
      <c r="I13" s="205">
        <f t="shared" si="3"/>
        <v>33</v>
      </c>
      <c r="J13" s="277">
        <f t="shared" si="4"/>
        <v>0</v>
      </c>
      <c r="K13" s="278">
        <f t="shared" si="11"/>
        <v>0</v>
      </c>
      <c r="L13" s="278">
        <f t="shared" si="12"/>
        <v>-0.942408377</v>
      </c>
      <c r="M13" s="279">
        <f t="shared" si="9"/>
        <v>0</v>
      </c>
      <c r="N13" s="280">
        <f t="shared" si="10"/>
        <v>0</v>
      </c>
      <c r="O13" s="285"/>
    </row>
    <row r="14" ht="14.25" customHeight="1">
      <c r="A14" s="286" t="s">
        <v>776</v>
      </c>
      <c r="B14" s="287">
        <f t="shared" ref="B14:J14" si="13">SUM(B6:B13)</f>
        <v>234</v>
      </c>
      <c r="C14" s="287">
        <f t="shared" si="13"/>
        <v>382</v>
      </c>
      <c r="D14" s="287">
        <f t="shared" si="13"/>
        <v>574</v>
      </c>
      <c r="E14" s="287">
        <f t="shared" si="13"/>
        <v>1190</v>
      </c>
      <c r="F14" s="287">
        <f t="shared" si="13"/>
        <v>220</v>
      </c>
      <c r="G14" s="287">
        <f t="shared" si="13"/>
        <v>277</v>
      </c>
      <c r="H14" s="287">
        <f t="shared" si="13"/>
        <v>428</v>
      </c>
      <c r="I14" s="287">
        <f t="shared" si="13"/>
        <v>925</v>
      </c>
      <c r="J14" s="287">
        <f t="shared" si="13"/>
        <v>265</v>
      </c>
      <c r="K14" s="288">
        <f t="shared" ref="K14:L14" si="14">F14/B14</f>
        <v>0.9401709402</v>
      </c>
      <c r="L14" s="288">
        <f t="shared" si="14"/>
        <v>0.7251308901</v>
      </c>
      <c r="M14" s="289">
        <f t="shared" si="9"/>
        <v>-265</v>
      </c>
      <c r="N14" s="288">
        <f t="shared" si="10"/>
        <v>-0.2226890756</v>
      </c>
      <c r="O14" s="289"/>
    </row>
    <row r="15" ht="14.25" customHeight="1">
      <c r="F15" s="290"/>
      <c r="G15" s="290"/>
      <c r="H15" s="290"/>
      <c r="I15" s="290"/>
    </row>
    <row r="16" ht="14.25" customHeight="1">
      <c r="A16" s="24"/>
      <c r="F16" s="290"/>
      <c r="G16" s="290"/>
      <c r="H16" s="290"/>
      <c r="I16" s="290"/>
    </row>
    <row r="17" ht="14.25" customHeight="1">
      <c r="A17" s="24"/>
    </row>
    <row r="18" ht="14.25" customHeight="1">
      <c r="A18" s="291" t="s">
        <v>777</v>
      </c>
      <c r="D18" s="91"/>
      <c r="E18" s="91"/>
      <c r="F18" s="91"/>
      <c r="G18" s="91"/>
      <c r="H18" s="91"/>
      <c r="I18" s="91"/>
      <c r="J18" s="91"/>
      <c r="K18" s="91"/>
    </row>
    <row r="19" ht="14.25" customHeight="1">
      <c r="A19" s="271" t="s">
        <v>754</v>
      </c>
      <c r="B19" s="272" t="s">
        <v>438</v>
      </c>
      <c r="C19" s="10"/>
      <c r="D19" s="10"/>
      <c r="E19" s="11"/>
      <c r="F19" s="272" t="s">
        <v>166</v>
      </c>
      <c r="G19" s="10"/>
      <c r="H19" s="10"/>
      <c r="I19" s="11"/>
      <c r="J19" s="292" t="s">
        <v>778</v>
      </c>
      <c r="K19" s="293" t="s">
        <v>779</v>
      </c>
      <c r="L19" s="293" t="s">
        <v>780</v>
      </c>
      <c r="M19" s="293" t="s">
        <v>781</v>
      </c>
      <c r="N19" s="293" t="s">
        <v>782</v>
      </c>
      <c r="O19" s="293" t="s">
        <v>783</v>
      </c>
    </row>
    <row r="20" ht="14.25" customHeight="1">
      <c r="A20" s="22"/>
      <c r="B20" s="275" t="s">
        <v>755</v>
      </c>
      <c r="C20" s="275" t="s">
        <v>756</v>
      </c>
      <c r="D20" s="275" t="s">
        <v>757</v>
      </c>
      <c r="E20" s="294" t="s">
        <v>758</v>
      </c>
      <c r="F20" s="275" t="s">
        <v>755</v>
      </c>
      <c r="G20" s="275" t="s">
        <v>756</v>
      </c>
      <c r="H20" s="275" t="s">
        <v>757</v>
      </c>
      <c r="I20" s="294" t="s">
        <v>759</v>
      </c>
      <c r="J20" s="22"/>
      <c r="K20" s="293" t="s">
        <v>784</v>
      </c>
      <c r="L20" s="293" t="s">
        <v>784</v>
      </c>
      <c r="M20" s="293" t="s">
        <v>784</v>
      </c>
      <c r="N20" s="293" t="s">
        <v>784</v>
      </c>
      <c r="O20" s="293" t="s">
        <v>784</v>
      </c>
    </row>
    <row r="21" ht="14.25" customHeight="1">
      <c r="A21" s="285" t="s">
        <v>765</v>
      </c>
      <c r="B21" s="205">
        <f>F21+(5%*F21)+(6*4900000)</f>
        <v>764389882.2</v>
      </c>
      <c r="C21" s="205">
        <f>SBY!L112</f>
        <v>443387813.3</v>
      </c>
      <c r="D21" s="205">
        <f>SBY!M112</f>
        <v>500631250</v>
      </c>
      <c r="E21" s="205">
        <f t="shared" ref="E21:E28" si="15">SUM(B21:D21)</f>
        <v>1708408945</v>
      </c>
      <c r="F21" s="205">
        <f>550515709+149474655</f>
        <v>699990364</v>
      </c>
      <c r="G21" s="205">
        <f>SBY!U112</f>
        <v>275234625</v>
      </c>
      <c r="H21" s="205">
        <f>SBY!V112</f>
        <v>360125000</v>
      </c>
      <c r="I21" s="205">
        <f t="shared" ref="I21:I28" si="16">SUM(F21:H21)</f>
        <v>1335349989</v>
      </c>
      <c r="J21" s="205">
        <f t="shared" ref="J21:J24" si="17">E21-I21</f>
        <v>373058956.5</v>
      </c>
      <c r="K21" s="295">
        <f>727744071+29400000</f>
        <v>757144071</v>
      </c>
      <c r="L21" s="295">
        <f t="shared" ref="L21:L28" si="18">(727744071/12)+(C21/12)+(D21/12)</f>
        <v>139313594.5</v>
      </c>
      <c r="M21" s="295">
        <f t="shared" ref="M21:M28" si="19">(10.89%*K21)+(2%*C21)+(2%*D21)</f>
        <v>101333370.6</v>
      </c>
      <c r="N21" s="295">
        <f t="shared" ref="N21:N28" si="20">1%*K21</f>
        <v>7571440.71</v>
      </c>
      <c r="O21" s="295">
        <f t="shared" ref="O21:O28" si="21">1.5%*K21</f>
        <v>11357161.07</v>
      </c>
    </row>
    <row r="22" ht="14.25" customHeight="1">
      <c r="A22" s="282" t="s">
        <v>767</v>
      </c>
      <c r="B22" s="205">
        <f>F22+(5%*F22)</f>
        <v>5776803.9</v>
      </c>
      <c r="C22" s="205">
        <f>BKS!L15</f>
        <v>37780851.15</v>
      </c>
      <c r="D22" s="205">
        <f>BKS!M15</f>
        <v>32881356</v>
      </c>
      <c r="E22" s="205">
        <f t="shared" si="15"/>
        <v>76439011.05</v>
      </c>
      <c r="F22" s="205">
        <f>BKS!T15</f>
        <v>5501718</v>
      </c>
      <c r="G22" s="205">
        <f>BKS!U15</f>
        <v>35981763</v>
      </c>
      <c r="H22" s="205">
        <f>BKS!V15</f>
        <v>0</v>
      </c>
      <c r="I22" s="205">
        <f t="shared" si="16"/>
        <v>41483481</v>
      </c>
      <c r="J22" s="205">
        <f t="shared" si="17"/>
        <v>34955530.05</v>
      </c>
      <c r="K22" s="205">
        <f>B22</f>
        <v>5776803.9</v>
      </c>
      <c r="L22" s="295">
        <f t="shared" si="18"/>
        <v>66533856.51</v>
      </c>
      <c r="M22" s="295">
        <f t="shared" si="19"/>
        <v>2042338.088</v>
      </c>
      <c r="N22" s="295">
        <f t="shared" si="20"/>
        <v>57768.039</v>
      </c>
      <c r="O22" s="295">
        <f t="shared" si="21"/>
        <v>86652.0585</v>
      </c>
    </row>
    <row r="23" ht="14.25" customHeight="1">
      <c r="A23" s="285" t="s">
        <v>768</v>
      </c>
      <c r="B23" s="205">
        <f>+F23*1.08+2750000*6</f>
        <v>265280445.1</v>
      </c>
      <c r="C23" s="205">
        <f t="shared" ref="C23:C25" si="22">+G23*1.08</f>
        <v>154049695.6</v>
      </c>
      <c r="D23" s="205">
        <f t="shared" ref="D23:D26" si="23">D8*25*75000</f>
        <v>343125000</v>
      </c>
      <c r="E23" s="205">
        <f t="shared" si="15"/>
        <v>762455140.7</v>
      </c>
      <c r="F23" s="205">
        <f>225052264+5300000</f>
        <v>230352264</v>
      </c>
      <c r="G23" s="205">
        <f>134688607+7950000</f>
        <v>142638607</v>
      </c>
      <c r="H23" s="205">
        <f>+H8*25*75000</f>
        <v>243750000</v>
      </c>
      <c r="I23" s="205">
        <f t="shared" si="16"/>
        <v>616740871</v>
      </c>
      <c r="J23" s="205">
        <f t="shared" si="17"/>
        <v>145714269.7</v>
      </c>
      <c r="K23" s="296">
        <f>236304877+16500000</f>
        <v>252804877</v>
      </c>
      <c r="L23" s="295">
        <f t="shared" si="18"/>
        <v>102076563.9</v>
      </c>
      <c r="M23" s="295">
        <f t="shared" si="19"/>
        <v>37473945.02</v>
      </c>
      <c r="N23" s="295">
        <f t="shared" si="20"/>
        <v>2528048.77</v>
      </c>
      <c r="O23" s="295">
        <f t="shared" si="21"/>
        <v>3792073.155</v>
      </c>
    </row>
    <row r="24" ht="14.25" customHeight="1">
      <c r="A24" s="285" t="s">
        <v>770</v>
      </c>
      <c r="B24" s="205">
        <f t="shared" ref="B24:B25" si="24">+F24*1.08+(1*2500000)</f>
        <v>80556337.96</v>
      </c>
      <c r="C24" s="205">
        <f t="shared" si="22"/>
        <v>32080195.8</v>
      </c>
      <c r="D24" s="205">
        <f t="shared" si="23"/>
        <v>138750000</v>
      </c>
      <c r="E24" s="205">
        <f t="shared" si="15"/>
        <v>251386533.8</v>
      </c>
      <c r="F24" s="205">
        <f>70274387+2000000</f>
        <v>72274387</v>
      </c>
      <c r="G24" s="205">
        <v>2.9703885E7</v>
      </c>
      <c r="H24" s="207">
        <f t="shared" ref="H24:H25" si="25">+H9*25*70000</f>
        <v>113750000</v>
      </c>
      <c r="I24" s="205">
        <f t="shared" si="16"/>
        <v>215728272</v>
      </c>
      <c r="J24" s="205">
        <f t="shared" si="17"/>
        <v>35658261.76</v>
      </c>
      <c r="K24" s="296">
        <f>73788106+2500000</f>
        <v>76288106</v>
      </c>
      <c r="L24" s="295">
        <f t="shared" si="18"/>
        <v>74881188.9</v>
      </c>
      <c r="M24" s="295">
        <f t="shared" si="19"/>
        <v>11724378.66</v>
      </c>
      <c r="N24" s="295">
        <f t="shared" si="20"/>
        <v>762881.06</v>
      </c>
      <c r="O24" s="295">
        <f t="shared" si="21"/>
        <v>1144321.59</v>
      </c>
    </row>
    <row r="25" ht="14.25" customHeight="1">
      <c r="A25" s="285" t="s">
        <v>772</v>
      </c>
      <c r="B25" s="205">
        <f t="shared" si="24"/>
        <v>56054236.48</v>
      </c>
      <c r="C25" s="205">
        <f t="shared" si="22"/>
        <v>18504005.04</v>
      </c>
      <c r="D25" s="205">
        <f t="shared" si="23"/>
        <v>65625000</v>
      </c>
      <c r="E25" s="205">
        <f t="shared" si="15"/>
        <v>140183241.5</v>
      </c>
      <c r="F25" s="205">
        <f>49337256+250000</f>
        <v>49587256</v>
      </c>
      <c r="G25" s="205">
        <v>1.7133338E7</v>
      </c>
      <c r="H25" s="207">
        <f t="shared" si="25"/>
        <v>40250000</v>
      </c>
      <c r="I25" s="205">
        <f t="shared" si="16"/>
        <v>106970594</v>
      </c>
      <c r="J25" s="205"/>
      <c r="K25" s="296">
        <f>51804119+2500000</f>
        <v>54304119</v>
      </c>
      <c r="L25" s="295">
        <f t="shared" si="18"/>
        <v>67656089.67</v>
      </c>
      <c r="M25" s="295">
        <f t="shared" si="19"/>
        <v>7596298.66</v>
      </c>
      <c r="N25" s="295">
        <f t="shared" si="20"/>
        <v>543041.19</v>
      </c>
      <c r="O25" s="295">
        <f t="shared" si="21"/>
        <v>814561.785</v>
      </c>
    </row>
    <row r="26" ht="14.25" customHeight="1">
      <c r="A26" s="282" t="s">
        <v>773</v>
      </c>
      <c r="B26" s="205">
        <f>F26</f>
        <v>0</v>
      </c>
      <c r="C26" s="205">
        <f>C11*30*75000</f>
        <v>6750000</v>
      </c>
      <c r="D26" s="205">
        <f t="shared" si="23"/>
        <v>0</v>
      </c>
      <c r="E26" s="205">
        <f t="shared" si="15"/>
        <v>6750000</v>
      </c>
      <c r="F26" s="205">
        <v>0.0</v>
      </c>
      <c r="G26" s="205">
        <f>G11*30*75000</f>
        <v>6750000</v>
      </c>
      <c r="H26" s="205">
        <f>H11*25*75000</f>
        <v>0</v>
      </c>
      <c r="I26" s="205">
        <f t="shared" si="16"/>
        <v>6750000</v>
      </c>
      <c r="J26" s="205">
        <f t="shared" ref="J26:J28" si="26">E26-I26</f>
        <v>0</v>
      </c>
      <c r="K26" s="285"/>
      <c r="L26" s="295">
        <f t="shared" si="18"/>
        <v>61207839.25</v>
      </c>
      <c r="M26" s="295">
        <f t="shared" si="19"/>
        <v>135000</v>
      </c>
      <c r="N26" s="295">
        <f t="shared" si="20"/>
        <v>0</v>
      </c>
      <c r="O26" s="295">
        <f t="shared" si="21"/>
        <v>0</v>
      </c>
    </row>
    <row r="27" ht="14.25" customHeight="1">
      <c r="A27" s="285" t="s">
        <v>774</v>
      </c>
      <c r="B27" s="205">
        <f>F27+(1*2*3251664)</f>
        <v>79530817</v>
      </c>
      <c r="C27" s="205">
        <f>C12*25*110000</f>
        <v>66000000</v>
      </c>
      <c r="D27" s="205">
        <f>D12*25*50000</f>
        <v>7500000</v>
      </c>
      <c r="E27" s="205">
        <f t="shared" si="15"/>
        <v>153030817</v>
      </c>
      <c r="F27" s="205">
        <f>59165976+13861513</f>
        <v>73027489</v>
      </c>
      <c r="G27" s="205">
        <f>G12*25*110000</f>
        <v>63250000</v>
      </c>
      <c r="H27" s="205">
        <f>H12*25*50000</f>
        <v>7500000</v>
      </c>
      <c r="I27" s="205">
        <f t="shared" si="16"/>
        <v>143777489</v>
      </c>
      <c r="J27" s="205">
        <f t="shared" si="26"/>
        <v>9253328</v>
      </c>
      <c r="K27" s="296">
        <f>75839905+7000000</f>
        <v>82839905</v>
      </c>
      <c r="L27" s="295">
        <f t="shared" si="18"/>
        <v>66770339.25</v>
      </c>
      <c r="M27" s="295">
        <f t="shared" si="19"/>
        <v>10491265.65</v>
      </c>
      <c r="N27" s="295">
        <f t="shared" si="20"/>
        <v>828399.05</v>
      </c>
      <c r="O27" s="295">
        <f t="shared" si="21"/>
        <v>1242598.575</v>
      </c>
    </row>
    <row r="28" ht="14.25" customHeight="1">
      <c r="A28" s="285" t="s">
        <v>775</v>
      </c>
      <c r="B28" s="205">
        <f>F28+(5%*F28)</f>
        <v>66948465.15</v>
      </c>
      <c r="C28" s="205">
        <f>C13*25*150000</f>
        <v>82500000</v>
      </c>
      <c r="D28" s="205">
        <f>D13*25*175000</f>
        <v>0</v>
      </c>
      <c r="E28" s="205">
        <f t="shared" si="15"/>
        <v>149448465.2</v>
      </c>
      <c r="F28" s="205">
        <f>54317432+9443011</f>
        <v>63760443</v>
      </c>
      <c r="G28" s="205">
        <f>G13*25*137000</f>
        <v>75350000</v>
      </c>
      <c r="H28" s="205">
        <f>H13*25*175000</f>
        <v>0</v>
      </c>
      <c r="I28" s="205">
        <f t="shared" si="16"/>
        <v>139110443</v>
      </c>
      <c r="J28" s="205">
        <f t="shared" si="26"/>
        <v>10338022.15</v>
      </c>
      <c r="K28" s="296">
        <v>6.6841256E7</v>
      </c>
      <c r="L28" s="295">
        <f t="shared" si="18"/>
        <v>67520339.25</v>
      </c>
      <c r="M28" s="295">
        <f t="shared" si="19"/>
        <v>8929012.778</v>
      </c>
      <c r="N28" s="295">
        <f t="shared" si="20"/>
        <v>668412.56</v>
      </c>
      <c r="O28" s="295">
        <f t="shared" si="21"/>
        <v>1002618.84</v>
      </c>
    </row>
    <row r="29" ht="14.25" customHeight="1">
      <c r="A29" s="297" t="s">
        <v>785</v>
      </c>
      <c r="B29" s="298">
        <f t="shared" ref="B29:O29" si="27">SUM(B21:B28)</f>
        <v>1318536988</v>
      </c>
      <c r="C29" s="298">
        <f t="shared" si="27"/>
        <v>841052560.8</v>
      </c>
      <c r="D29" s="298">
        <f t="shared" si="27"/>
        <v>1088512606</v>
      </c>
      <c r="E29" s="298">
        <f t="shared" si="27"/>
        <v>3248102155</v>
      </c>
      <c r="F29" s="298">
        <f t="shared" si="27"/>
        <v>1194493921</v>
      </c>
      <c r="G29" s="298">
        <f t="shared" si="27"/>
        <v>646042218</v>
      </c>
      <c r="H29" s="298">
        <f t="shared" si="27"/>
        <v>765375000</v>
      </c>
      <c r="I29" s="298">
        <f t="shared" si="27"/>
        <v>2605911139</v>
      </c>
      <c r="J29" s="298">
        <f t="shared" si="27"/>
        <v>608978368.1</v>
      </c>
      <c r="K29" s="298">
        <f t="shared" si="27"/>
        <v>1295999138</v>
      </c>
      <c r="L29" s="298">
        <f t="shared" si="27"/>
        <v>645959811.2</v>
      </c>
      <c r="M29" s="298">
        <f t="shared" si="27"/>
        <v>179725609.5</v>
      </c>
      <c r="N29" s="298">
        <f t="shared" si="27"/>
        <v>12959991.38</v>
      </c>
      <c r="O29" s="298">
        <f t="shared" si="27"/>
        <v>19439987.07</v>
      </c>
    </row>
    <row r="30" ht="14.25" customHeight="1">
      <c r="A30" s="24"/>
    </row>
    <row r="31" ht="14.25" customHeight="1">
      <c r="A31" s="24"/>
    </row>
    <row r="32" ht="14.25" hidden="1" customHeight="1">
      <c r="B32" s="91"/>
    </row>
    <row r="33" ht="14.25" hidden="1" customHeight="1">
      <c r="B33" s="91" t="s">
        <v>786</v>
      </c>
    </row>
    <row r="34" ht="14.25" hidden="1" customHeight="1">
      <c r="B34" s="91"/>
    </row>
    <row r="35" ht="14.25" hidden="1" customHeight="1">
      <c r="B35" s="91"/>
    </row>
    <row r="36" ht="14.25" hidden="1" customHeight="1">
      <c r="B36" s="91"/>
    </row>
    <row r="37" ht="14.25" hidden="1" customHeight="1">
      <c r="B37" s="91" t="s">
        <v>787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8:C18"/>
    <mergeCell ref="B19:E19"/>
    <mergeCell ref="F19:I19"/>
    <mergeCell ref="J19:J20"/>
    <mergeCell ref="M3:N3"/>
    <mergeCell ref="V3:W3"/>
    <mergeCell ref="A4:A5"/>
    <mergeCell ref="B4:E4"/>
    <mergeCell ref="F4:I4"/>
    <mergeCell ref="J4:J5"/>
    <mergeCell ref="A19:A20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2" width="8.71"/>
    <col customWidth="1" min="3" max="3" width="13.29"/>
    <col customWidth="1" min="4" max="4" width="16.71"/>
    <col customWidth="1" min="5" max="5" width="19.86"/>
    <col customWidth="1" min="6" max="6" width="16.0"/>
    <col customWidth="1" min="7" max="7" width="13.86"/>
    <col customWidth="1" min="8" max="8" width="17.0"/>
    <col customWidth="1" min="9" max="9" width="13.86"/>
    <col customWidth="1" min="10" max="10" width="15.86"/>
    <col customWidth="1" min="11" max="11" width="22.43"/>
    <col customWidth="1" min="12" max="12" width="18.0"/>
    <col customWidth="1" min="13" max="13" width="17.71"/>
    <col customWidth="1" min="14" max="14" width="12.0"/>
    <col customWidth="1" min="15" max="16" width="15.43"/>
    <col customWidth="1" min="17" max="21" width="8.71"/>
    <col customWidth="1" min="22" max="22" width="11.0"/>
    <col customWidth="1" min="23" max="23" width="9.86"/>
    <col customWidth="1" min="24" max="25" width="8.71"/>
  </cols>
  <sheetData>
    <row r="1" ht="14.25" customHeight="1"/>
    <row r="2" ht="14.25" customHeight="1">
      <c r="C2" s="24" t="s">
        <v>788</v>
      </c>
      <c r="D2" s="24"/>
      <c r="E2" s="24"/>
      <c r="U2" s="24"/>
    </row>
    <row r="3" ht="14.25" customHeight="1">
      <c r="C3" s="24" t="s">
        <v>752</v>
      </c>
      <c r="D3" s="24"/>
      <c r="E3" s="24"/>
      <c r="U3" s="24"/>
    </row>
    <row r="4" ht="14.25" customHeight="1">
      <c r="L4" s="125" t="s">
        <v>753</v>
      </c>
      <c r="X4" s="124"/>
    </row>
    <row r="5" ht="14.25" customHeight="1">
      <c r="C5" s="24" t="s">
        <v>754</v>
      </c>
      <c r="D5" s="299" t="s">
        <v>789</v>
      </c>
      <c r="E5" s="299" t="s">
        <v>790</v>
      </c>
      <c r="F5" s="300" t="s">
        <v>758</v>
      </c>
      <c r="G5" s="299" t="s">
        <v>791</v>
      </c>
      <c r="H5" s="24" t="s">
        <v>792</v>
      </c>
      <c r="I5" s="300" t="s">
        <v>759</v>
      </c>
      <c r="J5" s="299" t="s">
        <v>760</v>
      </c>
      <c r="K5" s="299" t="s">
        <v>761</v>
      </c>
      <c r="L5" s="24" t="s">
        <v>762</v>
      </c>
      <c r="M5" s="24" t="s">
        <v>763</v>
      </c>
    </row>
    <row r="6" ht="14.25" customHeight="1">
      <c r="C6" s="127" t="s">
        <v>765</v>
      </c>
      <c r="D6" s="127">
        <f>SBY!D112+SBY!E112</f>
        <v>130</v>
      </c>
      <c r="E6" s="127">
        <f>SBY!F112</f>
        <v>182</v>
      </c>
      <c r="F6" s="127" t="str">
        <f>SBY!#REF!</f>
        <v>#ERROR!</v>
      </c>
      <c r="G6" s="127">
        <v>128.0</v>
      </c>
      <c r="H6" s="127">
        <f>SBY!P112</f>
        <v>114</v>
      </c>
      <c r="I6" s="281">
        <f>SBY!R112</f>
        <v>442</v>
      </c>
      <c r="J6" s="246">
        <f t="shared" ref="J6:K6" si="1">(G6-D6)/D6</f>
        <v>-0.01538461538</v>
      </c>
      <c r="K6" s="246">
        <f t="shared" si="1"/>
        <v>-0.3736263736</v>
      </c>
      <c r="L6" s="281" t="str">
        <f t="shared" ref="L6:L13" si="2">I6-F6</f>
        <v>#ERROR!</v>
      </c>
      <c r="M6" s="301" t="str">
        <f>L6/F6</f>
        <v>#ERROR!</v>
      </c>
      <c r="W6" s="281"/>
      <c r="X6" s="281"/>
      <c r="Y6" s="246"/>
    </row>
    <row r="7" ht="14.25" customHeight="1">
      <c r="C7" s="302" t="s">
        <v>767</v>
      </c>
      <c r="D7" s="302">
        <v>0.0</v>
      </c>
      <c r="E7" s="302">
        <v>0.0</v>
      </c>
      <c r="F7" s="302">
        <v>0.0</v>
      </c>
      <c r="G7" s="303">
        <f>BKS!N15</f>
        <v>0</v>
      </c>
      <c r="H7" s="303">
        <f>BKS!P15</f>
        <v>13</v>
      </c>
      <c r="I7" s="303">
        <f>BKS!R15</f>
        <v>14</v>
      </c>
      <c r="J7" s="304">
        <v>0.0</v>
      </c>
      <c r="K7" s="304">
        <v>0.0</v>
      </c>
      <c r="L7" s="303">
        <f t="shared" si="2"/>
        <v>14</v>
      </c>
      <c r="M7" s="304">
        <v>0.0</v>
      </c>
      <c r="N7" s="281"/>
      <c r="W7" s="281"/>
      <c r="X7" s="281"/>
      <c r="Y7" s="246"/>
    </row>
    <row r="8" ht="14.25" customHeight="1">
      <c r="C8" s="127" t="s">
        <v>768</v>
      </c>
      <c r="D8" s="127">
        <v>46.0</v>
      </c>
      <c r="E8" s="127">
        <v>238.0</v>
      </c>
      <c r="F8" s="127" t="str">
        <f t="shared" ref="F8:F9" si="4">#REF!</f>
        <v>#REF!</v>
      </c>
      <c r="G8" s="281">
        <f>BWN!K76+BWN!L76</f>
        <v>0</v>
      </c>
      <c r="H8" s="281">
        <f>BWN!N76+BWN!O76</f>
        <v>3</v>
      </c>
      <c r="I8" s="281">
        <f>BWN!P76</f>
        <v>3</v>
      </c>
      <c r="J8" s="246">
        <f t="shared" ref="J8:K8" si="3">(G8-D8)/D8</f>
        <v>-1</v>
      </c>
      <c r="K8" s="246">
        <f t="shared" si="3"/>
        <v>-0.987394958</v>
      </c>
      <c r="L8" s="281" t="str">
        <f t="shared" si="2"/>
        <v>#REF!</v>
      </c>
      <c r="M8" s="301" t="str">
        <f t="shared" ref="M8:M13" si="6">L8/F8</f>
        <v>#REF!</v>
      </c>
      <c r="N8" s="281"/>
      <c r="W8" s="281"/>
      <c r="X8" s="281"/>
      <c r="Y8" s="246"/>
    </row>
    <row r="9" ht="14.25" customHeight="1">
      <c r="C9" s="127" t="s">
        <v>793</v>
      </c>
      <c r="D9" s="127">
        <v>25.0</v>
      </c>
      <c r="E9" s="127">
        <v>77.0</v>
      </c>
      <c r="F9" s="127" t="str">
        <f t="shared" si="4"/>
        <v>#REF!</v>
      </c>
      <c r="G9" s="281">
        <f>NGK!L51+NGK!M51</f>
        <v>0</v>
      </c>
      <c r="H9" s="281">
        <f>NGK!O51</f>
        <v>22</v>
      </c>
      <c r="I9" s="281">
        <f>NGK!P51</f>
        <v>22</v>
      </c>
      <c r="J9" s="246">
        <f t="shared" ref="J9:K9" si="5">(G9-D9)/D9</f>
        <v>-1</v>
      </c>
      <c r="K9" s="246">
        <f t="shared" si="5"/>
        <v>-0.7142857143</v>
      </c>
      <c r="L9" s="281" t="str">
        <f t="shared" si="2"/>
        <v>#REF!</v>
      </c>
      <c r="M9" s="301" t="str">
        <f t="shared" si="6"/>
        <v>#REF!</v>
      </c>
      <c r="N9" s="281"/>
      <c r="W9" s="281"/>
      <c r="X9" s="281"/>
      <c r="Y9" s="246"/>
    </row>
    <row r="10" ht="14.25" customHeight="1">
      <c r="C10" s="302" t="s">
        <v>773</v>
      </c>
      <c r="D10" s="302">
        <v>0.0</v>
      </c>
      <c r="E10" s="302">
        <v>3.0</v>
      </c>
      <c r="F10" s="127">
        <f>JBR!D8</f>
        <v>0</v>
      </c>
      <c r="G10" s="281">
        <f>JBR!L8</f>
        <v>0</v>
      </c>
      <c r="H10" s="281">
        <f>JBR!N8</f>
        <v>3</v>
      </c>
      <c r="I10" s="281">
        <f>JBR!P8</f>
        <v>3</v>
      </c>
      <c r="J10" s="246">
        <v>0.0</v>
      </c>
      <c r="K10" s="246">
        <f>(H10-E10)/E10</f>
        <v>0</v>
      </c>
      <c r="L10" s="281">
        <f t="shared" si="2"/>
        <v>3</v>
      </c>
      <c r="M10" s="246" t="str">
        <f t="shared" si="6"/>
        <v>#DIV/0!</v>
      </c>
      <c r="N10" s="281"/>
      <c r="W10" s="281"/>
      <c r="X10" s="281"/>
      <c r="Y10" s="246"/>
    </row>
    <row r="11" ht="14.25" customHeight="1">
      <c r="C11" s="127" t="s">
        <v>774</v>
      </c>
      <c r="D11" s="305">
        <f>DPS!D40+DPS!E40</f>
        <v>14</v>
      </c>
      <c r="E11" s="305">
        <f>DPS!F40</f>
        <v>24</v>
      </c>
      <c r="F11" s="127" t="str">
        <f t="shared" ref="F11:F12" si="8">#REF!</f>
        <v>#REF!</v>
      </c>
      <c r="G11" s="281">
        <f>DPS!J40+DPS!K40</f>
        <v>14</v>
      </c>
      <c r="H11" s="281">
        <f>DPS!L40</f>
        <v>23</v>
      </c>
      <c r="I11" s="281">
        <f>DPS!N40</f>
        <v>43</v>
      </c>
      <c r="J11" s="246">
        <f t="shared" ref="J11:K11" si="7">(G11-D11)/D11</f>
        <v>0</v>
      </c>
      <c r="K11" s="246">
        <f t="shared" si="7"/>
        <v>-0.04166666667</v>
      </c>
      <c r="L11" s="281" t="str">
        <f t="shared" si="2"/>
        <v>#REF!</v>
      </c>
      <c r="M11" s="246" t="str">
        <f t="shared" si="6"/>
        <v>#REF!</v>
      </c>
      <c r="N11" s="281"/>
      <c r="W11" s="281"/>
      <c r="X11" s="281"/>
      <c r="Y11" s="246"/>
    </row>
    <row r="12" ht="14.25" customHeight="1">
      <c r="C12" s="127" t="s">
        <v>775</v>
      </c>
      <c r="D12" s="305">
        <f>ATNG!D27+ATNG!E27</f>
        <v>11</v>
      </c>
      <c r="E12" s="305">
        <f>ATNG!F27</f>
        <v>22</v>
      </c>
      <c r="F12" s="127" t="str">
        <f t="shared" si="8"/>
        <v>#REF!</v>
      </c>
      <c r="G12" s="281">
        <f>ATNG!J27+ATNG!K27</f>
        <v>11</v>
      </c>
      <c r="H12" s="281">
        <f>ATNG!L27</f>
        <v>22</v>
      </c>
      <c r="I12" s="281">
        <f>ATNG!N27</f>
        <v>33</v>
      </c>
      <c r="J12" s="246">
        <f t="shared" ref="J12:K12" si="9">(G12-D12)/D12</f>
        <v>0</v>
      </c>
      <c r="K12" s="246">
        <f t="shared" si="9"/>
        <v>0</v>
      </c>
      <c r="L12" s="281" t="str">
        <f t="shared" si="2"/>
        <v>#REF!</v>
      </c>
      <c r="M12" s="301" t="str">
        <f t="shared" si="6"/>
        <v>#REF!</v>
      </c>
      <c r="N12" s="281"/>
    </row>
    <row r="13" ht="14.25" customHeight="1">
      <c r="C13" s="306" t="s">
        <v>776</v>
      </c>
      <c r="D13" s="306">
        <f t="shared" ref="D13:I13" si="10">SUM(D6:D12)</f>
        <v>226</v>
      </c>
      <c r="E13" s="307">
        <f t="shared" si="10"/>
        <v>546</v>
      </c>
      <c r="F13" s="306" t="str">
        <f t="shared" si="10"/>
        <v>#ERROR!</v>
      </c>
      <c r="G13" s="307">
        <f t="shared" si="10"/>
        <v>153</v>
      </c>
      <c r="H13" s="307">
        <f t="shared" si="10"/>
        <v>200</v>
      </c>
      <c r="I13" s="307">
        <f t="shared" si="10"/>
        <v>560</v>
      </c>
      <c r="J13" s="308">
        <f t="shared" ref="J13:K13" si="11">G13/D13</f>
        <v>0.6769911504</v>
      </c>
      <c r="K13" s="308">
        <f t="shared" si="11"/>
        <v>0.3663003663</v>
      </c>
      <c r="L13" s="307" t="str">
        <f t="shared" si="2"/>
        <v>#ERROR!</v>
      </c>
      <c r="M13" s="308" t="str">
        <f t="shared" si="6"/>
        <v>#ERROR!</v>
      </c>
      <c r="N13" s="309"/>
    </row>
    <row r="14" ht="14.25" customHeight="1"/>
    <row r="15" ht="14.25" customHeight="1">
      <c r="C15" s="24" t="s">
        <v>794</v>
      </c>
    </row>
    <row r="16" ht="14.25" customHeight="1"/>
    <row r="17" ht="14.25" customHeight="1">
      <c r="C17" s="124"/>
      <c r="D17" s="125" t="s">
        <v>795</v>
      </c>
      <c r="E17" s="125" t="s">
        <v>796</v>
      </c>
      <c r="F17" s="125" t="s">
        <v>797</v>
      </c>
      <c r="G17" s="125" t="s">
        <v>798</v>
      </c>
      <c r="H17" s="125" t="s">
        <v>799</v>
      </c>
      <c r="I17" s="125" t="s">
        <v>800</v>
      </c>
      <c r="J17" s="125" t="s">
        <v>801</v>
      </c>
      <c r="K17" s="125" t="s">
        <v>802</v>
      </c>
      <c r="L17" s="125" t="s">
        <v>803</v>
      </c>
      <c r="M17" s="24" t="s">
        <v>103</v>
      </c>
      <c r="N17" s="24" t="s">
        <v>804</v>
      </c>
      <c r="O17" s="125" t="s">
        <v>805</v>
      </c>
      <c r="P17" s="310" t="s">
        <v>806</v>
      </c>
    </row>
    <row r="18" ht="14.25" customHeight="1">
      <c r="C18" s="127" t="s">
        <v>765</v>
      </c>
      <c r="D18" s="311">
        <v>7.22449164E8</v>
      </c>
      <c r="E18" s="311">
        <v>1.6870025E8</v>
      </c>
      <c r="F18" s="311">
        <v>1.069238514E9</v>
      </c>
      <c r="G18" s="312">
        <f t="shared" ref="G18:G25" si="13">SUM(D18:F18)</f>
        <v>1960387928</v>
      </c>
      <c r="H18" s="127">
        <f t="shared" ref="H18:I18" si="12">G6</f>
        <v>128</v>
      </c>
      <c r="I18" s="127">
        <f t="shared" si="12"/>
        <v>114</v>
      </c>
      <c r="J18" s="127">
        <f t="shared" ref="J18:J25" si="15">H18+I18</f>
        <v>242</v>
      </c>
      <c r="K18" s="246">
        <f>D18/G18</f>
        <v>0.3685235732</v>
      </c>
      <c r="L18" s="246">
        <f>E18/G18</f>
        <v>0.086054524</v>
      </c>
      <c r="M18" s="312">
        <v>1.5E10</v>
      </c>
      <c r="N18" s="246">
        <f>G18/M18</f>
        <v>0.1306925285</v>
      </c>
      <c r="P18" s="127">
        <f>O18/J18</f>
        <v>0</v>
      </c>
    </row>
    <row r="19" ht="14.25" customHeight="1">
      <c r="C19" s="302" t="s">
        <v>767</v>
      </c>
      <c r="D19" s="311">
        <v>0.0</v>
      </c>
      <c r="E19" s="311">
        <v>0.0</v>
      </c>
      <c r="F19" s="311">
        <v>0.0</v>
      </c>
      <c r="G19" s="312">
        <f t="shared" si="13"/>
        <v>0</v>
      </c>
      <c r="H19" s="281">
        <f t="shared" ref="H19:I19" si="14">G7</f>
        <v>0</v>
      </c>
      <c r="I19" s="281">
        <f t="shared" si="14"/>
        <v>13</v>
      </c>
      <c r="J19" s="281">
        <f t="shared" si="15"/>
        <v>13</v>
      </c>
      <c r="K19" s="246">
        <v>0.0</v>
      </c>
      <c r="L19" s="246">
        <v>0.0</v>
      </c>
      <c r="M19" s="127">
        <v>0.0</v>
      </c>
      <c r="N19" s="246">
        <v>0.0</v>
      </c>
    </row>
    <row r="20" ht="14.25" customHeight="1">
      <c r="C20" s="127" t="s">
        <v>768</v>
      </c>
      <c r="D20" s="311">
        <v>2.20104125E8</v>
      </c>
      <c r="E20" s="311">
        <v>6.407815E7</v>
      </c>
      <c r="F20" s="311">
        <v>1.59062617E8</v>
      </c>
      <c r="G20" s="312">
        <f t="shared" si="13"/>
        <v>443244892</v>
      </c>
      <c r="H20" s="281">
        <f t="shared" ref="H20:I20" si="16">G8</f>
        <v>0</v>
      </c>
      <c r="I20" s="281">
        <f t="shared" si="16"/>
        <v>3</v>
      </c>
      <c r="J20" s="281">
        <f t="shared" si="15"/>
        <v>3</v>
      </c>
      <c r="K20" s="246">
        <f t="shared" ref="K20:K25" si="17">D20/G20</f>
        <v>0.4965745324</v>
      </c>
      <c r="L20" s="246">
        <f t="shared" ref="L20:L25" si="18">E20/G20</f>
        <v>0.1445660202</v>
      </c>
      <c r="M20" s="312">
        <v>7.0E9</v>
      </c>
      <c r="N20" s="246">
        <f t="shared" ref="N20:N21" si="19">G20/M20</f>
        <v>0.06332069886</v>
      </c>
    </row>
    <row r="21" ht="14.25" customHeight="1">
      <c r="C21" s="127" t="s">
        <v>770</v>
      </c>
      <c r="D21" s="311">
        <v>7.2135652E7</v>
      </c>
      <c r="E21" s="311">
        <v>1.468524E7</v>
      </c>
      <c r="F21" s="311">
        <v>8.9699816E7</v>
      </c>
      <c r="G21" s="312">
        <f t="shared" si="13"/>
        <v>176520708</v>
      </c>
      <c r="H21" s="127">
        <v>14.0</v>
      </c>
      <c r="I21" s="127">
        <v>92.0</v>
      </c>
      <c r="J21" s="127">
        <f t="shared" si="15"/>
        <v>106</v>
      </c>
      <c r="K21" s="246">
        <f t="shared" si="17"/>
        <v>0.4086526324</v>
      </c>
      <c r="L21" s="246">
        <f t="shared" si="18"/>
        <v>0.08319273227</v>
      </c>
      <c r="M21" s="312">
        <v>4.5E9</v>
      </c>
      <c r="N21" s="246">
        <f t="shared" si="19"/>
        <v>0.039226824</v>
      </c>
    </row>
    <row r="22" ht="14.25" customHeight="1">
      <c r="C22" s="302" t="s">
        <v>773</v>
      </c>
      <c r="D22" s="311">
        <v>0.0</v>
      </c>
      <c r="E22" s="311">
        <v>6571000.0</v>
      </c>
      <c r="F22" s="311">
        <v>86286.0</v>
      </c>
      <c r="G22" s="312">
        <f t="shared" si="13"/>
        <v>6657286</v>
      </c>
      <c r="H22" s="281">
        <f t="shared" ref="H22:I22" si="20">G10</f>
        <v>0</v>
      </c>
      <c r="I22" s="281">
        <f t="shared" si="20"/>
        <v>3</v>
      </c>
      <c r="J22" s="281">
        <f t="shared" si="15"/>
        <v>3</v>
      </c>
      <c r="K22" s="246">
        <f t="shared" si="17"/>
        <v>0</v>
      </c>
      <c r="L22" s="246">
        <f t="shared" si="18"/>
        <v>0.9870388624</v>
      </c>
      <c r="M22" s="127">
        <v>0.0</v>
      </c>
      <c r="N22" s="246">
        <v>0.0</v>
      </c>
    </row>
    <row r="23" ht="14.25" customHeight="1">
      <c r="C23" s="127" t="s">
        <v>774</v>
      </c>
      <c r="D23" s="311">
        <v>7.704806E7</v>
      </c>
      <c r="E23" s="311">
        <v>4.2164892E7</v>
      </c>
      <c r="F23" s="311">
        <v>1.37968011E8</v>
      </c>
      <c r="G23" s="312">
        <f t="shared" si="13"/>
        <v>257180963</v>
      </c>
      <c r="H23" s="281">
        <f t="shared" ref="H23:I23" si="21">G11</f>
        <v>14</v>
      </c>
      <c r="I23" s="281">
        <f t="shared" si="21"/>
        <v>23</v>
      </c>
      <c r="J23" s="281">
        <f t="shared" si="15"/>
        <v>37</v>
      </c>
      <c r="K23" s="246">
        <f t="shared" si="17"/>
        <v>0.2995869488</v>
      </c>
      <c r="L23" s="246">
        <f t="shared" si="18"/>
        <v>0.1639502843</v>
      </c>
      <c r="M23" s="312">
        <v>1.5E9</v>
      </c>
      <c r="N23" s="246">
        <f t="shared" ref="N23:N24" si="23">G23/M23</f>
        <v>0.1714539753</v>
      </c>
    </row>
    <row r="24" ht="14.25" customHeight="1">
      <c r="C24" s="127" t="s">
        <v>775</v>
      </c>
      <c r="D24" s="311">
        <v>6.6931644E7</v>
      </c>
      <c r="E24" s="311">
        <v>3.9625E7</v>
      </c>
      <c r="F24" s="311">
        <v>4106083.0</v>
      </c>
      <c r="G24" s="312">
        <f t="shared" si="13"/>
        <v>110662727</v>
      </c>
      <c r="H24" s="281">
        <f t="shared" ref="H24:I24" si="22">G12</f>
        <v>11</v>
      </c>
      <c r="I24" s="281">
        <f t="shared" si="22"/>
        <v>22</v>
      </c>
      <c r="J24" s="281">
        <f t="shared" si="15"/>
        <v>33</v>
      </c>
      <c r="K24" s="246">
        <f t="shared" si="17"/>
        <v>0.6048255435</v>
      </c>
      <c r="L24" s="246">
        <f t="shared" si="18"/>
        <v>0.358069976</v>
      </c>
      <c r="M24" s="312">
        <v>1.0E9</v>
      </c>
      <c r="N24" s="246">
        <f t="shared" si="23"/>
        <v>0.110662727</v>
      </c>
    </row>
    <row r="25" ht="14.25" customHeight="1">
      <c r="C25" s="127" t="s">
        <v>772</v>
      </c>
      <c r="D25" s="311">
        <v>4.9497501E7</v>
      </c>
      <c r="E25" s="311">
        <v>0.0</v>
      </c>
      <c r="F25" s="311">
        <v>1.849449E7</v>
      </c>
      <c r="G25" s="312">
        <f t="shared" si="13"/>
        <v>67991991</v>
      </c>
      <c r="H25" s="127">
        <v>11.0</v>
      </c>
      <c r="I25" s="127">
        <v>11.0</v>
      </c>
      <c r="J25" s="127">
        <f t="shared" si="15"/>
        <v>22</v>
      </c>
      <c r="K25" s="246">
        <f t="shared" si="17"/>
        <v>0.7279901687</v>
      </c>
      <c r="L25" s="246">
        <f t="shared" si="18"/>
        <v>0</v>
      </c>
      <c r="M25" s="24"/>
      <c r="N25" s="313"/>
    </row>
    <row r="26" ht="14.25" customHeight="1">
      <c r="D26" s="314">
        <f t="shared" ref="D26:N26" si="24">SUM(D18:D25)</f>
        <v>1208166146</v>
      </c>
      <c r="E26" s="314">
        <f t="shared" si="24"/>
        <v>335824532</v>
      </c>
      <c r="F26" s="314">
        <f t="shared" si="24"/>
        <v>1478655817</v>
      </c>
      <c r="G26" s="314">
        <f t="shared" si="24"/>
        <v>3022646495</v>
      </c>
      <c r="H26" s="24">
        <f t="shared" si="24"/>
        <v>178</v>
      </c>
      <c r="I26" s="24">
        <f t="shared" si="24"/>
        <v>281</v>
      </c>
      <c r="J26" s="24">
        <f t="shared" si="24"/>
        <v>459</v>
      </c>
      <c r="K26" s="313">
        <f t="shared" si="24"/>
        <v>2.906153399</v>
      </c>
      <c r="L26" s="313">
        <f t="shared" si="24"/>
        <v>1.822872399</v>
      </c>
      <c r="M26" s="314">
        <f t="shared" si="24"/>
        <v>29000000000</v>
      </c>
      <c r="N26" s="313">
        <f t="shared" si="24"/>
        <v>0.5153567537</v>
      </c>
      <c r="O26" s="24"/>
    </row>
    <row r="27" ht="14.25" customHeight="1"/>
    <row r="28" ht="16.5" customHeight="1">
      <c r="C28" s="24" t="s">
        <v>807</v>
      </c>
    </row>
    <row r="29" ht="14.25" customHeight="1"/>
    <row r="30" ht="14.25" customHeight="1">
      <c r="C30" s="315" t="s">
        <v>18</v>
      </c>
      <c r="D30" s="315" t="s">
        <v>808</v>
      </c>
      <c r="E30" s="315" t="s">
        <v>25</v>
      </c>
      <c r="F30" s="315" t="s">
        <v>809</v>
      </c>
    </row>
    <row r="31" ht="14.25" customHeight="1">
      <c r="C31" s="127" t="s">
        <v>765</v>
      </c>
      <c r="D31" s="91" t="s">
        <v>810</v>
      </c>
      <c r="E31" s="91" t="s">
        <v>236</v>
      </c>
      <c r="F31" s="316">
        <v>15.0</v>
      </c>
      <c r="G31" s="91" t="s">
        <v>811</v>
      </c>
    </row>
    <row r="32" ht="14.25" customHeight="1">
      <c r="C32" s="302"/>
      <c r="D32" s="91" t="s">
        <v>812</v>
      </c>
      <c r="E32" s="91" t="s">
        <v>417</v>
      </c>
      <c r="F32" s="316">
        <v>26.0</v>
      </c>
      <c r="G32" s="91" t="s">
        <v>83</v>
      </c>
    </row>
    <row r="33" ht="14.25" customHeight="1">
      <c r="C33" s="302" t="s">
        <v>767</v>
      </c>
      <c r="D33" s="91" t="s">
        <v>813</v>
      </c>
      <c r="E33" s="91" t="s">
        <v>813</v>
      </c>
      <c r="F33" s="316">
        <v>0.0</v>
      </c>
      <c r="G33" s="91" t="s">
        <v>813</v>
      </c>
    </row>
    <row r="34" ht="14.25" customHeight="1">
      <c r="C34" s="127" t="s">
        <v>768</v>
      </c>
      <c r="D34" s="91" t="s">
        <v>814</v>
      </c>
      <c r="E34" s="91" t="s">
        <v>815</v>
      </c>
      <c r="F34" s="316">
        <v>35.0</v>
      </c>
      <c r="G34" s="91" t="s">
        <v>816</v>
      </c>
    </row>
    <row r="35" ht="14.25" customHeight="1">
      <c r="C35" s="127" t="s">
        <v>770</v>
      </c>
      <c r="D35" s="91" t="s">
        <v>817</v>
      </c>
      <c r="E35" s="91" t="s">
        <v>236</v>
      </c>
      <c r="F35" s="316">
        <v>21.0</v>
      </c>
      <c r="G35" s="91" t="s">
        <v>816</v>
      </c>
    </row>
    <row r="36" ht="14.25" customHeight="1">
      <c r="C36" s="302" t="s">
        <v>773</v>
      </c>
      <c r="D36" s="91" t="s">
        <v>813</v>
      </c>
      <c r="E36" s="91" t="s">
        <v>813</v>
      </c>
      <c r="F36" s="316">
        <v>0.0</v>
      </c>
      <c r="G36" s="91" t="s">
        <v>813</v>
      </c>
    </row>
    <row r="37" ht="14.25" customHeight="1">
      <c r="C37" s="127" t="s">
        <v>774</v>
      </c>
      <c r="D37" s="127" t="s">
        <v>818</v>
      </c>
      <c r="E37" s="91" t="s">
        <v>392</v>
      </c>
      <c r="F37" s="316">
        <v>17.0</v>
      </c>
      <c r="G37" s="91" t="s">
        <v>816</v>
      </c>
    </row>
    <row r="38" ht="14.25" customHeight="1">
      <c r="C38" s="127" t="s">
        <v>775</v>
      </c>
      <c r="D38" s="91" t="s">
        <v>819</v>
      </c>
      <c r="E38" s="91" t="s">
        <v>820</v>
      </c>
      <c r="F38" s="316">
        <v>3.0</v>
      </c>
      <c r="G38" s="91" t="s">
        <v>821</v>
      </c>
    </row>
    <row r="39" ht="14.25" customHeight="1">
      <c r="A39" s="319"/>
      <c r="B39" s="319"/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R39" s="319"/>
      <c r="S39" s="319"/>
      <c r="T39" s="319"/>
      <c r="U39" s="319"/>
      <c r="V39" s="319"/>
      <c r="W39" s="319"/>
    </row>
    <row r="40" ht="14.25" customHeight="1">
      <c r="A40" s="319"/>
      <c r="B40" s="319"/>
      <c r="C40" s="319"/>
      <c r="D40" s="319"/>
      <c r="E40" s="319"/>
      <c r="F40" s="319"/>
      <c r="G40" s="319"/>
      <c r="H40" s="319"/>
      <c r="I40" s="319"/>
      <c r="J40" s="319"/>
      <c r="K40" s="319"/>
      <c r="L40" s="319"/>
      <c r="M40" s="319"/>
      <c r="N40" s="319"/>
      <c r="O40" s="319"/>
      <c r="P40" s="319"/>
      <c r="R40" s="319"/>
      <c r="S40" s="319"/>
      <c r="T40" s="319"/>
      <c r="U40" s="319"/>
      <c r="V40" s="319"/>
      <c r="W40" s="319"/>
    </row>
    <row r="41" ht="14.25" customHeight="1">
      <c r="A41" s="319" t="s">
        <v>827</v>
      </c>
      <c r="B41" s="319"/>
      <c r="C41" s="319"/>
      <c r="D41" s="319"/>
      <c r="E41" s="319"/>
      <c r="F41" s="319"/>
      <c r="G41" s="319"/>
      <c r="H41" s="319" t="s">
        <v>828</v>
      </c>
      <c r="I41" s="319"/>
      <c r="J41" s="319"/>
      <c r="K41" s="319"/>
      <c r="L41" s="319"/>
      <c r="M41" s="319"/>
      <c r="N41" s="319"/>
      <c r="O41" s="319" t="s">
        <v>829</v>
      </c>
      <c r="P41" s="319"/>
      <c r="R41" s="319"/>
      <c r="S41" s="319"/>
      <c r="T41" s="319"/>
      <c r="U41" s="319"/>
      <c r="V41" s="319"/>
      <c r="W41" s="319"/>
    </row>
    <row r="42" ht="14.25" customHeight="1">
      <c r="A42" s="324" t="s">
        <v>830</v>
      </c>
      <c r="B42" s="328" t="s">
        <v>831</v>
      </c>
      <c r="C42" s="11"/>
      <c r="D42" s="328" t="s">
        <v>832</v>
      </c>
      <c r="E42" s="11"/>
      <c r="F42" s="324" t="s">
        <v>203</v>
      </c>
      <c r="G42" s="319"/>
      <c r="H42" s="324" t="s">
        <v>830</v>
      </c>
      <c r="I42" s="324" t="s">
        <v>836</v>
      </c>
      <c r="J42" s="324" t="s">
        <v>838</v>
      </c>
      <c r="K42" s="324" t="s">
        <v>840</v>
      </c>
      <c r="L42" s="324" t="s">
        <v>842</v>
      </c>
      <c r="M42" s="324" t="s">
        <v>203</v>
      </c>
      <c r="N42" s="319"/>
      <c r="O42" s="324" t="s">
        <v>830</v>
      </c>
      <c r="P42" s="324" t="s">
        <v>845</v>
      </c>
      <c r="Q42" s="324" t="s">
        <v>847</v>
      </c>
      <c r="R42" s="324" t="s">
        <v>848</v>
      </c>
      <c r="S42" s="324" t="s">
        <v>849</v>
      </c>
      <c r="T42" s="324" t="s">
        <v>850</v>
      </c>
      <c r="U42" s="324" t="s">
        <v>203</v>
      </c>
    </row>
    <row r="43" ht="14.25" customHeight="1">
      <c r="A43" s="22"/>
      <c r="B43" s="337" t="s">
        <v>199</v>
      </c>
      <c r="C43" s="337" t="s">
        <v>200</v>
      </c>
      <c r="D43" s="337" t="s">
        <v>199</v>
      </c>
      <c r="E43" s="337" t="s">
        <v>200</v>
      </c>
      <c r="F43" s="22"/>
      <c r="G43" s="319"/>
      <c r="H43" s="22"/>
      <c r="I43" s="22"/>
      <c r="J43" s="22"/>
      <c r="K43" s="22"/>
      <c r="L43" s="22"/>
      <c r="M43" s="22"/>
      <c r="N43" s="319"/>
      <c r="O43" s="22"/>
      <c r="P43" s="22"/>
      <c r="Q43" s="22"/>
      <c r="R43" s="22"/>
      <c r="S43" s="22"/>
      <c r="T43" s="22"/>
      <c r="U43" s="22"/>
    </row>
    <row r="44" ht="14.25" customHeight="1">
      <c r="A44" s="338" t="s">
        <v>8</v>
      </c>
      <c r="B44" s="340">
        <v>0.0</v>
      </c>
      <c r="C44" s="340">
        <v>0.0</v>
      </c>
      <c r="D44" s="340">
        <v>0.0</v>
      </c>
      <c r="E44" s="340">
        <v>0.0</v>
      </c>
      <c r="F44" s="337">
        <f t="shared" ref="F44:F52" si="25">SUM(B44:E44)</f>
        <v>0</v>
      </c>
      <c r="G44" s="319"/>
      <c r="H44" s="338" t="s">
        <v>8</v>
      </c>
      <c r="I44" s="340" t="s">
        <v>813</v>
      </c>
      <c r="J44" s="340" t="s">
        <v>813</v>
      </c>
      <c r="K44" s="340" t="s">
        <v>813</v>
      </c>
      <c r="L44" s="340" t="s">
        <v>813</v>
      </c>
      <c r="M44" s="337">
        <f t="shared" ref="M44:M52" si="26">SUM(I44:L44)</f>
        <v>0</v>
      </c>
      <c r="N44" s="319"/>
      <c r="O44" s="338" t="s">
        <v>8</v>
      </c>
      <c r="P44" s="340" t="s">
        <v>813</v>
      </c>
      <c r="Q44" s="340" t="s">
        <v>813</v>
      </c>
      <c r="R44" s="340" t="s">
        <v>813</v>
      </c>
      <c r="S44" s="340" t="s">
        <v>813</v>
      </c>
      <c r="T44" s="340" t="s">
        <v>813</v>
      </c>
      <c r="U44" s="337">
        <f t="shared" ref="U44:U52" si="27">SUM(P44:T44)</f>
        <v>0</v>
      </c>
    </row>
    <row r="45" ht="14.25" customHeight="1">
      <c r="A45" s="338" t="s">
        <v>10</v>
      </c>
      <c r="B45" s="340">
        <v>28.0</v>
      </c>
      <c r="C45" s="340">
        <v>12.0</v>
      </c>
      <c r="D45" s="340">
        <v>2.0</v>
      </c>
      <c r="E45" s="340">
        <v>1.0</v>
      </c>
      <c r="F45" s="337">
        <f t="shared" si="25"/>
        <v>43</v>
      </c>
      <c r="G45" s="319"/>
      <c r="H45" s="338" t="s">
        <v>10</v>
      </c>
      <c r="I45" s="340">
        <v>26.0</v>
      </c>
      <c r="J45" s="340">
        <v>3.0</v>
      </c>
      <c r="K45" s="340">
        <v>13.0</v>
      </c>
      <c r="L45" s="340">
        <v>1.0</v>
      </c>
      <c r="M45" s="337">
        <f t="shared" si="26"/>
        <v>43</v>
      </c>
      <c r="N45" s="319"/>
      <c r="O45" s="338" t="s">
        <v>10</v>
      </c>
      <c r="P45" s="340" t="s">
        <v>813</v>
      </c>
      <c r="Q45" s="340">
        <v>11.0</v>
      </c>
      <c r="R45" s="340">
        <v>16.0</v>
      </c>
      <c r="S45" s="340">
        <v>16.0</v>
      </c>
      <c r="T45" s="340" t="s">
        <v>813</v>
      </c>
      <c r="U45" s="337">
        <f t="shared" si="27"/>
        <v>43</v>
      </c>
    </row>
    <row r="46" ht="14.25" customHeight="1">
      <c r="A46" s="338" t="s">
        <v>12</v>
      </c>
      <c r="B46" s="340">
        <v>11.0</v>
      </c>
      <c r="C46" s="340">
        <v>1.0</v>
      </c>
      <c r="D46" s="340">
        <v>2.0</v>
      </c>
      <c r="E46" s="340">
        <v>0.0</v>
      </c>
      <c r="F46" s="337">
        <f t="shared" si="25"/>
        <v>14</v>
      </c>
      <c r="G46" s="319"/>
      <c r="H46" s="338" t="s">
        <v>12</v>
      </c>
      <c r="I46" s="340">
        <v>10.0</v>
      </c>
      <c r="J46" s="340">
        <v>2.0</v>
      </c>
      <c r="K46" s="340">
        <v>2.0</v>
      </c>
      <c r="L46" s="340" t="s">
        <v>813</v>
      </c>
      <c r="M46" s="337">
        <f t="shared" si="26"/>
        <v>14</v>
      </c>
      <c r="N46" s="319"/>
      <c r="O46" s="338" t="s">
        <v>12</v>
      </c>
      <c r="P46" s="340" t="s">
        <v>813</v>
      </c>
      <c r="Q46" s="340" t="s">
        <v>813</v>
      </c>
      <c r="R46" s="340">
        <v>9.0</v>
      </c>
      <c r="S46" s="340">
        <v>4.0</v>
      </c>
      <c r="T46" s="340">
        <v>1.0</v>
      </c>
      <c r="U46" s="337">
        <f t="shared" si="27"/>
        <v>14</v>
      </c>
    </row>
    <row r="47" ht="14.25" customHeight="1">
      <c r="A47" s="338" t="s">
        <v>13</v>
      </c>
      <c r="B47" s="340">
        <v>0.0</v>
      </c>
      <c r="C47" s="340">
        <v>0.0</v>
      </c>
      <c r="D47" s="340">
        <v>0.0</v>
      </c>
      <c r="E47" s="340">
        <v>0.0</v>
      </c>
      <c r="F47" s="337">
        <f t="shared" si="25"/>
        <v>0</v>
      </c>
      <c r="G47" s="319"/>
      <c r="H47" s="338" t="s">
        <v>13</v>
      </c>
      <c r="I47" s="340" t="s">
        <v>813</v>
      </c>
      <c r="J47" s="340" t="s">
        <v>813</v>
      </c>
      <c r="K47" s="340" t="s">
        <v>813</v>
      </c>
      <c r="L47" s="340" t="s">
        <v>813</v>
      </c>
      <c r="M47" s="337">
        <f t="shared" si="26"/>
        <v>0</v>
      </c>
      <c r="N47" s="319"/>
      <c r="O47" s="338" t="s">
        <v>13</v>
      </c>
      <c r="P47" s="340" t="s">
        <v>813</v>
      </c>
      <c r="Q47" s="340" t="s">
        <v>813</v>
      </c>
      <c r="R47" s="340" t="s">
        <v>813</v>
      </c>
      <c r="S47" s="340" t="s">
        <v>813</v>
      </c>
      <c r="T47" s="340" t="s">
        <v>813</v>
      </c>
      <c r="U47" s="337">
        <f t="shared" si="27"/>
        <v>0</v>
      </c>
    </row>
    <row r="48" ht="14.25" customHeight="1">
      <c r="A48" s="338" t="s">
        <v>15</v>
      </c>
      <c r="B48" s="340">
        <v>9.0</v>
      </c>
      <c r="C48" s="340">
        <v>3.0</v>
      </c>
      <c r="D48" s="340">
        <v>2.0</v>
      </c>
      <c r="E48" s="340">
        <v>0.0</v>
      </c>
      <c r="F48" s="337">
        <f t="shared" si="25"/>
        <v>14</v>
      </c>
      <c r="G48" s="319"/>
      <c r="H48" s="338" t="s">
        <v>15</v>
      </c>
      <c r="I48" s="340">
        <v>13.0</v>
      </c>
      <c r="J48" s="340" t="s">
        <v>813</v>
      </c>
      <c r="K48" s="340">
        <v>1.0</v>
      </c>
      <c r="L48" s="340" t="s">
        <v>813</v>
      </c>
      <c r="M48" s="337">
        <f t="shared" si="26"/>
        <v>14</v>
      </c>
      <c r="N48" s="319"/>
      <c r="O48" s="338" t="s">
        <v>15</v>
      </c>
      <c r="P48" s="340" t="s">
        <v>813</v>
      </c>
      <c r="Q48" s="340">
        <v>3.0</v>
      </c>
      <c r="R48" s="340">
        <v>8.0</v>
      </c>
      <c r="S48" s="340">
        <v>3.0</v>
      </c>
      <c r="T48" s="340" t="s">
        <v>813</v>
      </c>
      <c r="U48" s="337">
        <f t="shared" si="27"/>
        <v>14</v>
      </c>
    </row>
    <row r="49" ht="14.25" customHeight="1">
      <c r="A49" s="338" t="s">
        <v>17</v>
      </c>
      <c r="B49" s="340">
        <v>9.0</v>
      </c>
      <c r="C49" s="340">
        <v>2.0</v>
      </c>
      <c r="D49" s="340">
        <v>0.0</v>
      </c>
      <c r="E49" s="340">
        <v>0.0</v>
      </c>
      <c r="F49" s="337">
        <f t="shared" si="25"/>
        <v>11</v>
      </c>
      <c r="G49" s="319"/>
      <c r="H49" s="338" t="s">
        <v>17</v>
      </c>
      <c r="I49" s="340">
        <v>9.0</v>
      </c>
      <c r="J49" s="340" t="s">
        <v>813</v>
      </c>
      <c r="K49" s="340">
        <v>2.0</v>
      </c>
      <c r="L49" s="340" t="s">
        <v>813</v>
      </c>
      <c r="M49" s="337">
        <f t="shared" si="26"/>
        <v>11</v>
      </c>
      <c r="N49" s="319"/>
      <c r="O49" s="338" t="s">
        <v>17</v>
      </c>
      <c r="P49" s="340" t="s">
        <v>813</v>
      </c>
      <c r="Q49" s="340">
        <v>3.0</v>
      </c>
      <c r="R49" s="340">
        <v>6.0</v>
      </c>
      <c r="S49" s="340">
        <v>2.0</v>
      </c>
      <c r="T49" s="340" t="s">
        <v>813</v>
      </c>
      <c r="U49" s="337">
        <f t="shared" si="27"/>
        <v>11</v>
      </c>
    </row>
    <row r="50" ht="14.25" customHeight="1">
      <c r="A50" s="338" t="s">
        <v>862</v>
      </c>
      <c r="B50" s="340">
        <v>0.0</v>
      </c>
      <c r="C50" s="340">
        <v>0.0</v>
      </c>
      <c r="D50" s="340">
        <v>0.0</v>
      </c>
      <c r="E50" s="340">
        <v>0.0</v>
      </c>
      <c r="F50" s="337">
        <f t="shared" si="25"/>
        <v>0</v>
      </c>
      <c r="G50" s="319"/>
      <c r="H50" s="338" t="s">
        <v>862</v>
      </c>
      <c r="I50" s="340" t="s">
        <v>813</v>
      </c>
      <c r="J50" s="340" t="s">
        <v>813</v>
      </c>
      <c r="K50" s="340" t="s">
        <v>813</v>
      </c>
      <c r="L50" s="340" t="s">
        <v>813</v>
      </c>
      <c r="M50" s="337">
        <f t="shared" si="26"/>
        <v>0</v>
      </c>
      <c r="N50" s="319"/>
      <c r="O50" s="338" t="s">
        <v>862</v>
      </c>
      <c r="P50" s="340" t="s">
        <v>813</v>
      </c>
      <c r="Q50" s="340" t="s">
        <v>813</v>
      </c>
      <c r="R50" s="340" t="s">
        <v>813</v>
      </c>
      <c r="S50" s="340" t="s">
        <v>813</v>
      </c>
      <c r="T50" s="340" t="s">
        <v>813</v>
      </c>
      <c r="U50" s="337">
        <f t="shared" si="27"/>
        <v>0</v>
      </c>
    </row>
    <row r="51" ht="14.25" customHeight="1">
      <c r="A51" s="338" t="s">
        <v>19</v>
      </c>
      <c r="B51" s="340">
        <v>100.0</v>
      </c>
      <c r="C51" s="340">
        <v>21.0</v>
      </c>
      <c r="D51" s="340">
        <v>2.0</v>
      </c>
      <c r="E51" s="340">
        <v>5.0</v>
      </c>
      <c r="F51" s="337">
        <f t="shared" si="25"/>
        <v>128</v>
      </c>
      <c r="G51" s="319"/>
      <c r="H51" s="338" t="s">
        <v>19</v>
      </c>
      <c r="I51" s="340">
        <v>95.0</v>
      </c>
      <c r="J51" s="340">
        <v>14.0</v>
      </c>
      <c r="K51" s="340">
        <v>19.0</v>
      </c>
      <c r="L51" s="340" t="s">
        <v>813</v>
      </c>
      <c r="M51" s="337">
        <f t="shared" si="26"/>
        <v>128</v>
      </c>
      <c r="N51" s="319"/>
      <c r="O51" s="338" t="s">
        <v>19</v>
      </c>
      <c r="P51" s="340" t="s">
        <v>813</v>
      </c>
      <c r="Q51" s="340">
        <v>12.0</v>
      </c>
      <c r="R51" s="340">
        <v>84.0</v>
      </c>
      <c r="S51" s="340">
        <v>32.0</v>
      </c>
      <c r="T51" s="340" t="s">
        <v>813</v>
      </c>
      <c r="U51" s="337">
        <f t="shared" si="27"/>
        <v>128</v>
      </c>
    </row>
    <row r="52" ht="14.25" customHeight="1">
      <c r="A52" s="338" t="s">
        <v>229</v>
      </c>
      <c r="B52" s="346">
        <v>9.0</v>
      </c>
      <c r="C52" s="346">
        <v>1.0</v>
      </c>
      <c r="D52" s="346">
        <v>1.0</v>
      </c>
      <c r="E52" s="346">
        <v>0.0</v>
      </c>
      <c r="F52" s="347">
        <f t="shared" si="25"/>
        <v>11</v>
      </c>
      <c r="G52" s="319"/>
      <c r="H52" s="338" t="s">
        <v>229</v>
      </c>
      <c r="I52" s="346">
        <v>9.0</v>
      </c>
      <c r="J52" s="346">
        <v>1.0</v>
      </c>
      <c r="K52" s="346">
        <v>1.0</v>
      </c>
      <c r="L52" s="340" t="s">
        <v>813</v>
      </c>
      <c r="M52" s="337">
        <f t="shared" si="26"/>
        <v>11</v>
      </c>
      <c r="N52" s="319"/>
      <c r="O52" s="338" t="s">
        <v>229</v>
      </c>
      <c r="P52" s="340" t="s">
        <v>813</v>
      </c>
      <c r="Q52" s="340">
        <v>1.0</v>
      </c>
      <c r="R52" s="340">
        <v>5.0</v>
      </c>
      <c r="S52" s="340">
        <v>5.0</v>
      </c>
      <c r="T52" s="340" t="s">
        <v>813</v>
      </c>
      <c r="U52" s="337">
        <f t="shared" si="27"/>
        <v>11</v>
      </c>
    </row>
    <row r="53" ht="14.25" customHeight="1">
      <c r="A53" s="319"/>
      <c r="B53" s="347">
        <f t="shared" ref="B53:F53" si="28">SUM(B44:B52)</f>
        <v>166</v>
      </c>
      <c r="C53" s="347">
        <f t="shared" si="28"/>
        <v>40</v>
      </c>
      <c r="D53" s="347">
        <f t="shared" si="28"/>
        <v>9</v>
      </c>
      <c r="E53" s="347">
        <f t="shared" si="28"/>
        <v>6</v>
      </c>
      <c r="F53" s="347">
        <f t="shared" si="28"/>
        <v>221</v>
      </c>
      <c r="G53" s="319"/>
      <c r="H53" s="319"/>
      <c r="I53" s="347">
        <f t="shared" ref="I53:M53" si="29">SUM(I44:I52)</f>
        <v>162</v>
      </c>
      <c r="J53" s="347">
        <f t="shared" si="29"/>
        <v>20</v>
      </c>
      <c r="K53" s="347">
        <f t="shared" si="29"/>
        <v>38</v>
      </c>
      <c r="L53" s="347">
        <f t="shared" si="29"/>
        <v>1</v>
      </c>
      <c r="M53" s="347">
        <f t="shared" si="29"/>
        <v>221</v>
      </c>
      <c r="N53" s="319"/>
      <c r="O53" s="319"/>
      <c r="P53" s="347">
        <f t="shared" ref="P53:U53" si="30">SUM(P44:P52)</f>
        <v>0</v>
      </c>
      <c r="Q53" s="347">
        <f t="shared" si="30"/>
        <v>30</v>
      </c>
      <c r="R53" s="347">
        <f t="shared" si="30"/>
        <v>128</v>
      </c>
      <c r="S53" s="347">
        <f t="shared" si="30"/>
        <v>62</v>
      </c>
      <c r="T53" s="347">
        <f t="shared" si="30"/>
        <v>1</v>
      </c>
      <c r="U53" s="347">
        <f t="shared" si="30"/>
        <v>221</v>
      </c>
    </row>
    <row r="54" ht="14.25" customHeight="1">
      <c r="A54" s="319"/>
      <c r="B54" s="351" t="str">
        <f t="shared" ref="B54:E54" si="31">B53/$F$13</f>
        <v>#ERROR!</v>
      </c>
      <c r="C54" s="351" t="str">
        <f t="shared" si="31"/>
        <v>#ERROR!</v>
      </c>
      <c r="D54" s="351" t="str">
        <f t="shared" si="31"/>
        <v>#ERROR!</v>
      </c>
      <c r="E54" s="351" t="str">
        <f t="shared" si="31"/>
        <v>#ERROR!</v>
      </c>
      <c r="F54" s="319"/>
      <c r="G54" s="319"/>
      <c r="H54" s="319"/>
      <c r="I54" s="351">
        <f t="shared" ref="I54:L54" si="32">I53/$M$53</f>
        <v>0.7330316742</v>
      </c>
      <c r="J54" s="351">
        <f t="shared" si="32"/>
        <v>0.09049773756</v>
      </c>
      <c r="K54" s="351">
        <f t="shared" si="32"/>
        <v>0.1719457014</v>
      </c>
      <c r="L54" s="351">
        <f t="shared" si="32"/>
        <v>0.004524886878</v>
      </c>
      <c r="M54" s="319"/>
      <c r="N54" s="319"/>
      <c r="O54" s="319"/>
      <c r="P54" s="319"/>
      <c r="Q54" s="351">
        <f t="shared" ref="Q54:T54" si="33">Q53/$U$53</f>
        <v>0.1357466063</v>
      </c>
      <c r="R54" s="351">
        <f t="shared" si="33"/>
        <v>0.5791855204</v>
      </c>
      <c r="S54" s="351">
        <f t="shared" si="33"/>
        <v>0.2805429864</v>
      </c>
      <c r="T54" s="351">
        <f t="shared" si="33"/>
        <v>0.004524886878</v>
      </c>
      <c r="U54" s="319"/>
    </row>
    <row r="55" ht="14.25" customHeight="1"/>
    <row r="56" ht="14.25" customHeight="1">
      <c r="G56" s="357" t="s">
        <v>867</v>
      </c>
      <c r="H56" s="358" t="s">
        <v>868</v>
      </c>
      <c r="I56" s="10"/>
      <c r="J56" s="11"/>
      <c r="K56" s="359" t="s">
        <v>869</v>
      </c>
      <c r="L56" s="10"/>
      <c r="M56" s="10"/>
      <c r="N56" s="11"/>
    </row>
    <row r="57" ht="14.25" customHeight="1">
      <c r="A57" s="357" t="s">
        <v>830</v>
      </c>
      <c r="B57" s="358" t="s">
        <v>868</v>
      </c>
      <c r="C57" s="10"/>
      <c r="D57" s="11"/>
      <c r="G57" s="22"/>
      <c r="H57" s="360" t="s">
        <v>44</v>
      </c>
      <c r="I57" s="360" t="s">
        <v>81</v>
      </c>
      <c r="J57" s="360" t="s">
        <v>801</v>
      </c>
      <c r="K57" s="361" t="s">
        <v>836</v>
      </c>
      <c r="L57" s="361" t="s">
        <v>838</v>
      </c>
      <c r="M57" s="361" t="s">
        <v>840</v>
      </c>
      <c r="N57" s="361" t="s">
        <v>842</v>
      </c>
    </row>
    <row r="58" ht="14.25" customHeight="1">
      <c r="A58" s="22"/>
      <c r="B58" s="360" t="s">
        <v>44</v>
      </c>
      <c r="C58" s="360" t="s">
        <v>81</v>
      </c>
      <c r="D58" s="360" t="s">
        <v>801</v>
      </c>
      <c r="G58" s="338" t="s">
        <v>870</v>
      </c>
      <c r="H58" s="362">
        <v>8.0</v>
      </c>
      <c r="I58" s="362">
        <v>5.0</v>
      </c>
      <c r="J58" s="362">
        <f t="shared" ref="J58:J64" si="34">SUM(H58:I58)</f>
        <v>13</v>
      </c>
      <c r="K58" s="363">
        <v>4.0</v>
      </c>
      <c r="L58" s="363">
        <v>2.0</v>
      </c>
      <c r="M58" s="363">
        <v>9.0</v>
      </c>
      <c r="N58" s="363"/>
    </row>
    <row r="59" ht="14.25" customHeight="1">
      <c r="A59" s="121" t="s">
        <v>8</v>
      </c>
      <c r="B59" s="270">
        <v>0.0</v>
      </c>
      <c r="C59" s="270">
        <v>0.0</v>
      </c>
      <c r="D59" s="270">
        <v>0.0</v>
      </c>
      <c r="G59" s="338" t="s">
        <v>871</v>
      </c>
      <c r="H59" s="362">
        <v>0.0</v>
      </c>
      <c r="I59" s="362">
        <v>5.0</v>
      </c>
      <c r="J59" s="362">
        <f t="shared" si="34"/>
        <v>5</v>
      </c>
      <c r="K59" s="363">
        <v>1.0</v>
      </c>
      <c r="L59" s="363"/>
      <c r="M59" s="363"/>
      <c r="N59" s="363">
        <v>1.0</v>
      </c>
    </row>
    <row r="60" ht="14.25" customHeight="1">
      <c r="A60" s="121" t="s">
        <v>10</v>
      </c>
      <c r="B60" s="270">
        <v>30.0</v>
      </c>
      <c r="C60" s="270">
        <v>13.0</v>
      </c>
      <c r="D60" s="270">
        <v>43.0</v>
      </c>
      <c r="G60" s="338" t="s">
        <v>872</v>
      </c>
      <c r="H60" s="362">
        <v>5.0</v>
      </c>
      <c r="I60" s="362">
        <v>3.0</v>
      </c>
      <c r="J60" s="362">
        <f t="shared" si="34"/>
        <v>8</v>
      </c>
      <c r="K60" s="363">
        <v>5.0</v>
      </c>
      <c r="L60" s="363"/>
      <c r="M60" s="363">
        <v>3.0</v>
      </c>
      <c r="N60" s="363"/>
    </row>
    <row r="61" ht="14.25" customHeight="1">
      <c r="A61" s="121" t="s">
        <v>12</v>
      </c>
      <c r="B61" s="270">
        <v>13.0</v>
      </c>
      <c r="C61" s="270">
        <v>1.0</v>
      </c>
      <c r="D61" s="270">
        <v>14.0</v>
      </c>
      <c r="G61" s="338" t="s">
        <v>257</v>
      </c>
      <c r="H61" s="362">
        <v>2.0</v>
      </c>
      <c r="I61" s="362">
        <v>1.0</v>
      </c>
      <c r="J61" s="362">
        <f t="shared" si="34"/>
        <v>3</v>
      </c>
      <c r="K61" s="363"/>
      <c r="L61" s="363">
        <v>1.0</v>
      </c>
      <c r="M61" s="363">
        <v>2.0</v>
      </c>
      <c r="N61" s="363"/>
    </row>
    <row r="62" ht="14.25" customHeight="1">
      <c r="A62" s="121" t="s">
        <v>13</v>
      </c>
      <c r="B62" s="270">
        <v>0.0</v>
      </c>
      <c r="C62" s="270">
        <v>0.0</v>
      </c>
      <c r="D62" s="270">
        <v>0.0</v>
      </c>
      <c r="G62" s="338" t="s">
        <v>147</v>
      </c>
      <c r="H62" s="362">
        <v>13.0</v>
      </c>
      <c r="I62" s="362">
        <v>5.0</v>
      </c>
      <c r="J62" s="362">
        <f t="shared" si="34"/>
        <v>18</v>
      </c>
      <c r="K62" s="363">
        <v>8.0</v>
      </c>
      <c r="L62" s="363">
        <v>4.0</v>
      </c>
      <c r="M62" s="363">
        <v>6.0</v>
      </c>
      <c r="N62" s="363"/>
    </row>
    <row r="63" ht="14.25" customHeight="1">
      <c r="A63" s="121" t="s">
        <v>15</v>
      </c>
      <c r="B63" s="270">
        <v>11.0</v>
      </c>
      <c r="C63" s="270">
        <v>3.0</v>
      </c>
      <c r="D63" s="270">
        <v>14.0</v>
      </c>
      <c r="G63" s="338" t="s">
        <v>151</v>
      </c>
      <c r="H63" s="362">
        <v>3.0</v>
      </c>
      <c r="I63" s="362">
        <v>2.0</v>
      </c>
      <c r="J63" s="362">
        <f t="shared" si="34"/>
        <v>5</v>
      </c>
      <c r="K63" s="363">
        <v>1.0</v>
      </c>
      <c r="L63" s="363"/>
      <c r="M63" s="363">
        <v>4.0</v>
      </c>
      <c r="N63" s="363"/>
    </row>
    <row r="64" ht="14.25" customHeight="1">
      <c r="A64" s="121" t="s">
        <v>17</v>
      </c>
      <c r="B64" s="270">
        <v>9.0</v>
      </c>
      <c r="C64" s="270">
        <v>2.0</v>
      </c>
      <c r="D64" s="270">
        <v>11.0</v>
      </c>
      <c r="G64" s="338" t="s">
        <v>65</v>
      </c>
      <c r="H64" s="362">
        <v>24.0</v>
      </c>
      <c r="I64" s="362">
        <v>4.0</v>
      </c>
      <c r="J64" s="362">
        <f t="shared" si="34"/>
        <v>28</v>
      </c>
      <c r="K64" s="363">
        <v>19.0</v>
      </c>
      <c r="L64" s="363">
        <v>3.0</v>
      </c>
      <c r="M64" s="363">
        <v>6.0</v>
      </c>
      <c r="N64" s="363"/>
    </row>
    <row r="65" ht="14.25" customHeight="1">
      <c r="A65" s="121" t="s">
        <v>862</v>
      </c>
      <c r="B65" s="270">
        <v>0.0</v>
      </c>
      <c r="C65" s="270">
        <v>0.0</v>
      </c>
      <c r="D65" s="270">
        <v>0.0</v>
      </c>
      <c r="G65" s="338" t="s">
        <v>85</v>
      </c>
      <c r="H65" s="362">
        <f t="shared" ref="H65:M65" si="35">SUM(H66:H69)</f>
        <v>90</v>
      </c>
      <c r="I65" s="362">
        <f t="shared" si="35"/>
        <v>14</v>
      </c>
      <c r="J65" s="362">
        <f t="shared" si="35"/>
        <v>104</v>
      </c>
      <c r="K65" s="368">
        <f t="shared" si="35"/>
        <v>100</v>
      </c>
      <c r="L65" s="368">
        <f t="shared" si="35"/>
        <v>3</v>
      </c>
      <c r="M65" s="368">
        <f t="shared" si="35"/>
        <v>1</v>
      </c>
      <c r="N65" s="363"/>
    </row>
    <row r="66" ht="14.25" customHeight="1">
      <c r="A66" s="121" t="s">
        <v>19</v>
      </c>
      <c r="B66" s="270">
        <v>102.0</v>
      </c>
      <c r="C66" s="270">
        <v>26.0</v>
      </c>
      <c r="D66" s="270">
        <v>128.0</v>
      </c>
      <c r="G66" s="369" t="s">
        <v>876</v>
      </c>
      <c r="H66" s="362">
        <v>11.0</v>
      </c>
      <c r="I66" s="362">
        <v>1.0</v>
      </c>
      <c r="J66" s="362">
        <f t="shared" ref="J66:J70" si="36">SUM(H66:I66)</f>
        <v>12</v>
      </c>
      <c r="K66" s="363">
        <v>8.0</v>
      </c>
      <c r="L66" s="363">
        <v>3.0</v>
      </c>
      <c r="M66" s="363">
        <v>1.0</v>
      </c>
      <c r="N66" s="363"/>
    </row>
    <row r="67" ht="14.25" customHeight="1">
      <c r="A67" s="121" t="s">
        <v>229</v>
      </c>
      <c r="B67" s="270">
        <v>10.0</v>
      </c>
      <c r="C67" s="270">
        <v>1.0</v>
      </c>
      <c r="D67" s="270">
        <v>11.0</v>
      </c>
      <c r="G67" s="369" t="s">
        <v>877</v>
      </c>
      <c r="H67" s="362">
        <v>16.0</v>
      </c>
      <c r="I67" s="362">
        <v>2.0</v>
      </c>
      <c r="J67" s="362">
        <f t="shared" si="36"/>
        <v>18</v>
      </c>
      <c r="K67" s="363">
        <v>18.0</v>
      </c>
      <c r="L67" s="363"/>
      <c r="M67" s="363"/>
      <c r="N67" s="363"/>
    </row>
    <row r="68" ht="14.25" customHeight="1">
      <c r="A68" s="360" t="s">
        <v>801</v>
      </c>
      <c r="B68" s="370">
        <f t="shared" ref="B68:D68" si="37">SUM(B59:B67)</f>
        <v>175</v>
      </c>
      <c r="C68" s="370">
        <f t="shared" si="37"/>
        <v>46</v>
      </c>
      <c r="D68" s="370">
        <f t="shared" si="37"/>
        <v>221</v>
      </c>
      <c r="G68" s="369" t="s">
        <v>878</v>
      </c>
      <c r="H68" s="362">
        <v>38.0</v>
      </c>
      <c r="I68" s="362">
        <v>5.0</v>
      </c>
      <c r="J68" s="362">
        <f t="shared" si="36"/>
        <v>43</v>
      </c>
      <c r="K68" s="363">
        <v>43.0</v>
      </c>
      <c r="L68" s="363"/>
      <c r="M68" s="363"/>
      <c r="N68" s="363"/>
    </row>
    <row r="69" ht="14.25" customHeight="1">
      <c r="A69" s="246"/>
      <c r="B69" s="246">
        <v>0.7918552036199095</v>
      </c>
      <c r="C69" s="246">
        <v>0.2081447963800905</v>
      </c>
      <c r="D69" s="246"/>
      <c r="G69" s="369" t="s">
        <v>879</v>
      </c>
      <c r="H69" s="362">
        <v>25.0</v>
      </c>
      <c r="I69" s="362">
        <v>6.0</v>
      </c>
      <c r="J69" s="362">
        <f t="shared" si="36"/>
        <v>31</v>
      </c>
      <c r="K69" s="363">
        <v>31.0</v>
      </c>
      <c r="L69" s="363"/>
      <c r="M69" s="363"/>
      <c r="N69" s="363"/>
    </row>
    <row r="70" ht="14.25" customHeight="1">
      <c r="G70" s="338" t="s">
        <v>880</v>
      </c>
      <c r="H70" s="362">
        <v>1.0</v>
      </c>
      <c r="I70" s="362">
        <v>3.0</v>
      </c>
      <c r="J70" s="362">
        <f t="shared" si="36"/>
        <v>4</v>
      </c>
      <c r="K70" s="363">
        <v>2.0</v>
      </c>
      <c r="L70" s="363">
        <v>1.0</v>
      </c>
      <c r="M70" s="363">
        <v>1.0</v>
      </c>
      <c r="N70" s="363"/>
    </row>
    <row r="71" ht="14.25" customHeight="1">
      <c r="A71" s="91" t="s">
        <v>881</v>
      </c>
      <c r="C71" s="316">
        <v>221.0</v>
      </c>
      <c r="E71" s="124"/>
      <c r="G71" s="338" t="s">
        <v>119</v>
      </c>
      <c r="H71" s="362">
        <f t="shared" ref="H71:M71" si="38">SUM(H72:H73)</f>
        <v>29</v>
      </c>
      <c r="I71" s="362">
        <f t="shared" si="38"/>
        <v>4</v>
      </c>
      <c r="J71" s="362">
        <f t="shared" si="38"/>
        <v>33</v>
      </c>
      <c r="K71" s="368">
        <f t="shared" si="38"/>
        <v>23</v>
      </c>
      <c r="L71" s="368">
        <f t="shared" si="38"/>
        <v>6</v>
      </c>
      <c r="M71" s="368">
        <f t="shared" si="38"/>
        <v>4</v>
      </c>
      <c r="N71" s="363"/>
    </row>
    <row r="72" ht="14.25" customHeight="1">
      <c r="A72" s="91" t="s">
        <v>882</v>
      </c>
      <c r="B72" s="91"/>
      <c r="C72" s="316">
        <v>815.0</v>
      </c>
      <c r="E72" s="124"/>
      <c r="G72" s="369" t="s">
        <v>883</v>
      </c>
      <c r="H72" s="362">
        <v>9.0</v>
      </c>
      <c r="I72" s="362">
        <v>1.0</v>
      </c>
      <c r="J72" s="362">
        <f t="shared" ref="J72:J73" si="39">SUM(H72:I72)</f>
        <v>10</v>
      </c>
      <c r="K72" s="363">
        <v>7.0</v>
      </c>
      <c r="L72" s="363">
        <v>2.0</v>
      </c>
      <c r="M72" s="363">
        <v>1.0</v>
      </c>
      <c r="N72" s="363"/>
    </row>
    <row r="73" ht="14.25" customHeight="1">
      <c r="A73" s="91"/>
      <c r="B73" s="91"/>
      <c r="C73" s="91"/>
      <c r="E73" s="124"/>
      <c r="G73" s="369" t="s">
        <v>884</v>
      </c>
      <c r="H73" s="362">
        <v>20.0</v>
      </c>
      <c r="I73" s="362">
        <v>3.0</v>
      </c>
      <c r="J73" s="362">
        <f t="shared" si="39"/>
        <v>23</v>
      </c>
      <c r="K73" s="363">
        <v>16.0</v>
      </c>
      <c r="L73" s="363">
        <v>4.0</v>
      </c>
      <c r="M73" s="363">
        <v>3.0</v>
      </c>
      <c r="N73" s="363"/>
    </row>
    <row r="74" ht="14.25" customHeight="1">
      <c r="A74" s="91" t="s">
        <v>885</v>
      </c>
      <c r="C74" s="372">
        <v>0.27</v>
      </c>
      <c r="E74" s="124"/>
      <c r="G74" s="360" t="s">
        <v>801</v>
      </c>
      <c r="H74" s="370">
        <f t="shared" ref="H74:N74" si="40">SUM(H58:H65,H70:H71)</f>
        <v>175</v>
      </c>
      <c r="I74" s="370">
        <f t="shared" si="40"/>
        <v>46</v>
      </c>
      <c r="J74" s="370">
        <f t="shared" si="40"/>
        <v>221</v>
      </c>
      <c r="K74" s="370">
        <f t="shared" si="40"/>
        <v>163</v>
      </c>
      <c r="L74" s="370">
        <f t="shared" si="40"/>
        <v>20</v>
      </c>
      <c r="M74" s="370">
        <f t="shared" si="40"/>
        <v>36</v>
      </c>
      <c r="N74" s="370">
        <f t="shared" si="40"/>
        <v>1</v>
      </c>
    </row>
    <row r="75" ht="14.25" customHeight="1">
      <c r="E75" s="124"/>
    </row>
    <row r="76" ht="14.25" customHeight="1">
      <c r="E76" s="124"/>
    </row>
    <row r="77" ht="14.25" customHeight="1">
      <c r="E77" s="124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>
      <c r="A83" s="127" t="s">
        <v>886</v>
      </c>
    </row>
    <row r="84" ht="14.25" customHeight="1">
      <c r="A84" s="124">
        <v>1.0</v>
      </c>
      <c r="B84" s="127" t="s">
        <v>887</v>
      </c>
      <c r="D84" s="91" t="s">
        <v>888</v>
      </c>
    </row>
    <row r="85" ht="14.25" customHeight="1">
      <c r="A85" s="124">
        <v>2.0</v>
      </c>
      <c r="B85" s="127" t="s">
        <v>889</v>
      </c>
      <c r="D85" s="91"/>
    </row>
    <row r="86" ht="14.25" customHeight="1">
      <c r="A86" s="124">
        <v>3.0</v>
      </c>
      <c r="B86" s="127" t="s">
        <v>890</v>
      </c>
      <c r="D86" s="91"/>
    </row>
    <row r="87" ht="14.25" customHeight="1">
      <c r="A87" s="124">
        <v>4.0</v>
      </c>
      <c r="B87" s="127" t="s">
        <v>891</v>
      </c>
      <c r="D87" s="91" t="s">
        <v>786</v>
      </c>
    </row>
    <row r="88" ht="14.25" customHeight="1">
      <c r="A88" s="124">
        <v>5.0</v>
      </c>
      <c r="B88" s="127" t="s">
        <v>892</v>
      </c>
      <c r="D88" s="91"/>
    </row>
    <row r="89" ht="14.25" customHeight="1">
      <c r="A89" s="124">
        <v>6.0</v>
      </c>
      <c r="B89" s="127" t="s">
        <v>893</v>
      </c>
      <c r="D89" s="91"/>
    </row>
    <row r="90" ht="14.25" customHeight="1">
      <c r="A90" s="124">
        <v>7.0</v>
      </c>
      <c r="B90" s="127" t="s">
        <v>894</v>
      </c>
      <c r="D90" s="91"/>
    </row>
    <row r="91" ht="14.25" customHeight="1">
      <c r="A91" s="124">
        <v>8.0</v>
      </c>
      <c r="B91" s="127" t="s">
        <v>895</v>
      </c>
      <c r="D91" s="91" t="s">
        <v>787</v>
      </c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I42:I43"/>
    <mergeCell ref="J42:J43"/>
    <mergeCell ref="G56:G57"/>
    <mergeCell ref="H56:J56"/>
    <mergeCell ref="A57:A58"/>
    <mergeCell ref="B57:D57"/>
    <mergeCell ref="A71:B71"/>
    <mergeCell ref="A74:B74"/>
    <mergeCell ref="K42:K43"/>
    <mergeCell ref="L42:L43"/>
    <mergeCell ref="K56:N56"/>
    <mergeCell ref="M42:M43"/>
    <mergeCell ref="O42:O43"/>
    <mergeCell ref="P42:P43"/>
    <mergeCell ref="Q42:Q43"/>
    <mergeCell ref="R42:R43"/>
    <mergeCell ref="S42:S43"/>
    <mergeCell ref="T42:T43"/>
    <mergeCell ref="U42:U43"/>
    <mergeCell ref="L4:M4"/>
    <mergeCell ref="X4:Y4"/>
    <mergeCell ref="A42:A43"/>
    <mergeCell ref="B42:C42"/>
    <mergeCell ref="D42:E42"/>
    <mergeCell ref="F42:F43"/>
    <mergeCell ref="H42:H4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14.43"/>
    <col customWidth="1" min="2" max="2" width="15.71" outlineLevel="1"/>
    <col customWidth="1" min="3" max="4" width="14.43" outlineLevel="1"/>
    <col customWidth="1" min="5" max="5" width="20.14" outlineLevel="1"/>
    <col customWidth="1" min="6" max="6" width="6.71" outlineLevel="1"/>
    <col customWidth="1" min="7" max="7" width="29.0" outlineLevel="1"/>
    <col customWidth="1" min="8" max="8" width="6.57" outlineLevel="1"/>
    <col customWidth="1" min="9" max="9" width="7.86" outlineLevel="1"/>
    <col customWidth="1" min="10" max="10" width="8.86" outlineLevel="1"/>
    <col customWidth="1" min="11" max="11" width="16.71" outlineLevel="1"/>
    <col customWidth="1" min="12" max="12" width="7.71" outlineLevel="1"/>
    <col customWidth="1" min="13" max="13" width="6.57" outlineLevel="1"/>
    <col customWidth="1" min="14" max="14" width="16.71"/>
    <col customWidth="1" min="15" max="15" width="11.86"/>
    <col customWidth="1" min="16" max="16" width="9.71"/>
    <col customWidth="1" min="17" max="17" width="8.14"/>
    <col customWidth="1" min="18" max="18" width="6.57"/>
    <col customWidth="1" min="19" max="19" width="16.71"/>
    <col customWidth="1" min="20" max="20" width="11.86"/>
    <col customWidth="1" min="21" max="21" width="10.71"/>
    <col customWidth="1" min="22" max="22" width="8.29"/>
    <col customWidth="1" min="23" max="23" width="6.71"/>
    <col customWidth="1" min="24" max="24" width="17.43"/>
    <col customWidth="1" min="25" max="25" width="8.43"/>
    <col customWidth="1" min="26" max="26" width="6.43"/>
  </cols>
  <sheetData>
    <row r="1">
      <c r="A1" s="24" t="s">
        <v>807</v>
      </c>
    </row>
    <row r="3">
      <c r="A3" s="315" t="s">
        <v>18</v>
      </c>
      <c r="B3" s="315" t="s">
        <v>808</v>
      </c>
      <c r="C3" s="315" t="s">
        <v>25</v>
      </c>
      <c r="D3" s="315" t="s">
        <v>809</v>
      </c>
    </row>
    <row r="4">
      <c r="A4" s="127" t="s">
        <v>765</v>
      </c>
      <c r="B4" s="91" t="s">
        <v>810</v>
      </c>
      <c r="C4" s="91" t="s">
        <v>236</v>
      </c>
      <c r="D4" s="316">
        <v>15.0</v>
      </c>
      <c r="E4" s="91" t="s">
        <v>811</v>
      </c>
    </row>
    <row r="5">
      <c r="A5" s="302"/>
      <c r="B5" s="91" t="s">
        <v>812</v>
      </c>
      <c r="C5" s="91" t="s">
        <v>417</v>
      </c>
      <c r="D5" s="316">
        <v>26.0</v>
      </c>
      <c r="E5" s="91" t="s">
        <v>83</v>
      </c>
    </row>
    <row r="6">
      <c r="A6" s="302" t="s">
        <v>767</v>
      </c>
      <c r="B6" s="91" t="s">
        <v>813</v>
      </c>
      <c r="C6" s="91" t="s">
        <v>813</v>
      </c>
      <c r="D6" s="316">
        <v>0.0</v>
      </c>
      <c r="E6" s="91" t="s">
        <v>813</v>
      </c>
    </row>
    <row r="7">
      <c r="A7" s="127" t="s">
        <v>768</v>
      </c>
      <c r="B7" s="91" t="s">
        <v>814</v>
      </c>
      <c r="C7" s="91" t="s">
        <v>815</v>
      </c>
      <c r="D7" s="316">
        <v>35.0</v>
      </c>
      <c r="E7" s="91" t="s">
        <v>816</v>
      </c>
    </row>
    <row r="8">
      <c r="A8" s="127" t="s">
        <v>770</v>
      </c>
      <c r="B8" s="91" t="s">
        <v>817</v>
      </c>
      <c r="C8" s="91" t="s">
        <v>236</v>
      </c>
      <c r="D8" s="316">
        <v>21.0</v>
      </c>
      <c r="E8" s="91" t="s">
        <v>816</v>
      </c>
    </row>
    <row r="9">
      <c r="A9" s="302" t="s">
        <v>773</v>
      </c>
      <c r="B9" s="91" t="s">
        <v>813</v>
      </c>
      <c r="C9" s="91" t="s">
        <v>813</v>
      </c>
      <c r="D9" s="316">
        <v>0.0</v>
      </c>
      <c r="E9" s="91" t="s">
        <v>813</v>
      </c>
    </row>
    <row r="10">
      <c r="A10" s="127" t="s">
        <v>774</v>
      </c>
      <c r="B10" s="127" t="s">
        <v>818</v>
      </c>
      <c r="C10" s="91" t="s">
        <v>392</v>
      </c>
      <c r="D10" s="316">
        <v>17.0</v>
      </c>
      <c r="E10" s="91" t="s">
        <v>816</v>
      </c>
    </row>
    <row r="11">
      <c r="A11" s="127" t="s">
        <v>775</v>
      </c>
      <c r="B11" s="91" t="s">
        <v>819</v>
      </c>
      <c r="C11" s="91" t="s">
        <v>820</v>
      </c>
      <c r="D11" s="316">
        <v>3.0</v>
      </c>
      <c r="E11" s="91" t="s">
        <v>821</v>
      </c>
    </row>
    <row r="15">
      <c r="A15" s="24" t="s">
        <v>822</v>
      </c>
    </row>
    <row r="16">
      <c r="D16" s="125"/>
      <c r="E16" s="125"/>
    </row>
    <row r="17">
      <c r="A17" s="317" t="s">
        <v>18</v>
      </c>
      <c r="B17" s="318" t="s">
        <v>823</v>
      </c>
      <c r="C17" s="320" t="s">
        <v>824</v>
      </c>
      <c r="D17" s="321" t="s">
        <v>825</v>
      </c>
      <c r="E17" s="322"/>
      <c r="F17" s="317" t="s">
        <v>826</v>
      </c>
      <c r="G17" s="323"/>
      <c r="H17" s="323"/>
      <c r="I17" s="323"/>
      <c r="J17" s="322"/>
      <c r="K17" s="317" t="s">
        <v>113</v>
      </c>
      <c r="L17" s="323"/>
      <c r="M17" s="323"/>
      <c r="N17" s="317" t="s">
        <v>99</v>
      </c>
      <c r="O17" s="323"/>
      <c r="P17" s="323"/>
      <c r="Q17" s="323"/>
      <c r="R17" s="322"/>
      <c r="S17" s="321" t="s">
        <v>91</v>
      </c>
      <c r="T17" s="323"/>
      <c r="U17" s="323"/>
      <c r="V17" s="323"/>
      <c r="W17" s="323"/>
      <c r="X17" s="317" t="s">
        <v>83</v>
      </c>
      <c r="Y17" s="323"/>
      <c r="Z17" s="322"/>
    </row>
    <row r="18">
      <c r="A18" s="325"/>
      <c r="B18" s="326"/>
      <c r="C18" s="327"/>
      <c r="D18" s="329" t="s">
        <v>808</v>
      </c>
      <c r="E18" s="329" t="s">
        <v>23</v>
      </c>
      <c r="F18" s="330" t="s">
        <v>833</v>
      </c>
      <c r="G18" s="326"/>
      <c r="H18" s="331" t="s">
        <v>834</v>
      </c>
      <c r="I18" s="331" t="s">
        <v>835</v>
      </c>
      <c r="J18" s="332" t="s">
        <v>837</v>
      </c>
      <c r="K18" s="330" t="s">
        <v>833</v>
      </c>
      <c r="L18" s="331" t="s">
        <v>839</v>
      </c>
      <c r="M18" s="331" t="s">
        <v>837</v>
      </c>
      <c r="N18" s="330" t="s">
        <v>833</v>
      </c>
      <c r="O18" s="331" t="s">
        <v>841</v>
      </c>
      <c r="P18" s="331" t="s">
        <v>843</v>
      </c>
      <c r="Q18" s="331" t="s">
        <v>839</v>
      </c>
      <c r="R18" s="332" t="s">
        <v>837</v>
      </c>
      <c r="S18" s="331" t="s">
        <v>833</v>
      </c>
      <c r="T18" s="331" t="s">
        <v>844</v>
      </c>
      <c r="U18" s="331" t="s">
        <v>843</v>
      </c>
      <c r="V18" s="331" t="s">
        <v>839</v>
      </c>
      <c r="W18" s="331" t="s">
        <v>837</v>
      </c>
      <c r="X18" s="330" t="s">
        <v>833</v>
      </c>
      <c r="Y18" s="331" t="s">
        <v>839</v>
      </c>
      <c r="Z18" s="332" t="s">
        <v>837</v>
      </c>
    </row>
    <row r="19">
      <c r="A19" s="333" t="s">
        <v>846</v>
      </c>
      <c r="B19" s="334">
        <v>1.93051961E11</v>
      </c>
      <c r="C19" s="335">
        <v>4.20786603E8</v>
      </c>
      <c r="D19" s="91" t="s">
        <v>810</v>
      </c>
      <c r="E19" s="91" t="s">
        <v>236</v>
      </c>
      <c r="F19" s="333">
        <v>9.0</v>
      </c>
      <c r="G19" s="336" t="s">
        <v>851</v>
      </c>
      <c r="H19" s="336">
        <f>6+3+10+41</f>
        <v>60</v>
      </c>
      <c r="I19" s="336">
        <f t="shared" ref="I19:J19" si="1">L19+Q19+V19+Y19</f>
        <v>50</v>
      </c>
      <c r="J19" s="339">
        <f t="shared" si="1"/>
        <v>48</v>
      </c>
      <c r="K19" s="333" t="s">
        <v>852</v>
      </c>
      <c r="L19" s="336">
        <v>6.0</v>
      </c>
      <c r="M19" s="336">
        <v>5.0</v>
      </c>
      <c r="N19" s="333" t="s">
        <v>852</v>
      </c>
      <c r="O19" s="341">
        <v>3.346303E7</v>
      </c>
      <c r="P19" s="341">
        <f t="shared" ref="P19:P21" si="3">O19/R19</f>
        <v>4182878.75</v>
      </c>
      <c r="Q19" s="336">
        <v>3.0</v>
      </c>
      <c r="R19" s="339">
        <v>8.0</v>
      </c>
      <c r="S19" s="333" t="s">
        <v>853</v>
      </c>
      <c r="T19" s="341">
        <v>3.87323573E8</v>
      </c>
      <c r="U19" s="341">
        <f t="shared" ref="U19:U21" si="4">T19/W19</f>
        <v>20385451.21</v>
      </c>
      <c r="V19" s="336">
        <v>8.0</v>
      </c>
      <c r="W19" s="339">
        <f>18+1</f>
        <v>19</v>
      </c>
      <c r="X19" s="333" t="s">
        <v>854</v>
      </c>
      <c r="Y19" s="336">
        <v>33.0</v>
      </c>
      <c r="Z19" s="339">
        <v>16.0</v>
      </c>
    </row>
    <row r="20">
      <c r="A20" s="342" t="s">
        <v>855</v>
      </c>
      <c r="B20" s="343">
        <v>8.940242776E10</v>
      </c>
      <c r="C20" s="335">
        <v>2.08056244E8</v>
      </c>
      <c r="D20" s="91" t="s">
        <v>814</v>
      </c>
      <c r="E20" s="91" t="s">
        <v>236</v>
      </c>
      <c r="F20" s="342">
        <v>2.0</v>
      </c>
      <c r="G20" s="127" t="s">
        <v>856</v>
      </c>
      <c r="H20" s="127">
        <f>3+2+3+20</f>
        <v>28</v>
      </c>
      <c r="I20" s="127">
        <f t="shared" ref="I20:J20" si="2">L20+Q20+V20+Y20</f>
        <v>27</v>
      </c>
      <c r="J20" s="344">
        <f t="shared" si="2"/>
        <v>26</v>
      </c>
      <c r="K20" s="342" t="s">
        <v>859</v>
      </c>
      <c r="L20" s="127">
        <v>3.0</v>
      </c>
      <c r="M20" s="127">
        <v>6.0</v>
      </c>
      <c r="N20" s="342"/>
      <c r="O20" s="312">
        <v>5.4675912E7</v>
      </c>
      <c r="P20" s="312">
        <f t="shared" si="3"/>
        <v>9112652</v>
      </c>
      <c r="Q20" s="127">
        <v>2.0</v>
      </c>
      <c r="R20" s="344">
        <v>6.0</v>
      </c>
      <c r="S20" s="342" t="s">
        <v>860</v>
      </c>
      <c r="T20" s="312">
        <v>1.53380331E8</v>
      </c>
      <c r="U20" s="312">
        <f t="shared" si="4"/>
        <v>19172541.38</v>
      </c>
      <c r="V20" s="127">
        <v>3.0</v>
      </c>
      <c r="W20" s="344">
        <v>8.0</v>
      </c>
      <c r="X20" s="342"/>
      <c r="Y20" s="127">
        <v>19.0</v>
      </c>
      <c r="Z20" s="344">
        <v>6.0</v>
      </c>
    </row>
    <row r="21" ht="15.75" customHeight="1">
      <c r="A21" s="342" t="s">
        <v>861</v>
      </c>
      <c r="B21" s="343">
        <f>58761861979+11151241695</f>
        <v>69913103674</v>
      </c>
      <c r="C21" s="335">
        <v>1.40870572E8</v>
      </c>
      <c r="D21" s="91" t="s">
        <v>817</v>
      </c>
      <c r="E21" s="91" t="s">
        <v>90</v>
      </c>
      <c r="F21" s="342">
        <v>1.0</v>
      </c>
      <c r="G21" s="127" t="s">
        <v>859</v>
      </c>
      <c r="H21" s="127">
        <f>2+2+3+14</f>
        <v>21</v>
      </c>
      <c r="I21" s="127">
        <f t="shared" ref="I21:J21" si="5">L21+Q21+V21+Y21</f>
        <v>20</v>
      </c>
      <c r="J21" s="344">
        <f t="shared" si="5"/>
        <v>23</v>
      </c>
      <c r="K21" s="342"/>
      <c r="L21" s="127">
        <v>2.0</v>
      </c>
      <c r="M21" s="127">
        <v>2.0</v>
      </c>
      <c r="N21" s="342"/>
      <c r="O21" s="312">
        <v>1.7107153E7</v>
      </c>
      <c r="P21" s="312">
        <f t="shared" si="3"/>
        <v>5702384.333</v>
      </c>
      <c r="Q21" s="127">
        <v>2.0</v>
      </c>
      <c r="R21" s="344">
        <v>3.0</v>
      </c>
      <c r="S21" s="342"/>
      <c r="T21" s="312">
        <v>1.23763419E8</v>
      </c>
      <c r="U21" s="312">
        <f t="shared" si="4"/>
        <v>17680488.43</v>
      </c>
      <c r="V21" s="127">
        <v>3.0</v>
      </c>
      <c r="W21" s="344">
        <v>7.0</v>
      </c>
      <c r="X21" s="342" t="s">
        <v>859</v>
      </c>
      <c r="Y21" s="127">
        <v>13.0</v>
      </c>
      <c r="Z21" s="344">
        <v>11.0</v>
      </c>
    </row>
    <row r="22" ht="15.75" customHeight="1">
      <c r="A22" s="342" t="s">
        <v>863</v>
      </c>
      <c r="B22" s="343">
        <v>1.590658E9</v>
      </c>
      <c r="C22" s="345"/>
      <c r="D22" s="127"/>
      <c r="E22" s="91"/>
      <c r="F22" s="342"/>
      <c r="I22" s="127">
        <f t="shared" ref="I22:J22" si="6">L22+Q22+V22+Y22</f>
        <v>0</v>
      </c>
      <c r="J22" s="344">
        <f t="shared" si="6"/>
        <v>0</v>
      </c>
      <c r="K22" s="342"/>
      <c r="N22" s="342"/>
      <c r="O22" s="312"/>
      <c r="R22" s="344"/>
      <c r="S22" s="342"/>
      <c r="T22" s="312"/>
      <c r="U22" s="312"/>
      <c r="W22" s="344"/>
      <c r="X22" s="342"/>
      <c r="Z22" s="344"/>
    </row>
    <row r="23" ht="15.75" customHeight="1">
      <c r="A23" s="342" t="s">
        <v>864</v>
      </c>
      <c r="B23" s="343">
        <v>1.8755821E10</v>
      </c>
      <c r="C23" s="345">
        <v>4.2485146E7</v>
      </c>
      <c r="D23" s="127" t="s">
        <v>818</v>
      </c>
      <c r="E23" s="91" t="s">
        <v>392</v>
      </c>
      <c r="F23" s="342">
        <v>3.0</v>
      </c>
      <c r="G23" s="127" t="s">
        <v>865</v>
      </c>
      <c r="H23" s="127">
        <f>2+1+2+10</f>
        <v>15</v>
      </c>
      <c r="I23" s="127">
        <f t="shared" ref="I23:J23" si="7">L23+Q23+V23+Y23</f>
        <v>15</v>
      </c>
      <c r="J23" s="344">
        <f t="shared" si="7"/>
        <v>11</v>
      </c>
      <c r="K23" s="342" t="s">
        <v>859</v>
      </c>
      <c r="L23" s="127">
        <v>2.0</v>
      </c>
      <c r="M23" s="127">
        <v>3.0</v>
      </c>
      <c r="N23" s="342"/>
      <c r="O23" s="312">
        <v>8253217.0</v>
      </c>
      <c r="P23" s="312">
        <f>O23/R23</f>
        <v>4126608.5</v>
      </c>
      <c r="Q23" s="127">
        <v>1.0</v>
      </c>
      <c r="R23" s="344">
        <v>2.0</v>
      </c>
      <c r="S23" s="342" t="s">
        <v>859</v>
      </c>
      <c r="T23" s="312">
        <v>3.4231929E7</v>
      </c>
      <c r="U23" s="312">
        <f>T23/W23</f>
        <v>6846385.8</v>
      </c>
      <c r="V23" s="127">
        <v>2.0</v>
      </c>
      <c r="W23" s="344">
        <v>5.0</v>
      </c>
      <c r="X23" s="342" t="s">
        <v>859</v>
      </c>
      <c r="Y23" s="127">
        <v>10.0</v>
      </c>
      <c r="Z23" s="344">
        <v>1.0</v>
      </c>
    </row>
    <row r="24" ht="15.75" customHeight="1">
      <c r="A24" s="342" t="s">
        <v>866</v>
      </c>
      <c r="B24" s="348">
        <v>2.1753157323E10</v>
      </c>
      <c r="C24" s="335"/>
      <c r="D24" s="91"/>
      <c r="E24" s="91"/>
      <c r="F24" s="342"/>
      <c r="I24" s="127">
        <f t="shared" ref="I24:J24" si="8">L24+Q24+V24+Y24</f>
        <v>0</v>
      </c>
      <c r="J24" s="344">
        <f t="shared" si="8"/>
        <v>0</v>
      </c>
      <c r="K24" s="342"/>
      <c r="N24" s="342"/>
      <c r="O24" s="312"/>
      <c r="R24" s="344"/>
      <c r="S24" s="342"/>
      <c r="T24" s="312"/>
      <c r="U24" s="312"/>
      <c r="W24" s="344"/>
      <c r="X24" s="342"/>
      <c r="Z24" s="344"/>
    </row>
    <row r="25" ht="15.75" customHeight="1">
      <c r="A25" s="349" t="s">
        <v>213</v>
      </c>
      <c r="B25" s="350">
        <v>1.3569263E10</v>
      </c>
      <c r="C25" s="352">
        <v>4.0209868E7</v>
      </c>
      <c r="D25" s="353" t="s">
        <v>819</v>
      </c>
      <c r="E25" s="353" t="s">
        <v>820</v>
      </c>
      <c r="F25" s="349">
        <v>1.0</v>
      </c>
      <c r="G25" s="354" t="s">
        <v>859</v>
      </c>
      <c r="H25" s="354">
        <f>3+1</f>
        <v>4</v>
      </c>
      <c r="I25" s="354">
        <f t="shared" ref="I25:J25" si="9">L25+Q25+V25+Y25</f>
        <v>4</v>
      </c>
      <c r="J25" s="355">
        <f t="shared" si="9"/>
        <v>9</v>
      </c>
      <c r="K25" s="349"/>
      <c r="L25" s="354">
        <v>3.0</v>
      </c>
      <c r="M25" s="354">
        <v>3.0</v>
      </c>
      <c r="N25" s="349"/>
      <c r="O25" s="356"/>
      <c r="P25" s="354"/>
      <c r="Q25" s="354"/>
      <c r="R25" s="355"/>
      <c r="S25" s="349" t="s">
        <v>859</v>
      </c>
      <c r="T25" s="356">
        <v>4.0209868E7</v>
      </c>
      <c r="U25" s="356">
        <f t="shared" ref="U25:U26" si="14">T25/W25</f>
        <v>6701644.667</v>
      </c>
      <c r="V25" s="354">
        <v>1.0</v>
      </c>
      <c r="W25" s="355">
        <v>6.0</v>
      </c>
      <c r="X25" s="349"/>
      <c r="Y25" s="354"/>
      <c r="Z25" s="355"/>
    </row>
    <row r="26" ht="15.75" customHeight="1">
      <c r="B26" s="314">
        <f t="shared" ref="B26:C26" si="10">SUM(B19:B25)</f>
        <v>408036391757</v>
      </c>
      <c r="C26" s="314">
        <f t="shared" si="10"/>
        <v>852408433</v>
      </c>
      <c r="F26" s="24">
        <f>SUM(F19:F25)</f>
        <v>16</v>
      </c>
      <c r="H26" s="24">
        <f t="shared" ref="H26:J26" si="11">SUM(H19:H25)</f>
        <v>128</v>
      </c>
      <c r="I26" s="24">
        <f t="shared" si="11"/>
        <v>116</v>
      </c>
      <c r="J26" s="24">
        <f t="shared" si="11"/>
        <v>117</v>
      </c>
      <c r="L26" s="24">
        <f t="shared" ref="L26:M26" si="12">SUM(L19:L25)</f>
        <v>16</v>
      </c>
      <c r="M26" s="24">
        <f t="shared" si="12"/>
        <v>19</v>
      </c>
      <c r="O26" s="314">
        <f>SUM(O19:O25)</f>
        <v>113499312</v>
      </c>
      <c r="P26" s="314">
        <f>O26/R26</f>
        <v>5973648</v>
      </c>
      <c r="Q26" s="24">
        <f t="shared" ref="Q26:R26" si="13">SUM(Q19:Q25)</f>
        <v>8</v>
      </c>
      <c r="R26" s="24">
        <f t="shared" si="13"/>
        <v>19</v>
      </c>
      <c r="T26" s="314">
        <f>SUM(T19:T25)</f>
        <v>738909120</v>
      </c>
      <c r="U26" s="314">
        <f t="shared" si="14"/>
        <v>16420202.67</v>
      </c>
      <c r="V26" s="24">
        <f t="shared" ref="V26:W26" si="15">SUM(V19:V25)</f>
        <v>17</v>
      </c>
      <c r="W26" s="24">
        <f t="shared" si="15"/>
        <v>45</v>
      </c>
      <c r="Y26" s="24">
        <f t="shared" ref="Y26:Z26" si="16">SUM(Y19:Y25)</f>
        <v>75</v>
      </c>
      <c r="Z26" s="24">
        <f t="shared" si="16"/>
        <v>34</v>
      </c>
    </row>
    <row r="27" ht="15.75" customHeight="1">
      <c r="A27" s="365"/>
      <c r="B27" s="365"/>
      <c r="C27" s="365"/>
      <c r="D27" s="365"/>
      <c r="E27" s="366" t="s">
        <v>873</v>
      </c>
      <c r="F27" s="312">
        <f>J26/F26</f>
        <v>7.3125</v>
      </c>
      <c r="G27" s="86" t="s">
        <v>874</v>
      </c>
      <c r="I27" s="246"/>
      <c r="J27" s="367"/>
    </row>
    <row r="28" ht="15.75" customHeight="1">
      <c r="A28" s="365"/>
      <c r="B28" s="365"/>
      <c r="C28" s="365"/>
      <c r="D28" s="365"/>
      <c r="E28" s="366"/>
      <c r="F28" s="312">
        <f>I26/F26</f>
        <v>7.25</v>
      </c>
      <c r="G28" s="86" t="s">
        <v>875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S17:W17"/>
    <mergeCell ref="X17:Z17"/>
    <mergeCell ref="A17:A18"/>
    <mergeCell ref="B17:B18"/>
    <mergeCell ref="C17:C18"/>
    <mergeCell ref="D17:E17"/>
    <mergeCell ref="F17:J17"/>
    <mergeCell ref="K17:M17"/>
    <mergeCell ref="N17:R17"/>
    <mergeCell ref="F18:G18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12.14"/>
    <col customWidth="1" min="2" max="8" width="9.71"/>
    <col customWidth="1" hidden="1" min="9" max="10" width="10.71"/>
    <col customWidth="1" min="11" max="11" width="15.57"/>
    <col customWidth="1" min="12" max="12" width="16.43"/>
    <col customWidth="1" min="13" max="19" width="10.71"/>
    <col customWidth="1" min="20" max="21" width="9.71"/>
    <col customWidth="1" min="22" max="22" width="7.57"/>
    <col customWidth="1" min="23" max="23" width="10.71"/>
    <col customWidth="1" min="24" max="26" width="9.14"/>
  </cols>
  <sheetData>
    <row r="1" ht="15.75" customHeight="1">
      <c r="A1" s="319" t="s">
        <v>827</v>
      </c>
      <c r="B1" s="319"/>
      <c r="C1" s="319"/>
      <c r="D1" s="319"/>
      <c r="E1" s="319"/>
      <c r="F1" s="319"/>
      <c r="G1" s="319"/>
      <c r="H1" s="319" t="s">
        <v>828</v>
      </c>
      <c r="I1" s="319"/>
      <c r="J1" s="319"/>
      <c r="K1" s="319"/>
      <c r="L1" s="319"/>
      <c r="M1" s="319"/>
      <c r="N1" s="319"/>
      <c r="O1" s="319"/>
      <c r="P1" s="319"/>
      <c r="Q1" s="319" t="s">
        <v>829</v>
      </c>
      <c r="R1" s="319"/>
      <c r="S1" s="319"/>
      <c r="T1" s="319"/>
      <c r="U1" s="319"/>
      <c r="V1" s="319"/>
      <c r="W1" s="319"/>
      <c r="X1" s="319"/>
      <c r="Y1" s="319"/>
      <c r="Z1" s="319"/>
    </row>
    <row r="2" ht="15.75" customHeight="1">
      <c r="A2" s="324" t="s">
        <v>830</v>
      </c>
      <c r="B2" s="328" t="s">
        <v>831</v>
      </c>
      <c r="C2" s="11"/>
      <c r="D2" s="328" t="s">
        <v>832</v>
      </c>
      <c r="E2" s="11"/>
      <c r="F2" s="324" t="s">
        <v>203</v>
      </c>
      <c r="G2" s="319"/>
      <c r="H2" s="324" t="s">
        <v>830</v>
      </c>
      <c r="I2" s="324" t="s">
        <v>857</v>
      </c>
      <c r="J2" s="324" t="s">
        <v>858</v>
      </c>
      <c r="K2" s="324" t="s">
        <v>836</v>
      </c>
      <c r="L2" s="324" t="s">
        <v>838</v>
      </c>
      <c r="M2" s="324" t="s">
        <v>840</v>
      </c>
      <c r="N2" s="324" t="s">
        <v>842</v>
      </c>
      <c r="O2" s="324" t="s">
        <v>203</v>
      </c>
      <c r="P2" s="319"/>
      <c r="Q2" s="324" t="s">
        <v>830</v>
      </c>
      <c r="R2" s="324" t="s">
        <v>845</v>
      </c>
      <c r="S2" s="324" t="s">
        <v>847</v>
      </c>
      <c r="T2" s="324" t="s">
        <v>848</v>
      </c>
      <c r="U2" s="324" t="s">
        <v>849</v>
      </c>
      <c r="V2" s="324" t="s">
        <v>850</v>
      </c>
      <c r="W2" s="324" t="s">
        <v>203</v>
      </c>
      <c r="X2" s="319"/>
      <c r="Y2" s="319"/>
      <c r="Z2" s="319"/>
    </row>
    <row r="3" ht="15.75" customHeight="1">
      <c r="A3" s="22"/>
      <c r="B3" s="337" t="s">
        <v>199</v>
      </c>
      <c r="C3" s="337" t="s">
        <v>200</v>
      </c>
      <c r="D3" s="337" t="s">
        <v>199</v>
      </c>
      <c r="E3" s="337" t="s">
        <v>200</v>
      </c>
      <c r="F3" s="22"/>
      <c r="G3" s="319"/>
      <c r="H3" s="22"/>
      <c r="I3" s="22"/>
      <c r="J3" s="22"/>
      <c r="K3" s="22"/>
      <c r="L3" s="22"/>
      <c r="M3" s="22"/>
      <c r="N3" s="22"/>
      <c r="O3" s="22"/>
      <c r="P3" s="319"/>
      <c r="Q3" s="22"/>
      <c r="R3" s="22"/>
      <c r="S3" s="22"/>
      <c r="T3" s="22"/>
      <c r="U3" s="22"/>
      <c r="V3" s="22"/>
      <c r="W3" s="22"/>
      <c r="X3" s="319"/>
      <c r="Y3" s="319"/>
      <c r="Z3" s="319"/>
    </row>
    <row r="4" ht="15.75" customHeight="1">
      <c r="A4" s="338" t="s">
        <v>8</v>
      </c>
      <c r="B4" s="340">
        <v>0.0</v>
      </c>
      <c r="C4" s="340">
        <v>0.0</v>
      </c>
      <c r="D4" s="340">
        <v>0.0</v>
      </c>
      <c r="E4" s="340">
        <v>0.0</v>
      </c>
      <c r="F4" s="337">
        <f t="shared" ref="F4:F12" si="1">SUM(B4:E4)</f>
        <v>0</v>
      </c>
      <c r="G4" s="319"/>
      <c r="H4" s="338" t="s">
        <v>8</v>
      </c>
      <c r="I4" s="338"/>
      <c r="J4" s="338"/>
      <c r="K4" s="340" t="s">
        <v>813</v>
      </c>
      <c r="L4" s="340" t="s">
        <v>813</v>
      </c>
      <c r="M4" s="340" t="s">
        <v>813</v>
      </c>
      <c r="N4" s="340" t="s">
        <v>813</v>
      </c>
      <c r="O4" s="337">
        <f t="shared" ref="O4:O12" si="2">SUM(I4:N4)</f>
        <v>0</v>
      </c>
      <c r="P4" s="319"/>
      <c r="Q4" s="338" t="s">
        <v>8</v>
      </c>
      <c r="R4" s="340" t="s">
        <v>813</v>
      </c>
      <c r="S4" s="340" t="s">
        <v>813</v>
      </c>
      <c r="T4" s="340" t="s">
        <v>813</v>
      </c>
      <c r="U4" s="340" t="s">
        <v>813</v>
      </c>
      <c r="V4" s="340" t="s">
        <v>813</v>
      </c>
      <c r="W4" s="337">
        <f t="shared" ref="W4:W12" si="3">SUM(R4:V4)</f>
        <v>0</v>
      </c>
      <c r="X4" s="319"/>
      <c r="Y4" s="319"/>
      <c r="Z4" s="319"/>
    </row>
    <row r="5" ht="15.75" customHeight="1">
      <c r="A5" s="338" t="s">
        <v>10</v>
      </c>
      <c r="B5" s="340">
        <v>28.0</v>
      </c>
      <c r="C5" s="340">
        <v>12.0</v>
      </c>
      <c r="D5" s="340">
        <v>2.0</v>
      </c>
      <c r="E5" s="340">
        <v>1.0</v>
      </c>
      <c r="F5" s="337">
        <f t="shared" si="1"/>
        <v>43</v>
      </c>
      <c r="G5" s="319"/>
      <c r="H5" s="338" t="s">
        <v>10</v>
      </c>
      <c r="I5" s="338"/>
      <c r="J5" s="338"/>
      <c r="K5" s="340">
        <v>26.0</v>
      </c>
      <c r="L5" s="340">
        <v>3.0</v>
      </c>
      <c r="M5" s="340">
        <v>14.0</v>
      </c>
      <c r="N5" s="340" t="s">
        <v>813</v>
      </c>
      <c r="O5" s="337">
        <f t="shared" si="2"/>
        <v>43</v>
      </c>
      <c r="P5" s="319"/>
      <c r="Q5" s="338" t="s">
        <v>10</v>
      </c>
      <c r="R5" s="340" t="s">
        <v>813</v>
      </c>
      <c r="S5" s="340">
        <v>11.0</v>
      </c>
      <c r="T5" s="340">
        <v>16.0</v>
      </c>
      <c r="U5" s="340">
        <v>16.0</v>
      </c>
      <c r="V5" s="340" t="s">
        <v>813</v>
      </c>
      <c r="W5" s="337">
        <f t="shared" si="3"/>
        <v>43</v>
      </c>
      <c r="X5" s="319"/>
      <c r="Y5" s="319"/>
      <c r="Z5" s="319"/>
    </row>
    <row r="6" ht="15.75" customHeight="1">
      <c r="A6" s="338" t="s">
        <v>12</v>
      </c>
      <c r="B6" s="340">
        <v>11.0</v>
      </c>
      <c r="C6" s="340">
        <v>1.0</v>
      </c>
      <c r="D6" s="340">
        <v>2.0</v>
      </c>
      <c r="E6" s="340">
        <v>0.0</v>
      </c>
      <c r="F6" s="337">
        <f t="shared" si="1"/>
        <v>14</v>
      </c>
      <c r="G6" s="319"/>
      <c r="H6" s="338" t="s">
        <v>12</v>
      </c>
      <c r="I6" s="338"/>
      <c r="J6" s="338"/>
      <c r="K6" s="340">
        <v>10.0</v>
      </c>
      <c r="L6" s="340">
        <v>2.0</v>
      </c>
      <c r="M6" s="340">
        <v>2.0</v>
      </c>
      <c r="N6" s="340" t="s">
        <v>813</v>
      </c>
      <c r="O6" s="337">
        <f t="shared" si="2"/>
        <v>14</v>
      </c>
      <c r="P6" s="319"/>
      <c r="Q6" s="338" t="s">
        <v>12</v>
      </c>
      <c r="R6" s="340" t="s">
        <v>813</v>
      </c>
      <c r="S6" s="340" t="s">
        <v>813</v>
      </c>
      <c r="T6" s="340">
        <v>9.0</v>
      </c>
      <c r="U6" s="340">
        <v>4.0</v>
      </c>
      <c r="V6" s="340">
        <v>1.0</v>
      </c>
      <c r="W6" s="337">
        <f t="shared" si="3"/>
        <v>14</v>
      </c>
      <c r="X6" s="319"/>
      <c r="Y6" s="319"/>
      <c r="Z6" s="319"/>
    </row>
    <row r="7" ht="15.75" customHeight="1">
      <c r="A7" s="338" t="s">
        <v>13</v>
      </c>
      <c r="B7" s="340">
        <v>0.0</v>
      </c>
      <c r="C7" s="340">
        <v>0.0</v>
      </c>
      <c r="D7" s="340">
        <v>0.0</v>
      </c>
      <c r="E7" s="340">
        <v>0.0</v>
      </c>
      <c r="F7" s="337">
        <f t="shared" si="1"/>
        <v>0</v>
      </c>
      <c r="G7" s="319"/>
      <c r="H7" s="338" t="s">
        <v>13</v>
      </c>
      <c r="I7" s="338"/>
      <c r="J7" s="338"/>
      <c r="K7" s="340" t="s">
        <v>813</v>
      </c>
      <c r="L7" s="340" t="s">
        <v>813</v>
      </c>
      <c r="M7" s="340" t="s">
        <v>813</v>
      </c>
      <c r="N7" s="340" t="s">
        <v>813</v>
      </c>
      <c r="O7" s="337">
        <f t="shared" si="2"/>
        <v>0</v>
      </c>
      <c r="P7" s="319"/>
      <c r="Q7" s="338" t="s">
        <v>13</v>
      </c>
      <c r="R7" s="340" t="s">
        <v>813</v>
      </c>
      <c r="S7" s="340" t="s">
        <v>813</v>
      </c>
      <c r="T7" s="340" t="s">
        <v>813</v>
      </c>
      <c r="U7" s="340" t="s">
        <v>813</v>
      </c>
      <c r="V7" s="340" t="s">
        <v>813</v>
      </c>
      <c r="W7" s="337">
        <f t="shared" si="3"/>
        <v>0</v>
      </c>
      <c r="X7" s="319"/>
      <c r="Y7" s="319"/>
      <c r="Z7" s="319"/>
    </row>
    <row r="8" ht="15.75" customHeight="1">
      <c r="A8" s="338" t="s">
        <v>15</v>
      </c>
      <c r="B8" s="340">
        <v>9.0</v>
      </c>
      <c r="C8" s="340">
        <v>3.0</v>
      </c>
      <c r="D8" s="340">
        <v>2.0</v>
      </c>
      <c r="E8" s="340">
        <v>0.0</v>
      </c>
      <c r="F8" s="337">
        <f t="shared" si="1"/>
        <v>14</v>
      </c>
      <c r="G8" s="319"/>
      <c r="H8" s="338" t="s">
        <v>15</v>
      </c>
      <c r="I8" s="338"/>
      <c r="J8" s="338"/>
      <c r="K8" s="340">
        <v>13.0</v>
      </c>
      <c r="L8" s="340" t="s">
        <v>813</v>
      </c>
      <c r="M8" s="340">
        <v>1.0</v>
      </c>
      <c r="N8" s="340" t="s">
        <v>813</v>
      </c>
      <c r="O8" s="337">
        <f t="shared" si="2"/>
        <v>14</v>
      </c>
      <c r="P8" s="319"/>
      <c r="Q8" s="338" t="s">
        <v>15</v>
      </c>
      <c r="R8" s="340" t="s">
        <v>813</v>
      </c>
      <c r="S8" s="340">
        <v>3.0</v>
      </c>
      <c r="T8" s="340">
        <v>8.0</v>
      </c>
      <c r="U8" s="340">
        <v>3.0</v>
      </c>
      <c r="V8" s="340" t="s">
        <v>813</v>
      </c>
      <c r="W8" s="337">
        <f t="shared" si="3"/>
        <v>14</v>
      </c>
      <c r="X8" s="319"/>
      <c r="Y8" s="319"/>
      <c r="Z8" s="319"/>
    </row>
    <row r="9" ht="15.75" customHeight="1">
      <c r="A9" s="338" t="s">
        <v>17</v>
      </c>
      <c r="B9" s="340">
        <v>9.0</v>
      </c>
      <c r="C9" s="340">
        <v>2.0</v>
      </c>
      <c r="D9" s="340">
        <v>0.0</v>
      </c>
      <c r="E9" s="340">
        <v>0.0</v>
      </c>
      <c r="F9" s="337">
        <f t="shared" si="1"/>
        <v>11</v>
      </c>
      <c r="G9" s="319"/>
      <c r="H9" s="338" t="s">
        <v>17</v>
      </c>
      <c r="I9" s="338"/>
      <c r="J9" s="338"/>
      <c r="K9" s="340">
        <v>9.0</v>
      </c>
      <c r="L9" s="340" t="s">
        <v>813</v>
      </c>
      <c r="M9" s="340">
        <v>2.0</v>
      </c>
      <c r="N9" s="340" t="s">
        <v>813</v>
      </c>
      <c r="O9" s="337">
        <f t="shared" si="2"/>
        <v>11</v>
      </c>
      <c r="P9" s="319"/>
      <c r="Q9" s="338" t="s">
        <v>17</v>
      </c>
      <c r="R9" s="340" t="s">
        <v>813</v>
      </c>
      <c r="S9" s="340">
        <v>3.0</v>
      </c>
      <c r="T9" s="340">
        <v>6.0</v>
      </c>
      <c r="U9" s="340">
        <v>2.0</v>
      </c>
      <c r="V9" s="340" t="s">
        <v>813</v>
      </c>
      <c r="W9" s="337">
        <f t="shared" si="3"/>
        <v>11</v>
      </c>
      <c r="X9" s="319"/>
      <c r="Y9" s="319"/>
      <c r="Z9" s="319"/>
    </row>
    <row r="10" ht="15.75" hidden="1" customHeight="1">
      <c r="A10" s="338" t="s">
        <v>862</v>
      </c>
      <c r="B10" s="340">
        <v>0.0</v>
      </c>
      <c r="C10" s="340">
        <v>0.0</v>
      </c>
      <c r="D10" s="340">
        <v>0.0</v>
      </c>
      <c r="E10" s="340">
        <v>0.0</v>
      </c>
      <c r="F10" s="337">
        <f t="shared" si="1"/>
        <v>0</v>
      </c>
      <c r="G10" s="319"/>
      <c r="H10" s="338" t="s">
        <v>862</v>
      </c>
      <c r="I10" s="338"/>
      <c r="J10" s="338"/>
      <c r="K10" s="340" t="s">
        <v>813</v>
      </c>
      <c r="L10" s="340" t="s">
        <v>813</v>
      </c>
      <c r="M10" s="340" t="s">
        <v>813</v>
      </c>
      <c r="N10" s="340" t="s">
        <v>813</v>
      </c>
      <c r="O10" s="337">
        <f t="shared" si="2"/>
        <v>0</v>
      </c>
      <c r="P10" s="319"/>
      <c r="Q10" s="338" t="s">
        <v>862</v>
      </c>
      <c r="R10" s="340" t="s">
        <v>813</v>
      </c>
      <c r="S10" s="340" t="s">
        <v>813</v>
      </c>
      <c r="T10" s="340" t="s">
        <v>813</v>
      </c>
      <c r="U10" s="340" t="s">
        <v>813</v>
      </c>
      <c r="V10" s="340" t="s">
        <v>813</v>
      </c>
      <c r="W10" s="337">
        <f t="shared" si="3"/>
        <v>0</v>
      </c>
      <c r="X10" s="319"/>
      <c r="Y10" s="319"/>
      <c r="Z10" s="319"/>
    </row>
    <row r="11" ht="15.75" customHeight="1">
      <c r="A11" s="338" t="s">
        <v>19</v>
      </c>
      <c r="B11" s="340">
        <v>100.0</v>
      </c>
      <c r="C11" s="340">
        <v>21.0</v>
      </c>
      <c r="D11" s="340">
        <v>2.0</v>
      </c>
      <c r="E11" s="340">
        <v>5.0</v>
      </c>
      <c r="F11" s="337">
        <f t="shared" si="1"/>
        <v>128</v>
      </c>
      <c r="G11" s="319"/>
      <c r="H11" s="338" t="s">
        <v>19</v>
      </c>
      <c r="I11" s="338"/>
      <c r="J11" s="338"/>
      <c r="K11" s="340">
        <v>95.0</v>
      </c>
      <c r="L11" s="340">
        <v>14.0</v>
      </c>
      <c r="M11" s="340">
        <v>19.0</v>
      </c>
      <c r="N11" s="340" t="s">
        <v>813</v>
      </c>
      <c r="O11" s="337">
        <f t="shared" si="2"/>
        <v>128</v>
      </c>
      <c r="P11" s="319"/>
      <c r="Q11" s="338" t="s">
        <v>19</v>
      </c>
      <c r="R11" s="340" t="s">
        <v>813</v>
      </c>
      <c r="S11" s="340">
        <v>12.0</v>
      </c>
      <c r="T11" s="340">
        <v>84.0</v>
      </c>
      <c r="U11" s="340">
        <v>32.0</v>
      </c>
      <c r="V11" s="340" t="s">
        <v>813</v>
      </c>
      <c r="W11" s="337">
        <f t="shared" si="3"/>
        <v>128</v>
      </c>
      <c r="X11" s="319"/>
      <c r="Y11" s="319"/>
      <c r="Z11" s="319"/>
    </row>
    <row r="12" ht="15.75" customHeight="1">
      <c r="A12" s="338" t="s">
        <v>229</v>
      </c>
      <c r="B12" s="346">
        <v>9.0</v>
      </c>
      <c r="C12" s="346">
        <v>1.0</v>
      </c>
      <c r="D12" s="346">
        <v>1.0</v>
      </c>
      <c r="E12" s="346">
        <v>0.0</v>
      </c>
      <c r="F12" s="347">
        <f t="shared" si="1"/>
        <v>11</v>
      </c>
      <c r="G12" s="319"/>
      <c r="H12" s="338" t="s">
        <v>229</v>
      </c>
      <c r="I12" s="364"/>
      <c r="J12" s="364"/>
      <c r="K12" s="346">
        <v>9.0</v>
      </c>
      <c r="L12" s="346">
        <v>1.0</v>
      </c>
      <c r="M12" s="346">
        <v>1.0</v>
      </c>
      <c r="N12" s="340" t="s">
        <v>813</v>
      </c>
      <c r="O12" s="337">
        <f t="shared" si="2"/>
        <v>11</v>
      </c>
      <c r="P12" s="319"/>
      <c r="Q12" s="338" t="s">
        <v>229</v>
      </c>
      <c r="R12" s="340" t="s">
        <v>813</v>
      </c>
      <c r="S12" s="340">
        <v>1.0</v>
      </c>
      <c r="T12" s="340">
        <v>5.0</v>
      </c>
      <c r="U12" s="340">
        <v>5.0</v>
      </c>
      <c r="V12" s="340" t="s">
        <v>813</v>
      </c>
      <c r="W12" s="337">
        <f t="shared" si="3"/>
        <v>11</v>
      </c>
      <c r="X12" s="319"/>
      <c r="Y12" s="319"/>
      <c r="Z12" s="319"/>
    </row>
    <row r="13" ht="15.75" customHeight="1">
      <c r="A13" s="319"/>
      <c r="B13" s="347">
        <f t="shared" ref="B13:F13" si="4">SUM(B4:B12)</f>
        <v>166</v>
      </c>
      <c r="C13" s="347">
        <f t="shared" si="4"/>
        <v>40</v>
      </c>
      <c r="D13" s="347">
        <f t="shared" si="4"/>
        <v>9</v>
      </c>
      <c r="E13" s="347">
        <f t="shared" si="4"/>
        <v>6</v>
      </c>
      <c r="F13" s="347">
        <f t="shared" si="4"/>
        <v>221</v>
      </c>
      <c r="G13" s="319"/>
      <c r="H13" s="319"/>
      <c r="I13" s="319"/>
      <c r="J13" s="319"/>
      <c r="K13" s="347">
        <f t="shared" ref="K13:O13" si="5">SUM(K4:K12)</f>
        <v>162</v>
      </c>
      <c r="L13" s="347">
        <f t="shared" si="5"/>
        <v>20</v>
      </c>
      <c r="M13" s="347">
        <f t="shared" si="5"/>
        <v>39</v>
      </c>
      <c r="N13" s="347">
        <f t="shared" si="5"/>
        <v>0</v>
      </c>
      <c r="O13" s="347">
        <f t="shared" si="5"/>
        <v>221</v>
      </c>
      <c r="P13" s="319"/>
      <c r="Q13" s="319"/>
      <c r="R13" s="347">
        <f t="shared" ref="R13:W13" si="6">SUM(R4:R12)</f>
        <v>0</v>
      </c>
      <c r="S13" s="347">
        <f t="shared" si="6"/>
        <v>30</v>
      </c>
      <c r="T13" s="347">
        <f t="shared" si="6"/>
        <v>128</v>
      </c>
      <c r="U13" s="347">
        <f t="shared" si="6"/>
        <v>62</v>
      </c>
      <c r="V13" s="347">
        <f t="shared" si="6"/>
        <v>1</v>
      </c>
      <c r="W13" s="347">
        <f t="shared" si="6"/>
        <v>221</v>
      </c>
      <c r="X13" s="319"/>
      <c r="Y13" s="319"/>
      <c r="Z13" s="319"/>
    </row>
    <row r="14" ht="15.75" customHeight="1">
      <c r="A14" s="319"/>
      <c r="B14" s="351">
        <f t="shared" ref="B14:E14" si="7">B13/$F$13</f>
        <v>0.7511312217</v>
      </c>
      <c r="C14" s="351">
        <f t="shared" si="7"/>
        <v>0.1809954751</v>
      </c>
      <c r="D14" s="351">
        <f t="shared" si="7"/>
        <v>0.0407239819</v>
      </c>
      <c r="E14" s="351">
        <f t="shared" si="7"/>
        <v>0.02714932127</v>
      </c>
      <c r="F14" s="319"/>
      <c r="G14" s="319"/>
      <c r="H14" s="319"/>
      <c r="I14" s="319"/>
      <c r="J14" s="319"/>
      <c r="K14" s="351">
        <f t="shared" ref="K14:N14" si="8">K13/$O$13</f>
        <v>0.7330316742</v>
      </c>
      <c r="L14" s="351">
        <f t="shared" si="8"/>
        <v>0.09049773756</v>
      </c>
      <c r="M14" s="351">
        <f t="shared" si="8"/>
        <v>0.1764705882</v>
      </c>
      <c r="N14" s="351">
        <f t="shared" si="8"/>
        <v>0</v>
      </c>
      <c r="O14" s="319"/>
      <c r="P14" s="319"/>
      <c r="Q14" s="319"/>
      <c r="R14" s="319"/>
      <c r="S14" s="351">
        <f t="shared" ref="S14:V14" si="9">S13/$W$13</f>
        <v>0.1357466063</v>
      </c>
      <c r="T14" s="351">
        <f t="shared" si="9"/>
        <v>0.5791855204</v>
      </c>
      <c r="U14" s="351">
        <f t="shared" si="9"/>
        <v>0.2805429864</v>
      </c>
      <c r="V14" s="371">
        <f t="shared" si="9"/>
        <v>0.004524886878</v>
      </c>
      <c r="W14" s="319"/>
      <c r="X14" s="319"/>
      <c r="Y14" s="319"/>
      <c r="Z14" s="319"/>
    </row>
    <row r="15" ht="15.75" customHeight="1">
      <c r="A15" s="319"/>
      <c r="B15" s="319"/>
      <c r="C15" s="319"/>
      <c r="D15" s="319"/>
      <c r="E15" s="319"/>
      <c r="F15" s="319"/>
      <c r="G15" s="319"/>
      <c r="H15" s="319"/>
      <c r="I15" s="319"/>
      <c r="J15" s="319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71"/>
      <c r="W15" s="319"/>
      <c r="X15" s="319"/>
      <c r="Y15" s="319"/>
      <c r="Z15" s="319"/>
    </row>
    <row r="16" ht="15.75" customHeight="1">
      <c r="A16" s="319"/>
      <c r="B16" s="319"/>
      <c r="C16" s="319"/>
      <c r="D16" s="319"/>
      <c r="E16" s="319"/>
      <c r="F16" s="319"/>
      <c r="G16" s="319"/>
      <c r="H16" s="319"/>
      <c r="I16" s="319"/>
      <c r="J16" s="319"/>
      <c r="K16" s="319"/>
      <c r="L16" s="351"/>
      <c r="M16" s="351"/>
      <c r="N16" s="351"/>
      <c r="O16" s="351"/>
      <c r="P16" s="351"/>
      <c r="Q16" s="351"/>
      <c r="R16" s="351"/>
      <c r="S16" s="351"/>
      <c r="T16" s="351"/>
      <c r="U16" s="351"/>
      <c r="V16" s="371"/>
      <c r="W16" s="319"/>
      <c r="X16" s="319"/>
      <c r="Y16" s="319"/>
      <c r="Z16" s="319"/>
    </row>
    <row r="17" ht="15.75" customHeight="1">
      <c r="A17" s="357" t="s">
        <v>867</v>
      </c>
      <c r="B17" s="358" t="s">
        <v>868</v>
      </c>
      <c r="C17" s="10"/>
      <c r="D17" s="11"/>
      <c r="E17" s="319"/>
      <c r="F17" s="319"/>
      <c r="G17" s="319"/>
      <c r="H17" s="319"/>
      <c r="I17" s="319"/>
      <c r="J17" s="319"/>
      <c r="K17" s="319"/>
      <c r="L17" s="357" t="s">
        <v>830</v>
      </c>
      <c r="M17" s="358" t="s">
        <v>868</v>
      </c>
      <c r="N17" s="10"/>
      <c r="O17" s="11"/>
      <c r="P17" s="351"/>
      <c r="Q17" s="351"/>
      <c r="R17" s="351"/>
      <c r="S17" s="351"/>
      <c r="T17" s="351"/>
      <c r="U17" s="319"/>
      <c r="V17" s="319"/>
      <c r="W17" s="319"/>
      <c r="X17" s="319"/>
      <c r="Y17" s="319"/>
      <c r="Z17" s="319"/>
    </row>
    <row r="18" ht="15.75" customHeight="1">
      <c r="A18" s="22"/>
      <c r="B18" s="360" t="s">
        <v>44</v>
      </c>
      <c r="C18" s="360" t="s">
        <v>81</v>
      </c>
      <c r="D18" s="360" t="s">
        <v>801</v>
      </c>
      <c r="E18" s="319"/>
      <c r="F18" s="319"/>
      <c r="G18" s="319"/>
      <c r="H18" s="319"/>
      <c r="I18" s="319"/>
      <c r="J18" s="319"/>
      <c r="K18" s="319"/>
      <c r="L18" s="22"/>
      <c r="M18" s="360" t="s">
        <v>44</v>
      </c>
      <c r="N18" s="360" t="s">
        <v>81</v>
      </c>
      <c r="O18" s="360" t="s">
        <v>801</v>
      </c>
      <c r="P18" s="351"/>
      <c r="Q18" s="351"/>
      <c r="R18" s="351"/>
      <c r="S18" s="351"/>
      <c r="T18" s="351"/>
      <c r="U18" s="319"/>
      <c r="V18" s="319"/>
      <c r="W18" s="319"/>
      <c r="X18" s="319"/>
      <c r="Y18" s="319"/>
      <c r="Z18" s="319"/>
    </row>
    <row r="19" ht="15.75" customHeight="1">
      <c r="A19" s="338" t="s">
        <v>870</v>
      </c>
      <c r="B19" s="362">
        <v>8.0</v>
      </c>
      <c r="C19" s="362">
        <v>5.0</v>
      </c>
      <c r="D19" s="362">
        <f t="shared" ref="D19:D25" si="11">SUM(B19:C19)</f>
        <v>13</v>
      </c>
      <c r="E19" s="319"/>
      <c r="F19" s="319"/>
      <c r="G19" s="319"/>
      <c r="H19" s="319"/>
      <c r="I19" s="319"/>
      <c r="J19" s="319"/>
      <c r="K19" s="319"/>
      <c r="L19" s="338" t="s">
        <v>8</v>
      </c>
      <c r="M19" s="373">
        <f t="shared" ref="M19:N19" si="10">B4+D4</f>
        <v>0</v>
      </c>
      <c r="N19" s="373">
        <f t="shared" si="10"/>
        <v>0</v>
      </c>
      <c r="O19" s="373">
        <f t="shared" ref="O19:O27" si="13">SUM(M19:N19)</f>
        <v>0</v>
      </c>
      <c r="P19" s="351"/>
      <c r="Q19" s="351"/>
      <c r="R19" s="351"/>
      <c r="S19" s="351"/>
      <c r="T19" s="351"/>
      <c r="U19" s="319"/>
      <c r="V19" s="319"/>
      <c r="W19" s="319"/>
      <c r="X19" s="319"/>
      <c r="Y19" s="319"/>
      <c r="Z19" s="319"/>
    </row>
    <row r="20" ht="15.75" customHeight="1">
      <c r="A20" s="338" t="s">
        <v>871</v>
      </c>
      <c r="B20" s="362">
        <v>0.0</v>
      </c>
      <c r="C20" s="362">
        <v>5.0</v>
      </c>
      <c r="D20" s="362">
        <f t="shared" si="11"/>
        <v>5</v>
      </c>
      <c r="E20" s="319"/>
      <c r="F20" s="319"/>
      <c r="G20" s="319"/>
      <c r="H20" s="319"/>
      <c r="I20" s="319"/>
      <c r="J20" s="319"/>
      <c r="K20" s="319"/>
      <c r="L20" s="338" t="s">
        <v>10</v>
      </c>
      <c r="M20" s="373">
        <f t="shared" ref="M20:N20" si="12">B5+D5</f>
        <v>30</v>
      </c>
      <c r="N20" s="373">
        <f t="shared" si="12"/>
        <v>13</v>
      </c>
      <c r="O20" s="373">
        <f t="shared" si="13"/>
        <v>43</v>
      </c>
      <c r="P20" s="351"/>
      <c r="Q20" s="351"/>
      <c r="R20" s="351"/>
      <c r="S20" s="351"/>
      <c r="T20" s="351"/>
      <c r="U20" s="319"/>
      <c r="V20" s="319"/>
      <c r="W20" s="319"/>
      <c r="X20" s="319"/>
      <c r="Y20" s="319"/>
      <c r="Z20" s="319"/>
    </row>
    <row r="21" ht="15.75" customHeight="1">
      <c r="A21" s="338" t="s">
        <v>872</v>
      </c>
      <c r="B21" s="362">
        <v>5.0</v>
      </c>
      <c r="C21" s="362">
        <v>3.0</v>
      </c>
      <c r="D21" s="362">
        <f t="shared" si="11"/>
        <v>8</v>
      </c>
      <c r="E21" s="319"/>
      <c r="F21" s="319"/>
      <c r="G21" s="319"/>
      <c r="H21" s="319"/>
      <c r="I21" s="319"/>
      <c r="J21" s="319"/>
      <c r="K21" s="319"/>
      <c r="L21" s="338" t="s">
        <v>12</v>
      </c>
      <c r="M21" s="373">
        <f t="shared" ref="M21:N21" si="14">B6+D6</f>
        <v>13</v>
      </c>
      <c r="N21" s="373">
        <f t="shared" si="14"/>
        <v>1</v>
      </c>
      <c r="O21" s="373">
        <f t="shared" si="13"/>
        <v>14</v>
      </c>
      <c r="P21" s="351"/>
      <c r="Q21" s="351"/>
      <c r="R21" s="351"/>
      <c r="S21" s="351"/>
      <c r="T21" s="351"/>
      <c r="U21" s="319"/>
      <c r="V21" s="319"/>
      <c r="W21" s="319"/>
      <c r="X21" s="319"/>
      <c r="Y21" s="319"/>
      <c r="Z21" s="319"/>
    </row>
    <row r="22" ht="15.75" customHeight="1">
      <c r="A22" s="338" t="s">
        <v>257</v>
      </c>
      <c r="B22" s="362">
        <v>2.0</v>
      </c>
      <c r="C22" s="362">
        <v>1.0</v>
      </c>
      <c r="D22" s="362">
        <f t="shared" si="11"/>
        <v>3</v>
      </c>
      <c r="E22" s="319"/>
      <c r="F22" s="319"/>
      <c r="G22" s="319"/>
      <c r="H22" s="319"/>
      <c r="I22" s="319"/>
      <c r="J22" s="319"/>
      <c r="K22" s="319"/>
      <c r="L22" s="338" t="s">
        <v>13</v>
      </c>
      <c r="M22" s="373">
        <f t="shared" ref="M22:N22" si="15">B7+D7</f>
        <v>0</v>
      </c>
      <c r="N22" s="373">
        <f t="shared" si="15"/>
        <v>0</v>
      </c>
      <c r="O22" s="373">
        <f t="shared" si="13"/>
        <v>0</v>
      </c>
      <c r="P22" s="351"/>
      <c r="Q22" s="351"/>
      <c r="R22" s="351"/>
      <c r="S22" s="351"/>
      <c r="T22" s="351"/>
      <c r="U22" s="319"/>
      <c r="V22" s="319"/>
      <c r="W22" s="319"/>
      <c r="X22" s="319"/>
      <c r="Y22" s="319"/>
      <c r="Z22" s="319"/>
    </row>
    <row r="23" ht="15.75" customHeight="1">
      <c r="A23" s="338" t="s">
        <v>147</v>
      </c>
      <c r="B23" s="362">
        <v>13.0</v>
      </c>
      <c r="C23" s="362">
        <v>5.0</v>
      </c>
      <c r="D23" s="362">
        <f t="shared" si="11"/>
        <v>18</v>
      </c>
      <c r="E23" s="319"/>
      <c r="F23" s="319"/>
      <c r="G23" s="319"/>
      <c r="H23" s="319"/>
      <c r="I23" s="319"/>
      <c r="J23" s="319"/>
      <c r="K23" s="319"/>
      <c r="L23" s="338" t="s">
        <v>15</v>
      </c>
      <c r="M23" s="373">
        <f t="shared" ref="M23:N23" si="16">B8+D8</f>
        <v>11</v>
      </c>
      <c r="N23" s="373">
        <f t="shared" si="16"/>
        <v>3</v>
      </c>
      <c r="O23" s="373">
        <f t="shared" si="13"/>
        <v>14</v>
      </c>
      <c r="P23" s="351"/>
      <c r="Q23" s="351"/>
      <c r="R23" s="351"/>
      <c r="S23" s="351"/>
      <c r="T23" s="351"/>
      <c r="U23" s="319"/>
      <c r="V23" s="319"/>
      <c r="W23" s="319"/>
      <c r="X23" s="319"/>
      <c r="Y23" s="319"/>
      <c r="Z23" s="319"/>
    </row>
    <row r="24" ht="15.75" customHeight="1">
      <c r="A24" s="338" t="s">
        <v>151</v>
      </c>
      <c r="B24" s="362">
        <v>3.0</v>
      </c>
      <c r="C24" s="362">
        <v>2.0</v>
      </c>
      <c r="D24" s="362">
        <f t="shared" si="11"/>
        <v>5</v>
      </c>
      <c r="E24" s="319"/>
      <c r="F24" s="319"/>
      <c r="G24" s="319"/>
      <c r="H24" s="319"/>
      <c r="I24" s="319"/>
      <c r="J24" s="319"/>
      <c r="K24" s="319"/>
      <c r="L24" s="338" t="s">
        <v>17</v>
      </c>
      <c r="M24" s="373">
        <f t="shared" ref="M24:N24" si="17">B9+D9</f>
        <v>9</v>
      </c>
      <c r="N24" s="373">
        <f t="shared" si="17"/>
        <v>2</v>
      </c>
      <c r="O24" s="373">
        <f t="shared" si="13"/>
        <v>11</v>
      </c>
      <c r="P24" s="351"/>
      <c r="Q24" s="351"/>
      <c r="R24" s="351"/>
      <c r="S24" s="351"/>
      <c r="T24" s="351"/>
      <c r="U24" s="319"/>
      <c r="V24" s="319"/>
      <c r="W24" s="319"/>
      <c r="X24" s="319"/>
      <c r="Y24" s="319"/>
      <c r="Z24" s="319"/>
    </row>
    <row r="25" ht="15.75" customHeight="1">
      <c r="A25" s="338" t="s">
        <v>896</v>
      </c>
      <c r="B25" s="362">
        <v>24.0</v>
      </c>
      <c r="C25" s="362">
        <v>4.0</v>
      </c>
      <c r="D25" s="362">
        <f t="shared" si="11"/>
        <v>28</v>
      </c>
      <c r="E25" s="319"/>
      <c r="F25" s="319"/>
      <c r="G25" s="319"/>
      <c r="H25" s="319"/>
      <c r="I25" s="319"/>
      <c r="J25" s="319"/>
      <c r="K25" s="319"/>
      <c r="L25" s="338" t="s">
        <v>862</v>
      </c>
      <c r="M25" s="373">
        <f t="shared" ref="M25:N25" si="18">B10+D10</f>
        <v>0</v>
      </c>
      <c r="N25" s="373">
        <f t="shared" si="18"/>
        <v>0</v>
      </c>
      <c r="O25" s="373">
        <f t="shared" si="13"/>
        <v>0</v>
      </c>
      <c r="P25" s="351"/>
      <c r="Q25" s="351"/>
      <c r="R25" s="351"/>
      <c r="S25" s="351"/>
      <c r="T25" s="351"/>
      <c r="U25" s="319"/>
      <c r="V25" s="319"/>
      <c r="W25" s="319"/>
      <c r="X25" s="319"/>
      <c r="Y25" s="319"/>
      <c r="Z25" s="319"/>
    </row>
    <row r="26" ht="15.75" customHeight="1">
      <c r="A26" s="338" t="s">
        <v>85</v>
      </c>
      <c r="B26" s="362">
        <f t="shared" ref="B26:D26" si="19">SUM(B27:B30)</f>
        <v>90</v>
      </c>
      <c r="C26" s="362">
        <f t="shared" si="19"/>
        <v>14</v>
      </c>
      <c r="D26" s="362">
        <f t="shared" si="19"/>
        <v>104</v>
      </c>
      <c r="E26" s="319"/>
      <c r="F26" s="319"/>
      <c r="G26" s="319"/>
      <c r="H26" s="319"/>
      <c r="I26" s="319"/>
      <c r="J26" s="319"/>
      <c r="K26" s="319"/>
      <c r="L26" s="338" t="s">
        <v>19</v>
      </c>
      <c r="M26" s="373">
        <f t="shared" ref="M26:N26" si="20">B11+D11</f>
        <v>102</v>
      </c>
      <c r="N26" s="373">
        <f t="shared" si="20"/>
        <v>26</v>
      </c>
      <c r="O26" s="373">
        <f t="shared" si="13"/>
        <v>128</v>
      </c>
      <c r="P26" s="351"/>
      <c r="Q26" s="351"/>
      <c r="R26" s="351"/>
      <c r="S26" s="351"/>
      <c r="T26" s="351"/>
      <c r="U26" s="319"/>
      <c r="V26" s="319"/>
      <c r="W26" s="319"/>
      <c r="X26" s="319"/>
      <c r="Y26" s="319"/>
      <c r="Z26" s="319"/>
    </row>
    <row r="27" ht="15.75" customHeight="1">
      <c r="A27" s="369" t="s">
        <v>876</v>
      </c>
      <c r="B27" s="362">
        <v>11.0</v>
      </c>
      <c r="C27" s="362">
        <v>1.0</v>
      </c>
      <c r="D27" s="362">
        <f t="shared" ref="D27:D31" si="22">SUM(B27:C27)</f>
        <v>12</v>
      </c>
      <c r="E27" s="319"/>
      <c r="F27" s="319"/>
      <c r="G27" s="319"/>
      <c r="H27" s="319"/>
      <c r="I27" s="319"/>
      <c r="J27" s="319"/>
      <c r="K27" s="319"/>
      <c r="L27" s="338" t="s">
        <v>229</v>
      </c>
      <c r="M27" s="373">
        <f t="shared" ref="M27:N27" si="21">B12+D12</f>
        <v>10</v>
      </c>
      <c r="N27" s="373">
        <f t="shared" si="21"/>
        <v>1</v>
      </c>
      <c r="O27" s="373">
        <f t="shared" si="13"/>
        <v>11</v>
      </c>
      <c r="P27" s="351"/>
      <c r="Q27" s="351" t="s">
        <v>897</v>
      </c>
      <c r="R27" s="351"/>
      <c r="S27" s="351"/>
      <c r="T27" s="351"/>
      <c r="U27" s="319"/>
      <c r="V27" s="319"/>
      <c r="W27" s="319"/>
      <c r="X27" s="319"/>
      <c r="Y27" s="319"/>
      <c r="Z27" s="319"/>
    </row>
    <row r="28" ht="15.75" customHeight="1">
      <c r="A28" s="369" t="s">
        <v>877</v>
      </c>
      <c r="B28" s="362">
        <v>16.0</v>
      </c>
      <c r="C28" s="362">
        <v>2.0</v>
      </c>
      <c r="D28" s="362">
        <f t="shared" si="22"/>
        <v>18</v>
      </c>
      <c r="E28" s="319"/>
      <c r="F28" s="319"/>
      <c r="G28" s="319"/>
      <c r="H28" s="319"/>
      <c r="I28" s="319"/>
      <c r="J28" s="319"/>
      <c r="K28" s="319"/>
      <c r="L28" s="360" t="s">
        <v>801</v>
      </c>
      <c r="M28" s="370">
        <f t="shared" ref="M28:O28" si="23">SUM(M19:M27)</f>
        <v>175</v>
      </c>
      <c r="N28" s="370">
        <f t="shared" si="23"/>
        <v>46</v>
      </c>
      <c r="O28" s="370">
        <f t="shared" si="23"/>
        <v>221</v>
      </c>
      <c r="P28" s="351"/>
      <c r="Q28" s="351"/>
      <c r="R28" s="351"/>
      <c r="S28" s="351"/>
      <c r="T28" s="351"/>
      <c r="U28" s="319"/>
      <c r="V28" s="319"/>
      <c r="W28" s="319"/>
      <c r="X28" s="319"/>
      <c r="Y28" s="319"/>
      <c r="Z28" s="319"/>
    </row>
    <row r="29" ht="15.75" customHeight="1">
      <c r="A29" s="369" t="s">
        <v>878</v>
      </c>
      <c r="B29" s="362">
        <v>38.0</v>
      </c>
      <c r="C29" s="362">
        <v>5.0</v>
      </c>
      <c r="D29" s="362">
        <f t="shared" si="22"/>
        <v>43</v>
      </c>
      <c r="E29" s="319"/>
      <c r="F29" s="319"/>
      <c r="G29" s="319"/>
      <c r="H29" s="319"/>
      <c r="I29" s="319"/>
      <c r="J29" s="319"/>
      <c r="K29" s="319"/>
      <c r="L29" s="351"/>
      <c r="M29" s="351">
        <f t="shared" ref="M29:N29" si="24">M28/$O$28</f>
        <v>0.7918552036</v>
      </c>
      <c r="N29" s="351">
        <f t="shared" si="24"/>
        <v>0.2081447964</v>
      </c>
      <c r="O29" s="351"/>
      <c r="P29" s="351"/>
      <c r="Q29" s="351"/>
      <c r="R29" s="351"/>
      <c r="S29" s="351"/>
      <c r="T29" s="351"/>
      <c r="U29" s="319"/>
      <c r="V29" s="319"/>
      <c r="W29" s="319"/>
      <c r="X29" s="319"/>
      <c r="Y29" s="319"/>
      <c r="Z29" s="319"/>
    </row>
    <row r="30" ht="15.75" customHeight="1">
      <c r="A30" s="369" t="s">
        <v>879</v>
      </c>
      <c r="B30" s="362">
        <v>25.0</v>
      </c>
      <c r="C30" s="362">
        <v>6.0</v>
      </c>
      <c r="D30" s="362">
        <f t="shared" si="22"/>
        <v>31</v>
      </c>
      <c r="E30" s="319"/>
      <c r="F30" s="319"/>
      <c r="G30" s="319"/>
      <c r="H30" s="319"/>
      <c r="I30" s="319"/>
      <c r="J30" s="319"/>
      <c r="K30" s="319"/>
      <c r="L30" s="351"/>
      <c r="M30" s="351"/>
      <c r="N30" s="351"/>
      <c r="O30" s="351"/>
      <c r="P30" s="351"/>
      <c r="Q30" s="351"/>
      <c r="R30" s="351"/>
      <c r="S30" s="351"/>
      <c r="T30" s="351"/>
      <c r="U30" s="319"/>
      <c r="V30" s="319"/>
      <c r="W30" s="319"/>
      <c r="X30" s="319"/>
      <c r="Y30" s="319"/>
      <c r="Z30" s="319"/>
    </row>
    <row r="31" ht="15.75" customHeight="1">
      <c r="A31" s="338" t="s">
        <v>880</v>
      </c>
      <c r="B31" s="362">
        <v>1.0</v>
      </c>
      <c r="C31" s="362">
        <v>3.0</v>
      </c>
      <c r="D31" s="362">
        <f t="shared" si="22"/>
        <v>4</v>
      </c>
      <c r="E31" s="319"/>
      <c r="F31" s="319"/>
      <c r="G31" s="319"/>
      <c r="H31" s="319"/>
      <c r="I31" s="319"/>
      <c r="J31" s="319"/>
      <c r="K31" s="319"/>
      <c r="L31" s="351"/>
      <c r="M31" s="351"/>
      <c r="N31" s="351"/>
      <c r="O31" s="351"/>
      <c r="P31" s="351"/>
      <c r="Q31" s="351"/>
      <c r="R31" s="351"/>
      <c r="S31" s="351"/>
      <c r="T31" s="351"/>
      <c r="U31" s="319"/>
      <c r="V31" s="319"/>
      <c r="W31" s="319"/>
      <c r="X31" s="319"/>
      <c r="Y31" s="319"/>
      <c r="Z31" s="319"/>
    </row>
    <row r="32" ht="15.75" customHeight="1">
      <c r="A32" s="338" t="s">
        <v>119</v>
      </c>
      <c r="B32" s="362">
        <f t="shared" ref="B32:D32" si="25">SUM(B33:B34)</f>
        <v>29</v>
      </c>
      <c r="C32" s="362">
        <f t="shared" si="25"/>
        <v>4</v>
      </c>
      <c r="D32" s="362">
        <f t="shared" si="25"/>
        <v>33</v>
      </c>
      <c r="E32" s="319"/>
      <c r="F32" s="319"/>
      <c r="G32" s="319"/>
      <c r="H32" s="319"/>
      <c r="I32" s="319"/>
      <c r="J32" s="319"/>
      <c r="K32" s="319"/>
      <c r="L32" s="351"/>
      <c r="M32" s="351"/>
      <c r="N32" s="351"/>
      <c r="O32" s="351"/>
      <c r="P32" s="351"/>
      <c r="Q32" s="351"/>
      <c r="R32" s="351"/>
      <c r="S32" s="351"/>
      <c r="T32" s="351"/>
      <c r="U32" s="319"/>
      <c r="V32" s="319"/>
      <c r="W32" s="319"/>
      <c r="X32" s="319"/>
      <c r="Y32" s="319"/>
      <c r="Z32" s="319"/>
    </row>
    <row r="33" ht="15.75" customHeight="1">
      <c r="A33" s="369" t="s">
        <v>883</v>
      </c>
      <c r="B33" s="362">
        <v>9.0</v>
      </c>
      <c r="C33" s="362">
        <v>1.0</v>
      </c>
      <c r="D33" s="362">
        <f t="shared" ref="D33:D34" si="26">SUM(B33:C33)</f>
        <v>10</v>
      </c>
      <c r="E33" s="319"/>
      <c r="F33" s="319"/>
      <c r="G33" s="319"/>
      <c r="H33" s="319"/>
      <c r="I33" s="319"/>
      <c r="J33" s="319"/>
      <c r="K33" s="319"/>
      <c r="L33" s="351"/>
      <c r="M33" s="351"/>
      <c r="N33" s="351"/>
      <c r="O33" s="351"/>
      <c r="P33" s="351"/>
      <c r="Q33" s="351"/>
      <c r="R33" s="351"/>
      <c r="S33" s="351"/>
      <c r="T33" s="351"/>
      <c r="U33" s="319"/>
      <c r="V33" s="319"/>
      <c r="W33" s="319"/>
      <c r="X33" s="319"/>
      <c r="Y33" s="319"/>
      <c r="Z33" s="319"/>
    </row>
    <row r="34" ht="15.75" customHeight="1">
      <c r="A34" s="369" t="s">
        <v>884</v>
      </c>
      <c r="B34" s="362">
        <v>20.0</v>
      </c>
      <c r="C34" s="362">
        <v>3.0</v>
      </c>
      <c r="D34" s="362">
        <f t="shared" si="26"/>
        <v>23</v>
      </c>
      <c r="E34" s="319"/>
      <c r="F34" s="319"/>
      <c r="G34" s="319"/>
      <c r="H34" s="319"/>
      <c r="I34" s="319"/>
      <c r="J34" s="319"/>
      <c r="K34" s="319"/>
      <c r="L34" s="351"/>
      <c r="M34" s="351"/>
      <c r="N34" s="351"/>
      <c r="O34" s="351"/>
      <c r="P34" s="351"/>
      <c r="Q34" s="351"/>
      <c r="R34" s="351"/>
      <c r="S34" s="351"/>
      <c r="T34" s="351"/>
      <c r="U34" s="319"/>
      <c r="V34" s="319"/>
      <c r="W34" s="319"/>
      <c r="X34" s="319"/>
      <c r="Y34" s="319"/>
      <c r="Z34" s="319"/>
    </row>
    <row r="35" ht="15.75" customHeight="1">
      <c r="A35" s="360" t="s">
        <v>801</v>
      </c>
      <c r="B35" s="370">
        <f t="shared" ref="B35:D35" si="27">SUM(B19:B26,B31:B32)</f>
        <v>175</v>
      </c>
      <c r="C35" s="370">
        <f t="shared" si="27"/>
        <v>46</v>
      </c>
      <c r="D35" s="370">
        <f t="shared" si="27"/>
        <v>221</v>
      </c>
      <c r="E35" s="319"/>
      <c r="F35" s="319"/>
      <c r="G35" s="319"/>
      <c r="H35" s="319"/>
      <c r="I35" s="319"/>
      <c r="J35" s="319"/>
      <c r="K35" s="319"/>
      <c r="L35" s="351"/>
      <c r="M35" s="351"/>
      <c r="N35" s="351"/>
      <c r="O35" s="351"/>
      <c r="P35" s="351"/>
      <c r="Q35" s="351"/>
      <c r="R35" s="351"/>
      <c r="S35" s="351"/>
      <c r="T35" s="351"/>
      <c r="U35" s="319"/>
      <c r="V35" s="319"/>
      <c r="W35" s="319"/>
      <c r="X35" s="319"/>
      <c r="Y35" s="319"/>
      <c r="Z35" s="319"/>
    </row>
    <row r="36" ht="15.75" customHeight="1">
      <c r="A36" s="319"/>
      <c r="B36" s="319"/>
      <c r="C36" s="319"/>
      <c r="D36" s="319"/>
      <c r="E36" s="319"/>
      <c r="F36" s="319"/>
      <c r="G36" s="319"/>
      <c r="H36" s="374" t="str">
        <f>H35/G35</f>
        <v>#DIV/0!</v>
      </c>
      <c r="I36" s="319"/>
      <c r="J36" s="319"/>
      <c r="K36" s="319"/>
      <c r="L36" s="351"/>
      <c r="M36" s="351"/>
      <c r="N36" s="351"/>
      <c r="O36" s="351"/>
      <c r="P36" s="351"/>
      <c r="Q36" s="351"/>
      <c r="R36" s="351"/>
      <c r="S36" s="351"/>
      <c r="T36" s="351"/>
      <c r="U36" s="319"/>
      <c r="V36" s="319"/>
      <c r="W36" s="319"/>
      <c r="X36" s="319"/>
      <c r="Y36" s="319"/>
      <c r="Z36" s="319"/>
    </row>
    <row r="37" ht="15.75" customHeight="1">
      <c r="A37" s="319"/>
      <c r="B37" s="319"/>
      <c r="C37" s="319"/>
      <c r="D37" s="319"/>
      <c r="E37" s="319"/>
      <c r="F37" s="319"/>
      <c r="G37" s="319"/>
      <c r="H37" s="319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Y37" s="319"/>
      <c r="Z37" s="319"/>
    </row>
    <row r="38" ht="12.0" customHeight="1">
      <c r="A38" s="319"/>
      <c r="B38" s="319"/>
      <c r="C38" s="319"/>
      <c r="D38" s="319"/>
      <c r="E38" s="319"/>
      <c r="F38" s="319"/>
      <c r="G38" s="319"/>
      <c r="H38" s="319"/>
      <c r="I38" s="319"/>
      <c r="J38" s="319"/>
      <c r="K38" s="319"/>
      <c r="L38" s="319"/>
      <c r="M38" s="319"/>
      <c r="N38" s="319"/>
      <c r="O38" s="319"/>
      <c r="P38" s="319"/>
      <c r="Q38" s="319"/>
      <c r="R38" s="319"/>
      <c r="S38" s="319"/>
      <c r="T38" s="319"/>
      <c r="U38" s="319"/>
      <c r="V38" s="319"/>
      <c r="W38" s="319"/>
      <c r="X38" s="319"/>
      <c r="Y38" s="319"/>
      <c r="Z38" s="319"/>
    </row>
    <row r="39" ht="12.0" customHeight="1">
      <c r="A39" s="319"/>
      <c r="B39" s="319"/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</row>
    <row r="40" ht="12.0" customHeight="1">
      <c r="A40" s="319"/>
      <c r="B40" s="319"/>
      <c r="C40" s="319"/>
      <c r="D40" s="319"/>
      <c r="E40" s="319"/>
      <c r="F40" s="319"/>
      <c r="G40" s="319"/>
      <c r="H40" s="319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Y40" s="319"/>
      <c r="Z40" s="319"/>
    </row>
    <row r="41" ht="12.0" customHeight="1">
      <c r="A41" s="319"/>
      <c r="B41" s="319"/>
      <c r="C41" s="319"/>
      <c r="D41" s="319"/>
      <c r="E41" s="319"/>
      <c r="F41" s="319"/>
      <c r="G41" s="319"/>
      <c r="H41" s="31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Y41" s="319"/>
      <c r="Z41" s="319"/>
    </row>
    <row r="42" ht="12.0" customHeight="1">
      <c r="A42" s="319"/>
      <c r="B42" s="319"/>
      <c r="C42" s="319"/>
      <c r="D42" s="319"/>
      <c r="E42" s="319"/>
      <c r="F42" s="319"/>
      <c r="G42" s="319"/>
      <c r="H42" s="319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Y42" s="319"/>
      <c r="Z42" s="319"/>
    </row>
    <row r="43" ht="12.0" customHeight="1">
      <c r="A43" s="319"/>
      <c r="B43" s="319"/>
      <c r="C43" s="319"/>
      <c r="D43" s="319"/>
      <c r="E43" s="319"/>
      <c r="F43" s="319"/>
      <c r="G43" s="319"/>
      <c r="H43" s="319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Y43" s="319"/>
      <c r="Z43" s="319"/>
    </row>
    <row r="44" ht="12.0" customHeight="1">
      <c r="A44" s="319"/>
      <c r="B44" s="319"/>
      <c r="C44" s="319"/>
      <c r="D44" s="319"/>
      <c r="E44" s="319"/>
      <c r="F44" s="319"/>
      <c r="G44" s="319"/>
      <c r="H44" s="319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Y44" s="319"/>
      <c r="Z44" s="319"/>
    </row>
    <row r="45" ht="12.0" customHeight="1">
      <c r="A45" s="319"/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</row>
    <row r="46" ht="12.0" hidden="1" customHeight="1">
      <c r="A46" s="319"/>
      <c r="B46" s="319"/>
      <c r="C46" s="319"/>
      <c r="D46" s="319"/>
      <c r="E46" s="319"/>
      <c r="F46" s="319"/>
      <c r="G46" s="319"/>
      <c r="H46" s="319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Y46" s="319"/>
      <c r="Z46" s="319"/>
    </row>
    <row r="47" ht="12.0" customHeight="1">
      <c r="A47" s="319"/>
      <c r="B47" s="319"/>
      <c r="C47" s="319"/>
      <c r="D47" s="319"/>
      <c r="E47" s="319"/>
      <c r="F47" s="319"/>
      <c r="G47" s="319"/>
      <c r="H47" s="319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Y47" s="319"/>
      <c r="Z47" s="319"/>
    </row>
    <row r="48" ht="12.0" customHeight="1">
      <c r="A48" s="319"/>
      <c r="B48" s="319"/>
      <c r="C48" s="319"/>
      <c r="D48" s="319"/>
      <c r="E48" s="319"/>
      <c r="F48" s="319"/>
      <c r="G48" s="319"/>
      <c r="H48" s="319"/>
      <c r="I48" s="319"/>
      <c r="J48" s="319"/>
      <c r="K48" s="319"/>
      <c r="L48" s="319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19"/>
      <c r="X48" s="319"/>
      <c r="Y48" s="319"/>
      <c r="Z48" s="319"/>
    </row>
    <row r="49" ht="12.0" customHeight="1">
      <c r="A49" s="319"/>
      <c r="B49" s="319"/>
      <c r="C49" s="319"/>
      <c r="D49" s="319"/>
      <c r="E49" s="319"/>
      <c r="F49" s="319"/>
      <c r="G49" s="319"/>
      <c r="H49" s="319"/>
      <c r="I49" s="319"/>
      <c r="J49" s="319"/>
      <c r="K49" s="351" t="str">
        <f>H49/G49</f>
        <v>#DIV/0!</v>
      </c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Y49" s="319"/>
      <c r="Z49" s="319"/>
    </row>
    <row r="50" ht="15.75" customHeight="1">
      <c r="A50" s="319"/>
      <c r="B50" s="319"/>
      <c r="C50" s="319"/>
      <c r="D50" s="319"/>
      <c r="E50" s="319"/>
      <c r="F50" s="319"/>
      <c r="G50" s="319"/>
      <c r="H50" s="319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Y50" s="319"/>
      <c r="Z50" s="319"/>
    </row>
    <row r="51" ht="15.75" customHeight="1">
      <c r="A51" s="319"/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</row>
    <row r="52" ht="15.75" customHeight="1">
      <c r="A52" s="319"/>
      <c r="B52" s="319"/>
      <c r="C52" s="319"/>
      <c r="D52" s="319"/>
      <c r="E52" s="319"/>
      <c r="F52" s="319"/>
      <c r="G52" s="319"/>
      <c r="H52" s="319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Y52" s="319"/>
      <c r="Z52" s="319"/>
    </row>
    <row r="53" ht="15.75" customHeight="1">
      <c r="A53" s="319"/>
      <c r="B53" s="319"/>
      <c r="C53" s="319"/>
      <c r="D53" s="319"/>
      <c r="E53" s="319"/>
      <c r="F53" s="351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</row>
    <row r="54" ht="15.75" customHeight="1">
      <c r="A54" s="319"/>
      <c r="B54" s="319"/>
      <c r="C54" s="319"/>
      <c r="D54" s="319"/>
      <c r="E54" s="319"/>
      <c r="F54" s="319"/>
      <c r="G54" s="319"/>
      <c r="H54" s="319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Y54" s="319"/>
      <c r="Z54" s="319"/>
    </row>
    <row r="55" ht="15.75" customHeight="1">
      <c r="A55" s="319"/>
      <c r="B55" s="319"/>
      <c r="C55" s="319"/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Y55" s="319"/>
      <c r="Z55" s="319"/>
    </row>
    <row r="56" ht="15.75" customHeight="1">
      <c r="A56" s="319"/>
      <c r="B56" s="319"/>
      <c r="C56" s="319"/>
      <c r="D56" s="319"/>
      <c r="E56" s="319"/>
      <c r="F56" s="319"/>
      <c r="G56" s="319"/>
      <c r="H56" s="319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19"/>
    </row>
    <row r="57" ht="15.75" customHeight="1">
      <c r="A57" s="319"/>
      <c r="B57" s="319"/>
      <c r="C57" s="319"/>
      <c r="D57" s="319"/>
      <c r="E57" s="319"/>
      <c r="F57" s="319"/>
      <c r="G57" s="319"/>
      <c r="H57" s="319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</row>
    <row r="58" ht="15.75" customHeight="1">
      <c r="A58" s="319"/>
      <c r="B58" s="319"/>
      <c r="C58" s="319"/>
      <c r="D58" s="319"/>
      <c r="E58" s="319"/>
      <c r="F58" s="319"/>
      <c r="G58" s="319"/>
      <c r="H58" s="319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</row>
    <row r="59" ht="15.75" customHeight="1">
      <c r="A59" s="319"/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</row>
    <row r="60" ht="15.75" customHeight="1">
      <c r="A60" s="319"/>
      <c r="B60" s="319"/>
      <c r="C60" s="319"/>
      <c r="D60" s="319"/>
      <c r="E60" s="319"/>
      <c r="F60" s="319"/>
      <c r="G60" s="319"/>
      <c r="H60" s="319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Y60" s="319"/>
      <c r="Z60" s="319"/>
    </row>
    <row r="61" ht="15.75" customHeight="1">
      <c r="A61" s="319"/>
      <c r="B61" s="319"/>
      <c r="C61" s="319"/>
      <c r="D61" s="319"/>
      <c r="E61" s="319"/>
      <c r="F61" s="319"/>
      <c r="G61" s="319"/>
      <c r="H61" s="31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Y61" s="319"/>
      <c r="Z61" s="319"/>
    </row>
    <row r="62" ht="15.75" customHeight="1">
      <c r="A62" s="319"/>
      <c r="B62" s="319"/>
      <c r="C62" s="319"/>
      <c r="D62" s="319"/>
      <c r="E62" s="319"/>
      <c r="F62" s="319"/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</row>
    <row r="63" ht="15.75" customHeight="1">
      <c r="A63" s="319"/>
      <c r="B63" s="319"/>
      <c r="C63" s="319"/>
      <c r="D63" s="319"/>
      <c r="E63" s="319"/>
      <c r="F63" s="319"/>
      <c r="G63" s="319"/>
      <c r="H63" s="31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319"/>
      <c r="Z63" s="319"/>
    </row>
    <row r="64" ht="15.75" customHeight="1">
      <c r="A64" s="319"/>
      <c r="B64" s="319"/>
      <c r="C64" s="319"/>
      <c r="D64" s="319"/>
      <c r="E64" s="319"/>
      <c r="F64" s="319"/>
      <c r="G64" s="319"/>
      <c r="H64" s="319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Y64" s="319"/>
      <c r="Z64" s="319"/>
    </row>
    <row r="65" ht="15.75" customHeight="1">
      <c r="A65" s="319"/>
      <c r="B65" s="319"/>
      <c r="C65" s="319"/>
      <c r="D65" s="319"/>
      <c r="E65" s="319"/>
      <c r="F65" s="319"/>
      <c r="G65" s="319"/>
      <c r="H65" s="319"/>
      <c r="I65" s="319"/>
      <c r="J65" s="319"/>
      <c r="K65" s="319"/>
      <c r="L65" s="319"/>
      <c r="M65" s="319"/>
      <c r="N65" s="319"/>
      <c r="O65" s="319"/>
      <c r="P65" s="319"/>
      <c r="Q65" s="319"/>
      <c r="R65" s="319"/>
      <c r="S65" s="319"/>
      <c r="T65" s="319"/>
      <c r="U65" s="319"/>
      <c r="V65" s="319"/>
      <c r="W65" s="319"/>
      <c r="X65" s="319"/>
      <c r="Y65" s="319"/>
      <c r="Z65" s="319"/>
    </row>
    <row r="66" ht="15.75" customHeight="1">
      <c r="A66" s="319"/>
      <c r="B66" s="319"/>
      <c r="C66" s="319"/>
      <c r="D66" s="319"/>
      <c r="E66" s="319"/>
      <c r="F66" s="319"/>
      <c r="G66" s="319"/>
      <c r="H66" s="319"/>
      <c r="I66" s="319"/>
      <c r="J66" s="319"/>
      <c r="K66" s="319"/>
      <c r="L66" s="319"/>
      <c r="M66" s="319"/>
      <c r="N66" s="319"/>
      <c r="O66" s="319"/>
      <c r="P66" s="319"/>
      <c r="Q66" s="319"/>
      <c r="R66" s="319"/>
      <c r="S66" s="319"/>
      <c r="T66" s="319"/>
      <c r="U66" s="319"/>
      <c r="V66" s="319"/>
      <c r="W66" s="319"/>
      <c r="X66" s="319"/>
      <c r="Y66" s="319"/>
      <c r="Z66" s="319"/>
    </row>
    <row r="67" ht="15.75" customHeight="1">
      <c r="A67" s="319"/>
      <c r="B67" s="319"/>
      <c r="C67" s="319"/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</row>
    <row r="68" ht="15.75" customHeight="1">
      <c r="A68" s="319"/>
      <c r="B68" s="319"/>
      <c r="C68" s="319"/>
      <c r="D68" s="319"/>
      <c r="E68" s="319"/>
      <c r="F68" s="319"/>
      <c r="G68" s="319"/>
      <c r="H68" s="319"/>
      <c r="I68" s="319"/>
      <c r="J68" s="319"/>
      <c r="K68" s="319"/>
      <c r="L68" s="319"/>
      <c r="M68" s="319"/>
      <c r="N68" s="319"/>
      <c r="O68" s="319"/>
      <c r="P68" s="319"/>
      <c r="Q68" s="319"/>
      <c r="R68" s="319"/>
      <c r="S68" s="319"/>
      <c r="T68" s="319"/>
      <c r="U68" s="319"/>
      <c r="V68" s="319"/>
      <c r="W68" s="319"/>
      <c r="X68" s="319"/>
      <c r="Y68" s="319"/>
      <c r="Z68" s="319"/>
    </row>
    <row r="69" ht="15.75" customHeight="1">
      <c r="A69" s="319"/>
      <c r="B69" s="319"/>
      <c r="C69" s="319"/>
      <c r="D69" s="319"/>
      <c r="E69" s="319"/>
      <c r="F69" s="319"/>
      <c r="G69" s="319"/>
      <c r="H69" s="319"/>
      <c r="I69" s="319"/>
      <c r="J69" s="319"/>
      <c r="K69" s="319"/>
      <c r="L69" s="319"/>
      <c r="M69" s="319"/>
      <c r="N69" s="319"/>
      <c r="O69" s="319"/>
      <c r="P69" s="319"/>
      <c r="Q69" s="319"/>
      <c r="R69" s="319"/>
      <c r="S69" s="319"/>
      <c r="T69" s="319"/>
      <c r="U69" s="319"/>
      <c r="V69" s="319"/>
      <c r="W69" s="319"/>
      <c r="X69" s="319"/>
      <c r="Y69" s="319"/>
      <c r="Z69" s="319"/>
    </row>
    <row r="70" ht="15.75" customHeight="1">
      <c r="A70" s="319"/>
      <c r="B70" s="319"/>
      <c r="C70" s="319"/>
      <c r="D70" s="319"/>
      <c r="E70" s="319"/>
      <c r="F70" s="319"/>
      <c r="G70" s="319"/>
      <c r="H70" s="319"/>
      <c r="I70" s="319"/>
      <c r="J70" s="319"/>
      <c r="K70" s="319"/>
      <c r="L70" s="319"/>
      <c r="M70" s="319"/>
      <c r="N70" s="319"/>
      <c r="O70" s="319"/>
      <c r="P70" s="319"/>
      <c r="Q70" s="319"/>
      <c r="R70" s="319"/>
      <c r="S70" s="319"/>
      <c r="T70" s="319"/>
      <c r="U70" s="319"/>
      <c r="V70" s="319"/>
      <c r="W70" s="319"/>
      <c r="X70" s="319"/>
      <c r="Y70" s="319"/>
      <c r="Z70" s="319"/>
    </row>
    <row r="71" ht="15.75" customHeight="1">
      <c r="A71" s="319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</row>
    <row r="72" ht="15.75" customHeight="1">
      <c r="A72" s="319"/>
      <c r="B72" s="319"/>
      <c r="C72" s="319"/>
      <c r="D72" s="319"/>
      <c r="E72" s="319"/>
      <c r="F72" s="319"/>
      <c r="G72" s="319"/>
      <c r="H72" s="319"/>
      <c r="I72" s="319"/>
      <c r="J72" s="319"/>
      <c r="K72" s="319"/>
      <c r="L72" s="319"/>
      <c r="M72" s="319"/>
      <c r="N72" s="319"/>
      <c r="O72" s="319"/>
      <c r="P72" s="319"/>
      <c r="Q72" s="319"/>
      <c r="R72" s="319"/>
      <c r="S72" s="319"/>
      <c r="T72" s="319"/>
      <c r="U72" s="319"/>
      <c r="V72" s="319"/>
      <c r="W72" s="319"/>
      <c r="X72" s="319"/>
      <c r="Y72" s="319"/>
      <c r="Z72" s="319"/>
    </row>
    <row r="73" ht="15.75" customHeight="1">
      <c r="A73" s="319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19"/>
      <c r="Q73" s="319"/>
      <c r="R73" s="319"/>
      <c r="S73" s="319"/>
      <c r="T73" s="319"/>
      <c r="U73" s="319"/>
      <c r="V73" s="319"/>
      <c r="W73" s="319"/>
      <c r="X73" s="319"/>
      <c r="Y73" s="319"/>
      <c r="Z73" s="319"/>
    </row>
    <row r="74" ht="15.75" customHeight="1">
      <c r="A74" s="319"/>
      <c r="B74" s="319"/>
      <c r="C74" s="319"/>
      <c r="D74" s="319"/>
      <c r="E74" s="319"/>
      <c r="F74" s="319"/>
      <c r="G74" s="319"/>
      <c r="H74" s="319"/>
      <c r="I74" s="319"/>
      <c r="J74" s="319"/>
      <c r="K74" s="319"/>
      <c r="L74" s="319"/>
      <c r="M74" s="319"/>
      <c r="N74" s="319"/>
      <c r="O74" s="319"/>
      <c r="P74" s="319"/>
      <c r="Q74" s="319"/>
      <c r="R74" s="319"/>
      <c r="S74" s="319"/>
      <c r="T74" s="319"/>
      <c r="U74" s="319"/>
      <c r="V74" s="319"/>
      <c r="W74" s="319"/>
      <c r="X74" s="319"/>
      <c r="Y74" s="319"/>
      <c r="Z74" s="319"/>
    </row>
    <row r="75" ht="15.75" customHeight="1">
      <c r="A75" s="319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</row>
    <row r="76" ht="15.75" customHeight="1">
      <c r="A76" s="319"/>
      <c r="B76" s="319"/>
      <c r="C76" s="319"/>
      <c r="D76" s="319"/>
      <c r="E76" s="319"/>
      <c r="F76" s="319"/>
      <c r="G76" s="319"/>
      <c r="H76" s="319"/>
      <c r="I76" s="319"/>
      <c r="J76" s="319"/>
      <c r="K76" s="319"/>
      <c r="L76" s="319"/>
      <c r="M76" s="319"/>
      <c r="N76" s="319"/>
      <c r="O76" s="319"/>
      <c r="P76" s="319"/>
      <c r="Q76" s="319"/>
      <c r="R76" s="319"/>
      <c r="S76" s="319"/>
      <c r="T76" s="319"/>
      <c r="U76" s="319"/>
      <c r="V76" s="319"/>
      <c r="W76" s="319"/>
      <c r="X76" s="319"/>
      <c r="Y76" s="319"/>
      <c r="Z76" s="319"/>
    </row>
    <row r="77" ht="15.75" customHeight="1">
      <c r="A77" s="319"/>
      <c r="B77" s="319"/>
      <c r="C77" s="319"/>
      <c r="D77" s="319"/>
      <c r="E77" s="319"/>
      <c r="F77" s="319"/>
      <c r="G77" s="319"/>
      <c r="H77" s="319"/>
      <c r="I77" s="319"/>
      <c r="J77" s="319"/>
      <c r="K77" s="319"/>
      <c r="L77" s="319"/>
      <c r="M77" s="319"/>
      <c r="N77" s="319"/>
      <c r="O77" s="319"/>
      <c r="P77" s="319"/>
      <c r="Q77" s="319"/>
      <c r="R77" s="319"/>
      <c r="S77" s="319"/>
      <c r="T77" s="319"/>
      <c r="U77" s="319"/>
      <c r="V77" s="319"/>
      <c r="W77" s="319"/>
      <c r="X77" s="319"/>
      <c r="Y77" s="319"/>
      <c r="Z77" s="319"/>
    </row>
    <row r="78" ht="15.75" customHeight="1">
      <c r="A78" s="319"/>
      <c r="B78" s="319"/>
      <c r="C78" s="319"/>
      <c r="D78" s="319"/>
      <c r="E78" s="319"/>
      <c r="F78" s="319"/>
      <c r="G78" s="319"/>
      <c r="H78" s="319"/>
      <c r="I78" s="319"/>
      <c r="J78" s="319"/>
      <c r="K78" s="319"/>
      <c r="L78" s="319"/>
      <c r="M78" s="319"/>
      <c r="N78" s="319"/>
      <c r="O78" s="319"/>
      <c r="P78" s="319"/>
      <c r="Q78" s="319"/>
      <c r="R78" s="319"/>
      <c r="S78" s="319"/>
      <c r="T78" s="319"/>
      <c r="U78" s="319"/>
      <c r="V78" s="319"/>
      <c r="W78" s="319"/>
      <c r="X78" s="319"/>
      <c r="Y78" s="319"/>
      <c r="Z78" s="319"/>
    </row>
    <row r="79" ht="15.75" customHeight="1">
      <c r="A79" s="319"/>
      <c r="B79" s="319"/>
      <c r="C79" s="319"/>
      <c r="D79" s="319"/>
      <c r="E79" s="319"/>
      <c r="F79" s="319"/>
      <c r="G79" s="319"/>
      <c r="H79" s="319"/>
      <c r="I79" s="319"/>
      <c r="J79" s="319"/>
      <c r="K79" s="319"/>
      <c r="L79" s="319"/>
      <c r="M79" s="319"/>
      <c r="N79" s="319"/>
      <c r="O79" s="319"/>
      <c r="P79" s="319"/>
      <c r="Q79" s="319"/>
      <c r="R79" s="319"/>
      <c r="S79" s="319"/>
      <c r="T79" s="319"/>
      <c r="U79" s="319"/>
      <c r="V79" s="319"/>
      <c r="W79" s="319"/>
      <c r="X79" s="319"/>
      <c r="Y79" s="319"/>
      <c r="Z79" s="319"/>
    </row>
    <row r="80" ht="15.75" customHeight="1">
      <c r="A80" s="319"/>
      <c r="B80" s="319"/>
      <c r="C80" s="319"/>
      <c r="D80" s="319"/>
      <c r="E80" s="319"/>
      <c r="F80" s="319"/>
      <c r="G80" s="319"/>
      <c r="H80" s="319"/>
      <c r="I80" s="319"/>
      <c r="J80" s="319"/>
      <c r="K80" s="319"/>
      <c r="L80" s="319"/>
      <c r="M80" s="319"/>
      <c r="N80" s="319"/>
      <c r="O80" s="319"/>
      <c r="P80" s="319"/>
      <c r="Q80" s="319"/>
      <c r="R80" s="319"/>
      <c r="S80" s="319"/>
      <c r="T80" s="319"/>
      <c r="U80" s="319"/>
      <c r="V80" s="319"/>
      <c r="W80" s="319"/>
      <c r="X80" s="319"/>
      <c r="Y80" s="319"/>
      <c r="Z80" s="319"/>
    </row>
    <row r="81" ht="15.75" customHeight="1">
      <c r="A81" s="319"/>
      <c r="B81" s="319"/>
      <c r="C81" s="319"/>
      <c r="D81" s="319"/>
      <c r="E81" s="319"/>
      <c r="F81" s="319"/>
      <c r="G81" s="319"/>
      <c r="H81" s="319"/>
      <c r="I81" s="319"/>
      <c r="J81" s="319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</row>
    <row r="82" ht="15.75" customHeight="1">
      <c r="A82" s="319"/>
      <c r="B82" s="319"/>
      <c r="C82" s="319"/>
      <c r="D82" s="319"/>
      <c r="E82" s="319"/>
      <c r="F82" s="319"/>
      <c r="G82" s="319"/>
      <c r="H82" s="319"/>
      <c r="I82" s="319"/>
      <c r="J82" s="319"/>
      <c r="K82" s="319"/>
      <c r="L82" s="319"/>
      <c r="M82" s="319"/>
      <c r="N82" s="319"/>
      <c r="O82" s="319"/>
      <c r="P82" s="319"/>
      <c r="Q82" s="319"/>
      <c r="R82" s="319"/>
      <c r="S82" s="319"/>
      <c r="T82" s="319"/>
      <c r="U82" s="319"/>
      <c r="V82" s="319"/>
      <c r="W82" s="319"/>
      <c r="X82" s="319"/>
      <c r="Y82" s="319"/>
      <c r="Z82" s="319"/>
    </row>
    <row r="83" ht="15.75" customHeight="1">
      <c r="A83" s="319"/>
      <c r="B83" s="319"/>
      <c r="C83" s="319"/>
      <c r="D83" s="319"/>
      <c r="E83" s="319"/>
      <c r="F83" s="319"/>
      <c r="G83" s="319"/>
      <c r="H83" s="319"/>
      <c r="I83" s="319"/>
      <c r="J83" s="319"/>
      <c r="K83" s="319"/>
      <c r="L83" s="319"/>
      <c r="M83" s="319"/>
      <c r="N83" s="319"/>
      <c r="O83" s="319"/>
      <c r="P83" s="319"/>
      <c r="Q83" s="319"/>
      <c r="R83" s="319"/>
      <c r="S83" s="319"/>
      <c r="T83" s="319"/>
      <c r="U83" s="319"/>
      <c r="V83" s="319"/>
      <c r="W83" s="319"/>
      <c r="X83" s="319"/>
      <c r="Y83" s="319"/>
      <c r="Z83" s="319"/>
    </row>
    <row r="84" ht="15.75" customHeight="1">
      <c r="A84" s="319"/>
      <c r="B84" s="319"/>
      <c r="C84" s="319"/>
      <c r="D84" s="319"/>
      <c r="E84" s="319"/>
      <c r="F84" s="319"/>
      <c r="G84" s="319"/>
      <c r="H84" s="319"/>
      <c r="I84" s="319"/>
      <c r="J84" s="319"/>
      <c r="K84" s="319"/>
      <c r="L84" s="319"/>
      <c r="M84" s="319"/>
      <c r="N84" s="319"/>
      <c r="O84" s="319"/>
      <c r="P84" s="319"/>
      <c r="Q84" s="319"/>
      <c r="R84" s="319"/>
      <c r="S84" s="319"/>
      <c r="T84" s="319"/>
      <c r="U84" s="319"/>
      <c r="V84" s="319"/>
      <c r="W84" s="319"/>
      <c r="X84" s="319"/>
      <c r="Y84" s="319"/>
      <c r="Z84" s="319"/>
    </row>
    <row r="85" ht="15.75" customHeight="1">
      <c r="A85" s="319"/>
      <c r="B85" s="319"/>
      <c r="C85" s="319"/>
      <c r="D85" s="319"/>
      <c r="E85" s="319"/>
      <c r="F85" s="319"/>
      <c r="G85" s="319"/>
      <c r="H85" s="319"/>
      <c r="I85" s="319"/>
      <c r="J85" s="319"/>
      <c r="K85" s="319"/>
      <c r="L85" s="319"/>
      <c r="M85" s="319"/>
      <c r="N85" s="319"/>
      <c r="O85" s="319"/>
      <c r="P85" s="319"/>
      <c r="Q85" s="319"/>
      <c r="R85" s="319"/>
      <c r="S85" s="319"/>
      <c r="T85" s="319"/>
      <c r="U85" s="319"/>
      <c r="V85" s="319"/>
      <c r="W85" s="319"/>
      <c r="X85" s="319"/>
      <c r="Y85" s="319"/>
      <c r="Z85" s="319"/>
    </row>
    <row r="86" ht="15.75" customHeight="1">
      <c r="A86" s="319"/>
      <c r="B86" s="319"/>
      <c r="C86" s="319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</row>
    <row r="87" ht="15.75" customHeight="1">
      <c r="A87" s="319"/>
      <c r="B87" s="319"/>
      <c r="C87" s="319"/>
      <c r="D87" s="319"/>
      <c r="E87" s="319"/>
      <c r="F87" s="319"/>
      <c r="G87" s="319"/>
      <c r="H87" s="319"/>
      <c r="I87" s="319"/>
      <c r="J87" s="319"/>
      <c r="K87" s="319"/>
      <c r="L87" s="319"/>
      <c r="M87" s="319"/>
      <c r="N87" s="319"/>
      <c r="O87" s="319"/>
      <c r="P87" s="319"/>
      <c r="Q87" s="319"/>
      <c r="R87" s="319"/>
      <c r="S87" s="319"/>
      <c r="T87" s="319"/>
      <c r="U87" s="319"/>
      <c r="V87" s="319"/>
      <c r="W87" s="319"/>
      <c r="X87" s="319"/>
      <c r="Y87" s="319"/>
      <c r="Z87" s="319"/>
    </row>
    <row r="88" ht="15.75" customHeight="1">
      <c r="A88" s="319"/>
      <c r="B88" s="319"/>
      <c r="C88" s="319"/>
      <c r="D88" s="319"/>
      <c r="E88" s="319"/>
      <c r="F88" s="319"/>
      <c r="G88" s="319"/>
      <c r="H88" s="319"/>
      <c r="I88" s="319"/>
      <c r="J88" s="319"/>
      <c r="K88" s="319"/>
      <c r="L88" s="319"/>
      <c r="M88" s="319"/>
      <c r="N88" s="319"/>
      <c r="O88" s="319"/>
      <c r="P88" s="319"/>
      <c r="Q88" s="319"/>
      <c r="R88" s="319"/>
      <c r="S88" s="319"/>
      <c r="T88" s="319"/>
      <c r="U88" s="319"/>
      <c r="V88" s="319"/>
      <c r="W88" s="319"/>
      <c r="X88" s="319"/>
      <c r="Y88" s="319"/>
      <c r="Z88" s="319"/>
    </row>
    <row r="89" ht="15.75" customHeight="1">
      <c r="A89" s="319"/>
      <c r="B89" s="319"/>
      <c r="C89" s="319"/>
      <c r="D89" s="319"/>
      <c r="E89" s="319"/>
      <c r="F89" s="319"/>
      <c r="G89" s="319"/>
      <c r="H89" s="319"/>
      <c r="I89" s="319"/>
      <c r="J89" s="319"/>
      <c r="K89" s="319"/>
      <c r="L89" s="319"/>
      <c r="M89" s="319"/>
      <c r="N89" s="319"/>
      <c r="O89" s="319"/>
      <c r="P89" s="319"/>
      <c r="Q89" s="319"/>
      <c r="R89" s="319"/>
      <c r="S89" s="319"/>
      <c r="T89" s="319"/>
      <c r="U89" s="319"/>
      <c r="V89" s="319"/>
      <c r="W89" s="319"/>
      <c r="X89" s="319"/>
      <c r="Y89" s="319"/>
      <c r="Z89" s="319"/>
    </row>
    <row r="90" ht="15.75" customHeight="1">
      <c r="A90" s="319"/>
      <c r="B90" s="319"/>
      <c r="C90" s="319"/>
      <c r="D90" s="319"/>
      <c r="E90" s="319"/>
      <c r="F90" s="319"/>
      <c r="G90" s="319"/>
      <c r="H90" s="319"/>
      <c r="I90" s="319"/>
      <c r="J90" s="319"/>
      <c r="K90" s="319"/>
      <c r="L90" s="319"/>
      <c r="M90" s="319"/>
      <c r="N90" s="319"/>
      <c r="O90" s="319"/>
      <c r="P90" s="319"/>
      <c r="Q90" s="319"/>
      <c r="R90" s="319"/>
      <c r="S90" s="319"/>
      <c r="T90" s="319"/>
      <c r="U90" s="319"/>
      <c r="V90" s="319"/>
      <c r="W90" s="319"/>
      <c r="X90" s="319"/>
      <c r="Y90" s="319"/>
      <c r="Z90" s="319"/>
    </row>
    <row r="91" ht="15.75" customHeight="1">
      <c r="A91" s="319"/>
      <c r="B91" s="319"/>
      <c r="C91" s="319"/>
      <c r="D91" s="319"/>
      <c r="E91" s="319"/>
      <c r="F91" s="319"/>
      <c r="G91" s="319"/>
      <c r="H91" s="319"/>
      <c r="I91" s="319"/>
      <c r="J91" s="319"/>
      <c r="K91" s="319"/>
      <c r="L91" s="319"/>
      <c r="M91" s="319"/>
      <c r="N91" s="319"/>
      <c r="O91" s="319"/>
      <c r="P91" s="319"/>
      <c r="Q91" s="319"/>
      <c r="R91" s="319"/>
      <c r="S91" s="319"/>
      <c r="T91" s="319"/>
      <c r="U91" s="319"/>
      <c r="V91" s="319"/>
      <c r="W91" s="319"/>
      <c r="X91" s="319"/>
      <c r="Y91" s="319"/>
      <c r="Z91" s="319"/>
    </row>
    <row r="92" ht="15.75" customHeight="1">
      <c r="A92" s="319"/>
      <c r="B92" s="319"/>
      <c r="C92" s="319"/>
      <c r="D92" s="319"/>
      <c r="E92" s="319"/>
      <c r="F92" s="319"/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</row>
    <row r="93" ht="15.75" customHeight="1">
      <c r="A93" s="319"/>
      <c r="B93" s="319"/>
      <c r="C93" s="319"/>
      <c r="D93" s="319"/>
      <c r="E93" s="319"/>
      <c r="F93" s="319"/>
      <c r="G93" s="319"/>
      <c r="H93" s="319"/>
      <c r="I93" s="319"/>
      <c r="J93" s="319"/>
      <c r="K93" s="319"/>
      <c r="L93" s="319"/>
      <c r="M93" s="319"/>
      <c r="N93" s="319"/>
      <c r="O93" s="319"/>
      <c r="P93" s="319"/>
      <c r="Q93" s="319"/>
      <c r="R93" s="319"/>
      <c r="S93" s="319"/>
      <c r="T93" s="319"/>
      <c r="U93" s="319"/>
      <c r="V93" s="319"/>
      <c r="W93" s="319"/>
      <c r="X93" s="319"/>
      <c r="Y93" s="319"/>
      <c r="Z93" s="319"/>
    </row>
    <row r="94" ht="15.75" customHeight="1">
      <c r="A94" s="319"/>
      <c r="B94" s="319"/>
      <c r="C94" s="319"/>
      <c r="D94" s="319"/>
      <c r="E94" s="319"/>
      <c r="F94" s="319"/>
      <c r="G94" s="319"/>
      <c r="H94" s="319"/>
      <c r="I94" s="319"/>
      <c r="J94" s="319"/>
      <c r="K94" s="319"/>
      <c r="L94" s="319"/>
      <c r="M94" s="319"/>
      <c r="N94" s="319"/>
      <c r="O94" s="319"/>
      <c r="P94" s="319"/>
      <c r="Q94" s="319"/>
      <c r="R94" s="319"/>
      <c r="S94" s="319"/>
      <c r="T94" s="319"/>
      <c r="U94" s="319"/>
      <c r="V94" s="319"/>
      <c r="W94" s="319"/>
      <c r="X94" s="319"/>
      <c r="Y94" s="319"/>
      <c r="Z94" s="319"/>
    </row>
    <row r="95" ht="15.75" customHeight="1">
      <c r="A95" s="319"/>
      <c r="B95" s="319"/>
      <c r="C95" s="319"/>
      <c r="D95" s="319"/>
      <c r="E95" s="319"/>
      <c r="F95" s="319"/>
      <c r="G95" s="319"/>
      <c r="H95" s="319"/>
      <c r="I95" s="319"/>
      <c r="J95" s="319"/>
      <c r="K95" s="319"/>
      <c r="L95" s="319"/>
      <c r="M95" s="319"/>
      <c r="N95" s="319"/>
      <c r="O95" s="319"/>
      <c r="P95" s="319"/>
      <c r="Q95" s="319"/>
      <c r="R95" s="319"/>
      <c r="S95" s="319"/>
      <c r="T95" s="319"/>
      <c r="U95" s="319"/>
      <c r="V95" s="319"/>
      <c r="W95" s="319"/>
      <c r="X95" s="319"/>
      <c r="Y95" s="319"/>
      <c r="Z95" s="319"/>
    </row>
    <row r="96" ht="15.75" customHeight="1">
      <c r="A96" s="319"/>
      <c r="B96" s="319"/>
      <c r="C96" s="319"/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</row>
    <row r="97" ht="15.75" customHeight="1">
      <c r="A97" s="319"/>
      <c r="B97" s="319"/>
      <c r="C97" s="319"/>
      <c r="D97" s="319"/>
      <c r="E97" s="319"/>
      <c r="F97" s="319"/>
      <c r="G97" s="319"/>
      <c r="H97" s="319"/>
      <c r="I97" s="319"/>
      <c r="J97" s="319"/>
      <c r="K97" s="319"/>
      <c r="L97" s="319"/>
      <c r="M97" s="319"/>
      <c r="N97" s="319"/>
      <c r="O97" s="319"/>
      <c r="P97" s="319"/>
      <c r="Q97" s="319"/>
      <c r="R97" s="319"/>
      <c r="S97" s="319"/>
      <c r="T97" s="319"/>
      <c r="U97" s="319"/>
      <c r="V97" s="319"/>
      <c r="W97" s="319"/>
      <c r="X97" s="319"/>
      <c r="Y97" s="319"/>
      <c r="Z97" s="319"/>
    </row>
    <row r="98" ht="15.75" customHeight="1">
      <c r="A98" s="319"/>
      <c r="B98" s="319"/>
      <c r="C98" s="319"/>
      <c r="D98" s="319"/>
      <c r="E98" s="319"/>
      <c r="F98" s="319"/>
      <c r="G98" s="319"/>
      <c r="H98" s="319"/>
      <c r="I98" s="319"/>
      <c r="J98" s="319"/>
      <c r="K98" s="319"/>
      <c r="L98" s="319"/>
      <c r="M98" s="319"/>
      <c r="N98" s="319"/>
      <c r="O98" s="319"/>
      <c r="P98" s="319"/>
      <c r="Q98" s="319"/>
      <c r="R98" s="319"/>
      <c r="S98" s="319"/>
      <c r="T98" s="319"/>
      <c r="U98" s="319"/>
      <c r="V98" s="319"/>
      <c r="W98" s="319"/>
      <c r="X98" s="319"/>
      <c r="Y98" s="319"/>
      <c r="Z98" s="319"/>
    </row>
    <row r="99" ht="15.75" customHeight="1">
      <c r="A99" s="319"/>
      <c r="B99" s="319"/>
      <c r="C99" s="319"/>
      <c r="D99" s="319"/>
      <c r="E99" s="319"/>
      <c r="F99" s="319"/>
      <c r="G99" s="319"/>
      <c r="H99" s="319"/>
      <c r="I99" s="319"/>
      <c r="J99" s="319"/>
      <c r="K99" s="319"/>
      <c r="L99" s="319"/>
      <c r="M99" s="319"/>
      <c r="N99" s="319"/>
      <c r="O99" s="319"/>
      <c r="P99" s="319"/>
      <c r="Q99" s="319"/>
      <c r="R99" s="319"/>
      <c r="S99" s="319"/>
      <c r="T99" s="319"/>
      <c r="U99" s="319"/>
      <c r="V99" s="319"/>
      <c r="W99" s="319"/>
      <c r="X99" s="319"/>
      <c r="Y99" s="319"/>
      <c r="Z99" s="319"/>
    </row>
    <row r="100" ht="15.75" customHeight="1">
      <c r="A100" s="319"/>
      <c r="B100" s="319"/>
      <c r="C100" s="319"/>
      <c r="D100" s="319"/>
      <c r="E100" s="319"/>
      <c r="F100" s="319"/>
      <c r="G100" s="319"/>
      <c r="H100" s="319"/>
      <c r="I100" s="319"/>
      <c r="J100" s="319"/>
      <c r="K100" s="319"/>
      <c r="L100" s="319"/>
      <c r="M100" s="319"/>
      <c r="N100" s="319"/>
      <c r="O100" s="319"/>
      <c r="P100" s="319"/>
      <c r="Q100" s="319"/>
      <c r="R100" s="319"/>
      <c r="S100" s="319"/>
      <c r="T100" s="319"/>
      <c r="U100" s="319"/>
      <c r="V100" s="319"/>
      <c r="W100" s="319"/>
      <c r="X100" s="319"/>
      <c r="Y100" s="319"/>
      <c r="Z100" s="319"/>
    </row>
    <row r="101" ht="15.75" customHeight="1">
      <c r="A101" s="319"/>
      <c r="B101" s="319"/>
      <c r="C101" s="319"/>
      <c r="D101" s="319"/>
      <c r="E101" s="319"/>
      <c r="F101" s="319"/>
      <c r="G101" s="319"/>
      <c r="H101" s="319"/>
      <c r="I101" s="319"/>
      <c r="J101" s="319"/>
      <c r="K101" s="319"/>
      <c r="L101" s="319"/>
      <c r="M101" s="319"/>
      <c r="N101" s="319"/>
      <c r="O101" s="319"/>
      <c r="P101" s="319"/>
      <c r="Q101" s="319"/>
      <c r="R101" s="319"/>
      <c r="S101" s="319"/>
      <c r="T101" s="319"/>
      <c r="U101" s="319"/>
      <c r="V101" s="319"/>
      <c r="W101" s="319"/>
      <c r="X101" s="319"/>
      <c r="Y101" s="319"/>
      <c r="Z101" s="319"/>
    </row>
    <row r="102" ht="15.75" customHeight="1">
      <c r="A102" s="319"/>
      <c r="B102" s="319"/>
      <c r="C102" s="319"/>
      <c r="D102" s="319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</row>
    <row r="103" ht="15.75" customHeight="1">
      <c r="A103" s="319"/>
      <c r="B103" s="319"/>
      <c r="C103" s="319"/>
      <c r="D103" s="319"/>
      <c r="E103" s="319"/>
      <c r="F103" s="319"/>
      <c r="G103" s="319"/>
      <c r="H103" s="319"/>
      <c r="I103" s="319"/>
      <c r="J103" s="319"/>
      <c r="K103" s="319"/>
      <c r="L103" s="319"/>
      <c r="M103" s="319"/>
      <c r="N103" s="319"/>
      <c r="O103" s="319"/>
      <c r="P103" s="319"/>
      <c r="Q103" s="319"/>
      <c r="R103" s="319"/>
      <c r="S103" s="319"/>
      <c r="T103" s="319"/>
      <c r="U103" s="319"/>
      <c r="V103" s="319"/>
      <c r="W103" s="319"/>
      <c r="X103" s="319"/>
      <c r="Y103" s="319"/>
      <c r="Z103" s="319"/>
    </row>
    <row r="104" ht="15.75" customHeight="1">
      <c r="A104" s="319"/>
      <c r="B104" s="319"/>
      <c r="C104" s="319"/>
      <c r="D104" s="319"/>
      <c r="E104" s="319"/>
      <c r="F104" s="319"/>
      <c r="G104" s="319"/>
      <c r="H104" s="319"/>
      <c r="I104" s="319"/>
      <c r="J104" s="319"/>
      <c r="K104" s="319"/>
      <c r="L104" s="319"/>
      <c r="M104" s="319"/>
      <c r="N104" s="319"/>
      <c r="O104" s="319"/>
      <c r="P104" s="319"/>
      <c r="Q104" s="319"/>
      <c r="R104" s="319"/>
      <c r="S104" s="319"/>
      <c r="T104" s="319"/>
      <c r="U104" s="319"/>
      <c r="V104" s="319"/>
      <c r="W104" s="319"/>
      <c r="X104" s="319"/>
      <c r="Y104" s="319"/>
      <c r="Z104" s="319"/>
    </row>
    <row r="105" ht="15.75" customHeight="1">
      <c r="A105" s="319"/>
      <c r="B105" s="319"/>
      <c r="C105" s="319"/>
      <c r="D105" s="319"/>
      <c r="E105" s="319"/>
      <c r="F105" s="319"/>
      <c r="G105" s="319"/>
      <c r="H105" s="319"/>
      <c r="I105" s="319"/>
      <c r="J105" s="319"/>
      <c r="K105" s="319"/>
      <c r="L105" s="319"/>
      <c r="M105" s="319"/>
      <c r="N105" s="319"/>
      <c r="O105" s="319"/>
      <c r="P105" s="319"/>
      <c r="Q105" s="319"/>
      <c r="R105" s="319"/>
      <c r="S105" s="319"/>
      <c r="T105" s="319"/>
      <c r="U105" s="319"/>
      <c r="V105" s="319"/>
      <c r="W105" s="319"/>
      <c r="X105" s="319"/>
      <c r="Y105" s="319"/>
      <c r="Z105" s="319"/>
    </row>
    <row r="106" ht="15.75" customHeight="1">
      <c r="A106" s="319"/>
      <c r="B106" s="319"/>
      <c r="C106" s="319"/>
      <c r="D106" s="319"/>
      <c r="E106" s="319"/>
      <c r="F106" s="319"/>
      <c r="G106" s="319"/>
      <c r="H106" s="319"/>
      <c r="I106" s="319"/>
      <c r="J106" s="319"/>
      <c r="K106" s="319"/>
      <c r="L106" s="319"/>
      <c r="M106" s="319"/>
      <c r="N106" s="319"/>
      <c r="O106" s="319"/>
      <c r="P106" s="319"/>
      <c r="Q106" s="319"/>
      <c r="R106" s="319"/>
      <c r="S106" s="319"/>
      <c r="T106" s="319"/>
      <c r="U106" s="319"/>
      <c r="V106" s="319"/>
      <c r="W106" s="319"/>
      <c r="X106" s="319"/>
      <c r="Y106" s="319"/>
      <c r="Z106" s="319"/>
    </row>
    <row r="107" ht="15.75" customHeight="1">
      <c r="A107" s="319"/>
      <c r="B107" s="319"/>
      <c r="C107" s="319"/>
      <c r="D107" s="319"/>
      <c r="E107" s="319"/>
      <c r="F107" s="319"/>
      <c r="G107" s="319"/>
      <c r="H107" s="319"/>
      <c r="I107" s="319"/>
      <c r="J107" s="319"/>
      <c r="K107" s="319"/>
      <c r="L107" s="319"/>
      <c r="M107" s="319"/>
      <c r="N107" s="319"/>
      <c r="O107" s="319"/>
      <c r="P107" s="319"/>
      <c r="Q107" s="319"/>
      <c r="R107" s="319"/>
      <c r="S107" s="319"/>
      <c r="T107" s="319"/>
      <c r="U107" s="319"/>
      <c r="V107" s="319"/>
      <c r="W107" s="319"/>
      <c r="X107" s="319"/>
      <c r="Y107" s="319"/>
      <c r="Z107" s="319"/>
    </row>
    <row r="108" ht="15.75" customHeight="1">
      <c r="A108" s="319"/>
      <c r="B108" s="319"/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</row>
    <row r="109" ht="15.75" customHeight="1">
      <c r="A109" s="319"/>
      <c r="B109" s="319"/>
      <c r="C109" s="319"/>
      <c r="D109" s="319"/>
      <c r="E109" s="319"/>
      <c r="F109" s="319"/>
      <c r="G109" s="319"/>
      <c r="H109" s="319"/>
      <c r="I109" s="319"/>
      <c r="J109" s="319"/>
      <c r="K109" s="319"/>
      <c r="L109" s="319"/>
      <c r="M109" s="319"/>
      <c r="N109" s="319"/>
      <c r="O109" s="319"/>
      <c r="P109" s="319"/>
      <c r="Q109" s="319"/>
      <c r="R109" s="319"/>
      <c r="S109" s="319"/>
      <c r="T109" s="319"/>
      <c r="U109" s="319"/>
      <c r="V109" s="319"/>
      <c r="W109" s="319"/>
      <c r="X109" s="319"/>
      <c r="Y109" s="319"/>
      <c r="Z109" s="319"/>
    </row>
    <row r="110" ht="15.75" customHeight="1">
      <c r="A110" s="319"/>
      <c r="B110" s="319"/>
      <c r="C110" s="319"/>
      <c r="D110" s="319"/>
      <c r="E110" s="319"/>
      <c r="F110" s="319"/>
      <c r="G110" s="319"/>
      <c r="H110" s="319"/>
      <c r="I110" s="319"/>
      <c r="J110" s="319"/>
      <c r="K110" s="319"/>
      <c r="L110" s="319"/>
      <c r="M110" s="319"/>
      <c r="N110" s="319"/>
      <c r="O110" s="319"/>
      <c r="P110" s="319"/>
      <c r="Q110" s="319"/>
      <c r="R110" s="319"/>
      <c r="S110" s="319"/>
      <c r="T110" s="319"/>
      <c r="U110" s="319"/>
      <c r="V110" s="319"/>
      <c r="W110" s="319"/>
      <c r="X110" s="319"/>
      <c r="Y110" s="319"/>
      <c r="Z110" s="319"/>
    </row>
    <row r="111" ht="15.75" customHeight="1">
      <c r="A111" s="319"/>
      <c r="B111" s="319"/>
      <c r="C111" s="319"/>
      <c r="D111" s="319"/>
      <c r="E111" s="319"/>
      <c r="F111" s="319"/>
      <c r="G111" s="319"/>
      <c r="H111" s="319"/>
      <c r="I111" s="319"/>
      <c r="J111" s="319"/>
      <c r="K111" s="319"/>
      <c r="L111" s="319"/>
      <c r="M111" s="319"/>
      <c r="N111" s="319"/>
      <c r="O111" s="319"/>
      <c r="P111" s="319"/>
      <c r="Q111" s="319"/>
      <c r="R111" s="319"/>
      <c r="S111" s="319"/>
      <c r="T111" s="319"/>
      <c r="U111" s="319"/>
      <c r="V111" s="319"/>
      <c r="W111" s="319"/>
      <c r="X111" s="319"/>
      <c r="Y111" s="319"/>
      <c r="Z111" s="319"/>
    </row>
    <row r="112" ht="15.75" customHeight="1">
      <c r="A112" s="319"/>
      <c r="B112" s="319"/>
      <c r="C112" s="319"/>
      <c r="D112" s="319"/>
      <c r="E112" s="319"/>
      <c r="F112" s="319"/>
      <c r="G112" s="319"/>
      <c r="H112" s="319"/>
      <c r="I112" s="319"/>
      <c r="J112" s="319"/>
      <c r="K112" s="319"/>
      <c r="L112" s="319"/>
      <c r="M112" s="319"/>
      <c r="N112" s="319"/>
      <c r="O112" s="319"/>
      <c r="P112" s="319"/>
      <c r="Q112" s="319"/>
      <c r="R112" s="319"/>
      <c r="S112" s="319"/>
      <c r="T112" s="319"/>
      <c r="U112" s="319"/>
      <c r="V112" s="319"/>
      <c r="W112" s="319"/>
      <c r="X112" s="319"/>
      <c r="Y112" s="319"/>
      <c r="Z112" s="319"/>
    </row>
    <row r="113" ht="15.75" customHeight="1">
      <c r="A113" s="319"/>
      <c r="B113" s="319"/>
      <c r="C113" s="319"/>
      <c r="D113" s="319"/>
      <c r="E113" s="319"/>
      <c r="F113" s="319"/>
      <c r="G113" s="319"/>
      <c r="H113" s="319"/>
      <c r="I113" s="319"/>
      <c r="J113" s="319"/>
      <c r="K113" s="319"/>
      <c r="L113" s="319"/>
      <c r="M113" s="319"/>
      <c r="N113" s="319"/>
      <c r="O113" s="319"/>
      <c r="P113" s="319"/>
      <c r="Q113" s="319"/>
      <c r="R113" s="319"/>
      <c r="S113" s="319"/>
      <c r="T113" s="319"/>
      <c r="U113" s="319"/>
      <c r="V113" s="319"/>
      <c r="W113" s="319"/>
      <c r="X113" s="319"/>
      <c r="Y113" s="319"/>
      <c r="Z113" s="319"/>
    </row>
    <row r="114" ht="15.75" customHeight="1">
      <c r="A114" s="319"/>
      <c r="B114" s="319"/>
      <c r="C114" s="319"/>
      <c r="D114" s="319"/>
      <c r="E114" s="319"/>
      <c r="F114" s="319"/>
      <c r="G114" s="319"/>
      <c r="H114" s="319"/>
      <c r="I114" s="319"/>
      <c r="J114" s="319"/>
      <c r="K114" s="319"/>
      <c r="L114" s="319"/>
      <c r="M114" s="319"/>
      <c r="N114" s="319"/>
      <c r="O114" s="319"/>
      <c r="P114" s="319"/>
      <c r="Q114" s="319"/>
      <c r="R114" s="319"/>
      <c r="S114" s="319"/>
      <c r="T114" s="319"/>
      <c r="U114" s="319"/>
      <c r="V114" s="319"/>
      <c r="W114" s="319"/>
      <c r="X114" s="319"/>
      <c r="Y114" s="319"/>
      <c r="Z114" s="319"/>
    </row>
    <row r="115" ht="15.75" customHeight="1">
      <c r="A115" s="319"/>
      <c r="B115" s="319"/>
      <c r="C115" s="319"/>
      <c r="D115" s="319"/>
      <c r="E115" s="319"/>
      <c r="F115" s="319"/>
      <c r="G115" s="319"/>
      <c r="H115" s="319"/>
      <c r="I115" s="319"/>
      <c r="J115" s="319"/>
      <c r="K115" s="319"/>
      <c r="L115" s="319"/>
      <c r="M115" s="319"/>
      <c r="N115" s="319"/>
      <c r="O115" s="319"/>
      <c r="P115" s="319"/>
      <c r="Q115" s="319"/>
      <c r="R115" s="319"/>
      <c r="S115" s="319"/>
      <c r="T115" s="319"/>
      <c r="U115" s="319"/>
      <c r="V115" s="319"/>
      <c r="W115" s="319"/>
      <c r="X115" s="319"/>
      <c r="Y115" s="319"/>
      <c r="Z115" s="319"/>
    </row>
    <row r="116" ht="15.75" customHeight="1">
      <c r="A116" s="319"/>
      <c r="B116" s="319"/>
      <c r="C116" s="319"/>
      <c r="D116" s="319"/>
      <c r="E116" s="319"/>
      <c r="F116" s="319"/>
      <c r="G116" s="319"/>
      <c r="H116" s="319"/>
      <c r="I116" s="319"/>
      <c r="J116" s="319"/>
      <c r="K116" s="319"/>
      <c r="L116" s="319"/>
      <c r="M116" s="319"/>
      <c r="N116" s="319"/>
      <c r="O116" s="319"/>
      <c r="P116" s="319"/>
      <c r="Q116" s="319"/>
      <c r="R116" s="319"/>
      <c r="S116" s="319"/>
      <c r="T116" s="319"/>
      <c r="U116" s="319"/>
      <c r="V116" s="319"/>
      <c r="W116" s="319"/>
      <c r="X116" s="319"/>
      <c r="Y116" s="319"/>
      <c r="Z116" s="319"/>
    </row>
    <row r="117" ht="15.75" customHeight="1">
      <c r="A117" s="319"/>
      <c r="B117" s="319"/>
      <c r="C117" s="319"/>
      <c r="D117" s="319"/>
      <c r="E117" s="319"/>
      <c r="F117" s="319"/>
      <c r="G117" s="319"/>
      <c r="H117" s="319"/>
      <c r="I117" s="319"/>
      <c r="J117" s="319"/>
      <c r="K117" s="319"/>
      <c r="L117" s="319"/>
      <c r="M117" s="319"/>
      <c r="N117" s="319"/>
      <c r="O117" s="319"/>
      <c r="P117" s="319"/>
      <c r="Q117" s="319"/>
      <c r="R117" s="319"/>
      <c r="S117" s="319"/>
      <c r="T117" s="319"/>
      <c r="U117" s="319"/>
      <c r="V117" s="319"/>
      <c r="W117" s="319"/>
      <c r="X117" s="319"/>
      <c r="Y117" s="319"/>
      <c r="Z117" s="319"/>
    </row>
    <row r="118" ht="15.75" customHeight="1">
      <c r="A118" s="319"/>
      <c r="B118" s="319"/>
      <c r="C118" s="319"/>
      <c r="D118" s="319"/>
      <c r="E118" s="319"/>
      <c r="F118" s="319"/>
      <c r="G118" s="319"/>
      <c r="H118" s="319"/>
      <c r="I118" s="319"/>
      <c r="J118" s="319"/>
      <c r="K118" s="319"/>
      <c r="L118" s="319"/>
      <c r="M118" s="319"/>
      <c r="N118" s="319"/>
      <c r="O118" s="319"/>
      <c r="P118" s="319"/>
      <c r="Q118" s="319"/>
      <c r="R118" s="319"/>
      <c r="S118" s="319"/>
      <c r="T118" s="319"/>
      <c r="U118" s="319"/>
      <c r="V118" s="319"/>
      <c r="W118" s="319"/>
      <c r="X118" s="319"/>
      <c r="Y118" s="319"/>
      <c r="Z118" s="319"/>
    </row>
    <row r="119" ht="15.75" customHeight="1">
      <c r="A119" s="319"/>
      <c r="B119" s="319"/>
      <c r="C119" s="319"/>
      <c r="D119" s="319"/>
      <c r="E119" s="319"/>
      <c r="F119" s="319"/>
      <c r="G119" s="319"/>
      <c r="H119" s="319"/>
      <c r="I119" s="319"/>
      <c r="J119" s="319"/>
      <c r="K119" s="319"/>
      <c r="L119" s="319"/>
      <c r="M119" s="319"/>
      <c r="N119" s="319"/>
      <c r="O119" s="319"/>
      <c r="P119" s="319"/>
      <c r="Q119" s="319"/>
      <c r="R119" s="319"/>
      <c r="S119" s="319"/>
      <c r="T119" s="319"/>
      <c r="U119" s="319"/>
      <c r="V119" s="319"/>
      <c r="W119" s="319"/>
      <c r="X119" s="319"/>
      <c r="Y119" s="319"/>
      <c r="Z119" s="319"/>
    </row>
    <row r="120" ht="15.75" customHeight="1">
      <c r="A120" s="319"/>
      <c r="B120" s="319"/>
      <c r="C120" s="319"/>
      <c r="D120" s="319"/>
      <c r="E120" s="319"/>
      <c r="F120" s="319"/>
      <c r="G120" s="319"/>
      <c r="H120" s="319"/>
      <c r="I120" s="319"/>
      <c r="J120" s="319"/>
      <c r="K120" s="319"/>
      <c r="L120" s="319"/>
      <c r="M120" s="319"/>
      <c r="N120" s="319"/>
      <c r="O120" s="319"/>
      <c r="P120" s="319"/>
      <c r="Q120" s="319"/>
      <c r="R120" s="319"/>
      <c r="S120" s="319"/>
      <c r="T120" s="319"/>
      <c r="U120" s="319"/>
      <c r="V120" s="319"/>
      <c r="W120" s="319"/>
      <c r="X120" s="319"/>
      <c r="Y120" s="319"/>
      <c r="Z120" s="319"/>
    </row>
    <row r="121" ht="15.75" customHeight="1">
      <c r="A121" s="319"/>
      <c r="B121" s="319"/>
      <c r="C121" s="319"/>
      <c r="D121" s="319"/>
      <c r="E121" s="319"/>
      <c r="F121" s="319"/>
      <c r="G121" s="319"/>
      <c r="H121" s="319"/>
      <c r="I121" s="319"/>
      <c r="J121" s="319"/>
      <c r="K121" s="319"/>
      <c r="L121" s="319"/>
      <c r="M121" s="319"/>
      <c r="N121" s="319"/>
      <c r="O121" s="319"/>
      <c r="P121" s="319"/>
      <c r="Q121" s="319"/>
      <c r="R121" s="319"/>
      <c r="S121" s="319"/>
      <c r="T121" s="319"/>
      <c r="U121" s="319"/>
      <c r="V121" s="319"/>
      <c r="W121" s="319"/>
      <c r="X121" s="319"/>
      <c r="Y121" s="319"/>
      <c r="Z121" s="319"/>
    </row>
    <row r="122" ht="15.75" customHeight="1">
      <c r="A122" s="319"/>
      <c r="B122" s="319"/>
      <c r="C122" s="319"/>
      <c r="D122" s="319"/>
      <c r="E122" s="319"/>
      <c r="F122" s="319"/>
      <c r="G122" s="319"/>
      <c r="H122" s="319"/>
      <c r="I122" s="319"/>
      <c r="J122" s="319"/>
      <c r="K122" s="319"/>
      <c r="L122" s="319"/>
      <c r="M122" s="319"/>
      <c r="N122" s="319"/>
      <c r="O122" s="319"/>
      <c r="P122" s="319"/>
      <c r="Q122" s="319"/>
      <c r="R122" s="319"/>
      <c r="S122" s="319"/>
      <c r="T122" s="319"/>
      <c r="U122" s="319"/>
      <c r="V122" s="319"/>
      <c r="W122" s="319"/>
      <c r="X122" s="319"/>
      <c r="Y122" s="319"/>
      <c r="Z122" s="319"/>
    </row>
    <row r="123" ht="15.75" customHeight="1">
      <c r="A123" s="319"/>
      <c r="B123" s="319"/>
      <c r="C123" s="319"/>
      <c r="D123" s="319"/>
      <c r="E123" s="319"/>
      <c r="F123" s="319"/>
      <c r="G123" s="319"/>
      <c r="H123" s="319"/>
      <c r="I123" s="319"/>
      <c r="J123" s="319"/>
      <c r="K123" s="319"/>
      <c r="L123" s="319"/>
      <c r="M123" s="319"/>
      <c r="N123" s="319"/>
      <c r="O123" s="319"/>
      <c r="P123" s="319"/>
      <c r="Q123" s="319"/>
      <c r="R123" s="319"/>
      <c r="S123" s="319"/>
      <c r="T123" s="319"/>
      <c r="U123" s="319"/>
      <c r="V123" s="319"/>
      <c r="W123" s="319"/>
      <c r="X123" s="319"/>
      <c r="Y123" s="319"/>
      <c r="Z123" s="319"/>
    </row>
    <row r="124" ht="15.75" customHeight="1">
      <c r="A124" s="319"/>
      <c r="B124" s="319"/>
      <c r="C124" s="319"/>
      <c r="D124" s="319"/>
      <c r="E124" s="319"/>
      <c r="F124" s="319"/>
      <c r="G124" s="319"/>
      <c r="H124" s="319"/>
      <c r="I124" s="319"/>
      <c r="J124" s="319"/>
      <c r="K124" s="319"/>
      <c r="L124" s="319"/>
      <c r="M124" s="319"/>
      <c r="N124" s="319"/>
      <c r="O124" s="319"/>
      <c r="P124" s="319"/>
      <c r="Q124" s="319"/>
      <c r="R124" s="319"/>
      <c r="S124" s="319"/>
      <c r="T124" s="319"/>
      <c r="U124" s="319"/>
      <c r="V124" s="319"/>
      <c r="W124" s="319"/>
      <c r="X124" s="319"/>
      <c r="Y124" s="319"/>
      <c r="Z124" s="319"/>
    </row>
    <row r="125" ht="15.75" customHeight="1">
      <c r="A125" s="319"/>
      <c r="B125" s="319"/>
      <c r="C125" s="319"/>
      <c r="D125" s="319"/>
      <c r="E125" s="319"/>
      <c r="F125" s="319"/>
      <c r="G125" s="319"/>
      <c r="H125" s="319"/>
      <c r="I125" s="319"/>
      <c r="J125" s="319"/>
      <c r="K125" s="319"/>
      <c r="L125" s="319"/>
      <c r="M125" s="319"/>
      <c r="N125" s="319"/>
      <c r="O125" s="319"/>
      <c r="P125" s="319"/>
      <c r="Q125" s="319"/>
      <c r="R125" s="319"/>
      <c r="S125" s="319"/>
      <c r="T125" s="319"/>
      <c r="U125" s="319"/>
      <c r="V125" s="319"/>
      <c r="W125" s="319"/>
      <c r="X125" s="319"/>
      <c r="Y125" s="319"/>
      <c r="Z125" s="319"/>
    </row>
    <row r="126" ht="15.75" customHeight="1">
      <c r="A126" s="319"/>
      <c r="B126" s="319"/>
      <c r="C126" s="319"/>
      <c r="D126" s="319"/>
      <c r="E126" s="319"/>
      <c r="F126" s="319"/>
      <c r="G126" s="319"/>
      <c r="H126" s="319"/>
      <c r="I126" s="319"/>
      <c r="J126" s="319"/>
      <c r="K126" s="319"/>
      <c r="L126" s="319"/>
      <c r="M126" s="319"/>
      <c r="N126" s="319"/>
      <c r="O126" s="319"/>
      <c r="P126" s="319"/>
      <c r="Q126" s="319"/>
      <c r="R126" s="319"/>
      <c r="S126" s="319"/>
      <c r="T126" s="319"/>
      <c r="U126" s="319"/>
      <c r="V126" s="319"/>
      <c r="W126" s="319"/>
      <c r="X126" s="319"/>
      <c r="Y126" s="319"/>
      <c r="Z126" s="319"/>
    </row>
    <row r="127" ht="15.75" customHeight="1">
      <c r="A127" s="319"/>
      <c r="B127" s="319"/>
      <c r="C127" s="319"/>
      <c r="D127" s="319"/>
      <c r="E127" s="319"/>
      <c r="F127" s="319"/>
      <c r="G127" s="319"/>
      <c r="H127" s="319"/>
      <c r="I127" s="319"/>
      <c r="J127" s="319"/>
      <c r="K127" s="319"/>
      <c r="L127" s="319"/>
      <c r="M127" s="319"/>
      <c r="N127" s="319"/>
      <c r="O127" s="319"/>
      <c r="P127" s="319"/>
      <c r="Q127" s="319"/>
      <c r="R127" s="319"/>
      <c r="S127" s="319"/>
      <c r="T127" s="319"/>
      <c r="U127" s="319"/>
      <c r="V127" s="319"/>
      <c r="W127" s="319"/>
      <c r="X127" s="319"/>
      <c r="Y127" s="319"/>
      <c r="Z127" s="319"/>
    </row>
    <row r="128" ht="15.75" customHeight="1">
      <c r="A128" s="319"/>
      <c r="B128" s="319"/>
      <c r="C128" s="319"/>
      <c r="D128" s="319"/>
      <c r="E128" s="319"/>
      <c r="F128" s="319"/>
      <c r="G128" s="319"/>
      <c r="H128" s="319"/>
      <c r="I128" s="319"/>
      <c r="J128" s="319"/>
      <c r="K128" s="319"/>
      <c r="L128" s="319"/>
      <c r="M128" s="319"/>
      <c r="N128" s="319"/>
      <c r="O128" s="319"/>
      <c r="P128" s="319"/>
      <c r="Q128" s="319"/>
      <c r="R128" s="319"/>
      <c r="S128" s="319"/>
      <c r="T128" s="319"/>
      <c r="U128" s="319"/>
      <c r="V128" s="319"/>
      <c r="W128" s="319"/>
      <c r="X128" s="319"/>
      <c r="Y128" s="319"/>
      <c r="Z128" s="319"/>
    </row>
    <row r="129" ht="15.75" customHeight="1">
      <c r="A129" s="319"/>
      <c r="B129" s="319"/>
      <c r="C129" s="319"/>
      <c r="D129" s="319"/>
      <c r="E129" s="319"/>
      <c r="F129" s="319"/>
      <c r="G129" s="319"/>
      <c r="H129" s="319"/>
      <c r="I129" s="319"/>
      <c r="J129" s="319"/>
      <c r="K129" s="319"/>
      <c r="L129" s="319"/>
      <c r="M129" s="319"/>
      <c r="N129" s="319"/>
      <c r="O129" s="319"/>
      <c r="P129" s="319"/>
      <c r="Q129" s="319"/>
      <c r="R129" s="319"/>
      <c r="S129" s="319"/>
      <c r="T129" s="319"/>
      <c r="U129" s="319"/>
      <c r="V129" s="319"/>
      <c r="W129" s="319"/>
      <c r="X129" s="319"/>
      <c r="Y129" s="319"/>
      <c r="Z129" s="319"/>
    </row>
    <row r="130" ht="15.75" customHeight="1">
      <c r="A130" s="319"/>
      <c r="B130" s="319"/>
      <c r="C130" s="319"/>
      <c r="D130" s="319"/>
      <c r="E130" s="319"/>
      <c r="F130" s="319"/>
      <c r="G130" s="319"/>
      <c r="H130" s="319"/>
      <c r="I130" s="319"/>
      <c r="J130" s="319"/>
      <c r="K130" s="319"/>
      <c r="L130" s="319"/>
      <c r="M130" s="319"/>
      <c r="N130" s="319"/>
      <c r="O130" s="319"/>
      <c r="P130" s="319"/>
      <c r="Q130" s="319"/>
      <c r="R130" s="319"/>
      <c r="S130" s="319"/>
      <c r="T130" s="319"/>
      <c r="U130" s="319"/>
      <c r="V130" s="319"/>
      <c r="W130" s="319"/>
      <c r="X130" s="319"/>
      <c r="Y130" s="319"/>
      <c r="Z130" s="319"/>
    </row>
    <row r="131" ht="15.75" customHeight="1">
      <c r="A131" s="319"/>
      <c r="B131" s="319"/>
      <c r="C131" s="319"/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319"/>
      <c r="W131" s="319"/>
      <c r="X131" s="319"/>
      <c r="Y131" s="319"/>
      <c r="Z131" s="319"/>
    </row>
    <row r="132" ht="15.75" customHeight="1">
      <c r="A132" s="319"/>
      <c r="B132" s="319"/>
      <c r="C132" s="319"/>
      <c r="D132" s="319"/>
      <c r="E132" s="319"/>
      <c r="F132" s="319"/>
      <c r="G132" s="319"/>
      <c r="H132" s="319"/>
      <c r="I132" s="319"/>
      <c r="J132" s="319"/>
      <c r="K132" s="319"/>
      <c r="L132" s="319"/>
      <c r="M132" s="319"/>
      <c r="N132" s="319"/>
      <c r="O132" s="319"/>
      <c r="P132" s="319"/>
      <c r="Q132" s="319"/>
      <c r="R132" s="319"/>
      <c r="S132" s="319"/>
      <c r="T132" s="319"/>
      <c r="U132" s="319"/>
      <c r="V132" s="319"/>
      <c r="W132" s="319"/>
      <c r="X132" s="319"/>
      <c r="Y132" s="319"/>
      <c r="Z132" s="319"/>
    </row>
    <row r="133" ht="15.75" customHeight="1">
      <c r="A133" s="319"/>
      <c r="B133" s="319"/>
      <c r="C133" s="319"/>
      <c r="D133" s="319"/>
      <c r="E133" s="319"/>
      <c r="F133" s="319"/>
      <c r="G133" s="319"/>
      <c r="H133" s="319"/>
      <c r="I133" s="319"/>
      <c r="J133" s="319"/>
      <c r="K133" s="319"/>
      <c r="L133" s="319"/>
      <c r="M133" s="319"/>
      <c r="N133" s="319"/>
      <c r="O133" s="319"/>
      <c r="P133" s="319"/>
      <c r="Q133" s="319"/>
      <c r="R133" s="319"/>
      <c r="S133" s="319"/>
      <c r="T133" s="319"/>
      <c r="U133" s="319"/>
      <c r="V133" s="319"/>
      <c r="W133" s="319"/>
      <c r="X133" s="319"/>
      <c r="Y133" s="319"/>
      <c r="Z133" s="319"/>
    </row>
    <row r="134" ht="15.75" customHeight="1">
      <c r="A134" s="319"/>
      <c r="B134" s="319"/>
      <c r="C134" s="319"/>
      <c r="D134" s="319"/>
      <c r="E134" s="319"/>
      <c r="F134" s="319"/>
      <c r="G134" s="319"/>
      <c r="H134" s="319"/>
      <c r="I134" s="319"/>
      <c r="J134" s="319"/>
      <c r="K134" s="319"/>
      <c r="L134" s="319"/>
      <c r="M134" s="319"/>
      <c r="N134" s="319"/>
      <c r="O134" s="319"/>
      <c r="P134" s="319"/>
      <c r="Q134" s="319"/>
      <c r="R134" s="319"/>
      <c r="S134" s="319"/>
      <c r="T134" s="319"/>
      <c r="U134" s="319"/>
      <c r="V134" s="319"/>
      <c r="W134" s="319"/>
      <c r="X134" s="319"/>
      <c r="Y134" s="319"/>
      <c r="Z134" s="319"/>
    </row>
    <row r="135" ht="15.75" customHeight="1">
      <c r="A135" s="319"/>
      <c r="B135" s="319"/>
      <c r="C135" s="319"/>
      <c r="D135" s="319"/>
      <c r="E135" s="319"/>
      <c r="F135" s="319"/>
      <c r="G135" s="319"/>
      <c r="H135" s="319"/>
      <c r="I135" s="319"/>
      <c r="J135" s="319"/>
      <c r="K135" s="319"/>
      <c r="L135" s="319"/>
      <c r="M135" s="319"/>
      <c r="N135" s="319"/>
      <c r="O135" s="319"/>
      <c r="P135" s="319"/>
      <c r="Q135" s="319"/>
      <c r="R135" s="319"/>
      <c r="S135" s="319"/>
      <c r="T135" s="319"/>
      <c r="U135" s="319"/>
      <c r="V135" s="319"/>
      <c r="W135" s="319"/>
      <c r="X135" s="319"/>
      <c r="Y135" s="319"/>
      <c r="Z135" s="319"/>
    </row>
    <row r="136" ht="15.75" customHeight="1">
      <c r="A136" s="319"/>
      <c r="B136" s="319"/>
      <c r="C136" s="319"/>
      <c r="D136" s="319"/>
      <c r="E136" s="319"/>
      <c r="F136" s="319"/>
      <c r="G136" s="319"/>
      <c r="H136" s="319"/>
      <c r="I136" s="319"/>
      <c r="J136" s="319"/>
      <c r="K136" s="319"/>
      <c r="L136" s="319"/>
      <c r="M136" s="319"/>
      <c r="N136" s="319"/>
      <c r="O136" s="319"/>
      <c r="P136" s="319"/>
      <c r="Q136" s="319"/>
      <c r="R136" s="319"/>
      <c r="S136" s="319"/>
      <c r="T136" s="319"/>
      <c r="U136" s="319"/>
      <c r="V136" s="319"/>
      <c r="W136" s="319"/>
      <c r="X136" s="319"/>
      <c r="Y136" s="319"/>
      <c r="Z136" s="319"/>
    </row>
    <row r="137" ht="15.75" customHeight="1">
      <c r="A137" s="319"/>
      <c r="B137" s="319"/>
      <c r="C137" s="319"/>
      <c r="D137" s="319"/>
      <c r="E137" s="319"/>
      <c r="F137" s="319"/>
      <c r="G137" s="319"/>
      <c r="H137" s="319"/>
      <c r="I137" s="319"/>
      <c r="J137" s="319"/>
      <c r="K137" s="319"/>
      <c r="L137" s="319"/>
      <c r="M137" s="319"/>
      <c r="N137" s="319"/>
      <c r="O137" s="319"/>
      <c r="P137" s="319"/>
      <c r="Q137" s="319"/>
      <c r="R137" s="319"/>
      <c r="S137" s="319"/>
      <c r="T137" s="319"/>
      <c r="U137" s="319"/>
      <c r="V137" s="319"/>
      <c r="W137" s="319"/>
      <c r="X137" s="319"/>
      <c r="Y137" s="319"/>
      <c r="Z137" s="319"/>
    </row>
    <row r="138" ht="15.75" customHeight="1">
      <c r="A138" s="319"/>
      <c r="B138" s="319"/>
      <c r="C138" s="319"/>
      <c r="D138" s="319"/>
      <c r="E138" s="319"/>
      <c r="F138" s="319"/>
      <c r="G138" s="319"/>
      <c r="H138" s="319"/>
      <c r="I138" s="319"/>
      <c r="J138" s="319"/>
      <c r="K138" s="319"/>
      <c r="L138" s="319"/>
      <c r="M138" s="319"/>
      <c r="N138" s="319"/>
      <c r="O138" s="319"/>
      <c r="P138" s="319"/>
      <c r="Q138" s="319"/>
      <c r="R138" s="319"/>
      <c r="S138" s="319"/>
      <c r="T138" s="319"/>
      <c r="U138" s="319"/>
      <c r="V138" s="319"/>
      <c r="W138" s="319"/>
      <c r="X138" s="319"/>
      <c r="Y138" s="319"/>
      <c r="Z138" s="319"/>
    </row>
    <row r="139" ht="15.75" customHeight="1">
      <c r="A139" s="319"/>
      <c r="B139" s="319"/>
      <c r="C139" s="319"/>
      <c r="D139" s="319"/>
      <c r="E139" s="319"/>
      <c r="F139" s="319"/>
      <c r="G139" s="319"/>
      <c r="H139" s="319"/>
      <c r="I139" s="319"/>
      <c r="J139" s="319"/>
      <c r="K139" s="319"/>
      <c r="L139" s="319"/>
      <c r="M139" s="319"/>
      <c r="N139" s="319"/>
      <c r="O139" s="319"/>
      <c r="P139" s="319"/>
      <c r="Q139" s="319"/>
      <c r="R139" s="319"/>
      <c r="S139" s="319"/>
      <c r="T139" s="319"/>
      <c r="U139" s="319"/>
      <c r="V139" s="319"/>
      <c r="W139" s="319"/>
      <c r="X139" s="319"/>
      <c r="Y139" s="319"/>
      <c r="Z139" s="319"/>
    </row>
    <row r="140" ht="15.75" customHeight="1">
      <c r="A140" s="319"/>
      <c r="B140" s="319"/>
      <c r="C140" s="319"/>
      <c r="D140" s="319"/>
      <c r="E140" s="319"/>
      <c r="F140" s="319"/>
      <c r="G140" s="319"/>
      <c r="H140" s="319"/>
      <c r="I140" s="319"/>
      <c r="J140" s="319"/>
      <c r="K140" s="319"/>
      <c r="L140" s="319"/>
      <c r="M140" s="319"/>
      <c r="N140" s="319"/>
      <c r="O140" s="319"/>
      <c r="P140" s="319"/>
      <c r="Q140" s="319"/>
      <c r="R140" s="319"/>
      <c r="S140" s="319"/>
      <c r="T140" s="319"/>
      <c r="U140" s="319"/>
      <c r="V140" s="319"/>
      <c r="W140" s="319"/>
      <c r="X140" s="319"/>
      <c r="Y140" s="319"/>
      <c r="Z140" s="319"/>
    </row>
    <row r="141" ht="15.75" customHeight="1">
      <c r="A141" s="319"/>
      <c r="B141" s="319"/>
      <c r="C141" s="319"/>
      <c r="D141" s="319"/>
      <c r="E141" s="319"/>
      <c r="F141" s="319"/>
      <c r="G141" s="319"/>
      <c r="H141" s="319"/>
      <c r="I141" s="319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</row>
    <row r="142" ht="15.75" customHeight="1">
      <c r="A142" s="319"/>
      <c r="B142" s="319"/>
      <c r="C142" s="319"/>
      <c r="D142" s="319"/>
      <c r="E142" s="319"/>
      <c r="F142" s="319"/>
      <c r="G142" s="319"/>
      <c r="H142" s="319"/>
      <c r="I142" s="319"/>
      <c r="J142" s="319"/>
      <c r="K142" s="319"/>
      <c r="L142" s="319"/>
      <c r="M142" s="319"/>
      <c r="N142" s="319"/>
      <c r="O142" s="319"/>
      <c r="P142" s="319"/>
      <c r="Q142" s="319"/>
      <c r="R142" s="319"/>
      <c r="S142" s="319"/>
      <c r="T142" s="319"/>
      <c r="U142" s="319"/>
      <c r="V142" s="319"/>
      <c r="W142" s="319"/>
      <c r="X142" s="319"/>
      <c r="Y142" s="319"/>
      <c r="Z142" s="319"/>
    </row>
    <row r="143" ht="15.75" customHeight="1">
      <c r="A143" s="319"/>
      <c r="B143" s="319"/>
      <c r="C143" s="319"/>
      <c r="D143" s="319"/>
      <c r="E143" s="319"/>
      <c r="F143" s="319"/>
      <c r="G143" s="319"/>
      <c r="H143" s="319"/>
      <c r="I143" s="319"/>
      <c r="J143" s="319"/>
      <c r="K143" s="319"/>
      <c r="L143" s="319"/>
      <c r="M143" s="319"/>
      <c r="N143" s="319"/>
      <c r="O143" s="319"/>
      <c r="P143" s="319"/>
      <c r="Q143" s="319"/>
      <c r="R143" s="319"/>
      <c r="S143" s="319"/>
      <c r="T143" s="319"/>
      <c r="U143" s="319"/>
      <c r="V143" s="319"/>
      <c r="W143" s="319"/>
      <c r="X143" s="319"/>
      <c r="Y143" s="319"/>
      <c r="Z143" s="319"/>
    </row>
    <row r="144" ht="15.75" customHeight="1">
      <c r="A144" s="319"/>
      <c r="B144" s="319"/>
      <c r="C144" s="319"/>
      <c r="D144" s="319"/>
      <c r="E144" s="319"/>
      <c r="F144" s="319"/>
      <c r="G144" s="319"/>
      <c r="H144" s="319"/>
      <c r="I144" s="319"/>
      <c r="J144" s="319"/>
      <c r="K144" s="319"/>
      <c r="L144" s="319"/>
      <c r="M144" s="319"/>
      <c r="N144" s="319"/>
      <c r="O144" s="319"/>
      <c r="P144" s="319"/>
      <c r="Q144" s="319"/>
      <c r="R144" s="319"/>
      <c r="S144" s="319"/>
      <c r="T144" s="319"/>
      <c r="U144" s="319"/>
      <c r="V144" s="319"/>
      <c r="W144" s="319"/>
      <c r="X144" s="319"/>
      <c r="Y144" s="319"/>
      <c r="Z144" s="319"/>
    </row>
    <row r="145" ht="15.75" customHeight="1">
      <c r="A145" s="319"/>
      <c r="B145" s="319"/>
      <c r="C145" s="319"/>
      <c r="D145" s="319"/>
      <c r="E145" s="319"/>
      <c r="F145" s="319"/>
      <c r="G145" s="319"/>
      <c r="H145" s="319"/>
      <c r="I145" s="319"/>
      <c r="J145" s="319"/>
      <c r="K145" s="319"/>
      <c r="L145" s="319"/>
      <c r="M145" s="319"/>
      <c r="N145" s="319"/>
      <c r="O145" s="319"/>
      <c r="P145" s="319"/>
      <c r="Q145" s="319"/>
      <c r="R145" s="319"/>
      <c r="S145" s="319"/>
      <c r="T145" s="319"/>
      <c r="U145" s="319"/>
      <c r="V145" s="319"/>
      <c r="W145" s="319"/>
      <c r="X145" s="319"/>
      <c r="Y145" s="319"/>
      <c r="Z145" s="319"/>
    </row>
    <row r="146" ht="15.75" customHeight="1">
      <c r="A146" s="319"/>
      <c r="B146" s="319"/>
      <c r="C146" s="319"/>
      <c r="D146" s="319"/>
      <c r="E146" s="319"/>
      <c r="F146" s="319"/>
      <c r="G146" s="319"/>
      <c r="H146" s="319"/>
      <c r="I146" s="319"/>
      <c r="J146" s="319"/>
      <c r="K146" s="319"/>
      <c r="L146" s="319"/>
      <c r="M146" s="319"/>
      <c r="N146" s="319"/>
      <c r="O146" s="319"/>
      <c r="P146" s="319"/>
      <c r="Q146" s="319"/>
      <c r="R146" s="319"/>
      <c r="S146" s="319"/>
      <c r="T146" s="319"/>
      <c r="U146" s="319"/>
      <c r="V146" s="319"/>
      <c r="W146" s="319"/>
      <c r="X146" s="319"/>
      <c r="Y146" s="319"/>
      <c r="Z146" s="319"/>
    </row>
    <row r="147" ht="15.75" customHeight="1">
      <c r="A147" s="319"/>
      <c r="B147" s="319"/>
      <c r="C147" s="319"/>
      <c r="D147" s="319"/>
      <c r="E147" s="319"/>
      <c r="F147" s="319"/>
      <c r="G147" s="319"/>
      <c r="H147" s="319"/>
      <c r="I147" s="319"/>
      <c r="J147" s="319"/>
      <c r="K147" s="319"/>
      <c r="L147" s="319"/>
      <c r="M147" s="319"/>
      <c r="N147" s="319"/>
      <c r="O147" s="319"/>
      <c r="P147" s="319"/>
      <c r="Q147" s="319"/>
      <c r="R147" s="319"/>
      <c r="S147" s="319"/>
      <c r="T147" s="319"/>
      <c r="U147" s="319"/>
      <c r="V147" s="319"/>
      <c r="W147" s="319"/>
      <c r="X147" s="319"/>
      <c r="Y147" s="319"/>
      <c r="Z147" s="319"/>
    </row>
    <row r="148" ht="15.75" customHeight="1">
      <c r="A148" s="319"/>
      <c r="B148" s="319"/>
      <c r="C148" s="319"/>
      <c r="D148" s="319"/>
      <c r="E148" s="319"/>
      <c r="F148" s="319"/>
      <c r="G148" s="319"/>
      <c r="H148" s="319"/>
      <c r="I148" s="319"/>
      <c r="J148" s="319"/>
      <c r="K148" s="319"/>
      <c r="L148" s="319"/>
      <c r="M148" s="319"/>
      <c r="N148" s="319"/>
      <c r="O148" s="319"/>
      <c r="P148" s="319"/>
      <c r="Q148" s="319"/>
      <c r="R148" s="319"/>
      <c r="S148" s="319"/>
      <c r="T148" s="319"/>
      <c r="U148" s="319"/>
      <c r="V148" s="319"/>
      <c r="W148" s="319"/>
      <c r="X148" s="319"/>
      <c r="Y148" s="319"/>
      <c r="Z148" s="319"/>
    </row>
    <row r="149" ht="15.75" customHeight="1">
      <c r="A149" s="319"/>
      <c r="B149" s="319"/>
      <c r="C149" s="319"/>
      <c r="D149" s="319"/>
      <c r="E149" s="319"/>
      <c r="F149" s="319"/>
      <c r="G149" s="319"/>
      <c r="H149" s="319"/>
      <c r="I149" s="319"/>
      <c r="J149" s="319"/>
      <c r="K149" s="319"/>
      <c r="L149" s="319"/>
      <c r="M149" s="319"/>
      <c r="N149" s="319"/>
      <c r="O149" s="319"/>
      <c r="P149" s="319"/>
      <c r="Q149" s="319"/>
      <c r="R149" s="319"/>
      <c r="S149" s="319"/>
      <c r="T149" s="319"/>
      <c r="U149" s="319"/>
      <c r="V149" s="319"/>
      <c r="W149" s="319"/>
      <c r="X149" s="319"/>
      <c r="Y149" s="319"/>
      <c r="Z149" s="319"/>
    </row>
    <row r="150" ht="15.75" customHeight="1">
      <c r="A150" s="319"/>
      <c r="B150" s="319"/>
      <c r="C150" s="319"/>
      <c r="D150" s="319"/>
      <c r="E150" s="319"/>
      <c r="F150" s="319"/>
      <c r="G150" s="319"/>
      <c r="H150" s="319"/>
      <c r="I150" s="319"/>
      <c r="J150" s="319"/>
      <c r="K150" s="319"/>
      <c r="L150" s="319"/>
      <c r="M150" s="319"/>
      <c r="N150" s="319"/>
      <c r="O150" s="319"/>
      <c r="P150" s="319"/>
      <c r="Q150" s="319"/>
      <c r="R150" s="319"/>
      <c r="S150" s="319"/>
      <c r="T150" s="319"/>
      <c r="U150" s="319"/>
      <c r="V150" s="319"/>
      <c r="W150" s="319"/>
      <c r="X150" s="319"/>
      <c r="Y150" s="319"/>
      <c r="Z150" s="319"/>
    </row>
    <row r="151" ht="15.75" customHeight="1">
      <c r="A151" s="319"/>
      <c r="B151" s="319"/>
      <c r="C151" s="319"/>
      <c r="D151" s="319"/>
      <c r="E151" s="319"/>
      <c r="F151" s="319"/>
      <c r="G151" s="319"/>
      <c r="H151" s="319"/>
      <c r="I151" s="319"/>
      <c r="J151" s="319"/>
      <c r="K151" s="319"/>
      <c r="L151" s="319"/>
      <c r="M151" s="319"/>
      <c r="N151" s="319"/>
      <c r="O151" s="319"/>
      <c r="P151" s="319"/>
      <c r="Q151" s="319"/>
      <c r="R151" s="319"/>
      <c r="S151" s="319"/>
      <c r="T151" s="319"/>
      <c r="U151" s="319"/>
      <c r="V151" s="319"/>
      <c r="W151" s="319"/>
      <c r="X151" s="319"/>
      <c r="Y151" s="319"/>
      <c r="Z151" s="319"/>
    </row>
    <row r="152" ht="15.75" customHeight="1">
      <c r="A152" s="319"/>
      <c r="B152" s="319"/>
      <c r="C152" s="319"/>
      <c r="D152" s="319"/>
      <c r="E152" s="319"/>
      <c r="F152" s="319"/>
      <c r="G152" s="319"/>
      <c r="H152" s="319"/>
      <c r="I152" s="319"/>
      <c r="J152" s="319"/>
      <c r="K152" s="319"/>
      <c r="L152" s="319"/>
      <c r="M152" s="319"/>
      <c r="N152" s="319"/>
      <c r="O152" s="319"/>
      <c r="P152" s="319"/>
      <c r="Q152" s="319"/>
      <c r="R152" s="319"/>
      <c r="S152" s="319"/>
      <c r="T152" s="319"/>
      <c r="U152" s="319"/>
      <c r="V152" s="319"/>
      <c r="W152" s="319"/>
      <c r="X152" s="319"/>
      <c r="Y152" s="319"/>
      <c r="Z152" s="319"/>
    </row>
    <row r="153" ht="15.75" customHeight="1">
      <c r="A153" s="319"/>
      <c r="B153" s="319"/>
      <c r="C153" s="319"/>
      <c r="D153" s="319"/>
      <c r="E153" s="319"/>
      <c r="F153" s="319"/>
      <c r="G153" s="319"/>
      <c r="H153" s="319"/>
      <c r="I153" s="319"/>
      <c r="J153" s="319"/>
      <c r="K153" s="319"/>
      <c r="L153" s="319"/>
      <c r="M153" s="319"/>
      <c r="N153" s="319"/>
      <c r="O153" s="319"/>
      <c r="P153" s="319"/>
      <c r="Q153" s="319"/>
      <c r="R153" s="319"/>
      <c r="S153" s="319"/>
      <c r="T153" s="319"/>
      <c r="U153" s="319"/>
      <c r="V153" s="319"/>
      <c r="W153" s="319"/>
      <c r="X153" s="319"/>
      <c r="Y153" s="319"/>
      <c r="Z153" s="319"/>
    </row>
    <row r="154" ht="15.75" customHeight="1">
      <c r="A154" s="319"/>
      <c r="B154" s="319"/>
      <c r="C154" s="319"/>
      <c r="D154" s="319"/>
      <c r="E154" s="319"/>
      <c r="F154" s="319"/>
      <c r="G154" s="319"/>
      <c r="H154" s="319"/>
      <c r="I154" s="319"/>
      <c r="J154" s="319"/>
      <c r="K154" s="319"/>
      <c r="L154" s="319"/>
      <c r="M154" s="319"/>
      <c r="N154" s="319"/>
      <c r="O154" s="319"/>
      <c r="P154" s="319"/>
      <c r="Q154" s="319"/>
      <c r="R154" s="319"/>
      <c r="S154" s="319"/>
      <c r="T154" s="319"/>
      <c r="U154" s="319"/>
      <c r="V154" s="319"/>
      <c r="W154" s="319"/>
      <c r="X154" s="319"/>
      <c r="Y154" s="319"/>
      <c r="Z154" s="319"/>
    </row>
    <row r="155" ht="15.75" customHeight="1">
      <c r="A155" s="319"/>
      <c r="B155" s="319"/>
      <c r="C155" s="319"/>
      <c r="D155" s="319"/>
      <c r="E155" s="319"/>
      <c r="F155" s="319"/>
      <c r="G155" s="319"/>
      <c r="H155" s="319"/>
      <c r="I155" s="319"/>
      <c r="J155" s="319"/>
      <c r="K155" s="319"/>
      <c r="L155" s="319"/>
      <c r="M155" s="319"/>
      <c r="N155" s="319"/>
      <c r="O155" s="319"/>
      <c r="P155" s="319"/>
      <c r="Q155" s="319"/>
      <c r="R155" s="319"/>
      <c r="S155" s="319"/>
      <c r="T155" s="319"/>
      <c r="U155" s="319"/>
      <c r="V155" s="319"/>
      <c r="W155" s="319"/>
      <c r="X155" s="319"/>
      <c r="Y155" s="319"/>
      <c r="Z155" s="319"/>
    </row>
    <row r="156" ht="15.75" customHeight="1">
      <c r="A156" s="319"/>
      <c r="B156" s="319"/>
      <c r="C156" s="319"/>
      <c r="D156" s="319"/>
      <c r="E156" s="319"/>
      <c r="F156" s="319"/>
      <c r="G156" s="319"/>
      <c r="H156" s="319"/>
      <c r="I156" s="319"/>
      <c r="J156" s="319"/>
      <c r="K156" s="319"/>
      <c r="L156" s="319"/>
      <c r="M156" s="319"/>
      <c r="N156" s="319"/>
      <c r="O156" s="319"/>
      <c r="P156" s="319"/>
      <c r="Q156" s="319"/>
      <c r="R156" s="319"/>
      <c r="S156" s="319"/>
      <c r="T156" s="319"/>
      <c r="U156" s="319"/>
      <c r="V156" s="319"/>
      <c r="W156" s="319"/>
      <c r="X156" s="319"/>
      <c r="Y156" s="319"/>
      <c r="Z156" s="319"/>
    </row>
    <row r="157" ht="15.75" customHeight="1">
      <c r="A157" s="319"/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9"/>
      <c r="T157" s="319"/>
      <c r="U157" s="319"/>
      <c r="V157" s="319"/>
      <c r="W157" s="319"/>
      <c r="X157" s="319"/>
      <c r="Y157" s="319"/>
      <c r="Z157" s="319"/>
    </row>
    <row r="158" ht="15.75" customHeight="1">
      <c r="A158" s="319"/>
      <c r="B158" s="319"/>
      <c r="C158" s="319"/>
      <c r="D158" s="319"/>
      <c r="E158" s="319"/>
      <c r="F158" s="319"/>
      <c r="G158" s="319"/>
      <c r="H158" s="319"/>
      <c r="I158" s="319"/>
      <c r="J158" s="319"/>
      <c r="K158" s="319"/>
      <c r="L158" s="319"/>
      <c r="M158" s="319"/>
      <c r="N158" s="319"/>
      <c r="O158" s="319"/>
      <c r="P158" s="319"/>
      <c r="Q158" s="319"/>
      <c r="R158" s="319"/>
      <c r="S158" s="319"/>
      <c r="T158" s="319"/>
      <c r="U158" s="319"/>
      <c r="V158" s="319"/>
      <c r="W158" s="319"/>
      <c r="X158" s="319"/>
      <c r="Y158" s="319"/>
      <c r="Z158" s="319"/>
    </row>
    <row r="159" ht="15.75" customHeight="1">
      <c r="A159" s="319"/>
      <c r="B159" s="319"/>
      <c r="C159" s="319"/>
      <c r="D159" s="319"/>
      <c r="E159" s="319"/>
      <c r="F159" s="319"/>
      <c r="G159" s="319"/>
      <c r="H159" s="319"/>
      <c r="I159" s="319"/>
      <c r="J159" s="319"/>
      <c r="K159" s="319"/>
      <c r="L159" s="319"/>
      <c r="M159" s="319"/>
      <c r="N159" s="319"/>
      <c r="O159" s="319"/>
      <c r="P159" s="319"/>
      <c r="Q159" s="319"/>
      <c r="R159" s="319"/>
      <c r="S159" s="319"/>
      <c r="T159" s="319"/>
      <c r="U159" s="319"/>
      <c r="V159" s="319"/>
      <c r="W159" s="319"/>
      <c r="X159" s="319"/>
      <c r="Y159" s="319"/>
      <c r="Z159" s="319"/>
    </row>
    <row r="160" ht="15.75" customHeight="1">
      <c r="A160" s="319"/>
      <c r="B160" s="319"/>
      <c r="C160" s="319"/>
      <c r="D160" s="319"/>
      <c r="E160" s="319"/>
      <c r="F160" s="319"/>
      <c r="G160" s="319"/>
      <c r="H160" s="319"/>
      <c r="I160" s="319"/>
      <c r="J160" s="319"/>
      <c r="K160" s="319"/>
      <c r="L160" s="319"/>
      <c r="M160" s="319"/>
      <c r="N160" s="319"/>
      <c r="O160" s="319"/>
      <c r="P160" s="319"/>
      <c r="Q160" s="319"/>
      <c r="R160" s="319"/>
      <c r="S160" s="319"/>
      <c r="T160" s="319"/>
      <c r="U160" s="319"/>
      <c r="V160" s="319"/>
      <c r="W160" s="319"/>
      <c r="X160" s="319"/>
      <c r="Y160" s="319"/>
      <c r="Z160" s="319"/>
    </row>
    <row r="161" ht="15.75" customHeight="1">
      <c r="A161" s="319"/>
      <c r="B161" s="319"/>
      <c r="C161" s="319"/>
      <c r="D161" s="319"/>
      <c r="E161" s="319"/>
      <c r="F161" s="319"/>
      <c r="G161" s="319"/>
      <c r="H161" s="319"/>
      <c r="I161" s="319"/>
      <c r="J161" s="319"/>
      <c r="K161" s="319"/>
      <c r="L161" s="319"/>
      <c r="M161" s="319"/>
      <c r="N161" s="319"/>
      <c r="O161" s="319"/>
      <c r="P161" s="319"/>
      <c r="Q161" s="319"/>
      <c r="R161" s="319"/>
      <c r="S161" s="319"/>
      <c r="T161" s="319"/>
      <c r="U161" s="319"/>
      <c r="V161" s="319"/>
      <c r="W161" s="319"/>
      <c r="X161" s="319"/>
      <c r="Y161" s="319"/>
      <c r="Z161" s="319"/>
    </row>
    <row r="162" ht="15.75" customHeight="1">
      <c r="A162" s="319"/>
      <c r="B162" s="319"/>
      <c r="C162" s="319"/>
      <c r="D162" s="319"/>
      <c r="E162" s="319"/>
      <c r="F162" s="319"/>
      <c r="G162" s="319"/>
      <c r="H162" s="319"/>
      <c r="I162" s="319"/>
      <c r="J162" s="319"/>
      <c r="K162" s="319"/>
      <c r="L162" s="319"/>
      <c r="M162" s="319"/>
      <c r="N162" s="319"/>
      <c r="O162" s="319"/>
      <c r="P162" s="319"/>
      <c r="Q162" s="319"/>
      <c r="R162" s="319"/>
      <c r="S162" s="319"/>
      <c r="T162" s="319"/>
      <c r="U162" s="319"/>
      <c r="V162" s="319"/>
      <c r="W162" s="319"/>
      <c r="X162" s="319"/>
      <c r="Y162" s="319"/>
      <c r="Z162" s="319"/>
    </row>
    <row r="163" ht="15.75" customHeight="1">
      <c r="A163" s="319"/>
      <c r="B163" s="319"/>
      <c r="C163" s="319"/>
      <c r="D163" s="319"/>
      <c r="E163" s="319"/>
      <c r="F163" s="319"/>
      <c r="G163" s="319"/>
      <c r="H163" s="319"/>
      <c r="I163" s="319"/>
      <c r="J163" s="319"/>
      <c r="K163" s="319"/>
      <c r="L163" s="319"/>
      <c r="M163" s="319"/>
      <c r="N163" s="319"/>
      <c r="O163" s="319"/>
      <c r="P163" s="319"/>
      <c r="Q163" s="319"/>
      <c r="R163" s="319"/>
      <c r="S163" s="319"/>
      <c r="T163" s="319"/>
      <c r="U163" s="319"/>
      <c r="V163" s="319"/>
      <c r="W163" s="319"/>
      <c r="X163" s="319"/>
      <c r="Y163" s="319"/>
      <c r="Z163" s="319"/>
    </row>
    <row r="164" ht="15.75" customHeight="1">
      <c r="A164" s="319"/>
      <c r="B164" s="319"/>
      <c r="C164" s="319"/>
      <c r="D164" s="319"/>
      <c r="E164" s="319"/>
      <c r="F164" s="319"/>
      <c r="G164" s="319"/>
      <c r="H164" s="319"/>
      <c r="I164" s="319"/>
      <c r="J164" s="319"/>
      <c r="K164" s="319"/>
      <c r="L164" s="319"/>
      <c r="M164" s="319"/>
      <c r="N164" s="319"/>
      <c r="O164" s="319"/>
      <c r="P164" s="319"/>
      <c r="Q164" s="319"/>
      <c r="R164" s="319"/>
      <c r="S164" s="319"/>
      <c r="T164" s="319"/>
      <c r="U164" s="319"/>
      <c r="V164" s="319"/>
      <c r="W164" s="319"/>
      <c r="X164" s="319"/>
      <c r="Y164" s="319"/>
      <c r="Z164" s="319"/>
    </row>
    <row r="165" ht="15.75" customHeight="1">
      <c r="A165" s="319"/>
      <c r="B165" s="319"/>
      <c r="C165" s="319"/>
      <c r="D165" s="319"/>
      <c r="E165" s="319"/>
      <c r="F165" s="319"/>
      <c r="G165" s="319"/>
      <c r="H165" s="319"/>
      <c r="I165" s="319"/>
      <c r="J165" s="319"/>
      <c r="K165" s="319"/>
      <c r="L165" s="319"/>
      <c r="M165" s="319"/>
      <c r="N165" s="319"/>
      <c r="O165" s="319"/>
      <c r="P165" s="319"/>
      <c r="Q165" s="319"/>
      <c r="R165" s="319"/>
      <c r="S165" s="319"/>
      <c r="T165" s="319"/>
      <c r="U165" s="319"/>
      <c r="V165" s="319"/>
      <c r="W165" s="319"/>
      <c r="X165" s="319"/>
      <c r="Y165" s="319"/>
      <c r="Z165" s="319"/>
    </row>
    <row r="166" ht="15.75" customHeight="1">
      <c r="A166" s="319"/>
      <c r="B166" s="319"/>
      <c r="C166" s="319"/>
      <c r="D166" s="319"/>
      <c r="E166" s="319"/>
      <c r="F166" s="319"/>
      <c r="G166" s="319"/>
      <c r="H166" s="319"/>
      <c r="I166" s="319"/>
      <c r="J166" s="319"/>
      <c r="K166" s="319"/>
      <c r="L166" s="319"/>
      <c r="M166" s="319"/>
      <c r="N166" s="319"/>
      <c r="O166" s="319"/>
      <c r="P166" s="319"/>
      <c r="Q166" s="319"/>
      <c r="R166" s="319"/>
      <c r="S166" s="319"/>
      <c r="T166" s="319"/>
      <c r="U166" s="319"/>
      <c r="V166" s="319"/>
      <c r="W166" s="319"/>
      <c r="X166" s="319"/>
      <c r="Y166" s="319"/>
      <c r="Z166" s="319"/>
    </row>
    <row r="167" ht="15.75" customHeight="1">
      <c r="A167" s="319"/>
      <c r="B167" s="319"/>
      <c r="C167" s="319"/>
      <c r="D167" s="319"/>
      <c r="E167" s="319"/>
      <c r="F167" s="319"/>
      <c r="G167" s="319"/>
      <c r="H167" s="319"/>
      <c r="I167" s="319"/>
      <c r="J167" s="319"/>
      <c r="K167" s="319"/>
      <c r="L167" s="319"/>
      <c r="M167" s="319"/>
      <c r="N167" s="319"/>
      <c r="O167" s="319"/>
      <c r="P167" s="319"/>
      <c r="Q167" s="319"/>
      <c r="R167" s="319"/>
      <c r="S167" s="319"/>
      <c r="T167" s="319"/>
      <c r="U167" s="319"/>
      <c r="V167" s="319"/>
      <c r="W167" s="319"/>
      <c r="X167" s="319"/>
      <c r="Y167" s="319"/>
      <c r="Z167" s="319"/>
    </row>
    <row r="168" ht="15.75" customHeight="1">
      <c r="A168" s="319"/>
      <c r="B168" s="319"/>
      <c r="C168" s="319"/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</row>
    <row r="169" ht="15.75" customHeight="1">
      <c r="A169" s="319"/>
      <c r="B169" s="319"/>
      <c r="C169" s="319"/>
      <c r="D169" s="319"/>
      <c r="E169" s="319"/>
      <c r="F169" s="319"/>
      <c r="G169" s="319"/>
      <c r="H169" s="319"/>
      <c r="I169" s="319"/>
      <c r="J169" s="319"/>
      <c r="K169" s="319"/>
      <c r="L169" s="319"/>
      <c r="M169" s="319"/>
      <c r="N169" s="319"/>
      <c r="O169" s="319"/>
      <c r="P169" s="319"/>
      <c r="Q169" s="319"/>
      <c r="R169" s="319"/>
      <c r="S169" s="319"/>
      <c r="T169" s="319"/>
      <c r="U169" s="319"/>
      <c r="V169" s="319"/>
      <c r="W169" s="319"/>
      <c r="X169" s="319"/>
      <c r="Y169" s="319"/>
      <c r="Z169" s="319"/>
    </row>
    <row r="170" ht="15.75" customHeight="1">
      <c r="A170" s="319"/>
      <c r="B170" s="319"/>
      <c r="C170" s="319"/>
      <c r="D170" s="319"/>
      <c r="E170" s="319"/>
      <c r="F170" s="319"/>
      <c r="G170" s="319"/>
      <c r="H170" s="319"/>
      <c r="I170" s="319"/>
      <c r="J170" s="319"/>
      <c r="K170" s="319"/>
      <c r="L170" s="319"/>
      <c r="M170" s="319"/>
      <c r="N170" s="319"/>
      <c r="O170" s="319"/>
      <c r="P170" s="319"/>
      <c r="Q170" s="319"/>
      <c r="R170" s="319"/>
      <c r="S170" s="319"/>
      <c r="T170" s="319"/>
      <c r="U170" s="319"/>
      <c r="V170" s="319"/>
      <c r="W170" s="319"/>
      <c r="X170" s="319"/>
      <c r="Y170" s="319"/>
      <c r="Z170" s="319"/>
    </row>
    <row r="171" ht="15.75" customHeight="1">
      <c r="A171" s="319"/>
      <c r="B171" s="319"/>
      <c r="C171" s="319"/>
      <c r="D171" s="319"/>
      <c r="E171" s="319"/>
      <c r="F171" s="319"/>
      <c r="G171" s="319"/>
      <c r="H171" s="319"/>
      <c r="I171" s="319"/>
      <c r="J171" s="319"/>
      <c r="K171" s="319"/>
      <c r="L171" s="319"/>
      <c r="M171" s="319"/>
      <c r="N171" s="319"/>
      <c r="O171" s="319"/>
      <c r="P171" s="319"/>
      <c r="Q171" s="319"/>
      <c r="R171" s="319"/>
      <c r="S171" s="319"/>
      <c r="T171" s="319"/>
      <c r="U171" s="319"/>
      <c r="V171" s="319"/>
      <c r="W171" s="319"/>
      <c r="X171" s="319"/>
      <c r="Y171" s="319"/>
      <c r="Z171" s="319"/>
    </row>
    <row r="172" ht="15.75" customHeight="1">
      <c r="A172" s="319"/>
      <c r="B172" s="319"/>
      <c r="C172" s="319"/>
      <c r="D172" s="319"/>
      <c r="E172" s="319"/>
      <c r="F172" s="319"/>
      <c r="G172" s="319"/>
      <c r="H172" s="319"/>
      <c r="I172" s="319"/>
      <c r="J172" s="319"/>
      <c r="K172" s="319"/>
      <c r="L172" s="319"/>
      <c r="M172" s="319"/>
      <c r="N172" s="319"/>
      <c r="O172" s="319"/>
      <c r="P172" s="319"/>
      <c r="Q172" s="319"/>
      <c r="R172" s="319"/>
      <c r="S172" s="319"/>
      <c r="T172" s="319"/>
      <c r="U172" s="319"/>
      <c r="V172" s="319"/>
      <c r="W172" s="319"/>
      <c r="X172" s="319"/>
      <c r="Y172" s="319"/>
      <c r="Z172" s="319"/>
    </row>
    <row r="173" ht="15.75" customHeight="1">
      <c r="A173" s="319"/>
      <c r="B173" s="319"/>
      <c r="C173" s="319"/>
      <c r="D173" s="319"/>
      <c r="E173" s="319"/>
      <c r="F173" s="319"/>
      <c r="G173" s="319"/>
      <c r="H173" s="319"/>
      <c r="I173" s="319"/>
      <c r="J173" s="319"/>
      <c r="K173" s="319"/>
      <c r="L173" s="319"/>
      <c r="M173" s="319"/>
      <c r="N173" s="319"/>
      <c r="O173" s="319"/>
      <c r="P173" s="319"/>
      <c r="Q173" s="319"/>
      <c r="R173" s="319"/>
      <c r="S173" s="319"/>
      <c r="T173" s="319"/>
      <c r="U173" s="319"/>
      <c r="V173" s="319"/>
      <c r="W173" s="319"/>
      <c r="X173" s="319"/>
      <c r="Y173" s="319"/>
      <c r="Z173" s="319"/>
    </row>
    <row r="174" ht="15.75" customHeight="1">
      <c r="A174" s="319"/>
      <c r="B174" s="319"/>
      <c r="C174" s="319"/>
      <c r="D174" s="319"/>
      <c r="E174" s="319"/>
      <c r="F174" s="319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  <c r="Z174" s="319"/>
    </row>
    <row r="175" ht="15.75" customHeight="1">
      <c r="A175" s="319"/>
      <c r="B175" s="319"/>
      <c r="C175" s="319"/>
      <c r="D175" s="319"/>
      <c r="E175" s="319"/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  <c r="Z175" s="319"/>
    </row>
    <row r="176" ht="15.75" customHeight="1">
      <c r="A176" s="319"/>
      <c r="B176" s="319"/>
      <c r="C176" s="319"/>
      <c r="D176" s="319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  <c r="Z176" s="319"/>
    </row>
    <row r="177" ht="15.75" customHeight="1">
      <c r="A177" s="319"/>
      <c r="B177" s="319"/>
      <c r="C177" s="319"/>
      <c r="D177" s="319"/>
      <c r="E177" s="319"/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  <c r="Z177" s="319"/>
    </row>
    <row r="178" ht="15.75" customHeight="1">
      <c r="A178" s="319"/>
      <c r="B178" s="319"/>
      <c r="C178" s="319"/>
      <c r="D178" s="319"/>
      <c r="E178" s="319"/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  <c r="Z178" s="319"/>
    </row>
    <row r="179" ht="15.75" customHeight="1">
      <c r="A179" s="319"/>
      <c r="B179" s="319"/>
      <c r="C179" s="319"/>
      <c r="D179" s="319"/>
      <c r="E179" s="319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  <c r="Z179" s="319"/>
    </row>
    <row r="180" ht="15.75" customHeight="1">
      <c r="A180" s="319"/>
      <c r="B180" s="319"/>
      <c r="C180" s="319"/>
      <c r="D180" s="319"/>
      <c r="E180" s="319"/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  <c r="Z180" s="319"/>
    </row>
    <row r="181" ht="15.75" customHeight="1">
      <c r="A181" s="319"/>
      <c r="B181" s="319"/>
      <c r="C181" s="319"/>
      <c r="D181" s="319"/>
      <c r="E181" s="319"/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  <c r="Z181" s="319"/>
    </row>
    <row r="182" ht="15.75" customHeight="1">
      <c r="A182" s="319"/>
      <c r="B182" s="319"/>
      <c r="C182" s="319"/>
      <c r="D182" s="319"/>
      <c r="E182" s="319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  <c r="Z182" s="319"/>
    </row>
    <row r="183" ht="15.75" customHeight="1">
      <c r="A183" s="319"/>
      <c r="B183" s="319"/>
      <c r="C183" s="319"/>
      <c r="D183" s="319"/>
      <c r="E183" s="319"/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  <c r="Z183" s="319"/>
    </row>
    <row r="184" ht="15.75" customHeight="1">
      <c r="A184" s="319"/>
      <c r="B184" s="319"/>
      <c r="C184" s="319"/>
      <c r="D184" s="319"/>
      <c r="E184" s="319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  <c r="Z184" s="319"/>
    </row>
    <row r="185" ht="15.75" customHeight="1">
      <c r="A185" s="319"/>
      <c r="B185" s="319"/>
      <c r="C185" s="319"/>
      <c r="D185" s="319"/>
      <c r="E185" s="319"/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  <c r="Z185" s="319"/>
    </row>
    <row r="186" ht="15.75" customHeight="1">
      <c r="A186" s="319"/>
      <c r="B186" s="319"/>
      <c r="C186" s="319"/>
      <c r="D186" s="319"/>
      <c r="E186" s="319"/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  <c r="Z186" s="319"/>
    </row>
    <row r="187" ht="15.75" customHeight="1">
      <c r="A187" s="319"/>
      <c r="B187" s="319"/>
      <c r="C187" s="319"/>
      <c r="D187" s="319"/>
      <c r="E187" s="319"/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  <c r="Z187" s="319"/>
    </row>
    <row r="188" ht="15.75" customHeight="1">
      <c r="A188" s="319"/>
      <c r="B188" s="319"/>
      <c r="C188" s="319"/>
      <c r="D188" s="319"/>
      <c r="E188" s="319"/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  <c r="Z188" s="319"/>
    </row>
    <row r="189" ht="15.75" customHeight="1">
      <c r="A189" s="319"/>
      <c r="B189" s="319"/>
      <c r="C189" s="319"/>
      <c r="D189" s="319"/>
      <c r="E189" s="319"/>
      <c r="F189" s="319"/>
      <c r="G189" s="319"/>
      <c r="H189" s="319"/>
      <c r="I189" s="319"/>
      <c r="J189" s="319"/>
      <c r="K189" s="319"/>
      <c r="L189" s="319"/>
      <c r="M189" s="319"/>
      <c r="N189" s="319"/>
      <c r="O189" s="319"/>
      <c r="P189" s="319"/>
      <c r="Q189" s="319"/>
      <c r="R189" s="319"/>
      <c r="S189" s="319"/>
      <c r="T189" s="319"/>
      <c r="U189" s="319"/>
      <c r="V189" s="319"/>
      <c r="W189" s="319"/>
      <c r="X189" s="319"/>
      <c r="Y189" s="319"/>
      <c r="Z189" s="319"/>
    </row>
    <row r="190" ht="15.75" customHeight="1">
      <c r="A190" s="319"/>
      <c r="B190" s="319"/>
      <c r="C190" s="319"/>
      <c r="D190" s="319"/>
      <c r="E190" s="319"/>
      <c r="F190" s="319"/>
      <c r="G190" s="319"/>
      <c r="H190" s="319"/>
      <c r="I190" s="319"/>
      <c r="J190" s="319"/>
      <c r="K190" s="319"/>
      <c r="L190" s="319"/>
      <c r="M190" s="319"/>
      <c r="N190" s="319"/>
      <c r="O190" s="319"/>
      <c r="P190" s="319"/>
      <c r="Q190" s="319"/>
      <c r="R190" s="319"/>
      <c r="S190" s="319"/>
      <c r="T190" s="319"/>
      <c r="U190" s="319"/>
      <c r="V190" s="319"/>
      <c r="W190" s="319"/>
      <c r="X190" s="319"/>
      <c r="Y190" s="319"/>
      <c r="Z190" s="319"/>
    </row>
    <row r="191" ht="15.75" customHeight="1">
      <c r="A191" s="319"/>
      <c r="B191" s="319"/>
      <c r="C191" s="319"/>
      <c r="D191" s="319"/>
      <c r="E191" s="319"/>
      <c r="F191" s="319"/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  <c r="R191" s="319"/>
      <c r="S191" s="319"/>
      <c r="T191" s="319"/>
      <c r="U191" s="319"/>
      <c r="V191" s="319"/>
      <c r="W191" s="319"/>
      <c r="X191" s="319"/>
      <c r="Y191" s="319"/>
      <c r="Z191" s="319"/>
    </row>
    <row r="192" ht="15.75" customHeight="1">
      <c r="A192" s="319"/>
      <c r="B192" s="319"/>
      <c r="C192" s="319"/>
      <c r="D192" s="319"/>
      <c r="E192" s="319"/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319"/>
      <c r="W192" s="319"/>
      <c r="X192" s="319"/>
      <c r="Y192" s="319"/>
      <c r="Z192" s="319"/>
    </row>
    <row r="193" ht="15.75" customHeight="1">
      <c r="A193" s="319"/>
      <c r="B193" s="319"/>
      <c r="C193" s="319"/>
      <c r="D193" s="319"/>
      <c r="E193" s="319"/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319"/>
      <c r="W193" s="319"/>
      <c r="X193" s="319"/>
      <c r="Y193" s="319"/>
      <c r="Z193" s="319"/>
    </row>
    <row r="194" ht="15.75" customHeight="1">
      <c r="A194" s="319"/>
      <c r="B194" s="319"/>
      <c r="C194" s="319"/>
      <c r="D194" s="319"/>
      <c r="E194" s="319"/>
      <c r="F194" s="319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319"/>
      <c r="W194" s="319"/>
      <c r="X194" s="319"/>
      <c r="Y194" s="319"/>
      <c r="Z194" s="319"/>
    </row>
    <row r="195" ht="15.75" customHeight="1">
      <c r="A195" s="319"/>
      <c r="B195" s="319"/>
      <c r="C195" s="319"/>
      <c r="D195" s="319"/>
      <c r="E195" s="319"/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319"/>
      <c r="W195" s="319"/>
      <c r="X195" s="319"/>
      <c r="Y195" s="319"/>
      <c r="Z195" s="319"/>
    </row>
    <row r="196" ht="15.75" customHeight="1">
      <c r="A196" s="319"/>
      <c r="B196" s="319"/>
      <c r="C196" s="319"/>
      <c r="D196" s="319"/>
      <c r="E196" s="319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319"/>
      <c r="W196" s="319"/>
      <c r="X196" s="319"/>
      <c r="Y196" s="319"/>
      <c r="Z196" s="319"/>
    </row>
    <row r="197" ht="15.75" customHeight="1">
      <c r="A197" s="319"/>
      <c r="B197" s="31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  <c r="Z197" s="319"/>
    </row>
    <row r="198" ht="15.75" customHeight="1">
      <c r="A198" s="319"/>
      <c r="B198" s="319"/>
      <c r="C198" s="319"/>
      <c r="D198" s="319"/>
      <c r="E198" s="319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  <c r="Z198" s="319"/>
    </row>
    <row r="199" ht="15.75" customHeight="1">
      <c r="A199" s="319"/>
      <c r="B199" s="319"/>
      <c r="C199" s="319"/>
      <c r="D199" s="319"/>
      <c r="E199" s="319"/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  <c r="Z199" s="319"/>
    </row>
    <row r="200" ht="15.75" customHeight="1">
      <c r="A200" s="319"/>
      <c r="B200" s="319"/>
      <c r="C200" s="319"/>
      <c r="D200" s="319"/>
      <c r="E200" s="319"/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  <c r="Z200" s="319"/>
    </row>
    <row r="201" ht="15.75" customHeight="1">
      <c r="A201" s="319"/>
      <c r="B201" s="319"/>
      <c r="C201" s="319"/>
      <c r="D201" s="319"/>
      <c r="E201" s="319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  <c r="Z201" s="319"/>
    </row>
    <row r="202" ht="15.75" customHeight="1">
      <c r="A202" s="319"/>
      <c r="B202" s="319"/>
      <c r="C202" s="319"/>
      <c r="D202" s="319"/>
      <c r="E202" s="319"/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319"/>
      <c r="W202" s="319"/>
      <c r="X202" s="319"/>
      <c r="Y202" s="319"/>
      <c r="Z202" s="319"/>
    </row>
    <row r="203" ht="15.75" customHeight="1">
      <c r="A203" s="319"/>
      <c r="B203" s="319"/>
      <c r="C203" s="319"/>
      <c r="D203" s="319"/>
      <c r="E203" s="319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319"/>
      <c r="W203" s="319"/>
      <c r="X203" s="319"/>
      <c r="Y203" s="319"/>
      <c r="Z203" s="319"/>
    </row>
    <row r="204" ht="15.75" customHeight="1">
      <c r="A204" s="319"/>
      <c r="B204" s="319"/>
      <c r="C204" s="319"/>
      <c r="D204" s="319"/>
      <c r="E204" s="319"/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319"/>
      <c r="W204" s="319"/>
      <c r="X204" s="319"/>
      <c r="Y204" s="319"/>
      <c r="Z204" s="319"/>
    </row>
    <row r="205" ht="15.75" customHeight="1">
      <c r="A205" s="319"/>
      <c r="B205" s="319"/>
      <c r="C205" s="319"/>
      <c r="D205" s="319"/>
      <c r="E205" s="319"/>
      <c r="F205" s="319"/>
      <c r="G205" s="319"/>
      <c r="H205" s="319"/>
      <c r="I205" s="319"/>
      <c r="J205" s="319"/>
      <c r="K205" s="319"/>
      <c r="L205" s="319"/>
      <c r="M205" s="319"/>
      <c r="N205" s="319"/>
      <c r="O205" s="319"/>
      <c r="P205" s="319"/>
      <c r="Q205" s="319"/>
      <c r="R205" s="319"/>
      <c r="S205" s="319"/>
      <c r="T205" s="319"/>
      <c r="U205" s="319"/>
      <c r="V205" s="319"/>
      <c r="W205" s="319"/>
      <c r="X205" s="319"/>
      <c r="Y205" s="319"/>
      <c r="Z205" s="319"/>
    </row>
    <row r="206" ht="15.75" customHeight="1">
      <c r="A206" s="319"/>
      <c r="B206" s="319"/>
      <c r="C206" s="319"/>
      <c r="D206" s="319"/>
      <c r="E206" s="319"/>
      <c r="F206" s="319"/>
      <c r="G206" s="319"/>
      <c r="H206" s="319"/>
      <c r="I206" s="319"/>
      <c r="J206" s="319"/>
      <c r="K206" s="319"/>
      <c r="L206" s="319"/>
      <c r="M206" s="319"/>
      <c r="N206" s="319"/>
      <c r="O206" s="319"/>
      <c r="P206" s="319"/>
      <c r="Q206" s="319"/>
      <c r="R206" s="319"/>
      <c r="S206" s="319"/>
      <c r="T206" s="319"/>
      <c r="U206" s="319"/>
      <c r="V206" s="319"/>
      <c r="W206" s="319"/>
      <c r="X206" s="319"/>
      <c r="Y206" s="319"/>
      <c r="Z206" s="319"/>
    </row>
    <row r="207" ht="15.75" customHeight="1">
      <c r="A207" s="319"/>
      <c r="B207" s="319"/>
      <c r="C207" s="319"/>
      <c r="D207" s="319"/>
      <c r="E207" s="319"/>
      <c r="F207" s="319"/>
      <c r="G207" s="319"/>
      <c r="H207" s="319"/>
      <c r="I207" s="319"/>
      <c r="J207" s="319"/>
      <c r="K207" s="319"/>
      <c r="L207" s="319"/>
      <c r="M207" s="319"/>
      <c r="N207" s="319"/>
      <c r="O207" s="319"/>
      <c r="P207" s="319"/>
      <c r="Q207" s="319"/>
      <c r="R207" s="319"/>
      <c r="S207" s="319"/>
      <c r="T207" s="319"/>
      <c r="U207" s="319"/>
      <c r="V207" s="319"/>
      <c r="W207" s="319"/>
      <c r="X207" s="319"/>
      <c r="Y207" s="319"/>
      <c r="Z207" s="319"/>
    </row>
    <row r="208" ht="15.75" customHeight="1">
      <c r="A208" s="319"/>
      <c r="B208" s="319"/>
      <c r="C208" s="319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19"/>
      <c r="S208" s="319"/>
      <c r="T208" s="319"/>
      <c r="U208" s="319"/>
      <c r="V208" s="319"/>
      <c r="W208" s="319"/>
      <c r="X208" s="319"/>
      <c r="Y208" s="319"/>
      <c r="Z208" s="319"/>
    </row>
    <row r="209" ht="15.75" customHeight="1">
      <c r="A209" s="319"/>
      <c r="B209" s="319"/>
      <c r="C209" s="319"/>
      <c r="D209" s="319"/>
      <c r="E209" s="319"/>
      <c r="F209" s="319"/>
      <c r="G209" s="319"/>
      <c r="H209" s="319"/>
      <c r="I209" s="319"/>
      <c r="J209" s="319"/>
      <c r="K209" s="319"/>
      <c r="L209" s="319"/>
      <c r="M209" s="319"/>
      <c r="N209" s="319"/>
      <c r="O209" s="319"/>
      <c r="P209" s="319"/>
      <c r="Q209" s="319"/>
      <c r="R209" s="319"/>
      <c r="S209" s="319"/>
      <c r="T209" s="319"/>
      <c r="U209" s="319"/>
      <c r="V209" s="319"/>
      <c r="W209" s="319"/>
      <c r="X209" s="319"/>
      <c r="Y209" s="319"/>
      <c r="Z209" s="319"/>
    </row>
    <row r="210" ht="15.75" customHeight="1">
      <c r="A210" s="319"/>
      <c r="B210" s="319"/>
      <c r="C210" s="319"/>
      <c r="D210" s="319"/>
      <c r="E210" s="319"/>
      <c r="F210" s="319"/>
      <c r="G210" s="319"/>
      <c r="H210" s="319"/>
      <c r="I210" s="319"/>
      <c r="J210" s="319"/>
      <c r="K210" s="319"/>
      <c r="L210" s="319"/>
      <c r="M210" s="319"/>
      <c r="N210" s="319"/>
      <c r="O210" s="319"/>
      <c r="P210" s="319"/>
      <c r="Q210" s="319"/>
      <c r="R210" s="319"/>
      <c r="S210" s="319"/>
      <c r="T210" s="319"/>
      <c r="U210" s="319"/>
      <c r="V210" s="319"/>
      <c r="W210" s="319"/>
      <c r="X210" s="319"/>
      <c r="Y210" s="319"/>
      <c r="Z210" s="319"/>
    </row>
    <row r="211" ht="15.75" customHeight="1">
      <c r="A211" s="319"/>
      <c r="B211" s="319"/>
      <c r="C211" s="319"/>
      <c r="D211" s="319"/>
      <c r="E211" s="319"/>
      <c r="F211" s="319"/>
      <c r="G211" s="319"/>
      <c r="H211" s="319"/>
      <c r="I211" s="319"/>
      <c r="J211" s="319"/>
      <c r="K211" s="319"/>
      <c r="L211" s="319"/>
      <c r="M211" s="319"/>
      <c r="N211" s="319"/>
      <c r="O211" s="319"/>
      <c r="P211" s="319"/>
      <c r="Q211" s="319"/>
      <c r="R211" s="319"/>
      <c r="S211" s="319"/>
      <c r="T211" s="319"/>
      <c r="U211" s="319"/>
      <c r="V211" s="319"/>
      <c r="W211" s="319"/>
      <c r="X211" s="319"/>
      <c r="Y211" s="319"/>
      <c r="Z211" s="319"/>
    </row>
    <row r="212" ht="15.75" customHeight="1">
      <c r="A212" s="319"/>
      <c r="B212" s="319"/>
      <c r="C212" s="319"/>
      <c r="D212" s="319"/>
      <c r="E212" s="319"/>
      <c r="F212" s="319"/>
      <c r="G212" s="319"/>
      <c r="H212" s="319"/>
      <c r="I212" s="319"/>
      <c r="J212" s="319"/>
      <c r="K212" s="319"/>
      <c r="L212" s="319"/>
      <c r="M212" s="319"/>
      <c r="N212" s="319"/>
      <c r="O212" s="319"/>
      <c r="P212" s="319"/>
      <c r="Q212" s="319"/>
      <c r="R212" s="319"/>
      <c r="S212" s="319"/>
      <c r="T212" s="319"/>
      <c r="U212" s="319"/>
      <c r="V212" s="319"/>
      <c r="W212" s="319"/>
      <c r="X212" s="319"/>
      <c r="Y212" s="319"/>
      <c r="Z212" s="319"/>
    </row>
    <row r="213" ht="15.75" customHeight="1">
      <c r="A213" s="319"/>
      <c r="B213" s="319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19"/>
      <c r="S213" s="319"/>
      <c r="T213" s="319"/>
      <c r="U213" s="319"/>
      <c r="V213" s="319"/>
      <c r="W213" s="319"/>
      <c r="X213" s="319"/>
      <c r="Y213" s="319"/>
      <c r="Z213" s="319"/>
    </row>
    <row r="214" ht="15.75" customHeight="1">
      <c r="A214" s="319"/>
      <c r="B214" s="319"/>
      <c r="C214" s="319"/>
      <c r="D214" s="319"/>
      <c r="E214" s="319"/>
      <c r="F214" s="319"/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  <c r="R214" s="319"/>
      <c r="S214" s="319"/>
      <c r="T214" s="319"/>
      <c r="U214" s="319"/>
      <c r="V214" s="319"/>
      <c r="W214" s="319"/>
      <c r="X214" s="319"/>
      <c r="Y214" s="319"/>
      <c r="Z214" s="319"/>
    </row>
    <row r="215" ht="15.75" customHeight="1">
      <c r="A215" s="319"/>
      <c r="B215" s="319"/>
      <c r="C215" s="319"/>
      <c r="D215" s="319"/>
      <c r="E215" s="319"/>
      <c r="F215" s="319"/>
      <c r="G215" s="319"/>
      <c r="H215" s="319"/>
      <c r="I215" s="319"/>
      <c r="J215" s="319"/>
      <c r="K215" s="319"/>
      <c r="L215" s="319"/>
      <c r="M215" s="319"/>
      <c r="N215" s="319"/>
      <c r="O215" s="319"/>
      <c r="P215" s="319"/>
      <c r="Q215" s="319"/>
      <c r="R215" s="319"/>
      <c r="S215" s="319"/>
      <c r="T215" s="319"/>
      <c r="U215" s="319"/>
      <c r="V215" s="319"/>
      <c r="W215" s="319"/>
      <c r="X215" s="319"/>
      <c r="Y215" s="319"/>
      <c r="Z215" s="319"/>
    </row>
    <row r="216" ht="15.75" customHeight="1">
      <c r="A216" s="319"/>
      <c r="B216" s="319"/>
      <c r="C216" s="319"/>
      <c r="D216" s="319"/>
      <c r="E216" s="319"/>
      <c r="F216" s="319"/>
      <c r="G216" s="319"/>
      <c r="H216" s="319"/>
      <c r="I216" s="319"/>
      <c r="J216" s="319"/>
      <c r="K216" s="319"/>
      <c r="L216" s="319"/>
      <c r="M216" s="319"/>
      <c r="N216" s="319"/>
      <c r="O216" s="319"/>
      <c r="P216" s="319"/>
      <c r="Q216" s="319"/>
      <c r="R216" s="319"/>
      <c r="S216" s="319"/>
      <c r="T216" s="319"/>
      <c r="U216" s="319"/>
      <c r="V216" s="319"/>
      <c r="W216" s="319"/>
      <c r="X216" s="319"/>
      <c r="Y216" s="319"/>
      <c r="Z216" s="319"/>
    </row>
    <row r="217" ht="15.75" customHeight="1">
      <c r="A217" s="319"/>
      <c r="B217" s="319"/>
      <c r="C217" s="319"/>
      <c r="D217" s="319"/>
      <c r="E217" s="319"/>
      <c r="F217" s="319"/>
      <c r="G217" s="319"/>
      <c r="H217" s="319"/>
      <c r="I217" s="319"/>
      <c r="J217" s="319"/>
      <c r="K217" s="319"/>
      <c r="L217" s="319"/>
      <c r="M217" s="319"/>
      <c r="N217" s="319"/>
      <c r="O217" s="319"/>
      <c r="P217" s="319"/>
      <c r="Q217" s="319"/>
      <c r="R217" s="319"/>
      <c r="S217" s="319"/>
      <c r="T217" s="319"/>
      <c r="U217" s="319"/>
      <c r="V217" s="319"/>
      <c r="W217" s="319"/>
      <c r="X217" s="319"/>
      <c r="Y217" s="319"/>
      <c r="Z217" s="319"/>
    </row>
    <row r="218" ht="15.75" customHeight="1">
      <c r="A218" s="319"/>
      <c r="B218" s="319"/>
      <c r="C218" s="319"/>
      <c r="D218" s="319"/>
      <c r="E218" s="319"/>
      <c r="F218" s="319"/>
      <c r="G218" s="319"/>
      <c r="H218" s="319"/>
      <c r="I218" s="319"/>
      <c r="J218" s="319"/>
      <c r="K218" s="319"/>
      <c r="L218" s="319"/>
      <c r="M218" s="319"/>
      <c r="N218" s="319"/>
      <c r="O218" s="319"/>
      <c r="P218" s="319"/>
      <c r="Q218" s="319"/>
      <c r="R218" s="319"/>
      <c r="S218" s="319"/>
      <c r="T218" s="319"/>
      <c r="U218" s="319"/>
      <c r="V218" s="319"/>
      <c r="W218" s="319"/>
      <c r="X218" s="319"/>
      <c r="Y218" s="319"/>
      <c r="Z218" s="319"/>
    </row>
    <row r="219" ht="15.75" customHeight="1">
      <c r="A219" s="319"/>
      <c r="B219" s="319"/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  <c r="R219" s="319"/>
      <c r="S219" s="319"/>
      <c r="T219" s="319"/>
      <c r="U219" s="319"/>
      <c r="V219" s="319"/>
      <c r="W219" s="319"/>
      <c r="X219" s="319"/>
      <c r="Y219" s="319"/>
      <c r="Z219" s="319"/>
    </row>
    <row r="220" ht="15.75" customHeight="1">
      <c r="A220" s="319"/>
      <c r="B220" s="319"/>
      <c r="C220" s="319"/>
      <c r="D220" s="319"/>
      <c r="E220" s="319"/>
      <c r="F220" s="319"/>
      <c r="G220" s="319"/>
      <c r="H220" s="319"/>
      <c r="I220" s="319"/>
      <c r="J220" s="319"/>
      <c r="K220" s="319"/>
      <c r="L220" s="319"/>
      <c r="M220" s="319"/>
      <c r="N220" s="319"/>
      <c r="O220" s="319"/>
      <c r="P220" s="319"/>
      <c r="Q220" s="319"/>
      <c r="R220" s="319"/>
      <c r="S220" s="319"/>
      <c r="T220" s="319"/>
      <c r="U220" s="319"/>
      <c r="V220" s="319"/>
      <c r="W220" s="319"/>
      <c r="X220" s="319"/>
      <c r="Y220" s="319"/>
      <c r="Z220" s="319"/>
    </row>
    <row r="221" ht="15.75" customHeight="1">
      <c r="A221" s="319"/>
      <c r="B221" s="319"/>
      <c r="C221" s="319"/>
      <c r="D221" s="319"/>
      <c r="E221" s="319"/>
      <c r="F221" s="319"/>
      <c r="G221" s="319"/>
      <c r="H221" s="319"/>
      <c r="I221" s="319"/>
      <c r="J221" s="319"/>
      <c r="K221" s="319"/>
      <c r="L221" s="319"/>
      <c r="M221" s="319"/>
      <c r="N221" s="319"/>
      <c r="O221" s="319"/>
      <c r="P221" s="319"/>
      <c r="Q221" s="319"/>
      <c r="R221" s="319"/>
      <c r="S221" s="319"/>
      <c r="T221" s="319"/>
      <c r="U221" s="319"/>
      <c r="V221" s="319"/>
      <c r="W221" s="319"/>
      <c r="X221" s="319"/>
      <c r="Y221" s="319"/>
      <c r="Z221" s="319"/>
    </row>
    <row r="222" ht="15.75" customHeight="1">
      <c r="A222" s="319"/>
      <c r="B222" s="319"/>
      <c r="C222" s="319"/>
      <c r="D222" s="319"/>
      <c r="E222" s="319"/>
      <c r="F222" s="319"/>
      <c r="G222" s="319"/>
      <c r="H222" s="319"/>
      <c r="I222" s="319"/>
      <c r="J222" s="319"/>
      <c r="K222" s="319"/>
      <c r="L222" s="319"/>
      <c r="M222" s="319"/>
      <c r="N222" s="319"/>
      <c r="O222" s="319"/>
      <c r="P222" s="319"/>
      <c r="Q222" s="319"/>
      <c r="R222" s="319"/>
      <c r="S222" s="319"/>
      <c r="T222" s="319"/>
      <c r="U222" s="319"/>
      <c r="V222" s="319"/>
      <c r="W222" s="319"/>
      <c r="X222" s="319"/>
      <c r="Y222" s="319"/>
      <c r="Z222" s="319"/>
    </row>
    <row r="223" ht="15.75" customHeight="1">
      <c r="A223" s="319"/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</row>
    <row r="224" ht="15.75" customHeight="1">
      <c r="A224" s="319"/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</row>
    <row r="225" ht="15.75" customHeight="1">
      <c r="A225" s="319"/>
      <c r="B225" s="319"/>
      <c r="C225" s="319"/>
      <c r="D225" s="319"/>
      <c r="E225" s="319"/>
      <c r="F225" s="319"/>
      <c r="G225" s="319"/>
      <c r="H225" s="319"/>
      <c r="I225" s="319"/>
      <c r="J225" s="319"/>
      <c r="K225" s="319"/>
      <c r="L225" s="319"/>
      <c r="M225" s="319"/>
      <c r="N225" s="319"/>
      <c r="O225" s="319"/>
      <c r="P225" s="319"/>
      <c r="Q225" s="319"/>
      <c r="R225" s="319"/>
      <c r="S225" s="319"/>
      <c r="T225" s="319"/>
      <c r="U225" s="319"/>
      <c r="V225" s="319"/>
      <c r="W225" s="319"/>
      <c r="X225" s="319"/>
      <c r="Y225" s="319"/>
      <c r="Z225" s="319"/>
    </row>
    <row r="226" ht="15.75" customHeight="1">
      <c r="A226" s="319"/>
      <c r="B226" s="319"/>
      <c r="C226" s="319"/>
      <c r="D226" s="319"/>
      <c r="E226" s="319"/>
      <c r="F226" s="319"/>
      <c r="G226" s="319"/>
      <c r="H226" s="319"/>
      <c r="I226" s="319"/>
      <c r="J226" s="319"/>
      <c r="K226" s="319"/>
      <c r="L226" s="319"/>
      <c r="M226" s="319"/>
      <c r="N226" s="319"/>
      <c r="O226" s="319"/>
      <c r="P226" s="319"/>
      <c r="Q226" s="319"/>
      <c r="R226" s="319"/>
      <c r="S226" s="319"/>
      <c r="T226" s="319"/>
      <c r="U226" s="319"/>
      <c r="V226" s="319"/>
      <c r="W226" s="319"/>
      <c r="X226" s="319"/>
      <c r="Y226" s="319"/>
      <c r="Z226" s="319"/>
    </row>
    <row r="227" ht="15.75" customHeight="1">
      <c r="A227" s="319"/>
      <c r="B227" s="319"/>
      <c r="C227" s="319"/>
      <c r="D227" s="319"/>
      <c r="E227" s="319"/>
      <c r="F227" s="319"/>
      <c r="G227" s="319"/>
      <c r="H227" s="319"/>
      <c r="I227" s="319"/>
      <c r="J227" s="319"/>
      <c r="K227" s="319"/>
      <c r="L227" s="319"/>
      <c r="M227" s="319"/>
      <c r="N227" s="319"/>
      <c r="O227" s="319"/>
      <c r="P227" s="319"/>
      <c r="Q227" s="319"/>
      <c r="R227" s="319"/>
      <c r="S227" s="319"/>
      <c r="T227" s="319"/>
      <c r="U227" s="319"/>
      <c r="V227" s="319"/>
      <c r="W227" s="319"/>
      <c r="X227" s="319"/>
      <c r="Y227" s="319"/>
      <c r="Z227" s="319"/>
    </row>
    <row r="228" ht="15.75" customHeight="1">
      <c r="A228" s="319"/>
      <c r="B228" s="319"/>
      <c r="C228" s="319"/>
      <c r="D228" s="319"/>
      <c r="E228" s="319"/>
      <c r="F228" s="319"/>
      <c r="G228" s="319"/>
      <c r="H228" s="319"/>
      <c r="I228" s="319"/>
      <c r="J228" s="319"/>
      <c r="K228" s="319"/>
      <c r="L228" s="319"/>
      <c r="M228" s="319"/>
      <c r="N228" s="319"/>
      <c r="O228" s="319"/>
      <c r="P228" s="319"/>
      <c r="Q228" s="319"/>
      <c r="R228" s="319"/>
      <c r="S228" s="319"/>
      <c r="T228" s="319"/>
      <c r="U228" s="319"/>
      <c r="V228" s="319"/>
      <c r="W228" s="319"/>
      <c r="X228" s="319"/>
      <c r="Y228" s="319"/>
      <c r="Z228" s="319"/>
    </row>
    <row r="229" ht="15.75" customHeight="1">
      <c r="A229" s="319"/>
      <c r="B229" s="319"/>
      <c r="C229" s="319"/>
      <c r="D229" s="319"/>
      <c r="E229" s="319"/>
      <c r="F229" s="319"/>
      <c r="G229" s="319"/>
      <c r="H229" s="319"/>
      <c r="I229" s="319"/>
      <c r="J229" s="319"/>
      <c r="K229" s="319"/>
      <c r="L229" s="319"/>
      <c r="M229" s="319"/>
      <c r="N229" s="319"/>
      <c r="O229" s="319"/>
      <c r="P229" s="319"/>
      <c r="Q229" s="319"/>
      <c r="R229" s="319"/>
      <c r="S229" s="319"/>
      <c r="T229" s="319"/>
      <c r="U229" s="319"/>
      <c r="V229" s="319"/>
      <c r="W229" s="319"/>
      <c r="X229" s="319"/>
      <c r="Y229" s="319"/>
      <c r="Z229" s="319"/>
    </row>
    <row r="230" ht="15.75" customHeight="1">
      <c r="A230" s="319"/>
      <c r="B230" s="319"/>
      <c r="C230" s="319"/>
      <c r="D230" s="319"/>
      <c r="E230" s="319"/>
      <c r="F230" s="319"/>
      <c r="G230" s="319"/>
      <c r="H230" s="319"/>
      <c r="I230" s="319"/>
      <c r="J230" s="319"/>
      <c r="K230" s="319"/>
      <c r="L230" s="319"/>
      <c r="M230" s="319"/>
      <c r="N230" s="319"/>
      <c r="O230" s="319"/>
      <c r="P230" s="319"/>
      <c r="Q230" s="319"/>
      <c r="R230" s="319"/>
      <c r="S230" s="319"/>
      <c r="T230" s="319"/>
      <c r="U230" s="319"/>
      <c r="V230" s="319"/>
      <c r="W230" s="319"/>
      <c r="X230" s="319"/>
      <c r="Y230" s="319"/>
      <c r="Z230" s="319"/>
    </row>
    <row r="231" ht="15.75" customHeight="1">
      <c r="A231" s="319"/>
      <c r="B231" s="319"/>
      <c r="C231" s="319"/>
      <c r="D231" s="319"/>
      <c r="E231" s="319"/>
      <c r="F231" s="319"/>
      <c r="G231" s="319"/>
      <c r="H231" s="319"/>
      <c r="I231" s="319"/>
      <c r="J231" s="319"/>
      <c r="K231" s="319"/>
      <c r="L231" s="319"/>
      <c r="M231" s="319"/>
      <c r="N231" s="319"/>
      <c r="O231" s="319"/>
      <c r="P231" s="319"/>
      <c r="Q231" s="319"/>
      <c r="R231" s="319"/>
      <c r="S231" s="319"/>
      <c r="T231" s="319"/>
      <c r="U231" s="319"/>
      <c r="V231" s="319"/>
      <c r="W231" s="319"/>
      <c r="X231" s="319"/>
      <c r="Y231" s="319"/>
      <c r="Z231" s="319"/>
    </row>
    <row r="232" ht="15.75" customHeight="1">
      <c r="A232" s="319"/>
      <c r="B232" s="319"/>
      <c r="C232" s="319"/>
      <c r="D232" s="319"/>
      <c r="E232" s="319"/>
      <c r="F232" s="319"/>
      <c r="G232" s="319"/>
      <c r="H232" s="319"/>
      <c r="I232" s="319"/>
      <c r="J232" s="319"/>
      <c r="K232" s="319"/>
      <c r="L232" s="319"/>
      <c r="M232" s="319"/>
      <c r="N232" s="319"/>
      <c r="O232" s="319"/>
      <c r="P232" s="319"/>
      <c r="Q232" s="319"/>
      <c r="R232" s="319"/>
      <c r="S232" s="319"/>
      <c r="T232" s="319"/>
      <c r="U232" s="319"/>
      <c r="V232" s="319"/>
      <c r="W232" s="319"/>
      <c r="X232" s="319"/>
      <c r="Y232" s="319"/>
      <c r="Z232" s="319"/>
    </row>
    <row r="233" ht="15.75" customHeight="1">
      <c r="A233" s="319"/>
      <c r="B233" s="319"/>
      <c r="C233" s="319"/>
      <c r="D233" s="319"/>
      <c r="E233" s="319"/>
      <c r="F233" s="319"/>
      <c r="G233" s="319"/>
      <c r="H233" s="319"/>
      <c r="I233" s="319"/>
      <c r="J233" s="319"/>
      <c r="K233" s="319"/>
      <c r="L233" s="319"/>
      <c r="M233" s="319"/>
      <c r="N233" s="319"/>
      <c r="O233" s="319"/>
      <c r="P233" s="319"/>
      <c r="Q233" s="319"/>
      <c r="R233" s="319"/>
      <c r="S233" s="319"/>
      <c r="T233" s="319"/>
      <c r="U233" s="319"/>
      <c r="V233" s="319"/>
      <c r="W233" s="319"/>
      <c r="X233" s="319"/>
      <c r="Y233" s="319"/>
      <c r="Z233" s="319"/>
    </row>
    <row r="234" ht="15.75" customHeight="1">
      <c r="A234" s="319"/>
      <c r="B234" s="319"/>
      <c r="C234" s="319"/>
      <c r="D234" s="319"/>
      <c r="E234" s="319"/>
      <c r="F234" s="319"/>
      <c r="G234" s="319"/>
      <c r="H234" s="319"/>
      <c r="I234" s="319"/>
      <c r="J234" s="319"/>
      <c r="K234" s="319"/>
      <c r="L234" s="319"/>
      <c r="M234" s="319"/>
      <c r="N234" s="319"/>
      <c r="O234" s="319"/>
      <c r="P234" s="319"/>
      <c r="Q234" s="319"/>
      <c r="R234" s="319"/>
      <c r="S234" s="319"/>
      <c r="T234" s="319"/>
      <c r="U234" s="319"/>
      <c r="V234" s="319"/>
      <c r="W234" s="319"/>
      <c r="X234" s="319"/>
      <c r="Y234" s="319"/>
      <c r="Z234" s="319"/>
    </row>
    <row r="235" ht="15.75" customHeight="1">
      <c r="A235" s="319"/>
      <c r="B235" s="319"/>
      <c r="C235" s="319"/>
      <c r="D235" s="319"/>
      <c r="E235" s="319"/>
      <c r="F235" s="319"/>
      <c r="G235" s="319"/>
      <c r="H235" s="319"/>
      <c r="I235" s="319"/>
      <c r="J235" s="319"/>
      <c r="K235" s="319"/>
      <c r="L235" s="319"/>
      <c r="M235" s="319"/>
      <c r="N235" s="319"/>
      <c r="O235" s="319"/>
      <c r="P235" s="319"/>
      <c r="Q235" s="319"/>
      <c r="R235" s="319"/>
      <c r="S235" s="319"/>
      <c r="T235" s="319"/>
      <c r="U235" s="319"/>
      <c r="V235" s="319"/>
      <c r="W235" s="319"/>
      <c r="X235" s="319"/>
      <c r="Y235" s="319"/>
      <c r="Z235" s="319"/>
    </row>
    <row r="236" ht="15.75" customHeight="1">
      <c r="A236" s="319"/>
      <c r="B236" s="319"/>
      <c r="C236" s="319"/>
      <c r="D236" s="319"/>
      <c r="E236" s="319"/>
      <c r="F236" s="319"/>
      <c r="G236" s="319"/>
      <c r="H236" s="319"/>
      <c r="I236" s="319"/>
      <c r="J236" s="319"/>
      <c r="K236" s="319"/>
      <c r="L236" s="319"/>
      <c r="M236" s="319"/>
      <c r="N236" s="319"/>
      <c r="O236" s="319"/>
      <c r="P236" s="319"/>
      <c r="Q236" s="319"/>
      <c r="R236" s="319"/>
      <c r="S236" s="319"/>
      <c r="T236" s="319"/>
      <c r="U236" s="319"/>
      <c r="V236" s="319"/>
      <c r="W236" s="319"/>
      <c r="X236" s="319"/>
      <c r="Y236" s="319"/>
      <c r="Z236" s="319"/>
    </row>
    <row r="237" ht="15.75" customHeight="1">
      <c r="A237" s="319"/>
      <c r="B237" s="319"/>
      <c r="C237" s="319"/>
      <c r="D237" s="319"/>
      <c r="E237" s="319"/>
      <c r="F237" s="319"/>
      <c r="G237" s="319"/>
      <c r="H237" s="319"/>
      <c r="I237" s="319"/>
      <c r="J237" s="319"/>
      <c r="K237" s="319"/>
      <c r="L237" s="319"/>
      <c r="M237" s="319"/>
      <c r="N237" s="319"/>
      <c r="O237" s="319"/>
      <c r="P237" s="319"/>
      <c r="Q237" s="319"/>
      <c r="R237" s="319"/>
      <c r="S237" s="319"/>
      <c r="T237" s="319"/>
      <c r="U237" s="319"/>
      <c r="V237" s="319"/>
      <c r="W237" s="319"/>
      <c r="X237" s="319"/>
      <c r="Y237" s="319"/>
      <c r="Z237" s="319"/>
    </row>
    <row r="238" ht="15.75" customHeight="1">
      <c r="A238" s="319"/>
      <c r="B238" s="319"/>
      <c r="C238" s="319"/>
      <c r="D238" s="319"/>
      <c r="E238" s="319"/>
      <c r="F238" s="319"/>
      <c r="G238" s="319"/>
      <c r="H238" s="319"/>
      <c r="I238" s="319"/>
      <c r="J238" s="319"/>
      <c r="K238" s="319"/>
      <c r="L238" s="319"/>
      <c r="M238" s="319"/>
      <c r="N238" s="319"/>
      <c r="O238" s="319"/>
      <c r="P238" s="319"/>
      <c r="Q238" s="319"/>
      <c r="R238" s="319"/>
      <c r="S238" s="319"/>
      <c r="T238" s="319"/>
      <c r="U238" s="319"/>
      <c r="V238" s="319"/>
      <c r="W238" s="319"/>
      <c r="X238" s="319"/>
      <c r="Y238" s="319"/>
      <c r="Z238" s="319"/>
    </row>
    <row r="239" ht="15.75" customHeight="1">
      <c r="A239" s="319"/>
      <c r="B239" s="319"/>
      <c r="C239" s="319"/>
      <c r="D239" s="319"/>
      <c r="E239" s="319"/>
      <c r="F239" s="319"/>
      <c r="G239" s="319"/>
      <c r="H239" s="319"/>
      <c r="I239" s="319"/>
      <c r="J239" s="319"/>
      <c r="K239" s="319"/>
      <c r="L239" s="319"/>
      <c r="M239" s="319"/>
      <c r="N239" s="319"/>
      <c r="O239" s="319"/>
      <c r="P239" s="319"/>
      <c r="Q239" s="319"/>
      <c r="R239" s="319"/>
      <c r="S239" s="319"/>
      <c r="T239" s="319"/>
      <c r="U239" s="319"/>
      <c r="V239" s="319"/>
      <c r="W239" s="319"/>
      <c r="X239" s="319"/>
      <c r="Y239" s="319"/>
      <c r="Z239" s="319"/>
    </row>
    <row r="240" ht="15.75" customHeight="1">
      <c r="A240" s="319"/>
      <c r="B240" s="319"/>
      <c r="C240" s="319"/>
      <c r="D240" s="319"/>
      <c r="E240" s="319"/>
      <c r="F240" s="319"/>
      <c r="G240" s="319"/>
      <c r="H240" s="319"/>
      <c r="I240" s="319"/>
      <c r="J240" s="319"/>
      <c r="K240" s="319"/>
      <c r="L240" s="319"/>
      <c r="M240" s="319"/>
      <c r="N240" s="319"/>
      <c r="O240" s="319"/>
      <c r="P240" s="319"/>
      <c r="Q240" s="319"/>
      <c r="R240" s="319"/>
      <c r="S240" s="319"/>
      <c r="T240" s="319"/>
      <c r="U240" s="319"/>
      <c r="V240" s="319"/>
      <c r="W240" s="319"/>
      <c r="X240" s="319"/>
      <c r="Y240" s="319"/>
      <c r="Z240" s="319"/>
    </row>
    <row r="241" ht="15.75" customHeight="1">
      <c r="A241" s="319"/>
      <c r="B241" s="319"/>
      <c r="C241" s="319"/>
      <c r="D241" s="319"/>
      <c r="E241" s="319"/>
      <c r="F241" s="319"/>
      <c r="G241" s="319"/>
      <c r="H241" s="319"/>
      <c r="I241" s="319"/>
      <c r="J241" s="319"/>
      <c r="K241" s="319"/>
      <c r="L241" s="319"/>
      <c r="M241" s="319"/>
      <c r="N241" s="319"/>
      <c r="O241" s="319"/>
      <c r="P241" s="319"/>
      <c r="Q241" s="319"/>
      <c r="R241" s="319"/>
      <c r="S241" s="319"/>
      <c r="T241" s="319"/>
      <c r="U241" s="319"/>
      <c r="V241" s="319"/>
      <c r="W241" s="319"/>
      <c r="X241" s="319"/>
      <c r="Y241" s="319"/>
      <c r="Z241" s="319"/>
    </row>
    <row r="242" ht="15.75" customHeight="1">
      <c r="A242" s="319"/>
      <c r="B242" s="319"/>
      <c r="C242" s="319"/>
      <c r="D242" s="319"/>
      <c r="E242" s="319"/>
      <c r="F242" s="319"/>
      <c r="G242" s="319"/>
      <c r="H242" s="319"/>
      <c r="I242" s="319"/>
      <c r="J242" s="319"/>
      <c r="K242" s="319"/>
      <c r="L242" s="319"/>
      <c r="M242" s="319"/>
      <c r="N242" s="319"/>
      <c r="O242" s="319"/>
      <c r="P242" s="319"/>
      <c r="Q242" s="319"/>
      <c r="R242" s="319"/>
      <c r="S242" s="319"/>
      <c r="T242" s="319"/>
      <c r="U242" s="319"/>
      <c r="V242" s="319"/>
      <c r="W242" s="319"/>
      <c r="X242" s="319"/>
      <c r="Y242" s="319"/>
      <c r="Z242" s="319"/>
    </row>
    <row r="243" ht="15.75" customHeight="1">
      <c r="A243" s="319"/>
      <c r="B243" s="319"/>
      <c r="C243" s="319"/>
      <c r="D243" s="319"/>
      <c r="E243" s="319"/>
      <c r="F243" s="319"/>
      <c r="G243" s="319"/>
      <c r="H243" s="319"/>
      <c r="I243" s="319"/>
      <c r="J243" s="319"/>
      <c r="K243" s="319"/>
      <c r="L243" s="319"/>
      <c r="M243" s="319"/>
      <c r="N243" s="319"/>
      <c r="O243" s="319"/>
      <c r="P243" s="319"/>
      <c r="Q243" s="319"/>
      <c r="R243" s="319"/>
      <c r="S243" s="319"/>
      <c r="T243" s="319"/>
      <c r="U243" s="319"/>
      <c r="V243" s="319"/>
      <c r="W243" s="319"/>
      <c r="X243" s="319"/>
      <c r="Y243" s="319"/>
      <c r="Z243" s="319"/>
    </row>
    <row r="244" ht="15.75" customHeight="1">
      <c r="A244" s="319"/>
      <c r="B244" s="319"/>
      <c r="C244" s="319"/>
      <c r="D244" s="319"/>
      <c r="E244" s="319"/>
      <c r="F244" s="319"/>
      <c r="G244" s="319"/>
      <c r="H244" s="319"/>
      <c r="I244" s="319"/>
      <c r="J244" s="319"/>
      <c r="K244" s="319"/>
      <c r="L244" s="319"/>
      <c r="M244" s="319"/>
      <c r="N244" s="319"/>
      <c r="O244" s="319"/>
      <c r="P244" s="319"/>
      <c r="Q244" s="319"/>
      <c r="R244" s="319"/>
      <c r="S244" s="319"/>
      <c r="T244" s="319"/>
      <c r="U244" s="319"/>
      <c r="V244" s="319"/>
      <c r="W244" s="319"/>
      <c r="X244" s="319"/>
      <c r="Y244" s="319"/>
      <c r="Z244" s="319"/>
    </row>
    <row r="245" ht="15.75" customHeight="1">
      <c r="A245" s="319"/>
      <c r="B245" s="319"/>
      <c r="C245" s="319"/>
      <c r="D245" s="319"/>
      <c r="E245" s="319"/>
      <c r="F245" s="319"/>
      <c r="G245" s="319"/>
      <c r="H245" s="319"/>
      <c r="I245" s="319"/>
      <c r="J245" s="319"/>
      <c r="K245" s="319"/>
      <c r="L245" s="319"/>
      <c r="M245" s="319"/>
      <c r="N245" s="319"/>
      <c r="O245" s="319"/>
      <c r="P245" s="319"/>
      <c r="Q245" s="319"/>
      <c r="R245" s="319"/>
      <c r="S245" s="319"/>
      <c r="T245" s="319"/>
      <c r="U245" s="319"/>
      <c r="V245" s="319"/>
      <c r="W245" s="319"/>
      <c r="X245" s="319"/>
      <c r="Y245" s="319"/>
      <c r="Z245" s="319"/>
    </row>
    <row r="246" ht="15.75" customHeight="1">
      <c r="A246" s="319"/>
      <c r="B246" s="319"/>
      <c r="C246" s="319"/>
      <c r="D246" s="319"/>
      <c r="E246" s="319"/>
      <c r="F246" s="319"/>
      <c r="G246" s="319"/>
      <c r="H246" s="319"/>
      <c r="I246" s="319"/>
      <c r="J246" s="319"/>
      <c r="K246" s="319"/>
      <c r="L246" s="319"/>
      <c r="M246" s="319"/>
      <c r="N246" s="319"/>
      <c r="O246" s="319"/>
      <c r="P246" s="319"/>
      <c r="Q246" s="319"/>
      <c r="R246" s="319"/>
      <c r="S246" s="319"/>
      <c r="T246" s="319"/>
      <c r="U246" s="319"/>
      <c r="V246" s="319"/>
      <c r="W246" s="319"/>
      <c r="X246" s="319"/>
      <c r="Y246" s="319"/>
      <c r="Z246" s="319"/>
    </row>
    <row r="247" ht="15.75" customHeight="1">
      <c r="A247" s="319"/>
      <c r="B247" s="319"/>
      <c r="C247" s="319"/>
      <c r="D247" s="319"/>
      <c r="E247" s="319"/>
      <c r="F247" s="319"/>
      <c r="G247" s="319"/>
      <c r="H247" s="319"/>
      <c r="I247" s="319"/>
      <c r="J247" s="319"/>
      <c r="K247" s="319"/>
      <c r="L247" s="319"/>
      <c r="M247" s="319"/>
      <c r="N247" s="319"/>
      <c r="O247" s="319"/>
      <c r="P247" s="319"/>
      <c r="Q247" s="319"/>
      <c r="R247" s="319"/>
      <c r="S247" s="319"/>
      <c r="T247" s="319"/>
      <c r="U247" s="319"/>
      <c r="V247" s="319"/>
      <c r="W247" s="319"/>
      <c r="X247" s="319"/>
      <c r="Y247" s="319"/>
      <c r="Z247" s="319"/>
    </row>
    <row r="248" ht="15.75" customHeight="1">
      <c r="A248" s="319"/>
      <c r="B248" s="319"/>
      <c r="C248" s="319"/>
      <c r="D248" s="319"/>
      <c r="E248" s="319"/>
      <c r="F248" s="319"/>
      <c r="G248" s="319"/>
      <c r="H248" s="319"/>
      <c r="I248" s="319"/>
      <c r="J248" s="319"/>
      <c r="K248" s="319"/>
      <c r="L248" s="319"/>
      <c r="M248" s="319"/>
      <c r="N248" s="319"/>
      <c r="O248" s="319"/>
      <c r="P248" s="319"/>
      <c r="Q248" s="319"/>
      <c r="R248" s="319"/>
      <c r="S248" s="319"/>
      <c r="T248" s="319"/>
      <c r="U248" s="319"/>
      <c r="V248" s="319"/>
      <c r="W248" s="319"/>
      <c r="X248" s="319"/>
      <c r="Y248" s="319"/>
      <c r="Z248" s="319"/>
    </row>
    <row r="249" ht="15.75" customHeight="1">
      <c r="A249" s="319"/>
      <c r="B249" s="319"/>
      <c r="C249" s="319"/>
      <c r="D249" s="319"/>
      <c r="E249" s="319"/>
      <c r="F249" s="319"/>
      <c r="G249" s="319"/>
      <c r="H249" s="319"/>
      <c r="I249" s="319"/>
      <c r="J249" s="319"/>
      <c r="K249" s="319"/>
      <c r="L249" s="319"/>
      <c r="M249" s="319"/>
      <c r="N249" s="319"/>
      <c r="O249" s="319"/>
      <c r="P249" s="319"/>
      <c r="Q249" s="319"/>
      <c r="R249" s="319"/>
      <c r="S249" s="319"/>
      <c r="T249" s="319"/>
      <c r="U249" s="319"/>
      <c r="V249" s="319"/>
      <c r="W249" s="319"/>
      <c r="X249" s="319"/>
      <c r="Y249" s="319"/>
      <c r="Z249" s="319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S2:S3"/>
    <mergeCell ref="T2:T3"/>
    <mergeCell ref="U2:U3"/>
    <mergeCell ref="V2:V3"/>
    <mergeCell ref="W2:W3"/>
    <mergeCell ref="K2:K3"/>
    <mergeCell ref="L2:L3"/>
    <mergeCell ref="M2:M3"/>
    <mergeCell ref="N2:N3"/>
    <mergeCell ref="O2:O3"/>
    <mergeCell ref="Q2:Q3"/>
    <mergeCell ref="R2:R3"/>
    <mergeCell ref="A17:A18"/>
    <mergeCell ref="B17:D17"/>
    <mergeCell ref="L17:L18"/>
    <mergeCell ref="M17:O17"/>
    <mergeCell ref="A2:A3"/>
    <mergeCell ref="B2:C2"/>
    <mergeCell ref="D2:E2"/>
    <mergeCell ref="F2:F3"/>
    <mergeCell ref="H2:H3"/>
    <mergeCell ref="I2:I3"/>
    <mergeCell ref="J2:J3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 outlineLevelCol="1"/>
  <cols>
    <col customWidth="1" min="1" max="1" width="8.71"/>
    <col customWidth="1" min="2" max="2" width="3.14"/>
    <col customWidth="1" min="3" max="3" width="6.29"/>
    <col customWidth="1" min="4" max="4" width="32.29"/>
    <col customWidth="1" min="5" max="5" width="8.71"/>
    <col customWidth="1" min="6" max="6" width="33.57"/>
    <col customWidth="1" min="7" max="7" width="25.86"/>
    <col customWidth="1" min="8" max="8" width="16.71"/>
    <col customWidth="1" min="9" max="9" width="9.0"/>
    <col customWidth="1" min="10" max="10" width="14.57"/>
    <col customWidth="1" min="11" max="11" width="8.0"/>
    <col customWidth="1" hidden="1" min="12" max="12" width="9.0"/>
    <col customWidth="1" hidden="1" min="13" max="13" width="7.71"/>
    <col customWidth="1" hidden="1" min="14" max="14" width="13.43"/>
    <col customWidth="1" hidden="1" min="15" max="15" width="8.86"/>
    <col customWidth="1" hidden="1" min="16" max="16" width="4.86"/>
    <col customWidth="1" min="17" max="17" width="7.57"/>
    <col customWidth="1" min="18" max="18" width="3.14"/>
    <col customWidth="1" min="19" max="19" width="8.57"/>
    <col customWidth="1" min="20" max="21" width="8.71"/>
  </cols>
  <sheetData>
    <row r="1" ht="14.25" customHeight="1">
      <c r="A1" s="375"/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76"/>
      <c r="O1" s="376"/>
      <c r="P1" s="376"/>
      <c r="Q1" s="376"/>
      <c r="R1" s="376"/>
      <c r="S1" s="376"/>
      <c r="T1" s="1"/>
      <c r="U1" s="1"/>
    </row>
    <row r="2" ht="14.25" customHeight="1">
      <c r="A2" s="1"/>
      <c r="B2" s="376"/>
      <c r="C2" s="376"/>
      <c r="D2" s="376"/>
      <c r="E2" s="376"/>
      <c r="F2" s="376"/>
      <c r="G2" s="376"/>
      <c r="H2" s="376"/>
      <c r="I2" s="376"/>
      <c r="J2" s="1"/>
      <c r="K2" s="1"/>
      <c r="L2" s="1"/>
      <c r="M2" s="1"/>
      <c r="N2" s="1"/>
      <c r="O2" s="376"/>
      <c r="P2" s="376"/>
      <c r="Q2" s="376"/>
      <c r="R2" s="376"/>
      <c r="S2" s="376"/>
      <c r="T2" s="1"/>
      <c r="U2" s="1"/>
    </row>
    <row r="3" ht="14.25" customHeight="1">
      <c r="A3" s="1"/>
      <c r="B3" s="376"/>
      <c r="C3" s="376"/>
      <c r="D3" s="376">
        <f>SUBTOTAL(103,D5:D225)</f>
        <v>23</v>
      </c>
      <c r="E3" s="1"/>
      <c r="F3" s="1"/>
      <c r="G3" s="1"/>
      <c r="H3" s="1"/>
      <c r="I3" s="1"/>
      <c r="J3" s="376"/>
      <c r="K3" s="376"/>
      <c r="L3" s="376"/>
      <c r="M3" s="376"/>
      <c r="N3" s="376"/>
      <c r="O3" s="1"/>
      <c r="P3" s="376"/>
      <c r="Q3" s="376"/>
      <c r="R3" s="376"/>
      <c r="S3" s="1"/>
      <c r="T3" s="1"/>
      <c r="U3" s="1"/>
    </row>
    <row r="4" ht="14.25" customHeight="1">
      <c r="A4" s="1"/>
      <c r="B4" s="377" t="s">
        <v>21</v>
      </c>
      <c r="C4" s="377" t="s">
        <v>901</v>
      </c>
      <c r="D4" s="377" t="s">
        <v>22</v>
      </c>
      <c r="E4" s="377" t="s">
        <v>902</v>
      </c>
      <c r="F4" s="377" t="s">
        <v>23</v>
      </c>
      <c r="G4" s="377" t="s">
        <v>25</v>
      </c>
      <c r="H4" s="377" t="s">
        <v>26</v>
      </c>
      <c r="I4" s="377" t="s">
        <v>28</v>
      </c>
      <c r="J4" s="376" t="s">
        <v>903</v>
      </c>
      <c r="K4" s="376" t="s">
        <v>904</v>
      </c>
      <c r="L4" s="376" t="s">
        <v>905</v>
      </c>
      <c r="M4" s="376" t="s">
        <v>906</v>
      </c>
      <c r="N4" s="376" t="s">
        <v>907</v>
      </c>
      <c r="O4" s="377" t="s">
        <v>908</v>
      </c>
      <c r="P4" s="377" t="s">
        <v>909</v>
      </c>
      <c r="Q4" s="377" t="s">
        <v>910</v>
      </c>
      <c r="R4" s="377" t="s">
        <v>911</v>
      </c>
      <c r="S4" s="377" t="s">
        <v>912</v>
      </c>
      <c r="T4" s="376" t="s">
        <v>913</v>
      </c>
      <c r="U4" s="376" t="s">
        <v>914</v>
      </c>
    </row>
    <row r="5" ht="14.25" hidden="1" customHeight="1">
      <c r="A5" s="1" t="s">
        <v>38</v>
      </c>
      <c r="B5" s="378">
        <v>2.0</v>
      </c>
      <c r="C5" s="379">
        <v>2214728.0</v>
      </c>
      <c r="D5" s="380" t="s">
        <v>61</v>
      </c>
      <c r="E5" s="377" t="s">
        <v>915</v>
      </c>
      <c r="F5" s="377" t="s">
        <v>916</v>
      </c>
      <c r="G5" s="380" t="s">
        <v>63</v>
      </c>
      <c r="H5" s="377" t="s">
        <v>64</v>
      </c>
      <c r="I5" s="377" t="s">
        <v>65</v>
      </c>
      <c r="J5" s="377" t="s">
        <v>44</v>
      </c>
      <c r="K5" s="377" t="s">
        <v>917</v>
      </c>
      <c r="L5" s="377" t="s">
        <v>917</v>
      </c>
      <c r="M5" s="376"/>
      <c r="N5" s="377" t="s">
        <v>917</v>
      </c>
      <c r="O5" s="379">
        <v>2022.0</v>
      </c>
      <c r="P5" s="377" t="s">
        <v>918</v>
      </c>
      <c r="Q5" s="377" t="s">
        <v>919</v>
      </c>
      <c r="R5" s="377" t="s">
        <v>920</v>
      </c>
      <c r="S5" s="377" t="s">
        <v>921</v>
      </c>
      <c r="T5" s="376">
        <f t="shared" ref="T5:T225" si="1">YEAR(S5)</f>
        <v>1981</v>
      </c>
      <c r="U5" s="381">
        <f t="shared" ref="U5:U225" si="2">2023-T5</f>
        <v>42</v>
      </c>
    </row>
    <row r="6" ht="14.25" hidden="1" customHeight="1">
      <c r="A6" s="1" t="s">
        <v>38</v>
      </c>
      <c r="B6" s="378">
        <v>3.0</v>
      </c>
      <c r="C6" s="379">
        <v>2214729.0</v>
      </c>
      <c r="D6" s="380" t="s">
        <v>89</v>
      </c>
      <c r="E6" s="377" t="s">
        <v>922</v>
      </c>
      <c r="F6" s="377" t="s">
        <v>815</v>
      </c>
      <c r="G6" s="380" t="s">
        <v>63</v>
      </c>
      <c r="H6" s="377" t="s">
        <v>85</v>
      </c>
      <c r="I6" s="377" t="s">
        <v>91</v>
      </c>
      <c r="J6" s="377" t="s">
        <v>44</v>
      </c>
      <c r="K6" s="377" t="s">
        <v>917</v>
      </c>
      <c r="L6" s="377" t="s">
        <v>917</v>
      </c>
      <c r="M6" s="376"/>
      <c r="N6" s="377" t="s">
        <v>917</v>
      </c>
      <c r="O6" s="379">
        <v>2022.0</v>
      </c>
      <c r="P6" s="377" t="s">
        <v>918</v>
      </c>
      <c r="Q6" s="377" t="s">
        <v>923</v>
      </c>
      <c r="R6" s="377" t="s">
        <v>920</v>
      </c>
      <c r="S6" s="377" t="s">
        <v>924</v>
      </c>
      <c r="T6" s="376">
        <f t="shared" si="1"/>
        <v>1982</v>
      </c>
      <c r="U6" s="381">
        <f t="shared" si="2"/>
        <v>41</v>
      </c>
    </row>
    <row r="7" ht="14.25" hidden="1" customHeight="1">
      <c r="A7" s="1" t="s">
        <v>38</v>
      </c>
      <c r="B7" s="378">
        <v>5.0</v>
      </c>
      <c r="C7" s="379">
        <v>2214731.0</v>
      </c>
      <c r="D7" s="380" t="s">
        <v>110</v>
      </c>
      <c r="E7" s="377" t="s">
        <v>925</v>
      </c>
      <c r="F7" s="377" t="s">
        <v>106</v>
      </c>
      <c r="G7" s="380" t="s">
        <v>41</v>
      </c>
      <c r="H7" s="377" t="s">
        <v>85</v>
      </c>
      <c r="I7" s="377" t="s">
        <v>91</v>
      </c>
      <c r="J7" s="377" t="s">
        <v>44</v>
      </c>
      <c r="K7" s="377" t="s">
        <v>917</v>
      </c>
      <c r="L7" s="377" t="s">
        <v>917</v>
      </c>
      <c r="M7" s="376"/>
      <c r="N7" s="377" t="s">
        <v>917</v>
      </c>
      <c r="O7" s="379">
        <v>2022.0</v>
      </c>
      <c r="P7" s="377" t="s">
        <v>918</v>
      </c>
      <c r="Q7" s="377" t="s">
        <v>923</v>
      </c>
      <c r="R7" s="377" t="s">
        <v>920</v>
      </c>
      <c r="S7" s="377" t="s">
        <v>926</v>
      </c>
      <c r="T7" s="376">
        <f t="shared" si="1"/>
        <v>1980</v>
      </c>
      <c r="U7" s="381">
        <f t="shared" si="2"/>
        <v>43</v>
      </c>
    </row>
    <row r="8" ht="14.25" hidden="1" customHeight="1">
      <c r="A8" s="1" t="s">
        <v>38</v>
      </c>
      <c r="B8" s="378">
        <v>1.0</v>
      </c>
      <c r="C8" s="379">
        <v>1201122.0</v>
      </c>
      <c r="D8" s="380" t="s">
        <v>47</v>
      </c>
      <c r="E8" s="377" t="s">
        <v>927</v>
      </c>
      <c r="F8" s="377" t="s">
        <v>48</v>
      </c>
      <c r="G8" s="380" t="s">
        <v>41</v>
      </c>
      <c r="H8" s="377" t="s">
        <v>42</v>
      </c>
      <c r="I8" s="377" t="s">
        <v>48</v>
      </c>
      <c r="J8" s="377" t="s">
        <v>44</v>
      </c>
      <c r="K8" s="377" t="s">
        <v>928</v>
      </c>
      <c r="L8" s="377" t="s">
        <v>929</v>
      </c>
      <c r="M8" s="376"/>
      <c r="N8" s="377" t="s">
        <v>929</v>
      </c>
      <c r="O8" s="379">
        <v>2017.0</v>
      </c>
      <c r="P8" s="377" t="s">
        <v>918</v>
      </c>
      <c r="Q8" s="377" t="s">
        <v>930</v>
      </c>
      <c r="R8" s="377" t="s">
        <v>931</v>
      </c>
      <c r="S8" s="377" t="s">
        <v>932</v>
      </c>
      <c r="T8" s="376">
        <f t="shared" si="1"/>
        <v>1992</v>
      </c>
      <c r="U8" s="381">
        <f t="shared" si="2"/>
        <v>31</v>
      </c>
    </row>
    <row r="9" ht="14.25" hidden="1" customHeight="1">
      <c r="A9" s="1" t="s">
        <v>38</v>
      </c>
      <c r="B9" s="378">
        <v>2.0</v>
      </c>
      <c r="C9" s="379">
        <v>1101036.0</v>
      </c>
      <c r="D9" s="380" t="s">
        <v>51</v>
      </c>
      <c r="E9" s="377" t="s">
        <v>933</v>
      </c>
      <c r="F9" s="377" t="s">
        <v>52</v>
      </c>
      <c r="G9" s="380" t="s">
        <v>54</v>
      </c>
      <c r="H9" s="377" t="s">
        <v>55</v>
      </c>
      <c r="I9" s="377" t="s">
        <v>56</v>
      </c>
      <c r="J9" s="377" t="s">
        <v>44</v>
      </c>
      <c r="K9" s="377" t="s">
        <v>934</v>
      </c>
      <c r="L9" s="377" t="s">
        <v>935</v>
      </c>
      <c r="M9" s="376"/>
      <c r="N9" s="377" t="s">
        <v>935</v>
      </c>
      <c r="O9" s="379">
        <v>2014.0</v>
      </c>
      <c r="P9" s="377" t="s">
        <v>936</v>
      </c>
      <c r="Q9" s="377" t="s">
        <v>930</v>
      </c>
      <c r="R9" s="377" t="s">
        <v>931</v>
      </c>
      <c r="S9" s="377" t="s">
        <v>937</v>
      </c>
      <c r="T9" s="376">
        <f t="shared" si="1"/>
        <v>1989</v>
      </c>
      <c r="U9" s="381">
        <f t="shared" si="2"/>
        <v>34</v>
      </c>
    </row>
    <row r="10" ht="14.25" hidden="1" customHeight="1">
      <c r="A10" s="1" t="s">
        <v>38</v>
      </c>
      <c r="B10" s="378">
        <v>4.0</v>
      </c>
      <c r="C10" s="377" t="s">
        <v>938</v>
      </c>
      <c r="D10" s="380" t="s">
        <v>59</v>
      </c>
      <c r="E10" s="377" t="s">
        <v>939</v>
      </c>
      <c r="F10" s="377" t="s">
        <v>60</v>
      </c>
      <c r="G10" s="380" t="s">
        <v>41</v>
      </c>
      <c r="H10" s="377" t="s">
        <v>55</v>
      </c>
      <c r="I10" s="377" t="s">
        <v>60</v>
      </c>
      <c r="J10" s="377" t="s">
        <v>44</v>
      </c>
      <c r="K10" s="377" t="s">
        <v>940</v>
      </c>
      <c r="L10" s="377" t="s">
        <v>935</v>
      </c>
      <c r="M10" s="376"/>
      <c r="N10" s="377" t="s">
        <v>935</v>
      </c>
      <c r="O10" s="379">
        <v>2014.0</v>
      </c>
      <c r="P10" s="377" t="s">
        <v>936</v>
      </c>
      <c r="Q10" s="377" t="s">
        <v>941</v>
      </c>
      <c r="R10" s="377" t="s">
        <v>920</v>
      </c>
      <c r="S10" s="377" t="s">
        <v>942</v>
      </c>
      <c r="T10" s="376">
        <f t="shared" si="1"/>
        <v>1981</v>
      </c>
      <c r="U10" s="381">
        <f t="shared" si="2"/>
        <v>42</v>
      </c>
    </row>
    <row r="11" ht="14.25" hidden="1" customHeight="1">
      <c r="A11" s="1" t="s">
        <v>38</v>
      </c>
      <c r="B11" s="378">
        <v>6.0</v>
      </c>
      <c r="C11" s="379">
        <v>2214724.0</v>
      </c>
      <c r="D11" s="380" t="s">
        <v>68</v>
      </c>
      <c r="E11" s="377" t="s">
        <v>943</v>
      </c>
      <c r="F11" s="377" t="s">
        <v>62</v>
      </c>
      <c r="G11" s="380" t="s">
        <v>63</v>
      </c>
      <c r="H11" s="377" t="s">
        <v>64</v>
      </c>
      <c r="I11" s="377" t="s">
        <v>65</v>
      </c>
      <c r="J11" s="377" t="s">
        <v>44</v>
      </c>
      <c r="K11" s="377" t="s">
        <v>944</v>
      </c>
      <c r="L11" s="377" t="s">
        <v>945</v>
      </c>
      <c r="M11" s="376"/>
      <c r="N11" s="377" t="s">
        <v>945</v>
      </c>
      <c r="O11" s="379">
        <v>2024.0</v>
      </c>
      <c r="P11" s="377" t="s">
        <v>946</v>
      </c>
      <c r="Q11" s="377" t="s">
        <v>930</v>
      </c>
      <c r="R11" s="377" t="s">
        <v>920</v>
      </c>
      <c r="S11" s="377" t="s">
        <v>947</v>
      </c>
      <c r="T11" s="376">
        <f t="shared" si="1"/>
        <v>1984</v>
      </c>
      <c r="U11" s="381">
        <f t="shared" si="2"/>
        <v>39</v>
      </c>
    </row>
    <row r="12" ht="14.25" hidden="1" customHeight="1">
      <c r="A12" s="1" t="s">
        <v>38</v>
      </c>
      <c r="B12" s="378">
        <v>7.0</v>
      </c>
      <c r="C12" s="377" t="s">
        <v>948</v>
      </c>
      <c r="D12" s="380" t="s">
        <v>72</v>
      </c>
      <c r="E12" s="377" t="s">
        <v>949</v>
      </c>
      <c r="F12" s="377" t="s">
        <v>73</v>
      </c>
      <c r="G12" s="380" t="s">
        <v>41</v>
      </c>
      <c r="H12" s="377" t="s">
        <v>64</v>
      </c>
      <c r="I12" s="377" t="s">
        <v>74</v>
      </c>
      <c r="J12" s="377" t="s">
        <v>44</v>
      </c>
      <c r="K12" s="377" t="s">
        <v>950</v>
      </c>
      <c r="L12" s="377" t="s">
        <v>951</v>
      </c>
      <c r="M12" s="376"/>
      <c r="N12" s="377" t="s">
        <v>951</v>
      </c>
      <c r="O12" s="379">
        <v>2012.0</v>
      </c>
      <c r="P12" s="377" t="s">
        <v>946</v>
      </c>
      <c r="Q12" s="377" t="s">
        <v>952</v>
      </c>
      <c r="R12" s="377" t="s">
        <v>920</v>
      </c>
      <c r="S12" s="377" t="s">
        <v>953</v>
      </c>
      <c r="T12" s="376">
        <f t="shared" si="1"/>
        <v>1986</v>
      </c>
      <c r="U12" s="381">
        <f t="shared" si="2"/>
        <v>37</v>
      </c>
    </row>
    <row r="13" ht="14.25" hidden="1" customHeight="1">
      <c r="A13" s="1" t="s">
        <v>38</v>
      </c>
      <c r="B13" s="378">
        <v>8.0</v>
      </c>
      <c r="C13" s="377" t="s">
        <v>954</v>
      </c>
      <c r="D13" s="380" t="s">
        <v>76</v>
      </c>
      <c r="E13" s="377" t="s">
        <v>955</v>
      </c>
      <c r="F13" s="377" t="s">
        <v>78</v>
      </c>
      <c r="G13" s="380" t="s">
        <v>41</v>
      </c>
      <c r="H13" s="377" t="s">
        <v>64</v>
      </c>
      <c r="I13" s="377" t="s">
        <v>65</v>
      </c>
      <c r="J13" s="377" t="s">
        <v>44</v>
      </c>
      <c r="K13" s="377" t="s">
        <v>956</v>
      </c>
      <c r="L13" s="377" t="s">
        <v>951</v>
      </c>
      <c r="M13" s="376"/>
      <c r="N13" s="377" t="s">
        <v>951</v>
      </c>
      <c r="O13" s="379">
        <v>2012.0</v>
      </c>
      <c r="P13" s="377" t="s">
        <v>946</v>
      </c>
      <c r="Q13" s="377" t="s">
        <v>957</v>
      </c>
      <c r="R13" s="377" t="s">
        <v>920</v>
      </c>
      <c r="S13" s="377" t="s">
        <v>958</v>
      </c>
      <c r="T13" s="376">
        <f t="shared" si="1"/>
        <v>1986</v>
      </c>
      <c r="U13" s="381">
        <f t="shared" si="2"/>
        <v>37</v>
      </c>
    </row>
    <row r="14" ht="14.25" hidden="1" customHeight="1">
      <c r="A14" s="1" t="s">
        <v>38</v>
      </c>
      <c r="B14" s="378">
        <v>9.0</v>
      </c>
      <c r="C14" s="377" t="s">
        <v>959</v>
      </c>
      <c r="D14" s="380" t="s">
        <v>79</v>
      </c>
      <c r="E14" s="379">
        <v>1106022.0</v>
      </c>
      <c r="F14" s="377" t="s">
        <v>78</v>
      </c>
      <c r="G14" s="380" t="s">
        <v>41</v>
      </c>
      <c r="H14" s="377" t="s">
        <v>64</v>
      </c>
      <c r="I14" s="377" t="s">
        <v>65</v>
      </c>
      <c r="J14" s="377" t="s">
        <v>44</v>
      </c>
      <c r="K14" s="377" t="s">
        <v>960</v>
      </c>
      <c r="L14" s="377" t="s">
        <v>961</v>
      </c>
      <c r="M14" s="376"/>
      <c r="N14" s="377" t="s">
        <v>961</v>
      </c>
      <c r="O14" s="379">
        <v>2007.0</v>
      </c>
      <c r="P14" s="377" t="s">
        <v>962</v>
      </c>
      <c r="Q14" s="377" t="s">
        <v>919</v>
      </c>
      <c r="R14" s="377" t="s">
        <v>920</v>
      </c>
      <c r="S14" s="377" t="s">
        <v>963</v>
      </c>
      <c r="T14" s="376">
        <f t="shared" si="1"/>
        <v>1982</v>
      </c>
      <c r="U14" s="381">
        <f t="shared" si="2"/>
        <v>41</v>
      </c>
    </row>
    <row r="15" ht="14.25" hidden="1" customHeight="1">
      <c r="A15" s="1" t="s">
        <v>38</v>
      </c>
      <c r="B15" s="378">
        <v>10.0</v>
      </c>
      <c r="C15" s="377" t="s">
        <v>964</v>
      </c>
      <c r="D15" s="380" t="s">
        <v>80</v>
      </c>
      <c r="E15" s="377" t="s">
        <v>965</v>
      </c>
      <c r="F15" s="377" t="s">
        <v>78</v>
      </c>
      <c r="G15" s="380" t="s">
        <v>41</v>
      </c>
      <c r="H15" s="377" t="s">
        <v>64</v>
      </c>
      <c r="I15" s="377" t="s">
        <v>65</v>
      </c>
      <c r="J15" s="377" t="s">
        <v>44</v>
      </c>
      <c r="K15" s="377" t="s">
        <v>966</v>
      </c>
      <c r="L15" s="377" t="s">
        <v>967</v>
      </c>
      <c r="M15" s="376"/>
      <c r="N15" s="377" t="s">
        <v>967</v>
      </c>
      <c r="O15" s="379">
        <v>2011.0</v>
      </c>
      <c r="P15" s="377" t="s">
        <v>946</v>
      </c>
      <c r="Q15" s="377" t="s">
        <v>930</v>
      </c>
      <c r="R15" s="377" t="s">
        <v>920</v>
      </c>
      <c r="S15" s="377" t="s">
        <v>968</v>
      </c>
      <c r="T15" s="376">
        <f t="shared" si="1"/>
        <v>1982</v>
      </c>
      <c r="U15" s="381">
        <f t="shared" si="2"/>
        <v>41</v>
      </c>
    </row>
    <row r="16" ht="14.25" hidden="1" customHeight="1">
      <c r="A16" s="1" t="s">
        <v>38</v>
      </c>
      <c r="B16" s="378">
        <v>11.0</v>
      </c>
      <c r="C16" s="377" t="s">
        <v>969</v>
      </c>
      <c r="D16" s="380" t="s">
        <v>87</v>
      </c>
      <c r="E16" s="377" t="s">
        <v>970</v>
      </c>
      <c r="F16" s="377" t="s">
        <v>83</v>
      </c>
      <c r="G16" s="380" t="s">
        <v>41</v>
      </c>
      <c r="H16" s="377" t="s">
        <v>85</v>
      </c>
      <c r="I16" s="377" t="s">
        <v>83</v>
      </c>
      <c r="J16" s="377" t="s">
        <v>44</v>
      </c>
      <c r="K16" s="377" t="s">
        <v>966</v>
      </c>
      <c r="L16" s="377" t="s">
        <v>967</v>
      </c>
      <c r="M16" s="376"/>
      <c r="N16" s="377" t="s">
        <v>967</v>
      </c>
      <c r="O16" s="379">
        <v>2011.0</v>
      </c>
      <c r="P16" s="377" t="s">
        <v>946</v>
      </c>
      <c r="Q16" s="377" t="s">
        <v>941</v>
      </c>
      <c r="R16" s="377" t="s">
        <v>920</v>
      </c>
      <c r="S16" s="377" t="s">
        <v>971</v>
      </c>
      <c r="T16" s="376">
        <f t="shared" si="1"/>
        <v>1980</v>
      </c>
      <c r="U16" s="381">
        <f t="shared" si="2"/>
        <v>43</v>
      </c>
    </row>
    <row r="17" ht="14.25" hidden="1" customHeight="1">
      <c r="A17" s="1" t="s">
        <v>38</v>
      </c>
      <c r="B17" s="378">
        <v>12.0</v>
      </c>
      <c r="C17" s="379">
        <v>1101123.0</v>
      </c>
      <c r="D17" s="380" t="s">
        <v>82</v>
      </c>
      <c r="E17" s="377" t="s">
        <v>972</v>
      </c>
      <c r="F17" s="377" t="s">
        <v>973</v>
      </c>
      <c r="G17" s="380" t="s">
        <v>41</v>
      </c>
      <c r="H17" s="377" t="s">
        <v>85</v>
      </c>
      <c r="I17" s="377" t="s">
        <v>974</v>
      </c>
      <c r="J17" s="377" t="s">
        <v>44</v>
      </c>
      <c r="K17" s="377" t="s">
        <v>975</v>
      </c>
      <c r="L17" s="377" t="s">
        <v>929</v>
      </c>
      <c r="M17" s="376"/>
      <c r="N17" s="377" t="s">
        <v>929</v>
      </c>
      <c r="O17" s="379">
        <v>2017.0</v>
      </c>
      <c r="P17" s="377" t="s">
        <v>918</v>
      </c>
      <c r="Q17" s="377" t="s">
        <v>941</v>
      </c>
      <c r="R17" s="377" t="s">
        <v>920</v>
      </c>
      <c r="S17" s="377" t="s">
        <v>976</v>
      </c>
      <c r="T17" s="376">
        <f t="shared" si="1"/>
        <v>1990</v>
      </c>
      <c r="U17" s="381">
        <f t="shared" si="2"/>
        <v>33</v>
      </c>
    </row>
    <row r="18" ht="14.25" hidden="1" customHeight="1">
      <c r="A18" s="1" t="s">
        <v>38</v>
      </c>
      <c r="B18" s="378">
        <v>13.0</v>
      </c>
      <c r="C18" s="377" t="s">
        <v>977</v>
      </c>
      <c r="D18" s="380" t="s">
        <v>88</v>
      </c>
      <c r="E18" s="377" t="s">
        <v>978</v>
      </c>
      <c r="F18" s="377" t="s">
        <v>973</v>
      </c>
      <c r="G18" s="380" t="s">
        <v>41</v>
      </c>
      <c r="H18" s="377" t="s">
        <v>85</v>
      </c>
      <c r="I18" s="377" t="s">
        <v>974</v>
      </c>
      <c r="J18" s="377" t="s">
        <v>44</v>
      </c>
      <c r="K18" s="377" t="s">
        <v>979</v>
      </c>
      <c r="L18" s="377" t="s">
        <v>980</v>
      </c>
      <c r="M18" s="376"/>
      <c r="N18" s="377" t="s">
        <v>980</v>
      </c>
      <c r="O18" s="379">
        <v>2015.0</v>
      </c>
      <c r="P18" s="377" t="s">
        <v>962</v>
      </c>
      <c r="Q18" s="377" t="s">
        <v>981</v>
      </c>
      <c r="R18" s="377" t="s">
        <v>920</v>
      </c>
      <c r="S18" s="377" t="s">
        <v>982</v>
      </c>
      <c r="T18" s="376">
        <f t="shared" si="1"/>
        <v>1987</v>
      </c>
      <c r="U18" s="381">
        <f t="shared" si="2"/>
        <v>36</v>
      </c>
    </row>
    <row r="19" ht="14.25" hidden="1" customHeight="1">
      <c r="A19" s="1" t="s">
        <v>38</v>
      </c>
      <c r="B19" s="378">
        <v>15.0</v>
      </c>
      <c r="C19" s="379">
        <v>1001084.0</v>
      </c>
      <c r="D19" s="380" t="s">
        <v>92</v>
      </c>
      <c r="E19" s="377" t="s">
        <v>983</v>
      </c>
      <c r="F19" s="377" t="s">
        <v>93</v>
      </c>
      <c r="G19" s="380" t="s">
        <v>54</v>
      </c>
      <c r="H19" s="377" t="s">
        <v>85</v>
      </c>
      <c r="I19" s="377" t="s">
        <v>95</v>
      </c>
      <c r="J19" s="377" t="s">
        <v>44</v>
      </c>
      <c r="K19" s="377" t="s">
        <v>984</v>
      </c>
      <c r="L19" s="377" t="s">
        <v>935</v>
      </c>
      <c r="M19" s="376"/>
      <c r="N19" s="377" t="s">
        <v>935</v>
      </c>
      <c r="O19" s="379">
        <v>2014.0</v>
      </c>
      <c r="P19" s="377" t="s">
        <v>985</v>
      </c>
      <c r="Q19" s="377" t="s">
        <v>930</v>
      </c>
      <c r="R19" s="377" t="s">
        <v>920</v>
      </c>
      <c r="S19" s="377" t="s">
        <v>986</v>
      </c>
      <c r="T19" s="376">
        <f t="shared" si="1"/>
        <v>1993</v>
      </c>
      <c r="U19" s="381">
        <f t="shared" si="2"/>
        <v>30</v>
      </c>
    </row>
    <row r="20" ht="14.25" hidden="1" customHeight="1">
      <c r="A20" s="1" t="s">
        <v>38</v>
      </c>
      <c r="B20" s="378">
        <v>16.0</v>
      </c>
      <c r="C20" s="377" t="s">
        <v>987</v>
      </c>
      <c r="D20" s="380" t="s">
        <v>97</v>
      </c>
      <c r="E20" s="379">
        <v>1106492.0</v>
      </c>
      <c r="F20" s="377" t="s">
        <v>98</v>
      </c>
      <c r="G20" s="380" t="s">
        <v>41</v>
      </c>
      <c r="H20" s="377" t="s">
        <v>85</v>
      </c>
      <c r="I20" s="377" t="s">
        <v>99</v>
      </c>
      <c r="J20" s="377" t="s">
        <v>44</v>
      </c>
      <c r="K20" s="377" t="s">
        <v>988</v>
      </c>
      <c r="L20" s="377" t="s">
        <v>989</v>
      </c>
      <c r="M20" s="376"/>
      <c r="N20" s="377" t="s">
        <v>989</v>
      </c>
      <c r="O20" s="379">
        <v>2006.0</v>
      </c>
      <c r="P20" s="377" t="s">
        <v>985</v>
      </c>
      <c r="Q20" s="377" t="s">
        <v>923</v>
      </c>
      <c r="R20" s="377" t="s">
        <v>920</v>
      </c>
      <c r="S20" s="377" t="s">
        <v>990</v>
      </c>
      <c r="T20" s="376">
        <f t="shared" si="1"/>
        <v>1984</v>
      </c>
      <c r="U20" s="381">
        <f t="shared" si="2"/>
        <v>39</v>
      </c>
    </row>
    <row r="21" ht="14.25" hidden="1" customHeight="1">
      <c r="A21" s="1" t="s">
        <v>38</v>
      </c>
      <c r="B21" s="378">
        <v>17.0</v>
      </c>
      <c r="C21" s="377" t="s">
        <v>991</v>
      </c>
      <c r="D21" s="380" t="s">
        <v>100</v>
      </c>
      <c r="E21" s="377" t="s">
        <v>992</v>
      </c>
      <c r="F21" s="377" t="s">
        <v>98</v>
      </c>
      <c r="G21" s="380" t="s">
        <v>41</v>
      </c>
      <c r="H21" s="377" t="s">
        <v>85</v>
      </c>
      <c r="I21" s="377" t="s">
        <v>99</v>
      </c>
      <c r="J21" s="377" t="s">
        <v>44</v>
      </c>
      <c r="K21" s="377" t="s">
        <v>993</v>
      </c>
      <c r="L21" s="377" t="s">
        <v>994</v>
      </c>
      <c r="M21" s="376"/>
      <c r="N21" s="377" t="s">
        <v>994</v>
      </c>
      <c r="O21" s="379">
        <v>2015.0</v>
      </c>
      <c r="P21" s="377" t="s">
        <v>985</v>
      </c>
      <c r="Q21" s="377" t="s">
        <v>981</v>
      </c>
      <c r="R21" s="377" t="s">
        <v>920</v>
      </c>
      <c r="S21" s="377" t="s">
        <v>995</v>
      </c>
      <c r="T21" s="376">
        <f t="shared" si="1"/>
        <v>1985</v>
      </c>
      <c r="U21" s="381">
        <f t="shared" si="2"/>
        <v>38</v>
      </c>
    </row>
    <row r="22" ht="14.25" hidden="1" customHeight="1">
      <c r="A22" s="1" t="s">
        <v>38</v>
      </c>
      <c r="B22" s="378">
        <v>18.0</v>
      </c>
      <c r="C22" s="379">
        <v>1301167.0</v>
      </c>
      <c r="D22" s="380" t="s">
        <v>102</v>
      </c>
      <c r="E22" s="377" t="s">
        <v>996</v>
      </c>
      <c r="F22" s="377" t="s">
        <v>98</v>
      </c>
      <c r="G22" s="380" t="s">
        <v>41</v>
      </c>
      <c r="H22" s="377" t="s">
        <v>85</v>
      </c>
      <c r="I22" s="377" t="s">
        <v>99</v>
      </c>
      <c r="J22" s="377" t="s">
        <v>44</v>
      </c>
      <c r="K22" s="377" t="s">
        <v>997</v>
      </c>
      <c r="L22" s="377" t="s">
        <v>998</v>
      </c>
      <c r="M22" s="376"/>
      <c r="N22" s="377" t="s">
        <v>998</v>
      </c>
      <c r="O22" s="379">
        <v>2017.0</v>
      </c>
      <c r="P22" s="377" t="s">
        <v>946</v>
      </c>
      <c r="Q22" s="377" t="s">
        <v>923</v>
      </c>
      <c r="R22" s="377" t="s">
        <v>920</v>
      </c>
      <c r="S22" s="377" t="s">
        <v>999</v>
      </c>
      <c r="T22" s="376">
        <f t="shared" si="1"/>
        <v>1993</v>
      </c>
      <c r="U22" s="381">
        <f t="shared" si="2"/>
        <v>30</v>
      </c>
    </row>
    <row r="23" ht="14.25" hidden="1" customHeight="1">
      <c r="A23" s="1" t="s">
        <v>38</v>
      </c>
      <c r="B23" s="378">
        <v>19.0</v>
      </c>
      <c r="C23" s="377" t="s">
        <v>1000</v>
      </c>
      <c r="D23" s="380" t="s">
        <v>104</v>
      </c>
      <c r="E23" s="379">
        <v>1106507.0</v>
      </c>
      <c r="F23" s="377" t="s">
        <v>106</v>
      </c>
      <c r="G23" s="380" t="s">
        <v>41</v>
      </c>
      <c r="H23" s="377" t="s">
        <v>85</v>
      </c>
      <c r="I23" s="377" t="s">
        <v>91</v>
      </c>
      <c r="J23" s="377" t="s">
        <v>44</v>
      </c>
      <c r="K23" s="377" t="s">
        <v>1001</v>
      </c>
      <c r="L23" s="377" t="s">
        <v>1002</v>
      </c>
      <c r="M23" s="376"/>
      <c r="N23" s="377" t="s">
        <v>1002</v>
      </c>
      <c r="O23" s="379">
        <v>2004.0</v>
      </c>
      <c r="P23" s="377" t="s">
        <v>946</v>
      </c>
      <c r="Q23" s="377" t="s">
        <v>923</v>
      </c>
      <c r="R23" s="377" t="s">
        <v>920</v>
      </c>
      <c r="S23" s="377" t="s">
        <v>1003</v>
      </c>
      <c r="T23" s="376">
        <f t="shared" si="1"/>
        <v>1982</v>
      </c>
      <c r="U23" s="381">
        <f t="shared" si="2"/>
        <v>41</v>
      </c>
    </row>
    <row r="24" ht="14.25" hidden="1" customHeight="1">
      <c r="A24" s="1" t="s">
        <v>38</v>
      </c>
      <c r="B24" s="378">
        <v>20.0</v>
      </c>
      <c r="C24" s="377" t="s">
        <v>1004</v>
      </c>
      <c r="D24" s="380" t="s">
        <v>107</v>
      </c>
      <c r="E24" s="377" t="s">
        <v>1005</v>
      </c>
      <c r="F24" s="377" t="s">
        <v>106</v>
      </c>
      <c r="G24" s="380" t="s">
        <v>41</v>
      </c>
      <c r="H24" s="377" t="s">
        <v>85</v>
      </c>
      <c r="I24" s="377" t="s">
        <v>91</v>
      </c>
      <c r="J24" s="377" t="s">
        <v>44</v>
      </c>
      <c r="K24" s="377" t="s">
        <v>1006</v>
      </c>
      <c r="L24" s="377" t="s">
        <v>1007</v>
      </c>
      <c r="M24" s="376"/>
      <c r="N24" s="377" t="s">
        <v>1007</v>
      </c>
      <c r="O24" s="379">
        <v>2013.0</v>
      </c>
      <c r="P24" s="377" t="s">
        <v>985</v>
      </c>
      <c r="Q24" s="377" t="s">
        <v>923</v>
      </c>
      <c r="R24" s="377" t="s">
        <v>920</v>
      </c>
      <c r="S24" s="377" t="s">
        <v>1008</v>
      </c>
      <c r="T24" s="376">
        <f t="shared" si="1"/>
        <v>1986</v>
      </c>
      <c r="U24" s="381">
        <f t="shared" si="2"/>
        <v>37</v>
      </c>
    </row>
    <row r="25" ht="14.25" hidden="1" customHeight="1">
      <c r="A25" s="1" t="s">
        <v>38</v>
      </c>
      <c r="B25" s="378">
        <v>21.0</v>
      </c>
      <c r="C25" s="379">
        <v>1414348.0</v>
      </c>
      <c r="D25" s="380" t="s">
        <v>108</v>
      </c>
      <c r="E25" s="377" t="s">
        <v>1009</v>
      </c>
      <c r="F25" s="377" t="s">
        <v>106</v>
      </c>
      <c r="G25" s="380" t="s">
        <v>41</v>
      </c>
      <c r="H25" s="377" t="s">
        <v>85</v>
      </c>
      <c r="I25" s="377" t="s">
        <v>91</v>
      </c>
      <c r="J25" s="377" t="s">
        <v>44</v>
      </c>
      <c r="K25" s="377" t="s">
        <v>1010</v>
      </c>
      <c r="L25" s="377" t="s">
        <v>998</v>
      </c>
      <c r="M25" s="376"/>
      <c r="N25" s="377" t="s">
        <v>998</v>
      </c>
      <c r="O25" s="379">
        <v>2017.0</v>
      </c>
      <c r="P25" s="377" t="s">
        <v>918</v>
      </c>
      <c r="Q25" s="377" t="s">
        <v>1011</v>
      </c>
      <c r="R25" s="377" t="s">
        <v>920</v>
      </c>
      <c r="S25" s="377" t="s">
        <v>1012</v>
      </c>
      <c r="T25" s="376">
        <f t="shared" si="1"/>
        <v>1995</v>
      </c>
      <c r="U25" s="381">
        <f t="shared" si="2"/>
        <v>28</v>
      </c>
    </row>
    <row r="26" ht="14.25" hidden="1" customHeight="1">
      <c r="A26" s="1" t="s">
        <v>38</v>
      </c>
      <c r="B26" s="378">
        <v>23.0</v>
      </c>
      <c r="C26" s="379">
        <v>1001007.0</v>
      </c>
      <c r="D26" s="380" t="s">
        <v>111</v>
      </c>
      <c r="E26" s="377" t="s">
        <v>1013</v>
      </c>
      <c r="F26" s="377" t="s">
        <v>113</v>
      </c>
      <c r="G26" s="380" t="s">
        <v>41</v>
      </c>
      <c r="H26" s="377" t="s">
        <v>85</v>
      </c>
      <c r="I26" s="377" t="s">
        <v>95</v>
      </c>
      <c r="J26" s="377" t="s">
        <v>44</v>
      </c>
      <c r="K26" s="377" t="s">
        <v>1014</v>
      </c>
      <c r="L26" s="377" t="s">
        <v>935</v>
      </c>
      <c r="M26" s="376"/>
      <c r="N26" s="377" t="s">
        <v>935</v>
      </c>
      <c r="O26" s="379">
        <v>2014.0</v>
      </c>
      <c r="P26" s="377" t="s">
        <v>985</v>
      </c>
      <c r="Q26" s="377" t="s">
        <v>957</v>
      </c>
      <c r="R26" s="377" t="s">
        <v>920</v>
      </c>
      <c r="S26" s="377" t="s">
        <v>1017</v>
      </c>
      <c r="T26" s="376">
        <f t="shared" si="1"/>
        <v>1992</v>
      </c>
      <c r="U26" s="381">
        <f t="shared" si="2"/>
        <v>31</v>
      </c>
    </row>
    <row r="27" ht="14.25" hidden="1" customHeight="1">
      <c r="A27" s="1" t="s">
        <v>38</v>
      </c>
      <c r="B27" s="378">
        <v>24.0</v>
      </c>
      <c r="C27" s="379">
        <v>1001005.0</v>
      </c>
      <c r="D27" s="380" t="s">
        <v>114</v>
      </c>
      <c r="E27" s="377" t="s">
        <v>1018</v>
      </c>
      <c r="F27" s="377" t="s">
        <v>115</v>
      </c>
      <c r="G27" s="380" t="s">
        <v>54</v>
      </c>
      <c r="H27" s="377" t="s">
        <v>85</v>
      </c>
      <c r="I27" s="377" t="s">
        <v>91</v>
      </c>
      <c r="J27" s="377" t="s">
        <v>44</v>
      </c>
      <c r="K27" s="377" t="s">
        <v>1014</v>
      </c>
      <c r="L27" s="377" t="s">
        <v>935</v>
      </c>
      <c r="M27" s="376"/>
      <c r="N27" s="377" t="s">
        <v>935</v>
      </c>
      <c r="O27" s="379">
        <v>2014.0</v>
      </c>
      <c r="P27" s="377" t="s">
        <v>985</v>
      </c>
      <c r="Q27" s="377" t="s">
        <v>923</v>
      </c>
      <c r="R27" s="377" t="s">
        <v>920</v>
      </c>
      <c r="S27" s="377" t="s">
        <v>1020</v>
      </c>
      <c r="T27" s="376">
        <f t="shared" si="1"/>
        <v>1991</v>
      </c>
      <c r="U27" s="381">
        <f t="shared" si="2"/>
        <v>32</v>
      </c>
    </row>
    <row r="28" ht="14.25" hidden="1" customHeight="1">
      <c r="A28" s="1" t="s">
        <v>38</v>
      </c>
      <c r="B28" s="378">
        <v>25.0</v>
      </c>
      <c r="C28" s="379">
        <v>2114658.0</v>
      </c>
      <c r="D28" s="380" t="s">
        <v>117</v>
      </c>
      <c r="E28" s="377" t="s">
        <v>1028</v>
      </c>
      <c r="F28" s="377" t="s">
        <v>118</v>
      </c>
      <c r="G28" s="380" t="s">
        <v>54</v>
      </c>
      <c r="H28" s="377" t="s">
        <v>119</v>
      </c>
      <c r="I28" s="377" t="s">
        <v>120</v>
      </c>
      <c r="J28" s="377" t="s">
        <v>44</v>
      </c>
      <c r="K28" s="377" t="s">
        <v>1030</v>
      </c>
      <c r="L28" s="377" t="s">
        <v>1031</v>
      </c>
      <c r="M28" s="376"/>
      <c r="N28" s="377" t="s">
        <v>1031</v>
      </c>
      <c r="O28" s="379">
        <v>2023.0</v>
      </c>
      <c r="P28" s="377" t="s">
        <v>946</v>
      </c>
      <c r="Q28" s="377" t="s">
        <v>919</v>
      </c>
      <c r="R28" s="377" t="s">
        <v>920</v>
      </c>
      <c r="S28" s="377" t="s">
        <v>1032</v>
      </c>
      <c r="T28" s="376">
        <f t="shared" si="1"/>
        <v>1981</v>
      </c>
      <c r="U28" s="381">
        <f t="shared" si="2"/>
        <v>42</v>
      </c>
    </row>
    <row r="29" ht="14.25" hidden="1" customHeight="1">
      <c r="A29" s="1" t="s">
        <v>38</v>
      </c>
      <c r="B29" s="378">
        <v>26.0</v>
      </c>
      <c r="C29" s="377" t="s">
        <v>1033</v>
      </c>
      <c r="D29" s="380" t="s">
        <v>121</v>
      </c>
      <c r="E29" s="377" t="s">
        <v>1034</v>
      </c>
      <c r="F29" s="377" t="s">
        <v>122</v>
      </c>
      <c r="G29" s="380" t="s">
        <v>54</v>
      </c>
      <c r="H29" s="377" t="s">
        <v>119</v>
      </c>
      <c r="I29" s="377" t="s">
        <v>124</v>
      </c>
      <c r="J29" s="377" t="s">
        <v>44</v>
      </c>
      <c r="K29" s="377" t="s">
        <v>1035</v>
      </c>
      <c r="L29" s="377" t="s">
        <v>1036</v>
      </c>
      <c r="M29" s="376"/>
      <c r="N29" s="377" t="s">
        <v>1036</v>
      </c>
      <c r="O29" s="379">
        <v>2010.0</v>
      </c>
      <c r="P29" s="377" t="s">
        <v>946</v>
      </c>
      <c r="Q29" s="377" t="s">
        <v>930</v>
      </c>
      <c r="R29" s="377" t="s">
        <v>920</v>
      </c>
      <c r="S29" s="377" t="s">
        <v>1037</v>
      </c>
      <c r="T29" s="376">
        <f t="shared" si="1"/>
        <v>1983</v>
      </c>
      <c r="U29" s="381">
        <f t="shared" si="2"/>
        <v>40</v>
      </c>
    </row>
    <row r="30" ht="14.25" hidden="1" customHeight="1">
      <c r="A30" s="1" t="s">
        <v>38</v>
      </c>
      <c r="B30" s="378">
        <v>27.0</v>
      </c>
      <c r="C30" s="379">
        <v>1301214.0</v>
      </c>
      <c r="D30" s="380" t="s">
        <v>125</v>
      </c>
      <c r="E30" s="377" t="s">
        <v>1038</v>
      </c>
      <c r="F30" s="377" t="s">
        <v>124</v>
      </c>
      <c r="G30" s="380" t="s">
        <v>41</v>
      </c>
      <c r="H30" s="377" t="s">
        <v>119</v>
      </c>
      <c r="I30" s="377" t="s">
        <v>124</v>
      </c>
      <c r="J30" s="377" t="s">
        <v>44</v>
      </c>
      <c r="K30" s="377" t="s">
        <v>1039</v>
      </c>
      <c r="L30" s="377" t="s">
        <v>1040</v>
      </c>
      <c r="M30" s="376"/>
      <c r="N30" s="377" t="s">
        <v>1040</v>
      </c>
      <c r="O30" s="379">
        <v>2018.0</v>
      </c>
      <c r="P30" s="377" t="s">
        <v>946</v>
      </c>
      <c r="Q30" s="377" t="s">
        <v>941</v>
      </c>
      <c r="R30" s="377" t="s">
        <v>920</v>
      </c>
      <c r="S30" s="377" t="s">
        <v>1041</v>
      </c>
      <c r="T30" s="376">
        <f t="shared" si="1"/>
        <v>1989</v>
      </c>
      <c r="U30" s="381">
        <f t="shared" si="2"/>
        <v>34</v>
      </c>
    </row>
    <row r="31" ht="14.25" hidden="1" customHeight="1">
      <c r="A31" s="1" t="s">
        <v>38</v>
      </c>
      <c r="B31" s="378">
        <v>28.0</v>
      </c>
      <c r="C31" s="379">
        <v>1614351.0</v>
      </c>
      <c r="D31" s="380" t="s">
        <v>126</v>
      </c>
      <c r="E31" s="377" t="s">
        <v>1042</v>
      </c>
      <c r="F31" s="377" t="s">
        <v>124</v>
      </c>
      <c r="G31" s="380" t="s">
        <v>41</v>
      </c>
      <c r="H31" s="377" t="s">
        <v>119</v>
      </c>
      <c r="I31" s="377" t="s">
        <v>124</v>
      </c>
      <c r="J31" s="377" t="s">
        <v>44</v>
      </c>
      <c r="K31" s="377" t="s">
        <v>1043</v>
      </c>
      <c r="L31" s="377" t="s">
        <v>1040</v>
      </c>
      <c r="M31" s="376"/>
      <c r="N31" s="377" t="s">
        <v>1040</v>
      </c>
      <c r="O31" s="379">
        <v>2018.0</v>
      </c>
      <c r="P31" s="377" t="s">
        <v>1044</v>
      </c>
      <c r="Q31" s="377" t="s">
        <v>941</v>
      </c>
      <c r="R31" s="377" t="s">
        <v>920</v>
      </c>
      <c r="S31" s="377" t="s">
        <v>1045</v>
      </c>
      <c r="T31" s="376">
        <f t="shared" si="1"/>
        <v>1989</v>
      </c>
      <c r="U31" s="381">
        <f t="shared" si="2"/>
        <v>34</v>
      </c>
    </row>
    <row r="32" ht="14.25" hidden="1" customHeight="1">
      <c r="A32" s="1" t="s">
        <v>38</v>
      </c>
      <c r="B32" s="378">
        <v>29.0</v>
      </c>
      <c r="C32" s="377" t="s">
        <v>1046</v>
      </c>
      <c r="D32" s="380" t="s">
        <v>127</v>
      </c>
      <c r="E32" s="377" t="s">
        <v>1048</v>
      </c>
      <c r="F32" s="377" t="s">
        <v>124</v>
      </c>
      <c r="G32" s="380" t="s">
        <v>41</v>
      </c>
      <c r="H32" s="377" t="s">
        <v>119</v>
      </c>
      <c r="I32" s="377" t="s">
        <v>124</v>
      </c>
      <c r="J32" s="377" t="s">
        <v>44</v>
      </c>
      <c r="K32" s="377" t="s">
        <v>1051</v>
      </c>
      <c r="L32" s="377" t="s">
        <v>967</v>
      </c>
      <c r="M32" s="376"/>
      <c r="N32" s="377" t="s">
        <v>967</v>
      </c>
      <c r="O32" s="379">
        <v>2011.0</v>
      </c>
      <c r="P32" s="377" t="s">
        <v>918</v>
      </c>
      <c r="Q32" s="377" t="s">
        <v>930</v>
      </c>
      <c r="R32" s="377" t="s">
        <v>920</v>
      </c>
      <c r="S32" s="377" t="s">
        <v>1053</v>
      </c>
      <c r="T32" s="376">
        <f t="shared" si="1"/>
        <v>1982</v>
      </c>
      <c r="U32" s="381">
        <f t="shared" si="2"/>
        <v>41</v>
      </c>
    </row>
    <row r="33" ht="14.25" hidden="1" customHeight="1">
      <c r="A33" s="1" t="s">
        <v>38</v>
      </c>
      <c r="B33" s="378">
        <v>30.0</v>
      </c>
      <c r="C33" s="377" t="s">
        <v>1054</v>
      </c>
      <c r="D33" s="380" t="s">
        <v>128</v>
      </c>
      <c r="E33" s="379">
        <v>1106358.0</v>
      </c>
      <c r="F33" s="377" t="s">
        <v>124</v>
      </c>
      <c r="G33" s="380" t="s">
        <v>41</v>
      </c>
      <c r="H33" s="377" t="s">
        <v>119</v>
      </c>
      <c r="I33" s="377" t="s">
        <v>124</v>
      </c>
      <c r="J33" s="377" t="s">
        <v>44</v>
      </c>
      <c r="K33" s="377" t="s">
        <v>1055</v>
      </c>
      <c r="L33" s="377" t="s">
        <v>961</v>
      </c>
      <c r="M33" s="376"/>
      <c r="N33" s="377" t="s">
        <v>961</v>
      </c>
      <c r="O33" s="379">
        <v>2007.0</v>
      </c>
      <c r="P33" s="377" t="s">
        <v>946</v>
      </c>
      <c r="Q33" s="377" t="s">
        <v>952</v>
      </c>
      <c r="R33" s="377" t="s">
        <v>920</v>
      </c>
      <c r="S33" s="377" t="s">
        <v>1057</v>
      </c>
      <c r="T33" s="376">
        <f t="shared" si="1"/>
        <v>1982</v>
      </c>
      <c r="U33" s="381">
        <f t="shared" si="2"/>
        <v>41</v>
      </c>
    </row>
    <row r="34" ht="14.25" hidden="1" customHeight="1">
      <c r="A34" s="1" t="s">
        <v>38</v>
      </c>
      <c r="B34" s="378">
        <v>31.0</v>
      </c>
      <c r="C34" s="377" t="s">
        <v>1058</v>
      </c>
      <c r="D34" s="380" t="s">
        <v>130</v>
      </c>
      <c r="E34" s="379">
        <v>1106012.0</v>
      </c>
      <c r="F34" s="377" t="s">
        <v>131</v>
      </c>
      <c r="G34" s="380" t="s">
        <v>63</v>
      </c>
      <c r="H34" s="377" t="s">
        <v>119</v>
      </c>
      <c r="I34" s="377" t="s">
        <v>124</v>
      </c>
      <c r="J34" s="377" t="s">
        <v>44</v>
      </c>
      <c r="K34" s="377" t="s">
        <v>1059</v>
      </c>
      <c r="L34" s="377" t="s">
        <v>1060</v>
      </c>
      <c r="M34" s="376"/>
      <c r="N34" s="377" t="s">
        <v>1060</v>
      </c>
      <c r="O34" s="379">
        <v>2005.0</v>
      </c>
      <c r="P34" s="377" t="s">
        <v>946</v>
      </c>
      <c r="Q34" s="377" t="s">
        <v>941</v>
      </c>
      <c r="R34" s="377" t="s">
        <v>920</v>
      </c>
      <c r="S34" s="377" t="s">
        <v>1063</v>
      </c>
      <c r="T34" s="376">
        <f t="shared" si="1"/>
        <v>1981</v>
      </c>
      <c r="U34" s="381">
        <f t="shared" si="2"/>
        <v>42</v>
      </c>
    </row>
    <row r="35" ht="14.25" hidden="1" customHeight="1">
      <c r="A35" s="1" t="s">
        <v>38</v>
      </c>
      <c r="B35" s="378">
        <v>1.0</v>
      </c>
      <c r="C35" s="379">
        <v>2214766.0</v>
      </c>
      <c r="D35" s="380" t="s">
        <v>39</v>
      </c>
      <c r="E35" s="377" t="s">
        <v>1064</v>
      </c>
      <c r="F35" s="377" t="s">
        <v>40</v>
      </c>
      <c r="G35" s="380" t="s">
        <v>41</v>
      </c>
      <c r="H35" s="377" t="s">
        <v>42</v>
      </c>
      <c r="I35" s="377" t="s">
        <v>43</v>
      </c>
      <c r="J35" s="377" t="s">
        <v>158</v>
      </c>
      <c r="K35" s="377" t="s">
        <v>1065</v>
      </c>
      <c r="L35" s="377" t="s">
        <v>1066</v>
      </c>
      <c r="M35" s="377" t="s">
        <v>1067</v>
      </c>
      <c r="N35" s="376"/>
      <c r="O35" s="376"/>
      <c r="P35" s="377" t="s">
        <v>918</v>
      </c>
      <c r="Q35" s="377" t="s">
        <v>930</v>
      </c>
      <c r="R35" s="377" t="s">
        <v>931</v>
      </c>
      <c r="S35" s="377" t="s">
        <v>1069</v>
      </c>
      <c r="T35" s="376">
        <f t="shared" si="1"/>
        <v>1993</v>
      </c>
      <c r="U35" s="381">
        <f t="shared" si="2"/>
        <v>30</v>
      </c>
    </row>
    <row r="36" ht="14.25" hidden="1" customHeight="1">
      <c r="A36" s="1" t="s">
        <v>38</v>
      </c>
      <c r="B36" s="378">
        <v>2.0</v>
      </c>
      <c r="C36" s="379">
        <v>2114588.0</v>
      </c>
      <c r="D36" s="380" t="s">
        <v>132</v>
      </c>
      <c r="E36" s="377" t="s">
        <v>1070</v>
      </c>
      <c r="F36" s="377" t="s">
        <v>133</v>
      </c>
      <c r="G36" s="380" t="s">
        <v>134</v>
      </c>
      <c r="H36" s="377" t="s">
        <v>134</v>
      </c>
      <c r="I36" s="377" t="s">
        <v>134</v>
      </c>
      <c r="J36" s="377" t="s">
        <v>135</v>
      </c>
      <c r="K36" s="377" t="s">
        <v>1030</v>
      </c>
      <c r="L36" s="377" t="s">
        <v>945</v>
      </c>
      <c r="M36" s="377" t="s">
        <v>1071</v>
      </c>
      <c r="N36" s="376"/>
      <c r="O36" s="376"/>
      <c r="P36" s="377" t="s">
        <v>946</v>
      </c>
      <c r="Q36" s="377" t="s">
        <v>930</v>
      </c>
      <c r="R36" s="377" t="s">
        <v>920</v>
      </c>
      <c r="S36" s="377" t="s">
        <v>1072</v>
      </c>
      <c r="T36" s="376">
        <f t="shared" si="1"/>
        <v>1975</v>
      </c>
      <c r="U36" s="381">
        <f t="shared" si="2"/>
        <v>48</v>
      </c>
    </row>
    <row r="37" ht="14.25" hidden="1" customHeight="1">
      <c r="A37" s="1" t="s">
        <v>38</v>
      </c>
      <c r="B37" s="378">
        <v>3.0</v>
      </c>
      <c r="C37" s="379">
        <v>2314812.0</v>
      </c>
      <c r="D37" s="380" t="s">
        <v>1073</v>
      </c>
      <c r="E37" s="377" t="s">
        <v>1074</v>
      </c>
      <c r="F37" s="377" t="s">
        <v>257</v>
      </c>
      <c r="G37" s="380" t="s">
        <v>41</v>
      </c>
      <c r="H37" s="377" t="s">
        <v>256</v>
      </c>
      <c r="I37" s="377" t="s">
        <v>257</v>
      </c>
      <c r="J37" s="377" t="s">
        <v>158</v>
      </c>
      <c r="K37" s="377" t="s">
        <v>1075</v>
      </c>
      <c r="L37" s="377" t="s">
        <v>945</v>
      </c>
      <c r="M37" s="377" t="s">
        <v>1076</v>
      </c>
      <c r="N37" s="376"/>
      <c r="O37" s="376"/>
      <c r="P37" s="377" t="s">
        <v>918</v>
      </c>
      <c r="Q37" s="377" t="s">
        <v>930</v>
      </c>
      <c r="R37" s="377" t="s">
        <v>920</v>
      </c>
      <c r="S37" s="377" t="s">
        <v>1077</v>
      </c>
      <c r="T37" s="376">
        <f t="shared" si="1"/>
        <v>1994</v>
      </c>
      <c r="U37" s="381">
        <f t="shared" si="2"/>
        <v>29</v>
      </c>
    </row>
    <row r="38" ht="14.25" hidden="1" customHeight="1">
      <c r="A38" s="1" t="s">
        <v>38</v>
      </c>
      <c r="B38" s="378">
        <v>4.0</v>
      </c>
      <c r="C38" s="379">
        <v>2114615.0</v>
      </c>
      <c r="D38" s="380" t="s">
        <v>136</v>
      </c>
      <c r="E38" s="377" t="s">
        <v>1078</v>
      </c>
      <c r="F38" s="377" t="s">
        <v>137</v>
      </c>
      <c r="G38" s="380" t="s">
        <v>138</v>
      </c>
      <c r="H38" s="377" t="s">
        <v>139</v>
      </c>
      <c r="I38" s="377" t="s">
        <v>141</v>
      </c>
      <c r="J38" s="377" t="s">
        <v>135</v>
      </c>
      <c r="K38" s="377" t="s">
        <v>1030</v>
      </c>
      <c r="L38" s="377" t="s">
        <v>945</v>
      </c>
      <c r="M38" s="377" t="s">
        <v>1071</v>
      </c>
      <c r="N38" s="376"/>
      <c r="O38" s="376"/>
      <c r="P38" s="377" t="s">
        <v>962</v>
      </c>
      <c r="Q38" s="377" t="s">
        <v>930</v>
      </c>
      <c r="R38" s="377" t="s">
        <v>920</v>
      </c>
      <c r="S38" s="377" t="s">
        <v>1079</v>
      </c>
      <c r="T38" s="376">
        <f t="shared" si="1"/>
        <v>1980</v>
      </c>
      <c r="U38" s="381">
        <f t="shared" si="2"/>
        <v>43</v>
      </c>
    </row>
    <row r="39" ht="14.25" hidden="1" customHeight="1">
      <c r="A39" s="1" t="s">
        <v>38</v>
      </c>
      <c r="B39" s="378">
        <v>5.0</v>
      </c>
      <c r="C39" s="379">
        <v>2114657.0</v>
      </c>
      <c r="D39" s="380" t="s">
        <v>142</v>
      </c>
      <c r="E39" s="377" t="s">
        <v>1080</v>
      </c>
      <c r="F39" s="377" t="s">
        <v>143</v>
      </c>
      <c r="G39" s="380" t="s">
        <v>138</v>
      </c>
      <c r="H39" s="377" t="s">
        <v>139</v>
      </c>
      <c r="I39" s="377" t="s">
        <v>144</v>
      </c>
      <c r="J39" s="377" t="s">
        <v>135</v>
      </c>
      <c r="K39" s="377" t="s">
        <v>1030</v>
      </c>
      <c r="L39" s="377" t="s">
        <v>945</v>
      </c>
      <c r="M39" s="377" t="s">
        <v>1071</v>
      </c>
      <c r="N39" s="376"/>
      <c r="O39" s="376"/>
      <c r="P39" s="377" t="s">
        <v>946</v>
      </c>
      <c r="Q39" s="377" t="s">
        <v>923</v>
      </c>
      <c r="R39" s="377" t="s">
        <v>920</v>
      </c>
      <c r="S39" s="377" t="s">
        <v>1081</v>
      </c>
      <c r="T39" s="376">
        <f t="shared" si="1"/>
        <v>1974</v>
      </c>
      <c r="U39" s="381">
        <f t="shared" si="2"/>
        <v>49</v>
      </c>
    </row>
    <row r="40" ht="14.25" hidden="1" customHeight="1">
      <c r="A40" s="1" t="s">
        <v>38</v>
      </c>
      <c r="B40" s="378">
        <v>6.0</v>
      </c>
      <c r="C40" s="379">
        <v>2314843.0</v>
      </c>
      <c r="D40" s="380" t="s">
        <v>145</v>
      </c>
      <c r="E40" s="377" t="s">
        <v>1082</v>
      </c>
      <c r="F40" s="377" t="s">
        <v>146</v>
      </c>
      <c r="G40" s="380" t="s">
        <v>41</v>
      </c>
      <c r="H40" s="377" t="s">
        <v>147</v>
      </c>
      <c r="I40" s="377" t="s">
        <v>147</v>
      </c>
      <c r="J40" s="377" t="s">
        <v>153</v>
      </c>
      <c r="K40" s="377" t="s">
        <v>1084</v>
      </c>
      <c r="L40" s="377" t="s">
        <v>1084</v>
      </c>
      <c r="M40" s="377" t="s">
        <v>1085</v>
      </c>
      <c r="N40" s="376"/>
      <c r="O40" s="376"/>
      <c r="P40" s="377" t="s">
        <v>918</v>
      </c>
      <c r="Q40" s="377" t="s">
        <v>930</v>
      </c>
      <c r="R40" s="377" t="s">
        <v>920</v>
      </c>
      <c r="S40" s="377" t="s">
        <v>1087</v>
      </c>
      <c r="T40" s="376">
        <f t="shared" si="1"/>
        <v>1998</v>
      </c>
      <c r="U40" s="381">
        <f t="shared" si="2"/>
        <v>25</v>
      </c>
    </row>
    <row r="41" ht="14.25" hidden="1" customHeight="1">
      <c r="A41" s="1" t="s">
        <v>38</v>
      </c>
      <c r="B41" s="378">
        <v>7.0</v>
      </c>
      <c r="C41" s="379">
        <v>2114660.0</v>
      </c>
      <c r="D41" s="380" t="s">
        <v>149</v>
      </c>
      <c r="E41" s="377" t="s">
        <v>1089</v>
      </c>
      <c r="F41" s="377" t="s">
        <v>150</v>
      </c>
      <c r="G41" s="380" t="s">
        <v>54</v>
      </c>
      <c r="H41" s="377" t="s">
        <v>151</v>
      </c>
      <c r="I41" s="377" t="s">
        <v>151</v>
      </c>
      <c r="J41" s="377" t="s">
        <v>135</v>
      </c>
      <c r="K41" s="377" t="s">
        <v>1030</v>
      </c>
      <c r="L41" s="377" t="s">
        <v>945</v>
      </c>
      <c r="M41" s="377" t="s">
        <v>1071</v>
      </c>
      <c r="N41" s="376"/>
      <c r="O41" s="376"/>
      <c r="P41" s="377" t="s">
        <v>946</v>
      </c>
      <c r="Q41" s="377" t="s">
        <v>930</v>
      </c>
      <c r="R41" s="377" t="s">
        <v>920</v>
      </c>
      <c r="S41" s="377" t="s">
        <v>1090</v>
      </c>
      <c r="T41" s="376">
        <f t="shared" si="1"/>
        <v>1974</v>
      </c>
      <c r="U41" s="381">
        <f t="shared" si="2"/>
        <v>49</v>
      </c>
    </row>
    <row r="42" ht="14.25" hidden="1" customHeight="1">
      <c r="A42" s="1" t="s">
        <v>38</v>
      </c>
      <c r="B42" s="378">
        <v>8.0</v>
      </c>
      <c r="C42" s="379">
        <v>2414869.0</v>
      </c>
      <c r="D42" s="380" t="s">
        <v>152</v>
      </c>
      <c r="E42" s="377" t="s">
        <v>1091</v>
      </c>
      <c r="F42" s="377" t="s">
        <v>83</v>
      </c>
      <c r="G42" s="380" t="s">
        <v>41</v>
      </c>
      <c r="H42" s="377" t="s">
        <v>85</v>
      </c>
      <c r="I42" s="377" t="s">
        <v>83</v>
      </c>
      <c r="J42" s="377" t="s">
        <v>153</v>
      </c>
      <c r="K42" s="377" t="s">
        <v>945</v>
      </c>
      <c r="L42" s="377" t="s">
        <v>945</v>
      </c>
      <c r="M42" s="377" t="s">
        <v>1071</v>
      </c>
      <c r="N42" s="376"/>
      <c r="O42" s="376"/>
      <c r="P42" s="377" t="s">
        <v>946</v>
      </c>
      <c r="Q42" s="377" t="s">
        <v>923</v>
      </c>
      <c r="R42" s="377" t="s">
        <v>920</v>
      </c>
      <c r="S42" s="377" t="s">
        <v>1092</v>
      </c>
      <c r="T42" s="376">
        <f t="shared" si="1"/>
        <v>1993</v>
      </c>
      <c r="U42" s="381">
        <f t="shared" si="2"/>
        <v>30</v>
      </c>
    </row>
    <row r="43" ht="14.25" hidden="1" customHeight="1">
      <c r="A43" s="1" t="s">
        <v>38</v>
      </c>
      <c r="B43" s="378">
        <v>9.0</v>
      </c>
      <c r="C43" s="379">
        <v>2414870.0</v>
      </c>
      <c r="D43" s="380" t="s">
        <v>154</v>
      </c>
      <c r="E43" s="377" t="s">
        <v>1093</v>
      </c>
      <c r="F43" s="377" t="s">
        <v>83</v>
      </c>
      <c r="G43" s="380" t="s">
        <v>41</v>
      </c>
      <c r="H43" s="377" t="s">
        <v>85</v>
      </c>
      <c r="I43" s="377" t="s">
        <v>83</v>
      </c>
      <c r="J43" s="377" t="s">
        <v>153</v>
      </c>
      <c r="K43" s="377" t="s">
        <v>945</v>
      </c>
      <c r="L43" s="377" t="s">
        <v>945</v>
      </c>
      <c r="M43" s="377" t="s">
        <v>1071</v>
      </c>
      <c r="N43" s="376"/>
      <c r="O43" s="376"/>
      <c r="P43" s="377" t="s">
        <v>918</v>
      </c>
      <c r="Q43" s="377" t="s">
        <v>923</v>
      </c>
      <c r="R43" s="377" t="s">
        <v>920</v>
      </c>
      <c r="S43" s="377" t="s">
        <v>1094</v>
      </c>
      <c r="T43" s="376">
        <f t="shared" si="1"/>
        <v>1985</v>
      </c>
      <c r="U43" s="381">
        <f t="shared" si="2"/>
        <v>38</v>
      </c>
    </row>
    <row r="44" ht="14.25" hidden="1" customHeight="1">
      <c r="A44" s="1" t="s">
        <v>38</v>
      </c>
      <c r="B44" s="378">
        <v>10.0</v>
      </c>
      <c r="C44" s="379">
        <v>2314777.0</v>
      </c>
      <c r="D44" s="384" t="s">
        <v>157</v>
      </c>
      <c r="E44" s="377" t="s">
        <v>1095</v>
      </c>
      <c r="F44" s="377" t="s">
        <v>98</v>
      </c>
      <c r="G44" s="380" t="s">
        <v>41</v>
      </c>
      <c r="H44" s="377" t="s">
        <v>85</v>
      </c>
      <c r="I44" s="377" t="s">
        <v>99</v>
      </c>
      <c r="J44" s="377" t="s">
        <v>158</v>
      </c>
      <c r="K44" s="377" t="s">
        <v>1031</v>
      </c>
      <c r="L44" s="377" t="s">
        <v>945</v>
      </c>
      <c r="M44" s="377" t="s">
        <v>1071</v>
      </c>
      <c r="N44" s="376"/>
      <c r="O44" s="376"/>
      <c r="P44" s="377" t="s">
        <v>985</v>
      </c>
      <c r="Q44" s="377" t="s">
        <v>923</v>
      </c>
      <c r="R44" s="377" t="s">
        <v>920</v>
      </c>
      <c r="S44" s="377" t="s">
        <v>1096</v>
      </c>
      <c r="T44" s="376">
        <f t="shared" si="1"/>
        <v>1996</v>
      </c>
      <c r="U44" s="381">
        <f t="shared" si="2"/>
        <v>27</v>
      </c>
    </row>
    <row r="45" ht="14.25" hidden="1" customHeight="1">
      <c r="A45" s="1" t="s">
        <v>38</v>
      </c>
      <c r="B45" s="378">
        <v>10.0</v>
      </c>
      <c r="C45" s="379">
        <v>2414869.0</v>
      </c>
      <c r="D45" s="384" t="s">
        <v>152</v>
      </c>
      <c r="E45" s="377" t="s">
        <v>1091</v>
      </c>
      <c r="F45" s="377" t="s">
        <v>83</v>
      </c>
      <c r="G45" s="380" t="s">
        <v>41</v>
      </c>
      <c r="H45" s="377" t="s">
        <v>85</v>
      </c>
      <c r="I45" s="377" t="s">
        <v>83</v>
      </c>
      <c r="J45" s="377" t="s">
        <v>153</v>
      </c>
      <c r="K45" s="377" t="s">
        <v>945</v>
      </c>
      <c r="L45" s="377" t="s">
        <v>945</v>
      </c>
      <c r="M45" s="377" t="s">
        <v>1071</v>
      </c>
      <c r="N45" s="376"/>
      <c r="O45" s="376"/>
      <c r="P45" s="377" t="s">
        <v>946</v>
      </c>
      <c r="Q45" s="377" t="s">
        <v>923</v>
      </c>
      <c r="R45" s="377" t="s">
        <v>920</v>
      </c>
      <c r="S45" s="377" t="s">
        <v>1092</v>
      </c>
      <c r="T45" s="376">
        <f t="shared" si="1"/>
        <v>1993</v>
      </c>
      <c r="U45" s="381">
        <f t="shared" si="2"/>
        <v>30</v>
      </c>
    </row>
    <row r="46" ht="14.25" hidden="1" customHeight="1">
      <c r="A46" s="1" t="s">
        <v>38</v>
      </c>
      <c r="B46" s="378">
        <v>10.0</v>
      </c>
      <c r="C46" s="379">
        <v>2414870.0</v>
      </c>
      <c r="D46" s="380" t="s">
        <v>154</v>
      </c>
      <c r="E46" s="377" t="s">
        <v>1093</v>
      </c>
      <c r="F46" s="377" t="s">
        <v>83</v>
      </c>
      <c r="G46" s="380" t="s">
        <v>41</v>
      </c>
      <c r="H46" s="377" t="s">
        <v>85</v>
      </c>
      <c r="I46" s="377" t="s">
        <v>83</v>
      </c>
      <c r="J46" s="377" t="s">
        <v>153</v>
      </c>
      <c r="K46" s="377" t="s">
        <v>945</v>
      </c>
      <c r="L46" s="377" t="s">
        <v>945</v>
      </c>
      <c r="M46" s="377" t="s">
        <v>1071</v>
      </c>
      <c r="N46" s="376"/>
      <c r="O46" s="376"/>
      <c r="P46" s="377" t="s">
        <v>946</v>
      </c>
      <c r="Q46" s="377" t="s">
        <v>923</v>
      </c>
      <c r="R46" s="377" t="s">
        <v>920</v>
      </c>
      <c r="S46" s="377" t="s">
        <v>1094</v>
      </c>
      <c r="T46" s="376">
        <f t="shared" si="1"/>
        <v>1985</v>
      </c>
      <c r="U46" s="381">
        <f t="shared" si="2"/>
        <v>38</v>
      </c>
    </row>
    <row r="47" ht="14.25" hidden="1" customHeight="1">
      <c r="A47" s="1" t="s">
        <v>38</v>
      </c>
      <c r="B47" s="378">
        <v>11.0</v>
      </c>
      <c r="C47" s="379">
        <v>2314811.0</v>
      </c>
      <c r="D47" s="380" t="s">
        <v>1097</v>
      </c>
      <c r="E47" s="377" t="s">
        <v>1098</v>
      </c>
      <c r="F47" s="377" t="s">
        <v>368</v>
      </c>
      <c r="G47" s="380" t="s">
        <v>41</v>
      </c>
      <c r="H47" s="377" t="s">
        <v>367</v>
      </c>
      <c r="I47" s="377" t="s">
        <v>368</v>
      </c>
      <c r="J47" s="377" t="s">
        <v>158</v>
      </c>
      <c r="K47" s="377" t="s">
        <v>1075</v>
      </c>
      <c r="L47" s="377" t="s">
        <v>945</v>
      </c>
      <c r="M47" s="377" t="s">
        <v>1067</v>
      </c>
      <c r="N47" s="376"/>
      <c r="O47" s="376"/>
      <c r="P47" s="377" t="s">
        <v>918</v>
      </c>
      <c r="Q47" s="377" t="s">
        <v>930</v>
      </c>
      <c r="R47" s="377" t="s">
        <v>920</v>
      </c>
      <c r="S47" s="377" t="s">
        <v>1099</v>
      </c>
      <c r="T47" s="376">
        <f t="shared" si="1"/>
        <v>1993</v>
      </c>
      <c r="U47" s="381">
        <f t="shared" si="2"/>
        <v>30</v>
      </c>
    </row>
    <row r="48" ht="14.25" hidden="1" customHeight="1">
      <c r="A48" s="1" t="s">
        <v>160</v>
      </c>
      <c r="B48" s="378">
        <v>1.0</v>
      </c>
      <c r="C48" s="379">
        <v>1000973.0</v>
      </c>
      <c r="D48" s="380" t="s">
        <v>161</v>
      </c>
      <c r="E48" s="377" t="s">
        <v>1100</v>
      </c>
      <c r="F48" s="377" t="s">
        <v>162</v>
      </c>
      <c r="G48" s="380" t="s">
        <v>41</v>
      </c>
      <c r="H48" s="377" t="s">
        <v>42</v>
      </c>
      <c r="I48" s="377" t="s">
        <v>48</v>
      </c>
      <c r="J48" s="377" t="s">
        <v>44</v>
      </c>
      <c r="K48" s="377" t="s">
        <v>1101</v>
      </c>
      <c r="L48" s="377" t="s">
        <v>1007</v>
      </c>
      <c r="M48" s="376"/>
      <c r="N48" s="377" t="s">
        <v>1007</v>
      </c>
      <c r="O48" s="379">
        <v>2013.0</v>
      </c>
      <c r="P48" s="377" t="s">
        <v>936</v>
      </c>
      <c r="Q48" s="377" t="s">
        <v>919</v>
      </c>
      <c r="R48" s="377" t="s">
        <v>931</v>
      </c>
      <c r="S48" s="377" t="s">
        <v>1102</v>
      </c>
      <c r="T48" s="376">
        <f t="shared" si="1"/>
        <v>1986</v>
      </c>
      <c r="U48" s="381">
        <f t="shared" si="2"/>
        <v>37</v>
      </c>
    </row>
    <row r="49" ht="14.25" hidden="1" customHeight="1">
      <c r="A49" s="1" t="s">
        <v>160</v>
      </c>
      <c r="B49" s="378">
        <v>2.0</v>
      </c>
      <c r="C49" s="379">
        <v>1001320.0</v>
      </c>
      <c r="D49" s="380" t="s">
        <v>163</v>
      </c>
      <c r="E49" s="377" t="s">
        <v>1103</v>
      </c>
      <c r="F49" s="377" t="s">
        <v>164</v>
      </c>
      <c r="G49" s="380" t="s">
        <v>41</v>
      </c>
      <c r="H49" s="377" t="s">
        <v>42</v>
      </c>
      <c r="I49" s="377" t="s">
        <v>165</v>
      </c>
      <c r="J49" s="377" t="s">
        <v>44</v>
      </c>
      <c r="K49" s="377" t="s">
        <v>1104</v>
      </c>
      <c r="L49" s="377" t="s">
        <v>1105</v>
      </c>
      <c r="M49" s="376"/>
      <c r="N49" s="377" t="s">
        <v>1105</v>
      </c>
      <c r="O49" s="379">
        <v>2016.0</v>
      </c>
      <c r="P49" s="377" t="s">
        <v>936</v>
      </c>
      <c r="Q49" s="377" t="s">
        <v>919</v>
      </c>
      <c r="R49" s="377" t="s">
        <v>931</v>
      </c>
      <c r="S49" s="377" t="s">
        <v>1106</v>
      </c>
      <c r="T49" s="376">
        <f t="shared" si="1"/>
        <v>1986</v>
      </c>
      <c r="U49" s="381">
        <f t="shared" si="2"/>
        <v>37</v>
      </c>
    </row>
    <row r="50" ht="14.25" hidden="1" customHeight="1">
      <c r="A50" s="1" t="s">
        <v>160</v>
      </c>
      <c r="B50" s="378">
        <v>5.0</v>
      </c>
      <c r="C50" s="377" t="s">
        <v>1107</v>
      </c>
      <c r="D50" s="380" t="s">
        <v>167</v>
      </c>
      <c r="E50" s="377" t="s">
        <v>1108</v>
      </c>
      <c r="F50" s="377" t="s">
        <v>60</v>
      </c>
      <c r="G50" s="380" t="s">
        <v>41</v>
      </c>
      <c r="H50" s="377" t="s">
        <v>55</v>
      </c>
      <c r="I50" s="377" t="s">
        <v>60</v>
      </c>
      <c r="J50" s="377" t="s">
        <v>44</v>
      </c>
      <c r="K50" s="377" t="s">
        <v>1109</v>
      </c>
      <c r="L50" s="377" t="s">
        <v>967</v>
      </c>
      <c r="M50" s="376"/>
      <c r="N50" s="377" t="s">
        <v>967</v>
      </c>
      <c r="O50" s="379">
        <v>2011.0</v>
      </c>
      <c r="P50" s="377" t="s">
        <v>936</v>
      </c>
      <c r="Q50" s="377" t="s">
        <v>981</v>
      </c>
      <c r="R50" s="377" t="s">
        <v>920</v>
      </c>
      <c r="S50" s="377" t="s">
        <v>1110</v>
      </c>
      <c r="T50" s="376">
        <f t="shared" si="1"/>
        <v>1976</v>
      </c>
      <c r="U50" s="381">
        <f t="shared" si="2"/>
        <v>47</v>
      </c>
    </row>
    <row r="51" ht="14.25" hidden="1" customHeight="1">
      <c r="A51" s="1" t="s">
        <v>160</v>
      </c>
      <c r="B51" s="378">
        <v>6.0</v>
      </c>
      <c r="C51" s="377" t="s">
        <v>1111</v>
      </c>
      <c r="D51" s="380" t="s">
        <v>168</v>
      </c>
      <c r="E51" s="377" t="s">
        <v>1112</v>
      </c>
      <c r="F51" s="377" t="s">
        <v>169</v>
      </c>
      <c r="G51" s="380" t="s">
        <v>41</v>
      </c>
      <c r="H51" s="377" t="s">
        <v>151</v>
      </c>
      <c r="I51" s="377" t="s">
        <v>151</v>
      </c>
      <c r="J51" s="377" t="s">
        <v>44</v>
      </c>
      <c r="K51" s="377" t="s">
        <v>1113</v>
      </c>
      <c r="L51" s="377" t="s">
        <v>1007</v>
      </c>
      <c r="M51" s="376"/>
      <c r="N51" s="377" t="s">
        <v>1007</v>
      </c>
      <c r="O51" s="379">
        <v>2013.0</v>
      </c>
      <c r="P51" s="377" t="s">
        <v>1114</v>
      </c>
      <c r="Q51" s="377" t="s">
        <v>930</v>
      </c>
      <c r="R51" s="377" t="s">
        <v>920</v>
      </c>
      <c r="S51" s="377" t="s">
        <v>1115</v>
      </c>
      <c r="T51" s="376">
        <f t="shared" si="1"/>
        <v>1983</v>
      </c>
      <c r="U51" s="381">
        <f t="shared" si="2"/>
        <v>40</v>
      </c>
    </row>
    <row r="52" ht="14.25" hidden="1" customHeight="1">
      <c r="A52" s="1" t="s">
        <v>160</v>
      </c>
      <c r="B52" s="378">
        <v>8.0</v>
      </c>
      <c r="C52" s="377" t="s">
        <v>1116</v>
      </c>
      <c r="D52" s="380" t="s">
        <v>170</v>
      </c>
      <c r="E52" s="377" t="s">
        <v>1117</v>
      </c>
      <c r="F52" s="377" t="s">
        <v>65</v>
      </c>
      <c r="G52" s="380" t="s">
        <v>41</v>
      </c>
      <c r="H52" s="377" t="s">
        <v>64</v>
      </c>
      <c r="I52" s="377" t="s">
        <v>65</v>
      </c>
      <c r="J52" s="377" t="s">
        <v>44</v>
      </c>
      <c r="K52" s="377" t="s">
        <v>1118</v>
      </c>
      <c r="L52" s="377" t="s">
        <v>1119</v>
      </c>
      <c r="M52" s="376"/>
      <c r="N52" s="377" t="s">
        <v>1119</v>
      </c>
      <c r="O52" s="379">
        <v>2009.0</v>
      </c>
      <c r="P52" s="377" t="s">
        <v>1114</v>
      </c>
      <c r="Q52" s="377" t="s">
        <v>930</v>
      </c>
      <c r="R52" s="377" t="s">
        <v>920</v>
      </c>
      <c r="S52" s="377" t="s">
        <v>1120</v>
      </c>
      <c r="T52" s="376">
        <f t="shared" si="1"/>
        <v>1981</v>
      </c>
      <c r="U52" s="381">
        <f t="shared" si="2"/>
        <v>42</v>
      </c>
    </row>
    <row r="53" ht="14.25" hidden="1" customHeight="1">
      <c r="A53" s="1" t="s">
        <v>160</v>
      </c>
      <c r="B53" s="378">
        <v>9.0</v>
      </c>
      <c r="C53" s="377" t="s">
        <v>1121</v>
      </c>
      <c r="D53" s="380" t="s">
        <v>173</v>
      </c>
      <c r="E53" s="377" t="s">
        <v>1122</v>
      </c>
      <c r="F53" s="377" t="s">
        <v>83</v>
      </c>
      <c r="G53" s="380" t="s">
        <v>41</v>
      </c>
      <c r="H53" s="377" t="s">
        <v>85</v>
      </c>
      <c r="I53" s="377" t="s">
        <v>83</v>
      </c>
      <c r="J53" s="377" t="s">
        <v>44</v>
      </c>
      <c r="K53" s="377" t="s">
        <v>1123</v>
      </c>
      <c r="L53" s="377" t="s">
        <v>998</v>
      </c>
      <c r="M53" s="376"/>
      <c r="N53" s="377" t="s">
        <v>998</v>
      </c>
      <c r="O53" s="379">
        <v>2017.0</v>
      </c>
      <c r="P53" s="377" t="s">
        <v>985</v>
      </c>
      <c r="Q53" s="377" t="s">
        <v>1124</v>
      </c>
      <c r="R53" s="377" t="s">
        <v>920</v>
      </c>
      <c r="S53" s="377" t="s">
        <v>1125</v>
      </c>
      <c r="T53" s="376">
        <f t="shared" si="1"/>
        <v>1989</v>
      </c>
      <c r="U53" s="381">
        <f t="shared" si="2"/>
        <v>34</v>
      </c>
    </row>
    <row r="54" ht="14.25" hidden="1" customHeight="1">
      <c r="A54" s="1" t="s">
        <v>160</v>
      </c>
      <c r="B54" s="378">
        <v>11.0</v>
      </c>
      <c r="C54" s="377" t="s">
        <v>1126</v>
      </c>
      <c r="D54" s="380" t="s">
        <v>174</v>
      </c>
      <c r="E54" s="377" t="s">
        <v>1127</v>
      </c>
      <c r="F54" s="377" t="s">
        <v>175</v>
      </c>
      <c r="G54" s="380" t="s">
        <v>41</v>
      </c>
      <c r="H54" s="377" t="s">
        <v>85</v>
      </c>
      <c r="I54" s="377" t="s">
        <v>91</v>
      </c>
      <c r="J54" s="377" t="s">
        <v>44</v>
      </c>
      <c r="K54" s="377" t="s">
        <v>1128</v>
      </c>
      <c r="L54" s="377" t="s">
        <v>1119</v>
      </c>
      <c r="M54" s="376"/>
      <c r="N54" s="377" t="s">
        <v>1119</v>
      </c>
      <c r="O54" s="379">
        <v>2009.0</v>
      </c>
      <c r="P54" s="377" t="s">
        <v>946</v>
      </c>
      <c r="Q54" s="377" t="s">
        <v>957</v>
      </c>
      <c r="R54" s="377" t="s">
        <v>920</v>
      </c>
      <c r="S54" s="377" t="s">
        <v>1129</v>
      </c>
      <c r="T54" s="376">
        <f t="shared" si="1"/>
        <v>1978</v>
      </c>
      <c r="U54" s="381">
        <f t="shared" si="2"/>
        <v>45</v>
      </c>
    </row>
    <row r="55" ht="14.25" hidden="1" customHeight="1">
      <c r="A55" s="1" t="s">
        <v>160</v>
      </c>
      <c r="B55" s="378">
        <v>12.0</v>
      </c>
      <c r="C55" s="377" t="s">
        <v>1130</v>
      </c>
      <c r="D55" s="380" t="s">
        <v>177</v>
      </c>
      <c r="E55" s="377" t="s">
        <v>1131</v>
      </c>
      <c r="F55" s="377" t="s">
        <v>98</v>
      </c>
      <c r="G55" s="380" t="s">
        <v>41</v>
      </c>
      <c r="H55" s="377" t="s">
        <v>85</v>
      </c>
      <c r="I55" s="377" t="s">
        <v>99</v>
      </c>
      <c r="J55" s="377" t="s">
        <v>44</v>
      </c>
      <c r="K55" s="377" t="s">
        <v>1132</v>
      </c>
      <c r="L55" s="377" t="s">
        <v>966</v>
      </c>
      <c r="M55" s="376"/>
      <c r="N55" s="377" t="s">
        <v>966</v>
      </c>
      <c r="O55" s="379">
        <v>2008.0</v>
      </c>
      <c r="P55" s="377" t="s">
        <v>946</v>
      </c>
      <c r="Q55" s="377" t="s">
        <v>941</v>
      </c>
      <c r="R55" s="377" t="s">
        <v>920</v>
      </c>
      <c r="S55" s="377" t="s">
        <v>1133</v>
      </c>
      <c r="T55" s="376">
        <f t="shared" si="1"/>
        <v>1984</v>
      </c>
      <c r="U55" s="381">
        <f t="shared" si="2"/>
        <v>39</v>
      </c>
    </row>
    <row r="56" ht="14.25" hidden="1" customHeight="1">
      <c r="A56" s="1" t="s">
        <v>160</v>
      </c>
      <c r="B56" s="378">
        <v>13.0</v>
      </c>
      <c r="C56" s="377" t="s">
        <v>1134</v>
      </c>
      <c r="D56" s="380" t="s">
        <v>178</v>
      </c>
      <c r="E56" s="377" t="s">
        <v>1135</v>
      </c>
      <c r="F56" s="377" t="s">
        <v>106</v>
      </c>
      <c r="G56" s="380" t="s">
        <v>41</v>
      </c>
      <c r="H56" s="377" t="s">
        <v>85</v>
      </c>
      <c r="I56" s="377" t="s">
        <v>91</v>
      </c>
      <c r="J56" s="377" t="s">
        <v>44</v>
      </c>
      <c r="K56" s="377" t="s">
        <v>1136</v>
      </c>
      <c r="L56" s="377" t="s">
        <v>1119</v>
      </c>
      <c r="M56" s="376"/>
      <c r="N56" s="377" t="s">
        <v>1119</v>
      </c>
      <c r="O56" s="379">
        <v>2009.0</v>
      </c>
      <c r="P56" s="377" t="s">
        <v>946</v>
      </c>
      <c r="Q56" s="377" t="s">
        <v>941</v>
      </c>
      <c r="R56" s="377" t="s">
        <v>920</v>
      </c>
      <c r="S56" s="377" t="s">
        <v>1137</v>
      </c>
      <c r="T56" s="376">
        <f t="shared" si="1"/>
        <v>1985</v>
      </c>
      <c r="U56" s="381">
        <f t="shared" si="2"/>
        <v>38</v>
      </c>
    </row>
    <row r="57" ht="14.25" hidden="1" customHeight="1">
      <c r="A57" s="1" t="s">
        <v>160</v>
      </c>
      <c r="B57" s="378">
        <v>14.0</v>
      </c>
      <c r="C57" s="377" t="s">
        <v>1138</v>
      </c>
      <c r="D57" s="380" t="s">
        <v>179</v>
      </c>
      <c r="E57" s="377" t="s">
        <v>1139</v>
      </c>
      <c r="F57" s="377" t="s">
        <v>180</v>
      </c>
      <c r="G57" s="380" t="s">
        <v>41</v>
      </c>
      <c r="H57" s="377" t="s">
        <v>85</v>
      </c>
      <c r="I57" s="377" t="s">
        <v>91</v>
      </c>
      <c r="J57" s="377" t="s">
        <v>44</v>
      </c>
      <c r="K57" s="377" t="s">
        <v>1132</v>
      </c>
      <c r="L57" s="377" t="s">
        <v>966</v>
      </c>
      <c r="M57" s="376"/>
      <c r="N57" s="377" t="s">
        <v>966</v>
      </c>
      <c r="O57" s="379">
        <v>2008.0</v>
      </c>
      <c r="P57" s="377" t="s">
        <v>946</v>
      </c>
      <c r="Q57" s="377" t="s">
        <v>941</v>
      </c>
      <c r="R57" s="377" t="s">
        <v>920</v>
      </c>
      <c r="S57" s="377" t="s">
        <v>1140</v>
      </c>
      <c r="T57" s="376">
        <f t="shared" si="1"/>
        <v>1980</v>
      </c>
      <c r="U57" s="381">
        <f t="shared" si="2"/>
        <v>43</v>
      </c>
    </row>
    <row r="58" ht="14.25" hidden="1" customHeight="1">
      <c r="A58" s="1" t="s">
        <v>160</v>
      </c>
      <c r="B58" s="378">
        <v>16.0</v>
      </c>
      <c r="C58" s="377" t="s">
        <v>1141</v>
      </c>
      <c r="D58" s="380" t="s">
        <v>181</v>
      </c>
      <c r="E58" s="377" t="s">
        <v>1142</v>
      </c>
      <c r="F58" s="377" t="s">
        <v>124</v>
      </c>
      <c r="G58" s="380" t="s">
        <v>41</v>
      </c>
      <c r="H58" s="377" t="s">
        <v>119</v>
      </c>
      <c r="I58" s="377" t="s">
        <v>124</v>
      </c>
      <c r="J58" s="377" t="s">
        <v>44</v>
      </c>
      <c r="K58" s="377" t="s">
        <v>1143</v>
      </c>
      <c r="L58" s="377" t="s">
        <v>935</v>
      </c>
      <c r="M58" s="376"/>
      <c r="N58" s="377" t="s">
        <v>935</v>
      </c>
      <c r="O58" s="379">
        <v>2014.0</v>
      </c>
      <c r="P58" s="377" t="s">
        <v>985</v>
      </c>
      <c r="Q58" s="377" t="s">
        <v>941</v>
      </c>
      <c r="R58" s="377" t="s">
        <v>920</v>
      </c>
      <c r="S58" s="377" t="s">
        <v>1133</v>
      </c>
      <c r="T58" s="376">
        <f t="shared" si="1"/>
        <v>1984</v>
      </c>
      <c r="U58" s="381">
        <f t="shared" si="2"/>
        <v>39</v>
      </c>
    </row>
    <row r="59" ht="14.25" hidden="1" customHeight="1">
      <c r="A59" s="1" t="s">
        <v>160</v>
      </c>
      <c r="B59" s="378">
        <v>17.0</v>
      </c>
      <c r="C59" s="377" t="s">
        <v>1144</v>
      </c>
      <c r="D59" s="380" t="s">
        <v>182</v>
      </c>
      <c r="E59" s="377" t="s">
        <v>1145</v>
      </c>
      <c r="F59" s="377" t="s">
        <v>124</v>
      </c>
      <c r="G59" s="380" t="s">
        <v>41</v>
      </c>
      <c r="H59" s="377" t="s">
        <v>119</v>
      </c>
      <c r="I59" s="377" t="s">
        <v>124</v>
      </c>
      <c r="J59" s="377" t="s">
        <v>44</v>
      </c>
      <c r="K59" s="377" t="s">
        <v>1146</v>
      </c>
      <c r="L59" s="377" t="s">
        <v>998</v>
      </c>
      <c r="M59" s="376"/>
      <c r="N59" s="377" t="s">
        <v>998</v>
      </c>
      <c r="O59" s="379">
        <v>2017.0</v>
      </c>
      <c r="P59" s="377" t="s">
        <v>985</v>
      </c>
      <c r="Q59" s="377" t="s">
        <v>941</v>
      </c>
      <c r="R59" s="377" t="s">
        <v>920</v>
      </c>
      <c r="S59" s="377" t="s">
        <v>1147</v>
      </c>
      <c r="T59" s="376">
        <f t="shared" si="1"/>
        <v>1991</v>
      </c>
      <c r="U59" s="381">
        <f t="shared" si="2"/>
        <v>32</v>
      </c>
    </row>
    <row r="60" ht="14.25" hidden="1" customHeight="1">
      <c r="A60" s="1" t="s">
        <v>160</v>
      </c>
      <c r="B60" s="378">
        <v>18.0</v>
      </c>
      <c r="C60" s="377" t="s">
        <v>1148</v>
      </c>
      <c r="D60" s="380" t="s">
        <v>183</v>
      </c>
      <c r="E60" s="377" t="s">
        <v>1149</v>
      </c>
      <c r="F60" s="377" t="s">
        <v>184</v>
      </c>
      <c r="G60" s="380" t="s">
        <v>54</v>
      </c>
      <c r="H60" s="377" t="s">
        <v>119</v>
      </c>
      <c r="I60" s="377" t="s">
        <v>120</v>
      </c>
      <c r="J60" s="377" t="s">
        <v>44</v>
      </c>
      <c r="K60" s="377" t="s">
        <v>1150</v>
      </c>
      <c r="L60" s="377" t="s">
        <v>1036</v>
      </c>
      <c r="M60" s="376"/>
      <c r="N60" s="377" t="s">
        <v>1036</v>
      </c>
      <c r="O60" s="379">
        <v>2010.0</v>
      </c>
      <c r="P60" s="377" t="s">
        <v>1114</v>
      </c>
      <c r="Q60" s="377" t="s">
        <v>941</v>
      </c>
      <c r="R60" s="377" t="s">
        <v>920</v>
      </c>
      <c r="S60" s="377" t="s">
        <v>1151</v>
      </c>
      <c r="T60" s="376">
        <f t="shared" si="1"/>
        <v>1986</v>
      </c>
      <c r="U60" s="381">
        <f t="shared" si="2"/>
        <v>37</v>
      </c>
    </row>
    <row r="61" ht="14.25" hidden="1" customHeight="1">
      <c r="A61" s="1" t="s">
        <v>160</v>
      </c>
      <c r="B61" s="378">
        <v>1.0</v>
      </c>
      <c r="C61" s="377" t="s">
        <v>1152</v>
      </c>
      <c r="D61" s="380" t="s">
        <v>185</v>
      </c>
      <c r="E61" s="379">
        <v>1106446.0</v>
      </c>
      <c r="F61" s="377" t="s">
        <v>186</v>
      </c>
      <c r="G61" s="380" t="s">
        <v>134</v>
      </c>
      <c r="H61" s="377" t="s">
        <v>134</v>
      </c>
      <c r="I61" s="377" t="s">
        <v>134</v>
      </c>
      <c r="J61" s="377" t="s">
        <v>135</v>
      </c>
      <c r="K61" s="377" t="s">
        <v>1153</v>
      </c>
      <c r="L61" s="377" t="s">
        <v>945</v>
      </c>
      <c r="M61" s="377" t="s">
        <v>1071</v>
      </c>
      <c r="N61" s="377" t="s">
        <v>1154</v>
      </c>
      <c r="O61" s="379">
        <v>2003.0</v>
      </c>
      <c r="P61" s="377" t="s">
        <v>985</v>
      </c>
      <c r="Q61" s="377" t="s">
        <v>923</v>
      </c>
      <c r="R61" s="377" t="s">
        <v>920</v>
      </c>
      <c r="S61" s="377" t="s">
        <v>1155</v>
      </c>
      <c r="T61" s="376">
        <f t="shared" si="1"/>
        <v>1970</v>
      </c>
      <c r="U61" s="381">
        <f t="shared" si="2"/>
        <v>53</v>
      </c>
    </row>
    <row r="62" ht="14.25" hidden="1" customHeight="1">
      <c r="A62" s="1" t="s">
        <v>187</v>
      </c>
      <c r="B62" s="378">
        <v>1.0</v>
      </c>
      <c r="C62" s="379">
        <v>2114642.0</v>
      </c>
      <c r="D62" s="380" t="s">
        <v>188</v>
      </c>
      <c r="E62" s="377" t="s">
        <v>1156</v>
      </c>
      <c r="F62" s="377" t="s">
        <v>189</v>
      </c>
      <c r="G62" s="380" t="s">
        <v>63</v>
      </c>
      <c r="H62" s="377" t="s">
        <v>42</v>
      </c>
      <c r="I62" s="377" t="s">
        <v>43</v>
      </c>
      <c r="J62" s="377" t="s">
        <v>44</v>
      </c>
      <c r="K62" s="377" t="s">
        <v>1030</v>
      </c>
      <c r="L62" s="377" t="s">
        <v>945</v>
      </c>
      <c r="M62" s="376"/>
      <c r="N62" s="377" t="s">
        <v>945</v>
      </c>
      <c r="O62" s="379">
        <v>2024.0</v>
      </c>
      <c r="P62" s="377" t="s">
        <v>936</v>
      </c>
      <c r="Q62" s="377" t="s">
        <v>930</v>
      </c>
      <c r="R62" s="377" t="s">
        <v>931</v>
      </c>
      <c r="S62" s="377" t="s">
        <v>1157</v>
      </c>
      <c r="T62" s="376">
        <f t="shared" si="1"/>
        <v>1979</v>
      </c>
      <c r="U62" s="381">
        <f t="shared" si="2"/>
        <v>44</v>
      </c>
    </row>
    <row r="63" ht="14.25" hidden="1" customHeight="1">
      <c r="A63" s="1" t="s">
        <v>187</v>
      </c>
      <c r="B63" s="378">
        <v>2.0</v>
      </c>
      <c r="C63" s="379">
        <v>1501242.0</v>
      </c>
      <c r="D63" s="380" t="s">
        <v>190</v>
      </c>
      <c r="E63" s="377" t="s">
        <v>1158</v>
      </c>
      <c r="F63" s="377" t="s">
        <v>164</v>
      </c>
      <c r="G63" s="380" t="s">
        <v>41</v>
      </c>
      <c r="H63" s="377" t="s">
        <v>42</v>
      </c>
      <c r="I63" s="377" t="s">
        <v>165</v>
      </c>
      <c r="J63" s="377" t="s">
        <v>44</v>
      </c>
      <c r="K63" s="377" t="s">
        <v>1159</v>
      </c>
      <c r="L63" s="377" t="s">
        <v>1040</v>
      </c>
      <c r="M63" s="376"/>
      <c r="N63" s="377" t="s">
        <v>1040</v>
      </c>
      <c r="O63" s="379">
        <v>2018.0</v>
      </c>
      <c r="P63" s="377" t="s">
        <v>918</v>
      </c>
      <c r="Q63" s="377" t="s">
        <v>1011</v>
      </c>
      <c r="R63" s="377" t="s">
        <v>931</v>
      </c>
      <c r="S63" s="377" t="s">
        <v>1160</v>
      </c>
      <c r="T63" s="376">
        <f t="shared" si="1"/>
        <v>1996</v>
      </c>
      <c r="U63" s="381">
        <f t="shared" si="2"/>
        <v>27</v>
      </c>
    </row>
    <row r="64" ht="14.25" hidden="1" customHeight="1">
      <c r="A64" s="1" t="s">
        <v>187</v>
      </c>
      <c r="B64" s="378">
        <v>5.0</v>
      </c>
      <c r="C64" s="377" t="s">
        <v>1161</v>
      </c>
      <c r="D64" s="380" t="s">
        <v>191</v>
      </c>
      <c r="E64" s="379">
        <v>1106294.0</v>
      </c>
      <c r="F64" s="377" t="s">
        <v>192</v>
      </c>
      <c r="G64" s="380" t="s">
        <v>54</v>
      </c>
      <c r="H64" s="377" t="s">
        <v>64</v>
      </c>
      <c r="I64" s="377" t="s">
        <v>65</v>
      </c>
      <c r="J64" s="377" t="s">
        <v>44</v>
      </c>
      <c r="K64" s="377" t="s">
        <v>1162</v>
      </c>
      <c r="L64" s="377" t="s">
        <v>1060</v>
      </c>
      <c r="M64" s="376"/>
      <c r="N64" s="377" t="s">
        <v>1060</v>
      </c>
      <c r="O64" s="379">
        <v>2005.0</v>
      </c>
      <c r="P64" s="377" t="s">
        <v>985</v>
      </c>
      <c r="Q64" s="377" t="s">
        <v>923</v>
      </c>
      <c r="R64" s="377" t="s">
        <v>920</v>
      </c>
      <c r="S64" s="377" t="s">
        <v>1163</v>
      </c>
      <c r="T64" s="376">
        <f t="shared" si="1"/>
        <v>1983</v>
      </c>
      <c r="U64" s="381">
        <f t="shared" si="2"/>
        <v>40</v>
      </c>
    </row>
    <row r="65" ht="14.25" hidden="1" customHeight="1">
      <c r="A65" s="1" t="s">
        <v>187</v>
      </c>
      <c r="B65" s="378">
        <v>6.0</v>
      </c>
      <c r="C65" s="377" t="s">
        <v>1164</v>
      </c>
      <c r="D65" s="380" t="s">
        <v>193</v>
      </c>
      <c r="E65" s="377" t="s">
        <v>1165</v>
      </c>
      <c r="F65" s="377" t="s">
        <v>194</v>
      </c>
      <c r="G65" s="380" t="s">
        <v>41</v>
      </c>
      <c r="H65" s="377" t="s">
        <v>64</v>
      </c>
      <c r="I65" s="377" t="s">
        <v>74</v>
      </c>
      <c r="J65" s="377" t="s">
        <v>44</v>
      </c>
      <c r="K65" s="377" t="s">
        <v>1166</v>
      </c>
      <c r="L65" s="377" t="s">
        <v>935</v>
      </c>
      <c r="M65" s="376"/>
      <c r="N65" s="377" t="s">
        <v>935</v>
      </c>
      <c r="O65" s="379">
        <v>2014.0</v>
      </c>
      <c r="P65" s="377" t="s">
        <v>962</v>
      </c>
      <c r="Q65" s="377" t="s">
        <v>923</v>
      </c>
      <c r="R65" s="377" t="s">
        <v>920</v>
      </c>
      <c r="S65" s="377" t="s">
        <v>1167</v>
      </c>
      <c r="T65" s="376">
        <f t="shared" si="1"/>
        <v>1990</v>
      </c>
      <c r="U65" s="381">
        <f t="shared" si="2"/>
        <v>33</v>
      </c>
    </row>
    <row r="66" ht="14.25" hidden="1" customHeight="1">
      <c r="A66" s="1" t="s">
        <v>187</v>
      </c>
      <c r="B66" s="378">
        <v>7.0</v>
      </c>
      <c r="C66" s="377" t="s">
        <v>1168</v>
      </c>
      <c r="D66" s="380" t="s">
        <v>195</v>
      </c>
      <c r="E66" s="377" t="s">
        <v>1169</v>
      </c>
      <c r="F66" s="377" t="s">
        <v>196</v>
      </c>
      <c r="G66" s="380" t="s">
        <v>54</v>
      </c>
      <c r="H66" s="377" t="s">
        <v>85</v>
      </c>
      <c r="I66" s="377" t="s">
        <v>91</v>
      </c>
      <c r="J66" s="377" t="s">
        <v>44</v>
      </c>
      <c r="K66" s="377" t="s">
        <v>1170</v>
      </c>
      <c r="L66" s="377" t="s">
        <v>967</v>
      </c>
      <c r="M66" s="376"/>
      <c r="N66" s="377" t="s">
        <v>967</v>
      </c>
      <c r="O66" s="379">
        <v>2011.0</v>
      </c>
      <c r="P66" s="377" t="s">
        <v>985</v>
      </c>
      <c r="Q66" s="377" t="s">
        <v>941</v>
      </c>
      <c r="R66" s="377" t="s">
        <v>920</v>
      </c>
      <c r="S66" s="377" t="s">
        <v>1171</v>
      </c>
      <c r="T66" s="376">
        <f t="shared" si="1"/>
        <v>1986</v>
      </c>
      <c r="U66" s="381">
        <f t="shared" si="2"/>
        <v>37</v>
      </c>
    </row>
    <row r="67" ht="14.25" hidden="1" customHeight="1">
      <c r="A67" s="1" t="s">
        <v>187</v>
      </c>
      <c r="B67" s="378">
        <v>8.0</v>
      </c>
      <c r="C67" s="377" t="s">
        <v>1172</v>
      </c>
      <c r="D67" s="380" t="s">
        <v>197</v>
      </c>
      <c r="E67" s="377" t="s">
        <v>1173</v>
      </c>
      <c r="F67" s="377" t="s">
        <v>93</v>
      </c>
      <c r="G67" s="380" t="s">
        <v>54</v>
      </c>
      <c r="H67" s="377" t="s">
        <v>85</v>
      </c>
      <c r="I67" s="377" t="s">
        <v>95</v>
      </c>
      <c r="J67" s="377" t="s">
        <v>44</v>
      </c>
      <c r="K67" s="377" t="s">
        <v>1174</v>
      </c>
      <c r="L67" s="377" t="s">
        <v>1036</v>
      </c>
      <c r="M67" s="376"/>
      <c r="N67" s="377" t="s">
        <v>1036</v>
      </c>
      <c r="O67" s="379">
        <v>2010.0</v>
      </c>
      <c r="P67" s="377" t="s">
        <v>946</v>
      </c>
      <c r="Q67" s="377" t="s">
        <v>923</v>
      </c>
      <c r="R67" s="377" t="s">
        <v>920</v>
      </c>
      <c r="S67" s="377" t="s">
        <v>1175</v>
      </c>
      <c r="T67" s="376">
        <f t="shared" si="1"/>
        <v>1983</v>
      </c>
      <c r="U67" s="381">
        <f t="shared" si="2"/>
        <v>40</v>
      </c>
    </row>
    <row r="68" ht="14.25" hidden="1" customHeight="1">
      <c r="A68" s="1" t="s">
        <v>187</v>
      </c>
      <c r="B68" s="378">
        <v>9.0</v>
      </c>
      <c r="C68" s="377" t="s">
        <v>1176</v>
      </c>
      <c r="D68" s="380" t="s">
        <v>198</v>
      </c>
      <c r="E68" s="379">
        <v>1106293.0</v>
      </c>
      <c r="F68" s="377" t="s">
        <v>98</v>
      </c>
      <c r="G68" s="380" t="s">
        <v>41</v>
      </c>
      <c r="H68" s="377" t="s">
        <v>85</v>
      </c>
      <c r="I68" s="377" t="s">
        <v>99</v>
      </c>
      <c r="J68" s="377" t="s">
        <v>44</v>
      </c>
      <c r="K68" s="377" t="s">
        <v>988</v>
      </c>
      <c r="L68" s="377" t="s">
        <v>961</v>
      </c>
      <c r="M68" s="376"/>
      <c r="N68" s="377" t="s">
        <v>961</v>
      </c>
      <c r="O68" s="379">
        <v>2007.0</v>
      </c>
      <c r="P68" s="377" t="s">
        <v>946</v>
      </c>
      <c r="Q68" s="377" t="s">
        <v>923</v>
      </c>
      <c r="R68" s="377" t="s">
        <v>920</v>
      </c>
      <c r="S68" s="377" t="s">
        <v>1177</v>
      </c>
      <c r="T68" s="376">
        <f t="shared" si="1"/>
        <v>1983</v>
      </c>
      <c r="U68" s="381">
        <f t="shared" si="2"/>
        <v>40</v>
      </c>
    </row>
    <row r="69" ht="14.25" hidden="1" customHeight="1">
      <c r="A69" s="1" t="s">
        <v>187</v>
      </c>
      <c r="B69" s="378">
        <v>10.0</v>
      </c>
      <c r="C69" s="377" t="s">
        <v>1178</v>
      </c>
      <c r="D69" s="380" t="s">
        <v>202</v>
      </c>
      <c r="E69" s="377" t="s">
        <v>1179</v>
      </c>
      <c r="F69" s="377" t="s">
        <v>180</v>
      </c>
      <c r="G69" s="380" t="s">
        <v>41</v>
      </c>
      <c r="H69" s="377" t="s">
        <v>85</v>
      </c>
      <c r="I69" s="377" t="s">
        <v>91</v>
      </c>
      <c r="J69" s="377" t="s">
        <v>44</v>
      </c>
      <c r="K69" s="377" t="s">
        <v>966</v>
      </c>
      <c r="L69" s="377" t="s">
        <v>967</v>
      </c>
      <c r="M69" s="376"/>
      <c r="N69" s="377" t="s">
        <v>967</v>
      </c>
      <c r="O69" s="379">
        <v>2011.0</v>
      </c>
      <c r="P69" s="377" t="s">
        <v>946</v>
      </c>
      <c r="Q69" s="377" t="s">
        <v>941</v>
      </c>
      <c r="R69" s="377" t="s">
        <v>920</v>
      </c>
      <c r="S69" s="377" t="s">
        <v>1180</v>
      </c>
      <c r="T69" s="376">
        <f t="shared" si="1"/>
        <v>1984</v>
      </c>
      <c r="U69" s="381">
        <f t="shared" si="2"/>
        <v>39</v>
      </c>
    </row>
    <row r="70" ht="14.25" hidden="1" customHeight="1">
      <c r="A70" s="1" t="s">
        <v>187</v>
      </c>
      <c r="B70" s="378">
        <v>11.0</v>
      </c>
      <c r="C70" s="377" t="s">
        <v>1181</v>
      </c>
      <c r="D70" s="380" t="s">
        <v>205</v>
      </c>
      <c r="E70" s="377" t="s">
        <v>1182</v>
      </c>
      <c r="F70" s="377" t="s">
        <v>180</v>
      </c>
      <c r="G70" s="380" t="s">
        <v>41</v>
      </c>
      <c r="H70" s="377" t="s">
        <v>85</v>
      </c>
      <c r="I70" s="377" t="s">
        <v>91</v>
      </c>
      <c r="J70" s="377" t="s">
        <v>44</v>
      </c>
      <c r="K70" s="377" t="s">
        <v>1183</v>
      </c>
      <c r="L70" s="377" t="s">
        <v>1105</v>
      </c>
      <c r="M70" s="376"/>
      <c r="N70" s="377" t="s">
        <v>1105</v>
      </c>
      <c r="O70" s="379">
        <v>2016.0</v>
      </c>
      <c r="P70" s="377" t="s">
        <v>936</v>
      </c>
      <c r="Q70" s="377" t="s">
        <v>941</v>
      </c>
      <c r="R70" s="377" t="s">
        <v>920</v>
      </c>
      <c r="S70" s="377" t="s">
        <v>1184</v>
      </c>
      <c r="T70" s="376">
        <f t="shared" si="1"/>
        <v>1988</v>
      </c>
      <c r="U70" s="381">
        <f t="shared" si="2"/>
        <v>35</v>
      </c>
    </row>
    <row r="71" ht="14.25" hidden="1" customHeight="1">
      <c r="A71" s="1" t="s">
        <v>187</v>
      </c>
      <c r="B71" s="378">
        <v>12.0</v>
      </c>
      <c r="C71" s="379">
        <v>1501362.0</v>
      </c>
      <c r="D71" s="380" t="s">
        <v>206</v>
      </c>
      <c r="E71" s="377" t="s">
        <v>1185</v>
      </c>
      <c r="F71" s="377" t="s">
        <v>113</v>
      </c>
      <c r="G71" s="380" t="s">
        <v>41</v>
      </c>
      <c r="H71" s="377" t="s">
        <v>85</v>
      </c>
      <c r="I71" s="377" t="s">
        <v>95</v>
      </c>
      <c r="J71" s="377" t="s">
        <v>44</v>
      </c>
      <c r="K71" s="377" t="s">
        <v>1186</v>
      </c>
      <c r="L71" s="377" t="s">
        <v>1187</v>
      </c>
      <c r="M71" s="376"/>
      <c r="N71" s="377" t="s">
        <v>1187</v>
      </c>
      <c r="O71" s="379">
        <v>2019.0</v>
      </c>
      <c r="P71" s="377" t="s">
        <v>962</v>
      </c>
      <c r="Q71" s="377" t="s">
        <v>941</v>
      </c>
      <c r="R71" s="377" t="s">
        <v>920</v>
      </c>
      <c r="S71" s="377" t="s">
        <v>1188</v>
      </c>
      <c r="T71" s="376">
        <f t="shared" si="1"/>
        <v>1997</v>
      </c>
      <c r="U71" s="381">
        <f t="shared" si="2"/>
        <v>26</v>
      </c>
    </row>
    <row r="72" ht="14.25" hidden="1" customHeight="1">
      <c r="A72" s="1" t="s">
        <v>187</v>
      </c>
      <c r="B72" s="378">
        <v>13.0</v>
      </c>
      <c r="C72" s="377" t="s">
        <v>1189</v>
      </c>
      <c r="D72" s="380" t="s">
        <v>208</v>
      </c>
      <c r="E72" s="379">
        <v>1106609.0</v>
      </c>
      <c r="F72" s="377" t="s">
        <v>122</v>
      </c>
      <c r="G72" s="380" t="s">
        <v>54</v>
      </c>
      <c r="H72" s="377" t="s">
        <v>119</v>
      </c>
      <c r="I72" s="377" t="s">
        <v>124</v>
      </c>
      <c r="J72" s="377" t="s">
        <v>44</v>
      </c>
      <c r="K72" s="377" t="s">
        <v>1190</v>
      </c>
      <c r="L72" s="377" t="s">
        <v>967</v>
      </c>
      <c r="M72" s="376"/>
      <c r="N72" s="377" t="s">
        <v>967</v>
      </c>
      <c r="O72" s="379">
        <v>2011.0</v>
      </c>
      <c r="P72" s="377" t="s">
        <v>936</v>
      </c>
      <c r="Q72" s="377" t="s">
        <v>941</v>
      </c>
      <c r="R72" s="377" t="s">
        <v>920</v>
      </c>
      <c r="S72" s="377" t="s">
        <v>1191</v>
      </c>
      <c r="T72" s="376">
        <f t="shared" si="1"/>
        <v>1985</v>
      </c>
      <c r="U72" s="381">
        <f t="shared" si="2"/>
        <v>38</v>
      </c>
    </row>
    <row r="73" ht="14.25" hidden="1" customHeight="1">
      <c r="A73" s="1" t="s">
        <v>187</v>
      </c>
      <c r="B73" s="378">
        <v>1.0</v>
      </c>
      <c r="C73" s="379">
        <v>2114533.0</v>
      </c>
      <c r="D73" s="380" t="s">
        <v>209</v>
      </c>
      <c r="E73" s="377" t="s">
        <v>1192</v>
      </c>
      <c r="F73" s="377" t="s">
        <v>83</v>
      </c>
      <c r="G73" s="380" t="s">
        <v>41</v>
      </c>
      <c r="H73" s="377" t="s">
        <v>85</v>
      </c>
      <c r="I73" s="377" t="s">
        <v>83</v>
      </c>
      <c r="J73" s="377" t="s">
        <v>210</v>
      </c>
      <c r="K73" s="377" t="s">
        <v>1193</v>
      </c>
      <c r="L73" s="377" t="s">
        <v>945</v>
      </c>
      <c r="M73" s="377" t="s">
        <v>1071</v>
      </c>
      <c r="N73" s="376"/>
      <c r="O73" s="376"/>
      <c r="P73" s="377" t="s">
        <v>985</v>
      </c>
      <c r="Q73" s="377" t="s">
        <v>957</v>
      </c>
      <c r="R73" s="377" t="s">
        <v>920</v>
      </c>
      <c r="S73" s="377" t="s">
        <v>1194</v>
      </c>
      <c r="T73" s="376">
        <f t="shared" si="1"/>
        <v>1997</v>
      </c>
      <c r="U73" s="381">
        <f t="shared" si="2"/>
        <v>26</v>
      </c>
    </row>
    <row r="74" ht="14.25" hidden="1" customHeight="1">
      <c r="A74" s="1" t="s">
        <v>187</v>
      </c>
      <c r="B74" s="378">
        <v>2.0</v>
      </c>
      <c r="C74" s="379">
        <v>2114641.0</v>
      </c>
      <c r="D74" s="380" t="s">
        <v>211</v>
      </c>
      <c r="E74" s="377" t="s">
        <v>1195</v>
      </c>
      <c r="F74" s="377" t="s">
        <v>156</v>
      </c>
      <c r="G74" s="380" t="s">
        <v>54</v>
      </c>
      <c r="H74" s="377" t="s">
        <v>85</v>
      </c>
      <c r="I74" s="377" t="s">
        <v>83</v>
      </c>
      <c r="J74" s="377" t="s">
        <v>135</v>
      </c>
      <c r="K74" s="377" t="s">
        <v>1030</v>
      </c>
      <c r="L74" s="377" t="s">
        <v>945</v>
      </c>
      <c r="M74" s="377" t="s">
        <v>1071</v>
      </c>
      <c r="N74" s="376"/>
      <c r="O74" s="376"/>
      <c r="P74" s="377" t="s">
        <v>1044</v>
      </c>
      <c r="Q74" s="377" t="s">
        <v>941</v>
      </c>
      <c r="R74" s="377" t="s">
        <v>920</v>
      </c>
      <c r="S74" s="377" t="s">
        <v>1196</v>
      </c>
      <c r="T74" s="376">
        <f t="shared" si="1"/>
        <v>1979</v>
      </c>
      <c r="U74" s="381">
        <f t="shared" si="2"/>
        <v>44</v>
      </c>
    </row>
    <row r="75" ht="14.25" hidden="1" customHeight="1">
      <c r="A75" s="1" t="s">
        <v>187</v>
      </c>
      <c r="B75" s="378">
        <v>3.0</v>
      </c>
      <c r="C75" s="379">
        <v>2114643.0</v>
      </c>
      <c r="D75" s="380" t="s">
        <v>212</v>
      </c>
      <c r="E75" s="377" t="s">
        <v>1197</v>
      </c>
      <c r="F75" s="377" t="s">
        <v>124</v>
      </c>
      <c r="G75" s="380" t="s">
        <v>41</v>
      </c>
      <c r="H75" s="377" t="s">
        <v>119</v>
      </c>
      <c r="I75" s="377" t="s">
        <v>124</v>
      </c>
      <c r="J75" s="377" t="s">
        <v>135</v>
      </c>
      <c r="K75" s="377" t="s">
        <v>1030</v>
      </c>
      <c r="L75" s="377" t="s">
        <v>945</v>
      </c>
      <c r="M75" s="377" t="s">
        <v>1071</v>
      </c>
      <c r="N75" s="376"/>
      <c r="O75" s="376"/>
      <c r="P75" s="377" t="s">
        <v>1114</v>
      </c>
      <c r="Q75" s="377" t="s">
        <v>952</v>
      </c>
      <c r="R75" s="377" t="s">
        <v>920</v>
      </c>
      <c r="S75" s="377" t="s">
        <v>1198</v>
      </c>
      <c r="T75" s="376">
        <f t="shared" si="1"/>
        <v>1981</v>
      </c>
      <c r="U75" s="381">
        <f t="shared" si="2"/>
        <v>42</v>
      </c>
    </row>
    <row r="76" ht="14.25" hidden="1" customHeight="1">
      <c r="A76" s="1" t="s">
        <v>213</v>
      </c>
      <c r="B76" s="378">
        <v>3.0</v>
      </c>
      <c r="C76" s="377" t="s">
        <v>1199</v>
      </c>
      <c r="D76" s="380" t="s">
        <v>214</v>
      </c>
      <c r="E76" s="379">
        <v>1106369.0</v>
      </c>
      <c r="F76" s="377" t="s">
        <v>215</v>
      </c>
      <c r="G76" s="380" t="s">
        <v>63</v>
      </c>
      <c r="H76" s="377" t="s">
        <v>85</v>
      </c>
      <c r="I76" s="377" t="s">
        <v>91</v>
      </c>
      <c r="J76" s="377" t="s">
        <v>44</v>
      </c>
      <c r="K76" s="377" t="s">
        <v>1200</v>
      </c>
      <c r="L76" s="377" t="s">
        <v>1060</v>
      </c>
      <c r="M76" s="376"/>
      <c r="N76" s="377" t="s">
        <v>1060</v>
      </c>
      <c r="O76" s="379">
        <v>2005.0</v>
      </c>
      <c r="P76" s="377" t="s">
        <v>985</v>
      </c>
      <c r="Q76" s="377" t="s">
        <v>923</v>
      </c>
      <c r="R76" s="377" t="s">
        <v>920</v>
      </c>
      <c r="S76" s="377" t="s">
        <v>1201</v>
      </c>
      <c r="T76" s="376">
        <f t="shared" si="1"/>
        <v>1984</v>
      </c>
      <c r="U76" s="381">
        <f t="shared" si="2"/>
        <v>39</v>
      </c>
    </row>
    <row r="77" ht="14.25" hidden="1" customHeight="1">
      <c r="A77" s="1" t="s">
        <v>213</v>
      </c>
      <c r="B77" s="378">
        <v>4.0</v>
      </c>
      <c r="C77" s="377" t="s">
        <v>1202</v>
      </c>
      <c r="D77" s="380" t="s">
        <v>216</v>
      </c>
      <c r="E77" s="379">
        <v>1106376.0</v>
      </c>
      <c r="F77" s="377" t="s">
        <v>217</v>
      </c>
      <c r="G77" s="380" t="s">
        <v>54</v>
      </c>
      <c r="H77" s="377" t="s">
        <v>85</v>
      </c>
      <c r="I77" s="377" t="s">
        <v>91</v>
      </c>
      <c r="J77" s="377" t="s">
        <v>44</v>
      </c>
      <c r="K77" s="377" t="s">
        <v>1203</v>
      </c>
      <c r="L77" s="377" t="s">
        <v>989</v>
      </c>
      <c r="M77" s="376"/>
      <c r="N77" s="377" t="s">
        <v>989</v>
      </c>
      <c r="O77" s="379">
        <v>2006.0</v>
      </c>
      <c r="P77" s="377" t="s">
        <v>946</v>
      </c>
      <c r="Q77" s="377" t="s">
        <v>923</v>
      </c>
      <c r="R77" s="377" t="s">
        <v>920</v>
      </c>
      <c r="S77" s="377" t="s">
        <v>1204</v>
      </c>
      <c r="T77" s="376">
        <f t="shared" si="1"/>
        <v>1984</v>
      </c>
      <c r="U77" s="381">
        <f t="shared" si="2"/>
        <v>39</v>
      </c>
    </row>
    <row r="78" ht="14.25" hidden="1" customHeight="1">
      <c r="A78" s="1" t="s">
        <v>213</v>
      </c>
      <c r="B78" s="378">
        <v>5.0</v>
      </c>
      <c r="C78" s="377" t="s">
        <v>1205</v>
      </c>
      <c r="D78" s="380" t="s">
        <v>219</v>
      </c>
      <c r="E78" s="377" t="s">
        <v>1206</v>
      </c>
      <c r="F78" s="377" t="s">
        <v>106</v>
      </c>
      <c r="G78" s="380" t="s">
        <v>41</v>
      </c>
      <c r="H78" s="377" t="s">
        <v>85</v>
      </c>
      <c r="I78" s="377" t="s">
        <v>91</v>
      </c>
      <c r="J78" s="377" t="s">
        <v>44</v>
      </c>
      <c r="K78" s="377" t="s">
        <v>1207</v>
      </c>
      <c r="L78" s="377" t="s">
        <v>1119</v>
      </c>
      <c r="M78" s="376"/>
      <c r="N78" s="377" t="s">
        <v>1119</v>
      </c>
      <c r="O78" s="379">
        <v>2009.0</v>
      </c>
      <c r="P78" s="377" t="s">
        <v>918</v>
      </c>
      <c r="Q78" s="377" t="s">
        <v>923</v>
      </c>
      <c r="R78" s="377" t="s">
        <v>920</v>
      </c>
      <c r="S78" s="377" t="s">
        <v>1208</v>
      </c>
      <c r="T78" s="376">
        <f t="shared" si="1"/>
        <v>1982</v>
      </c>
      <c r="U78" s="381">
        <f t="shared" si="2"/>
        <v>41</v>
      </c>
    </row>
    <row r="79" ht="14.25" hidden="1" customHeight="1">
      <c r="A79" s="1" t="s">
        <v>213</v>
      </c>
      <c r="B79" s="378">
        <v>6.0</v>
      </c>
      <c r="C79" s="379">
        <v>1401219.0</v>
      </c>
      <c r="D79" s="380" t="s">
        <v>220</v>
      </c>
      <c r="E79" s="377" t="s">
        <v>1209</v>
      </c>
      <c r="F79" s="377" t="s">
        <v>106</v>
      </c>
      <c r="G79" s="380" t="s">
        <v>41</v>
      </c>
      <c r="H79" s="377" t="s">
        <v>85</v>
      </c>
      <c r="I79" s="377" t="s">
        <v>91</v>
      </c>
      <c r="J79" s="377" t="s">
        <v>44</v>
      </c>
      <c r="K79" s="377" t="s">
        <v>1210</v>
      </c>
      <c r="L79" s="377" t="s">
        <v>1040</v>
      </c>
      <c r="M79" s="376"/>
      <c r="N79" s="377" t="s">
        <v>1040</v>
      </c>
      <c r="O79" s="379">
        <v>2018.0</v>
      </c>
      <c r="P79" s="377" t="s">
        <v>985</v>
      </c>
      <c r="Q79" s="377" t="s">
        <v>923</v>
      </c>
      <c r="R79" s="377" t="s">
        <v>920</v>
      </c>
      <c r="S79" s="377" t="s">
        <v>1211</v>
      </c>
      <c r="T79" s="376">
        <f t="shared" si="1"/>
        <v>1995</v>
      </c>
      <c r="U79" s="381">
        <f t="shared" si="2"/>
        <v>28</v>
      </c>
    </row>
    <row r="80" ht="14.25" hidden="1" customHeight="1">
      <c r="A80" s="1" t="s">
        <v>213</v>
      </c>
      <c r="B80" s="378">
        <v>7.0</v>
      </c>
      <c r="C80" s="379">
        <v>1201180.0</v>
      </c>
      <c r="D80" s="380" t="s">
        <v>221</v>
      </c>
      <c r="E80" s="377" t="s">
        <v>1212</v>
      </c>
      <c r="F80" s="377" t="s">
        <v>106</v>
      </c>
      <c r="G80" s="380" t="s">
        <v>41</v>
      </c>
      <c r="H80" s="377" t="s">
        <v>85</v>
      </c>
      <c r="I80" s="377" t="s">
        <v>91</v>
      </c>
      <c r="J80" s="377" t="s">
        <v>44</v>
      </c>
      <c r="K80" s="377" t="s">
        <v>1213</v>
      </c>
      <c r="L80" s="377" t="s">
        <v>1214</v>
      </c>
      <c r="M80" s="376"/>
      <c r="N80" s="377" t="s">
        <v>1214</v>
      </c>
      <c r="O80" s="379">
        <v>2018.0</v>
      </c>
      <c r="P80" s="377" t="s">
        <v>946</v>
      </c>
      <c r="Q80" s="377" t="s">
        <v>957</v>
      </c>
      <c r="R80" s="377" t="s">
        <v>920</v>
      </c>
      <c r="S80" s="377" t="s">
        <v>1215</v>
      </c>
      <c r="T80" s="376">
        <f t="shared" si="1"/>
        <v>1991</v>
      </c>
      <c r="U80" s="381">
        <f t="shared" si="2"/>
        <v>32</v>
      </c>
    </row>
    <row r="81" ht="14.25" hidden="1" customHeight="1">
      <c r="A81" s="1" t="s">
        <v>213</v>
      </c>
      <c r="B81" s="378">
        <v>8.0</v>
      </c>
      <c r="C81" s="377" t="s">
        <v>1216</v>
      </c>
      <c r="D81" s="380" t="s">
        <v>222</v>
      </c>
      <c r="E81" s="377" t="s">
        <v>1217</v>
      </c>
      <c r="F81" s="377" t="s">
        <v>106</v>
      </c>
      <c r="G81" s="380" t="s">
        <v>41</v>
      </c>
      <c r="H81" s="377" t="s">
        <v>85</v>
      </c>
      <c r="I81" s="377" t="s">
        <v>91</v>
      </c>
      <c r="J81" s="377" t="s">
        <v>44</v>
      </c>
      <c r="K81" s="377" t="s">
        <v>1218</v>
      </c>
      <c r="L81" s="377" t="s">
        <v>951</v>
      </c>
      <c r="M81" s="376"/>
      <c r="N81" s="377" t="s">
        <v>951</v>
      </c>
      <c r="O81" s="379">
        <v>2012.0</v>
      </c>
      <c r="P81" s="377" t="s">
        <v>962</v>
      </c>
      <c r="Q81" s="377" t="s">
        <v>923</v>
      </c>
      <c r="R81" s="377" t="s">
        <v>920</v>
      </c>
      <c r="S81" s="377" t="s">
        <v>1219</v>
      </c>
      <c r="T81" s="376">
        <f t="shared" si="1"/>
        <v>1989</v>
      </c>
      <c r="U81" s="381">
        <f t="shared" si="2"/>
        <v>34</v>
      </c>
    </row>
    <row r="82" ht="14.25" hidden="1" customHeight="1">
      <c r="A82" s="1" t="s">
        <v>213</v>
      </c>
      <c r="B82" s="378">
        <v>9.0</v>
      </c>
      <c r="C82" s="377" t="s">
        <v>1220</v>
      </c>
      <c r="D82" s="380" t="s">
        <v>223</v>
      </c>
      <c r="E82" s="379">
        <v>1107002.0</v>
      </c>
      <c r="F82" s="377" t="s">
        <v>118</v>
      </c>
      <c r="G82" s="380" t="s">
        <v>54</v>
      </c>
      <c r="H82" s="377" t="s">
        <v>119</v>
      </c>
      <c r="I82" s="377" t="s">
        <v>120</v>
      </c>
      <c r="J82" s="377" t="s">
        <v>44</v>
      </c>
      <c r="K82" s="377" t="s">
        <v>1221</v>
      </c>
      <c r="L82" s="377" t="s">
        <v>1119</v>
      </c>
      <c r="M82" s="376"/>
      <c r="N82" s="377" t="s">
        <v>1119</v>
      </c>
      <c r="O82" s="379">
        <v>2009.0</v>
      </c>
      <c r="P82" s="377" t="s">
        <v>946</v>
      </c>
      <c r="Q82" s="377" t="s">
        <v>941</v>
      </c>
      <c r="R82" s="377" t="s">
        <v>920</v>
      </c>
      <c r="S82" s="377" t="s">
        <v>1222</v>
      </c>
      <c r="T82" s="376">
        <f t="shared" si="1"/>
        <v>1980</v>
      </c>
      <c r="U82" s="381">
        <f t="shared" si="2"/>
        <v>43</v>
      </c>
    </row>
    <row r="83" ht="14.25" hidden="1" customHeight="1">
      <c r="A83" s="1" t="s">
        <v>213</v>
      </c>
      <c r="B83" s="378">
        <v>10.0</v>
      </c>
      <c r="C83" s="377" t="s">
        <v>1223</v>
      </c>
      <c r="D83" s="380" t="s">
        <v>72</v>
      </c>
      <c r="E83" s="379">
        <v>1106381.0</v>
      </c>
      <c r="F83" s="377" t="s">
        <v>224</v>
      </c>
      <c r="G83" s="380" t="s">
        <v>54</v>
      </c>
      <c r="H83" s="377" t="s">
        <v>119</v>
      </c>
      <c r="I83" s="377" t="s">
        <v>124</v>
      </c>
      <c r="J83" s="377" t="s">
        <v>44</v>
      </c>
      <c r="K83" s="377" t="s">
        <v>1224</v>
      </c>
      <c r="L83" s="377" t="s">
        <v>989</v>
      </c>
      <c r="M83" s="376"/>
      <c r="N83" s="377" t="s">
        <v>989</v>
      </c>
      <c r="O83" s="379">
        <v>2006.0</v>
      </c>
      <c r="P83" s="377" t="s">
        <v>946</v>
      </c>
      <c r="Q83" s="377" t="s">
        <v>952</v>
      </c>
      <c r="R83" s="377" t="s">
        <v>920</v>
      </c>
      <c r="S83" s="377" t="s">
        <v>1225</v>
      </c>
      <c r="T83" s="376">
        <f t="shared" si="1"/>
        <v>1984</v>
      </c>
      <c r="U83" s="381">
        <f t="shared" si="2"/>
        <v>39</v>
      </c>
    </row>
    <row r="84" ht="14.25" hidden="1" customHeight="1">
      <c r="A84" s="1" t="s">
        <v>213</v>
      </c>
      <c r="B84" s="378">
        <v>11.0</v>
      </c>
      <c r="C84" s="379">
        <v>1101053.0</v>
      </c>
      <c r="D84" s="380" t="s">
        <v>225</v>
      </c>
      <c r="E84" s="377" t="s">
        <v>1226</v>
      </c>
      <c r="F84" s="377" t="s">
        <v>124</v>
      </c>
      <c r="G84" s="380" t="s">
        <v>41</v>
      </c>
      <c r="H84" s="377" t="s">
        <v>119</v>
      </c>
      <c r="I84" s="377" t="s">
        <v>124</v>
      </c>
      <c r="J84" s="377" t="s">
        <v>44</v>
      </c>
      <c r="K84" s="377" t="s">
        <v>1227</v>
      </c>
      <c r="L84" s="377" t="s">
        <v>994</v>
      </c>
      <c r="M84" s="376"/>
      <c r="N84" s="377" t="s">
        <v>994</v>
      </c>
      <c r="O84" s="379">
        <v>2015.0</v>
      </c>
      <c r="P84" s="377" t="s">
        <v>946</v>
      </c>
      <c r="Q84" s="377" t="s">
        <v>981</v>
      </c>
      <c r="R84" s="377" t="s">
        <v>920</v>
      </c>
      <c r="S84" s="377" t="s">
        <v>1228</v>
      </c>
      <c r="T84" s="376">
        <f t="shared" si="1"/>
        <v>1991</v>
      </c>
      <c r="U84" s="381">
        <f t="shared" si="2"/>
        <v>32</v>
      </c>
    </row>
    <row r="85" ht="14.25" hidden="1" customHeight="1">
      <c r="A85" s="1" t="s">
        <v>213</v>
      </c>
      <c r="B85" s="378">
        <v>1.0</v>
      </c>
      <c r="C85" s="379">
        <v>2114498.0</v>
      </c>
      <c r="D85" s="380" t="s">
        <v>226</v>
      </c>
      <c r="E85" s="377" t="s">
        <v>1229</v>
      </c>
      <c r="F85" s="377" t="s">
        <v>227</v>
      </c>
      <c r="G85" s="380" t="s">
        <v>41</v>
      </c>
      <c r="H85" s="377" t="s">
        <v>64</v>
      </c>
      <c r="I85" s="377" t="s">
        <v>65</v>
      </c>
      <c r="J85" s="377" t="s">
        <v>210</v>
      </c>
      <c r="K85" s="377" t="s">
        <v>1193</v>
      </c>
      <c r="L85" s="377" t="s">
        <v>945</v>
      </c>
      <c r="M85" s="377" t="s">
        <v>1071</v>
      </c>
      <c r="N85" s="376"/>
      <c r="O85" s="376"/>
      <c r="P85" s="377" t="s">
        <v>918</v>
      </c>
      <c r="Q85" s="377" t="s">
        <v>930</v>
      </c>
      <c r="R85" s="377" t="s">
        <v>920</v>
      </c>
      <c r="S85" s="377" t="s">
        <v>1230</v>
      </c>
      <c r="T85" s="376">
        <f t="shared" si="1"/>
        <v>1995</v>
      </c>
      <c r="U85" s="381">
        <f t="shared" si="2"/>
        <v>28</v>
      </c>
    </row>
    <row r="86" ht="14.25" hidden="1" customHeight="1">
      <c r="A86" s="1" t="s">
        <v>213</v>
      </c>
      <c r="B86" s="378">
        <v>2.0</v>
      </c>
      <c r="C86" s="379">
        <v>2214757.0</v>
      </c>
      <c r="D86" s="380" t="s">
        <v>228</v>
      </c>
      <c r="E86" s="377" t="s">
        <v>1231</v>
      </c>
      <c r="F86" s="377" t="s">
        <v>65</v>
      </c>
      <c r="G86" s="380" t="s">
        <v>41</v>
      </c>
      <c r="H86" s="377" t="s">
        <v>64</v>
      </c>
      <c r="I86" s="377" t="s">
        <v>65</v>
      </c>
      <c r="J86" s="377" t="s">
        <v>148</v>
      </c>
      <c r="K86" s="377" t="s">
        <v>1232</v>
      </c>
      <c r="L86" s="377" t="s">
        <v>945</v>
      </c>
      <c r="M86" s="377" t="s">
        <v>1071</v>
      </c>
      <c r="N86" s="376"/>
      <c r="O86" s="376"/>
      <c r="P86" s="377" t="s">
        <v>918</v>
      </c>
      <c r="Q86" s="377" t="s">
        <v>930</v>
      </c>
      <c r="R86" s="377" t="s">
        <v>920</v>
      </c>
      <c r="S86" s="377" t="s">
        <v>1233</v>
      </c>
      <c r="T86" s="376">
        <f t="shared" si="1"/>
        <v>1998</v>
      </c>
      <c r="U86" s="381">
        <f t="shared" si="2"/>
        <v>25</v>
      </c>
    </row>
    <row r="87" ht="14.25" hidden="1" customHeight="1">
      <c r="A87" s="1" t="s">
        <v>229</v>
      </c>
      <c r="B87" s="378">
        <v>1.0</v>
      </c>
      <c r="C87" s="379">
        <v>1701350.0</v>
      </c>
      <c r="D87" s="380" t="s">
        <v>230</v>
      </c>
      <c r="E87" s="377" t="s">
        <v>1234</v>
      </c>
      <c r="F87" s="377" t="s">
        <v>231</v>
      </c>
      <c r="G87" s="380" t="s">
        <v>54</v>
      </c>
      <c r="H87" s="377" t="s">
        <v>42</v>
      </c>
      <c r="I87" s="377" t="s">
        <v>43</v>
      </c>
      <c r="J87" s="377" t="s">
        <v>44</v>
      </c>
      <c r="K87" s="377" t="s">
        <v>1235</v>
      </c>
      <c r="L87" s="377" t="s">
        <v>1236</v>
      </c>
      <c r="M87" s="376"/>
      <c r="N87" s="377" t="s">
        <v>1236</v>
      </c>
      <c r="O87" s="379">
        <v>2020.0</v>
      </c>
      <c r="P87" s="377" t="s">
        <v>1044</v>
      </c>
      <c r="Q87" s="377" t="s">
        <v>930</v>
      </c>
      <c r="R87" s="377" t="s">
        <v>931</v>
      </c>
      <c r="S87" s="377" t="s">
        <v>1237</v>
      </c>
      <c r="T87" s="376">
        <f t="shared" si="1"/>
        <v>1994</v>
      </c>
      <c r="U87" s="381">
        <f t="shared" si="2"/>
        <v>29</v>
      </c>
    </row>
    <row r="88" ht="14.25" hidden="1" customHeight="1">
      <c r="A88" s="1" t="s">
        <v>229</v>
      </c>
      <c r="B88" s="378">
        <v>4.0</v>
      </c>
      <c r="C88" s="377" t="s">
        <v>1238</v>
      </c>
      <c r="D88" s="380" t="s">
        <v>232</v>
      </c>
      <c r="E88" s="377" t="s">
        <v>1239</v>
      </c>
      <c r="F88" s="377" t="s">
        <v>83</v>
      </c>
      <c r="G88" s="380" t="s">
        <v>41</v>
      </c>
      <c r="H88" s="377" t="s">
        <v>85</v>
      </c>
      <c r="I88" s="377" t="s">
        <v>83</v>
      </c>
      <c r="J88" s="377" t="s">
        <v>44</v>
      </c>
      <c r="K88" s="377" t="s">
        <v>1240</v>
      </c>
      <c r="L88" s="377" t="s">
        <v>967</v>
      </c>
      <c r="M88" s="376"/>
      <c r="N88" s="377" t="s">
        <v>967</v>
      </c>
      <c r="O88" s="379">
        <v>2011.0</v>
      </c>
      <c r="P88" s="377" t="s">
        <v>962</v>
      </c>
      <c r="Q88" s="377" t="s">
        <v>981</v>
      </c>
      <c r="R88" s="377" t="s">
        <v>920</v>
      </c>
      <c r="S88" s="377" t="s">
        <v>1241</v>
      </c>
      <c r="T88" s="376">
        <f t="shared" si="1"/>
        <v>1979</v>
      </c>
      <c r="U88" s="381">
        <f t="shared" si="2"/>
        <v>44</v>
      </c>
    </row>
    <row r="89" ht="14.25" hidden="1" customHeight="1">
      <c r="A89" s="1" t="s">
        <v>229</v>
      </c>
      <c r="B89" s="378">
        <v>5.0</v>
      </c>
      <c r="C89" s="377" t="s">
        <v>1242</v>
      </c>
      <c r="D89" s="380" t="s">
        <v>233</v>
      </c>
      <c r="E89" s="377" t="s">
        <v>1243</v>
      </c>
      <c r="F89" s="377" t="s">
        <v>83</v>
      </c>
      <c r="G89" s="380" t="s">
        <v>41</v>
      </c>
      <c r="H89" s="377" t="s">
        <v>85</v>
      </c>
      <c r="I89" s="377" t="s">
        <v>83</v>
      </c>
      <c r="J89" s="377" t="s">
        <v>44</v>
      </c>
      <c r="K89" s="377" t="s">
        <v>1244</v>
      </c>
      <c r="L89" s="377" t="s">
        <v>935</v>
      </c>
      <c r="M89" s="376"/>
      <c r="N89" s="377" t="s">
        <v>935</v>
      </c>
      <c r="O89" s="379">
        <v>2014.0</v>
      </c>
      <c r="P89" s="377" t="s">
        <v>946</v>
      </c>
      <c r="Q89" s="377" t="s">
        <v>941</v>
      </c>
      <c r="R89" s="377" t="s">
        <v>920</v>
      </c>
      <c r="S89" s="377" t="s">
        <v>1245</v>
      </c>
      <c r="T89" s="376">
        <f t="shared" si="1"/>
        <v>1983</v>
      </c>
      <c r="U89" s="381">
        <f t="shared" si="2"/>
        <v>40</v>
      </c>
    </row>
    <row r="90" ht="14.25" hidden="1" customHeight="1">
      <c r="A90" s="1" t="s">
        <v>229</v>
      </c>
      <c r="B90" s="378">
        <v>6.0</v>
      </c>
      <c r="C90" s="377" t="s">
        <v>1246</v>
      </c>
      <c r="D90" s="380" t="s">
        <v>234</v>
      </c>
      <c r="E90" s="377" t="s">
        <v>1247</v>
      </c>
      <c r="F90" s="377" t="s">
        <v>83</v>
      </c>
      <c r="G90" s="380" t="s">
        <v>41</v>
      </c>
      <c r="H90" s="377" t="s">
        <v>85</v>
      </c>
      <c r="I90" s="377" t="s">
        <v>83</v>
      </c>
      <c r="J90" s="377" t="s">
        <v>44</v>
      </c>
      <c r="K90" s="377" t="s">
        <v>1248</v>
      </c>
      <c r="L90" s="377" t="s">
        <v>967</v>
      </c>
      <c r="M90" s="376"/>
      <c r="N90" s="377" t="s">
        <v>967</v>
      </c>
      <c r="O90" s="379">
        <v>2011.0</v>
      </c>
      <c r="P90" s="377" t="s">
        <v>946</v>
      </c>
      <c r="Q90" s="377" t="s">
        <v>981</v>
      </c>
      <c r="R90" s="377" t="s">
        <v>920</v>
      </c>
      <c r="S90" s="377" t="s">
        <v>1249</v>
      </c>
      <c r="T90" s="376">
        <f t="shared" si="1"/>
        <v>1980</v>
      </c>
      <c r="U90" s="381">
        <f t="shared" si="2"/>
        <v>43</v>
      </c>
    </row>
    <row r="91" ht="14.25" hidden="1" customHeight="1">
      <c r="A91" s="1" t="s">
        <v>229</v>
      </c>
      <c r="B91" s="378">
        <v>7.0</v>
      </c>
      <c r="C91" s="377" t="s">
        <v>1250</v>
      </c>
      <c r="D91" s="380" t="s">
        <v>235</v>
      </c>
      <c r="E91" s="379">
        <v>1106462.0</v>
      </c>
      <c r="F91" s="377" t="s">
        <v>236</v>
      </c>
      <c r="G91" s="380" t="s">
        <v>63</v>
      </c>
      <c r="H91" s="377" t="s">
        <v>85</v>
      </c>
      <c r="I91" s="377" t="s">
        <v>91</v>
      </c>
      <c r="J91" s="377" t="s">
        <v>44</v>
      </c>
      <c r="K91" s="377" t="s">
        <v>1251</v>
      </c>
      <c r="L91" s="377" t="s">
        <v>961</v>
      </c>
      <c r="M91" s="376"/>
      <c r="N91" s="377" t="s">
        <v>961</v>
      </c>
      <c r="O91" s="379">
        <v>2007.0</v>
      </c>
      <c r="P91" s="377" t="s">
        <v>985</v>
      </c>
      <c r="Q91" s="377" t="s">
        <v>923</v>
      </c>
      <c r="R91" s="377" t="s">
        <v>920</v>
      </c>
      <c r="S91" s="377" t="s">
        <v>1252</v>
      </c>
      <c r="T91" s="376">
        <f t="shared" si="1"/>
        <v>1982</v>
      </c>
      <c r="U91" s="381">
        <f t="shared" si="2"/>
        <v>41</v>
      </c>
    </row>
    <row r="92" ht="14.25" hidden="1" customHeight="1">
      <c r="A92" s="1" t="s">
        <v>229</v>
      </c>
      <c r="B92" s="378">
        <v>8.0</v>
      </c>
      <c r="C92" s="377" t="s">
        <v>1253</v>
      </c>
      <c r="D92" s="380" t="s">
        <v>237</v>
      </c>
      <c r="E92" s="377" t="s">
        <v>1254</v>
      </c>
      <c r="F92" s="377" t="s">
        <v>156</v>
      </c>
      <c r="G92" s="380" t="s">
        <v>54</v>
      </c>
      <c r="H92" s="377" t="s">
        <v>85</v>
      </c>
      <c r="I92" s="377" t="s">
        <v>83</v>
      </c>
      <c r="J92" s="377" t="s">
        <v>44</v>
      </c>
      <c r="K92" s="377" t="s">
        <v>1255</v>
      </c>
      <c r="L92" s="377" t="s">
        <v>1119</v>
      </c>
      <c r="M92" s="376"/>
      <c r="N92" s="377" t="s">
        <v>1119</v>
      </c>
      <c r="O92" s="379">
        <v>2009.0</v>
      </c>
      <c r="P92" s="377" t="s">
        <v>946</v>
      </c>
      <c r="Q92" s="377" t="s">
        <v>957</v>
      </c>
      <c r="R92" s="377" t="s">
        <v>920</v>
      </c>
      <c r="S92" s="377" t="s">
        <v>1256</v>
      </c>
      <c r="T92" s="376">
        <f t="shared" si="1"/>
        <v>1974</v>
      </c>
      <c r="U92" s="381">
        <f t="shared" si="2"/>
        <v>49</v>
      </c>
    </row>
    <row r="93" ht="14.25" hidden="1" customHeight="1">
      <c r="A93" s="1" t="s">
        <v>229</v>
      </c>
      <c r="B93" s="378">
        <v>9.0</v>
      </c>
      <c r="C93" s="377" t="s">
        <v>1257</v>
      </c>
      <c r="D93" s="380" t="s">
        <v>238</v>
      </c>
      <c r="E93" s="377" t="s">
        <v>1258</v>
      </c>
      <c r="F93" s="377" t="s">
        <v>175</v>
      </c>
      <c r="G93" s="380" t="s">
        <v>41</v>
      </c>
      <c r="H93" s="377" t="s">
        <v>85</v>
      </c>
      <c r="I93" s="377" t="s">
        <v>91</v>
      </c>
      <c r="J93" s="377" t="s">
        <v>44</v>
      </c>
      <c r="K93" s="377" t="s">
        <v>1259</v>
      </c>
      <c r="L93" s="377" t="s">
        <v>935</v>
      </c>
      <c r="M93" s="376"/>
      <c r="N93" s="377" t="s">
        <v>935</v>
      </c>
      <c r="O93" s="379">
        <v>2014.0</v>
      </c>
      <c r="P93" s="377" t="s">
        <v>985</v>
      </c>
      <c r="Q93" s="377" t="s">
        <v>941</v>
      </c>
      <c r="R93" s="377" t="s">
        <v>920</v>
      </c>
      <c r="S93" s="377" t="s">
        <v>1260</v>
      </c>
      <c r="T93" s="376">
        <f t="shared" si="1"/>
        <v>1985</v>
      </c>
      <c r="U93" s="381">
        <f t="shared" si="2"/>
        <v>38</v>
      </c>
    </row>
    <row r="94" ht="14.25" hidden="1" customHeight="1">
      <c r="A94" s="1" t="s">
        <v>229</v>
      </c>
      <c r="B94" s="378">
        <v>10.0</v>
      </c>
      <c r="C94" s="377" t="s">
        <v>1261</v>
      </c>
      <c r="D94" s="380" t="s">
        <v>239</v>
      </c>
      <c r="E94" s="377" t="s">
        <v>1262</v>
      </c>
      <c r="F94" s="377" t="s">
        <v>175</v>
      </c>
      <c r="G94" s="380" t="s">
        <v>41</v>
      </c>
      <c r="H94" s="377" t="s">
        <v>85</v>
      </c>
      <c r="I94" s="377" t="s">
        <v>91</v>
      </c>
      <c r="J94" s="377" t="s">
        <v>44</v>
      </c>
      <c r="K94" s="377" t="s">
        <v>1132</v>
      </c>
      <c r="L94" s="377" t="s">
        <v>966</v>
      </c>
      <c r="M94" s="376"/>
      <c r="N94" s="377" t="s">
        <v>966</v>
      </c>
      <c r="O94" s="379">
        <v>2008.0</v>
      </c>
      <c r="P94" s="377" t="s">
        <v>946</v>
      </c>
      <c r="Q94" s="377" t="s">
        <v>957</v>
      </c>
      <c r="R94" s="377" t="s">
        <v>920</v>
      </c>
      <c r="S94" s="377" t="s">
        <v>1263</v>
      </c>
      <c r="T94" s="376">
        <f t="shared" si="1"/>
        <v>1983</v>
      </c>
      <c r="U94" s="381">
        <f t="shared" si="2"/>
        <v>40</v>
      </c>
    </row>
    <row r="95" ht="14.25" hidden="1" customHeight="1">
      <c r="A95" s="1" t="s">
        <v>229</v>
      </c>
      <c r="B95" s="378">
        <v>11.0</v>
      </c>
      <c r="C95" s="377" t="s">
        <v>1264</v>
      </c>
      <c r="D95" s="380" t="s">
        <v>240</v>
      </c>
      <c r="E95" s="377" t="s">
        <v>1265</v>
      </c>
      <c r="F95" s="377" t="s">
        <v>98</v>
      </c>
      <c r="G95" s="380" t="s">
        <v>41</v>
      </c>
      <c r="H95" s="377" t="s">
        <v>85</v>
      </c>
      <c r="I95" s="377" t="s">
        <v>99</v>
      </c>
      <c r="J95" s="377" t="s">
        <v>44</v>
      </c>
      <c r="K95" s="377" t="s">
        <v>1266</v>
      </c>
      <c r="L95" s="377" t="s">
        <v>935</v>
      </c>
      <c r="M95" s="376"/>
      <c r="N95" s="377" t="s">
        <v>935</v>
      </c>
      <c r="O95" s="379">
        <v>2014.0</v>
      </c>
      <c r="P95" s="377" t="s">
        <v>946</v>
      </c>
      <c r="Q95" s="377" t="s">
        <v>941</v>
      </c>
      <c r="R95" s="377" t="s">
        <v>920</v>
      </c>
      <c r="S95" s="377" t="s">
        <v>1267</v>
      </c>
      <c r="T95" s="376">
        <f t="shared" si="1"/>
        <v>1987</v>
      </c>
      <c r="U95" s="381">
        <f t="shared" si="2"/>
        <v>36</v>
      </c>
    </row>
    <row r="96" ht="14.25" hidden="1" customHeight="1">
      <c r="A96" s="1" t="s">
        <v>229</v>
      </c>
      <c r="B96" s="378">
        <v>12.0</v>
      </c>
      <c r="C96" s="379">
        <v>2214697.0</v>
      </c>
      <c r="D96" s="380" t="s">
        <v>241</v>
      </c>
      <c r="E96" s="377" t="s">
        <v>1268</v>
      </c>
      <c r="F96" s="377" t="s">
        <v>242</v>
      </c>
      <c r="G96" s="380" t="s">
        <v>41</v>
      </c>
      <c r="H96" s="377" t="s">
        <v>85</v>
      </c>
      <c r="I96" s="377" t="s">
        <v>95</v>
      </c>
      <c r="J96" s="377" t="s">
        <v>44</v>
      </c>
      <c r="K96" s="377" t="s">
        <v>1269</v>
      </c>
      <c r="L96" s="377" t="s">
        <v>1269</v>
      </c>
      <c r="M96" s="376"/>
      <c r="N96" s="377" t="s">
        <v>1269</v>
      </c>
      <c r="O96" s="379">
        <v>2022.0</v>
      </c>
      <c r="P96" s="377" t="s">
        <v>918</v>
      </c>
      <c r="Q96" s="377" t="s">
        <v>919</v>
      </c>
      <c r="R96" s="377" t="s">
        <v>920</v>
      </c>
      <c r="S96" s="377" t="s">
        <v>1270</v>
      </c>
      <c r="T96" s="376">
        <f t="shared" si="1"/>
        <v>1989</v>
      </c>
      <c r="U96" s="381">
        <f t="shared" si="2"/>
        <v>34</v>
      </c>
    </row>
    <row r="97" ht="14.25" hidden="1" customHeight="1">
      <c r="A97" s="1" t="s">
        <v>229</v>
      </c>
      <c r="B97" s="378">
        <v>1.0</v>
      </c>
      <c r="C97" s="379">
        <v>2114646.0</v>
      </c>
      <c r="D97" s="380" t="s">
        <v>243</v>
      </c>
      <c r="E97" s="377" t="s">
        <v>1271</v>
      </c>
      <c r="F97" s="377" t="s">
        <v>192</v>
      </c>
      <c r="G97" s="380" t="s">
        <v>54</v>
      </c>
      <c r="H97" s="377" t="s">
        <v>64</v>
      </c>
      <c r="I97" s="377" t="s">
        <v>65</v>
      </c>
      <c r="J97" s="377" t="s">
        <v>135</v>
      </c>
      <c r="K97" s="377" t="s">
        <v>1030</v>
      </c>
      <c r="L97" s="377" t="s">
        <v>945</v>
      </c>
      <c r="M97" s="377" t="s">
        <v>1071</v>
      </c>
      <c r="N97" s="376"/>
      <c r="O97" s="376"/>
      <c r="P97" s="377" t="s">
        <v>946</v>
      </c>
      <c r="Q97" s="377" t="s">
        <v>952</v>
      </c>
      <c r="R97" s="377" t="s">
        <v>920</v>
      </c>
      <c r="S97" s="377" t="s">
        <v>1272</v>
      </c>
      <c r="T97" s="376">
        <f t="shared" si="1"/>
        <v>1977</v>
      </c>
      <c r="U97" s="381">
        <f t="shared" si="2"/>
        <v>46</v>
      </c>
    </row>
    <row r="98" ht="14.25" customHeight="1">
      <c r="A98" s="1" t="s">
        <v>244</v>
      </c>
      <c r="B98" s="378">
        <v>28.0</v>
      </c>
      <c r="C98" s="377" t="s">
        <v>1273</v>
      </c>
      <c r="D98" s="380" t="s">
        <v>254</v>
      </c>
      <c r="E98" s="377" t="s">
        <v>1274</v>
      </c>
      <c r="F98" s="377" t="s">
        <v>255</v>
      </c>
      <c r="G98" s="380" t="s">
        <v>54</v>
      </c>
      <c r="H98" s="377" t="s">
        <v>256</v>
      </c>
      <c r="I98" s="377" t="s">
        <v>257</v>
      </c>
      <c r="J98" s="377" t="s">
        <v>44</v>
      </c>
      <c r="K98" s="377" t="s">
        <v>1275</v>
      </c>
      <c r="L98" s="377" t="s">
        <v>951</v>
      </c>
      <c r="M98" s="376"/>
      <c r="N98" s="377" t="s">
        <v>951</v>
      </c>
      <c r="O98" s="379">
        <v>2012.0</v>
      </c>
      <c r="P98" s="377" t="s">
        <v>946</v>
      </c>
      <c r="Q98" s="377" t="s">
        <v>930</v>
      </c>
      <c r="R98" s="377" t="s">
        <v>920</v>
      </c>
      <c r="S98" s="377" t="s">
        <v>1276</v>
      </c>
      <c r="T98" s="376">
        <f t="shared" si="1"/>
        <v>1982</v>
      </c>
      <c r="U98" s="381">
        <f t="shared" si="2"/>
        <v>41</v>
      </c>
    </row>
    <row r="99" ht="14.25" hidden="1" customHeight="1">
      <c r="A99" s="1" t="s">
        <v>244</v>
      </c>
      <c r="B99" s="378">
        <v>29.0</v>
      </c>
      <c r="C99" s="377" t="s">
        <v>1277</v>
      </c>
      <c r="D99" s="380" t="s">
        <v>258</v>
      </c>
      <c r="E99" s="379">
        <v>1106081.0</v>
      </c>
      <c r="F99" s="377" t="s">
        <v>259</v>
      </c>
      <c r="G99" s="380" t="s">
        <v>41</v>
      </c>
      <c r="H99" s="377" t="s">
        <v>256</v>
      </c>
      <c r="I99" s="377" t="s">
        <v>257</v>
      </c>
      <c r="J99" s="377" t="s">
        <v>44</v>
      </c>
      <c r="K99" s="377" t="s">
        <v>989</v>
      </c>
      <c r="L99" s="377" t="s">
        <v>1119</v>
      </c>
      <c r="M99" s="376"/>
      <c r="N99" s="377" t="s">
        <v>1119</v>
      </c>
      <c r="O99" s="379">
        <v>2009.0</v>
      </c>
      <c r="P99" s="377" t="s">
        <v>946</v>
      </c>
      <c r="Q99" s="377" t="s">
        <v>919</v>
      </c>
      <c r="R99" s="377" t="s">
        <v>920</v>
      </c>
      <c r="S99" s="377" t="s">
        <v>1278</v>
      </c>
      <c r="T99" s="376">
        <f t="shared" si="1"/>
        <v>1982</v>
      </c>
      <c r="U99" s="381">
        <f t="shared" si="2"/>
        <v>41</v>
      </c>
    </row>
    <row r="100" ht="14.25" hidden="1" customHeight="1">
      <c r="A100" s="1" t="s">
        <v>244</v>
      </c>
      <c r="B100" s="378">
        <v>30.0</v>
      </c>
      <c r="C100" s="377" t="s">
        <v>1279</v>
      </c>
      <c r="D100" s="380" t="s">
        <v>261</v>
      </c>
      <c r="E100" s="377" t="s">
        <v>1280</v>
      </c>
      <c r="F100" s="377" t="s">
        <v>262</v>
      </c>
      <c r="G100" s="380" t="s">
        <v>41</v>
      </c>
      <c r="H100" s="377" t="s">
        <v>147</v>
      </c>
      <c r="I100" s="377" t="s">
        <v>147</v>
      </c>
      <c r="J100" s="377" t="s">
        <v>44</v>
      </c>
      <c r="K100" s="377" t="s">
        <v>1281</v>
      </c>
      <c r="L100" s="377" t="s">
        <v>1105</v>
      </c>
      <c r="M100" s="376"/>
      <c r="N100" s="377" t="s">
        <v>1105</v>
      </c>
      <c r="O100" s="379">
        <v>2016.0</v>
      </c>
      <c r="P100" s="377" t="s">
        <v>946</v>
      </c>
      <c r="Q100" s="377" t="s">
        <v>941</v>
      </c>
      <c r="R100" s="377" t="s">
        <v>920</v>
      </c>
      <c r="S100" s="377" t="s">
        <v>1282</v>
      </c>
      <c r="T100" s="376">
        <f t="shared" si="1"/>
        <v>1987</v>
      </c>
      <c r="U100" s="381">
        <f t="shared" si="2"/>
        <v>36</v>
      </c>
    </row>
    <row r="101" ht="14.25" hidden="1" customHeight="1">
      <c r="A101" s="1" t="s">
        <v>244</v>
      </c>
      <c r="B101" s="378">
        <v>31.0</v>
      </c>
      <c r="C101" s="377" t="s">
        <v>1283</v>
      </c>
      <c r="D101" s="380" t="s">
        <v>263</v>
      </c>
      <c r="E101" s="379">
        <v>1207018.0</v>
      </c>
      <c r="F101" s="377" t="s">
        <v>262</v>
      </c>
      <c r="G101" s="380" t="s">
        <v>41</v>
      </c>
      <c r="H101" s="377" t="s">
        <v>147</v>
      </c>
      <c r="I101" s="377" t="s">
        <v>147</v>
      </c>
      <c r="J101" s="377" t="s">
        <v>44</v>
      </c>
      <c r="K101" s="377" t="s">
        <v>1284</v>
      </c>
      <c r="L101" s="377" t="s">
        <v>967</v>
      </c>
      <c r="M101" s="376"/>
      <c r="N101" s="377" t="s">
        <v>967</v>
      </c>
      <c r="O101" s="379">
        <v>2011.0</v>
      </c>
      <c r="P101" s="377" t="s">
        <v>985</v>
      </c>
      <c r="Q101" s="377" t="s">
        <v>919</v>
      </c>
      <c r="R101" s="377" t="s">
        <v>920</v>
      </c>
      <c r="S101" s="377" t="s">
        <v>1285</v>
      </c>
      <c r="T101" s="376">
        <f t="shared" si="1"/>
        <v>1985</v>
      </c>
      <c r="U101" s="381">
        <f t="shared" si="2"/>
        <v>38</v>
      </c>
    </row>
    <row r="102" ht="14.25" hidden="1" customHeight="1">
      <c r="A102" s="1" t="s">
        <v>244</v>
      </c>
      <c r="B102" s="378">
        <v>32.0</v>
      </c>
      <c r="C102" s="377" t="s">
        <v>1286</v>
      </c>
      <c r="D102" s="380" t="s">
        <v>265</v>
      </c>
      <c r="E102" s="377" t="s">
        <v>1287</v>
      </c>
      <c r="F102" s="377" t="s">
        <v>266</v>
      </c>
      <c r="G102" s="380" t="s">
        <v>41</v>
      </c>
      <c r="H102" s="377" t="s">
        <v>147</v>
      </c>
      <c r="I102" s="377" t="s">
        <v>267</v>
      </c>
      <c r="J102" s="377" t="s">
        <v>44</v>
      </c>
      <c r="K102" s="377" t="s">
        <v>1288</v>
      </c>
      <c r="L102" s="377" t="s">
        <v>1187</v>
      </c>
      <c r="M102" s="376"/>
      <c r="N102" s="377" t="s">
        <v>1187</v>
      </c>
      <c r="O102" s="379">
        <v>2019.0</v>
      </c>
      <c r="P102" s="377" t="s">
        <v>946</v>
      </c>
      <c r="Q102" s="377" t="s">
        <v>930</v>
      </c>
      <c r="R102" s="377" t="s">
        <v>920</v>
      </c>
      <c r="S102" s="377" t="s">
        <v>1289</v>
      </c>
      <c r="T102" s="376">
        <f t="shared" si="1"/>
        <v>1985</v>
      </c>
      <c r="U102" s="381">
        <f t="shared" si="2"/>
        <v>38</v>
      </c>
    </row>
    <row r="103" ht="14.25" customHeight="1">
      <c r="A103" s="1" t="s">
        <v>244</v>
      </c>
      <c r="B103" s="378">
        <v>33.0</v>
      </c>
      <c r="C103" s="377" t="s">
        <v>1290</v>
      </c>
      <c r="D103" s="380" t="s">
        <v>268</v>
      </c>
      <c r="E103" s="377" t="s">
        <v>1291</v>
      </c>
      <c r="F103" s="377" t="s">
        <v>269</v>
      </c>
      <c r="G103" s="380" t="s">
        <v>63</v>
      </c>
      <c r="H103" s="377" t="s">
        <v>147</v>
      </c>
      <c r="I103" s="377" t="s">
        <v>147</v>
      </c>
      <c r="J103" s="377" t="s">
        <v>44</v>
      </c>
      <c r="K103" s="377" t="s">
        <v>1292</v>
      </c>
      <c r="L103" s="377" t="s">
        <v>967</v>
      </c>
      <c r="M103" s="376"/>
      <c r="N103" s="377" t="s">
        <v>967</v>
      </c>
      <c r="O103" s="379">
        <v>2011.0</v>
      </c>
      <c r="P103" s="377" t="s">
        <v>946</v>
      </c>
      <c r="Q103" s="377" t="s">
        <v>1293</v>
      </c>
      <c r="R103" s="377" t="s">
        <v>920</v>
      </c>
      <c r="S103" s="377" t="s">
        <v>1294</v>
      </c>
      <c r="T103" s="376">
        <f t="shared" si="1"/>
        <v>1984</v>
      </c>
      <c r="U103" s="381">
        <f t="shared" si="2"/>
        <v>39</v>
      </c>
    </row>
    <row r="104" ht="14.25" customHeight="1">
      <c r="A104" s="1" t="s">
        <v>244</v>
      </c>
      <c r="B104" s="378">
        <v>34.0</v>
      </c>
      <c r="C104" s="377" t="s">
        <v>1295</v>
      </c>
      <c r="D104" s="380" t="s">
        <v>260</v>
      </c>
      <c r="E104" s="377" t="s">
        <v>1296</v>
      </c>
      <c r="F104" s="377" t="s">
        <v>269</v>
      </c>
      <c r="G104" s="380" t="s">
        <v>63</v>
      </c>
      <c r="H104" s="377" t="s">
        <v>147</v>
      </c>
      <c r="I104" s="377" t="s">
        <v>147</v>
      </c>
      <c r="J104" s="377" t="s">
        <v>44</v>
      </c>
      <c r="K104" s="377" t="s">
        <v>1297</v>
      </c>
      <c r="L104" s="377" t="s">
        <v>967</v>
      </c>
      <c r="M104" s="376"/>
      <c r="N104" s="377" t="s">
        <v>967</v>
      </c>
      <c r="O104" s="379">
        <v>2011.0</v>
      </c>
      <c r="P104" s="377" t="s">
        <v>946</v>
      </c>
      <c r="Q104" s="377" t="s">
        <v>923</v>
      </c>
      <c r="R104" s="377" t="s">
        <v>920</v>
      </c>
      <c r="S104" s="377" t="s">
        <v>1298</v>
      </c>
      <c r="T104" s="376">
        <f t="shared" si="1"/>
        <v>1990</v>
      </c>
      <c r="U104" s="381">
        <f t="shared" si="2"/>
        <v>33</v>
      </c>
    </row>
    <row r="105" ht="14.25" hidden="1" customHeight="1">
      <c r="A105" s="1" t="s">
        <v>244</v>
      </c>
      <c r="B105" s="378">
        <v>35.0</v>
      </c>
      <c r="C105" s="379">
        <v>1301137.0</v>
      </c>
      <c r="D105" s="380" t="s">
        <v>270</v>
      </c>
      <c r="E105" s="377" t="s">
        <v>1299</v>
      </c>
      <c r="F105" s="377" t="s">
        <v>146</v>
      </c>
      <c r="G105" s="380" t="s">
        <v>41</v>
      </c>
      <c r="H105" s="377" t="s">
        <v>147</v>
      </c>
      <c r="I105" s="377" t="s">
        <v>147</v>
      </c>
      <c r="J105" s="377" t="s">
        <v>44</v>
      </c>
      <c r="K105" s="377" t="s">
        <v>1300</v>
      </c>
      <c r="L105" s="377" t="s">
        <v>994</v>
      </c>
      <c r="M105" s="376"/>
      <c r="N105" s="377" t="s">
        <v>994</v>
      </c>
      <c r="O105" s="379">
        <v>2015.0</v>
      </c>
      <c r="P105" s="377" t="s">
        <v>985</v>
      </c>
      <c r="Q105" s="377" t="s">
        <v>930</v>
      </c>
      <c r="R105" s="377" t="s">
        <v>920</v>
      </c>
      <c r="S105" s="377" t="s">
        <v>1301</v>
      </c>
      <c r="T105" s="376">
        <f t="shared" si="1"/>
        <v>1995</v>
      </c>
      <c r="U105" s="381">
        <f t="shared" si="2"/>
        <v>28</v>
      </c>
    </row>
    <row r="106" ht="14.25" hidden="1" customHeight="1">
      <c r="A106" s="1" t="s">
        <v>244</v>
      </c>
      <c r="B106" s="378">
        <v>36.0</v>
      </c>
      <c r="C106" s="379">
        <v>2214696.0</v>
      </c>
      <c r="D106" s="380" t="s">
        <v>271</v>
      </c>
      <c r="E106" s="377" t="s">
        <v>1302</v>
      </c>
      <c r="F106" s="377" t="s">
        <v>146</v>
      </c>
      <c r="G106" s="380" t="s">
        <v>41</v>
      </c>
      <c r="H106" s="377" t="s">
        <v>147</v>
      </c>
      <c r="I106" s="377" t="s">
        <v>147</v>
      </c>
      <c r="J106" s="377" t="s">
        <v>44</v>
      </c>
      <c r="K106" s="377" t="s">
        <v>1269</v>
      </c>
      <c r="L106" s="377" t="s">
        <v>1269</v>
      </c>
      <c r="M106" s="376"/>
      <c r="N106" s="377" t="s">
        <v>1269</v>
      </c>
      <c r="O106" s="379">
        <v>2022.0</v>
      </c>
      <c r="P106" s="377" t="s">
        <v>985</v>
      </c>
      <c r="Q106" s="377" t="s">
        <v>919</v>
      </c>
      <c r="R106" s="377" t="s">
        <v>920</v>
      </c>
      <c r="S106" s="377" t="s">
        <v>1303</v>
      </c>
      <c r="T106" s="376">
        <f t="shared" si="1"/>
        <v>1991</v>
      </c>
      <c r="U106" s="381">
        <f t="shared" si="2"/>
        <v>32</v>
      </c>
    </row>
    <row r="107" ht="14.25" hidden="1" customHeight="1">
      <c r="A107" s="1" t="s">
        <v>244</v>
      </c>
      <c r="B107" s="378">
        <v>37.0</v>
      </c>
      <c r="C107" s="377" t="s">
        <v>1304</v>
      </c>
      <c r="D107" s="380" t="s">
        <v>272</v>
      </c>
      <c r="E107" s="377" t="s">
        <v>1305</v>
      </c>
      <c r="F107" s="377" t="s">
        <v>146</v>
      </c>
      <c r="G107" s="380" t="s">
        <v>41</v>
      </c>
      <c r="H107" s="377" t="s">
        <v>147</v>
      </c>
      <c r="I107" s="377" t="s">
        <v>147</v>
      </c>
      <c r="J107" s="377" t="s">
        <v>44</v>
      </c>
      <c r="K107" s="377" t="s">
        <v>1306</v>
      </c>
      <c r="L107" s="377" t="s">
        <v>1119</v>
      </c>
      <c r="M107" s="376"/>
      <c r="N107" s="377" t="s">
        <v>1119</v>
      </c>
      <c r="O107" s="379">
        <v>2009.0</v>
      </c>
      <c r="P107" s="377" t="s">
        <v>1114</v>
      </c>
      <c r="Q107" s="377" t="s">
        <v>930</v>
      </c>
      <c r="R107" s="377" t="s">
        <v>920</v>
      </c>
      <c r="S107" s="377" t="s">
        <v>1307</v>
      </c>
      <c r="T107" s="376">
        <f t="shared" si="1"/>
        <v>1982</v>
      </c>
      <c r="U107" s="381">
        <f t="shared" si="2"/>
        <v>41</v>
      </c>
    </row>
    <row r="108" ht="14.25" hidden="1" customHeight="1">
      <c r="A108" s="1" t="s">
        <v>244</v>
      </c>
      <c r="B108" s="378">
        <v>38.0</v>
      </c>
      <c r="C108" s="377" t="s">
        <v>1308</v>
      </c>
      <c r="D108" s="380" t="s">
        <v>273</v>
      </c>
      <c r="E108" s="379">
        <v>1106065.0</v>
      </c>
      <c r="F108" s="377" t="s">
        <v>146</v>
      </c>
      <c r="G108" s="380" t="s">
        <v>41</v>
      </c>
      <c r="H108" s="377" t="s">
        <v>147</v>
      </c>
      <c r="I108" s="377" t="s">
        <v>147</v>
      </c>
      <c r="J108" s="377" t="s">
        <v>44</v>
      </c>
      <c r="K108" s="377" t="s">
        <v>1309</v>
      </c>
      <c r="L108" s="377" t="s">
        <v>989</v>
      </c>
      <c r="M108" s="376"/>
      <c r="N108" s="377" t="s">
        <v>989</v>
      </c>
      <c r="O108" s="379">
        <v>2006.0</v>
      </c>
      <c r="P108" s="377" t="s">
        <v>985</v>
      </c>
      <c r="Q108" s="377" t="s">
        <v>923</v>
      </c>
      <c r="R108" s="377" t="s">
        <v>920</v>
      </c>
      <c r="S108" s="377" t="s">
        <v>1310</v>
      </c>
      <c r="T108" s="376">
        <f t="shared" si="1"/>
        <v>1984</v>
      </c>
      <c r="U108" s="381">
        <f t="shared" si="2"/>
        <v>39</v>
      </c>
    </row>
    <row r="109" ht="14.25" hidden="1" customHeight="1">
      <c r="A109" s="1" t="s">
        <v>244</v>
      </c>
      <c r="B109" s="378">
        <v>39.0</v>
      </c>
      <c r="C109" s="377" t="s">
        <v>1311</v>
      </c>
      <c r="D109" s="380" t="s">
        <v>274</v>
      </c>
      <c r="E109" s="379">
        <v>1106430.0</v>
      </c>
      <c r="F109" s="377" t="s">
        <v>146</v>
      </c>
      <c r="G109" s="380" t="s">
        <v>41</v>
      </c>
      <c r="H109" s="377" t="s">
        <v>147</v>
      </c>
      <c r="I109" s="377" t="s">
        <v>147</v>
      </c>
      <c r="J109" s="377" t="s">
        <v>44</v>
      </c>
      <c r="K109" s="377" t="s">
        <v>1312</v>
      </c>
      <c r="L109" s="377" t="s">
        <v>989</v>
      </c>
      <c r="M109" s="376"/>
      <c r="N109" s="377" t="s">
        <v>989</v>
      </c>
      <c r="O109" s="379">
        <v>2006.0</v>
      </c>
      <c r="P109" s="377" t="s">
        <v>962</v>
      </c>
      <c r="Q109" s="377" t="s">
        <v>923</v>
      </c>
      <c r="R109" s="377" t="s">
        <v>920</v>
      </c>
      <c r="S109" s="377" t="s">
        <v>1313</v>
      </c>
      <c r="T109" s="376">
        <f t="shared" si="1"/>
        <v>1983</v>
      </c>
      <c r="U109" s="381">
        <f t="shared" si="2"/>
        <v>40</v>
      </c>
    </row>
    <row r="110" ht="14.25" hidden="1" customHeight="1">
      <c r="A110" s="1" t="s">
        <v>244</v>
      </c>
      <c r="B110" s="378">
        <v>40.0</v>
      </c>
      <c r="C110" s="377" t="s">
        <v>1314</v>
      </c>
      <c r="D110" s="380" t="s">
        <v>275</v>
      </c>
      <c r="E110" s="377" t="s">
        <v>1315</v>
      </c>
      <c r="F110" s="377" t="s">
        <v>146</v>
      </c>
      <c r="G110" s="380" t="s">
        <v>41</v>
      </c>
      <c r="H110" s="377" t="s">
        <v>147</v>
      </c>
      <c r="I110" s="377" t="s">
        <v>147</v>
      </c>
      <c r="J110" s="377" t="s">
        <v>44</v>
      </c>
      <c r="K110" s="377" t="s">
        <v>966</v>
      </c>
      <c r="L110" s="377" t="s">
        <v>935</v>
      </c>
      <c r="M110" s="376"/>
      <c r="N110" s="377" t="s">
        <v>935</v>
      </c>
      <c r="O110" s="379">
        <v>2014.0</v>
      </c>
      <c r="P110" s="377" t="s">
        <v>985</v>
      </c>
      <c r="Q110" s="377" t="s">
        <v>941</v>
      </c>
      <c r="R110" s="377" t="s">
        <v>920</v>
      </c>
      <c r="S110" s="377" t="s">
        <v>1316</v>
      </c>
      <c r="T110" s="376">
        <f t="shared" si="1"/>
        <v>1989</v>
      </c>
      <c r="U110" s="381">
        <f t="shared" si="2"/>
        <v>34</v>
      </c>
    </row>
    <row r="111" ht="14.25" hidden="1" customHeight="1">
      <c r="A111" s="1" t="s">
        <v>244</v>
      </c>
      <c r="B111" s="378">
        <v>41.0</v>
      </c>
      <c r="C111" s="379">
        <v>1101070.0</v>
      </c>
      <c r="D111" s="380" t="s">
        <v>276</v>
      </c>
      <c r="E111" s="377" t="s">
        <v>1317</v>
      </c>
      <c r="F111" s="377" t="s">
        <v>146</v>
      </c>
      <c r="G111" s="380" t="s">
        <v>41</v>
      </c>
      <c r="H111" s="377" t="s">
        <v>147</v>
      </c>
      <c r="I111" s="377" t="s">
        <v>147</v>
      </c>
      <c r="J111" s="377" t="s">
        <v>44</v>
      </c>
      <c r="K111" s="377" t="s">
        <v>1318</v>
      </c>
      <c r="L111" s="377" t="s">
        <v>935</v>
      </c>
      <c r="M111" s="376"/>
      <c r="N111" s="377" t="s">
        <v>935</v>
      </c>
      <c r="O111" s="379">
        <v>2014.0</v>
      </c>
      <c r="P111" s="377" t="s">
        <v>946</v>
      </c>
      <c r="Q111" s="377" t="s">
        <v>919</v>
      </c>
      <c r="R111" s="377" t="s">
        <v>920</v>
      </c>
      <c r="S111" s="377" t="s">
        <v>1319</v>
      </c>
      <c r="T111" s="376">
        <f t="shared" si="1"/>
        <v>1989</v>
      </c>
      <c r="U111" s="381">
        <f t="shared" si="2"/>
        <v>34</v>
      </c>
    </row>
    <row r="112" ht="14.25" hidden="1" customHeight="1">
      <c r="A112" s="1" t="s">
        <v>244</v>
      </c>
      <c r="B112" s="378">
        <v>42.0</v>
      </c>
      <c r="C112" s="379">
        <v>1101196.0</v>
      </c>
      <c r="D112" s="380" t="s">
        <v>277</v>
      </c>
      <c r="E112" s="377" t="s">
        <v>1320</v>
      </c>
      <c r="F112" s="377" t="s">
        <v>146</v>
      </c>
      <c r="G112" s="380" t="s">
        <v>41</v>
      </c>
      <c r="H112" s="377" t="s">
        <v>147</v>
      </c>
      <c r="I112" s="377" t="s">
        <v>147</v>
      </c>
      <c r="J112" s="377" t="s">
        <v>44</v>
      </c>
      <c r="K112" s="377" t="s">
        <v>934</v>
      </c>
      <c r="L112" s="377" t="s">
        <v>935</v>
      </c>
      <c r="M112" s="376"/>
      <c r="N112" s="377" t="s">
        <v>935</v>
      </c>
      <c r="O112" s="379">
        <v>2014.0</v>
      </c>
      <c r="P112" s="377" t="s">
        <v>1114</v>
      </c>
      <c r="Q112" s="377" t="s">
        <v>930</v>
      </c>
      <c r="R112" s="377" t="s">
        <v>920</v>
      </c>
      <c r="S112" s="377" t="s">
        <v>1321</v>
      </c>
      <c r="T112" s="376">
        <f t="shared" si="1"/>
        <v>1987</v>
      </c>
      <c r="U112" s="381">
        <f t="shared" si="2"/>
        <v>36</v>
      </c>
    </row>
    <row r="113" ht="14.25" hidden="1" customHeight="1">
      <c r="A113" s="1" t="s">
        <v>244</v>
      </c>
      <c r="B113" s="378">
        <v>43.0</v>
      </c>
      <c r="C113" s="377" t="s">
        <v>1322</v>
      </c>
      <c r="D113" s="380" t="s">
        <v>278</v>
      </c>
      <c r="E113" s="377" t="s">
        <v>1323</v>
      </c>
      <c r="F113" s="377" t="s">
        <v>279</v>
      </c>
      <c r="G113" s="380" t="s">
        <v>41</v>
      </c>
      <c r="H113" s="377" t="s">
        <v>151</v>
      </c>
      <c r="I113" s="377" t="s">
        <v>151</v>
      </c>
      <c r="J113" s="377" t="s">
        <v>44</v>
      </c>
      <c r="K113" s="377" t="s">
        <v>1324</v>
      </c>
      <c r="L113" s="377" t="s">
        <v>1187</v>
      </c>
      <c r="M113" s="376"/>
      <c r="N113" s="377" t="s">
        <v>1187</v>
      </c>
      <c r="O113" s="379">
        <v>2019.0</v>
      </c>
      <c r="P113" s="377" t="s">
        <v>985</v>
      </c>
      <c r="Q113" s="377" t="s">
        <v>930</v>
      </c>
      <c r="R113" s="377" t="s">
        <v>920</v>
      </c>
      <c r="S113" s="377" t="s">
        <v>1325</v>
      </c>
      <c r="T113" s="376">
        <f t="shared" si="1"/>
        <v>1992</v>
      </c>
      <c r="U113" s="381">
        <f t="shared" si="2"/>
        <v>31</v>
      </c>
    </row>
    <row r="114" ht="14.25" hidden="1" customHeight="1">
      <c r="A114" s="1" t="s">
        <v>244</v>
      </c>
      <c r="B114" s="378">
        <v>44.0</v>
      </c>
      <c r="C114" s="377" t="s">
        <v>1326</v>
      </c>
      <c r="D114" s="380" t="s">
        <v>280</v>
      </c>
      <c r="E114" s="377" t="s">
        <v>1327</v>
      </c>
      <c r="F114" s="377" t="s">
        <v>279</v>
      </c>
      <c r="G114" s="380" t="s">
        <v>41</v>
      </c>
      <c r="H114" s="377" t="s">
        <v>151</v>
      </c>
      <c r="I114" s="377" t="s">
        <v>151</v>
      </c>
      <c r="J114" s="377" t="s">
        <v>44</v>
      </c>
      <c r="K114" s="377" t="s">
        <v>966</v>
      </c>
      <c r="L114" s="377" t="s">
        <v>1007</v>
      </c>
      <c r="M114" s="376"/>
      <c r="N114" s="377" t="s">
        <v>1007</v>
      </c>
      <c r="O114" s="379">
        <v>2013.0</v>
      </c>
      <c r="P114" s="377" t="s">
        <v>946</v>
      </c>
      <c r="Q114" s="377" t="s">
        <v>941</v>
      </c>
      <c r="R114" s="377" t="s">
        <v>920</v>
      </c>
      <c r="S114" s="377" t="s">
        <v>1328</v>
      </c>
      <c r="T114" s="376">
        <f t="shared" si="1"/>
        <v>1986</v>
      </c>
      <c r="U114" s="381">
        <f t="shared" si="2"/>
        <v>37</v>
      </c>
    </row>
    <row r="115" ht="14.25" hidden="1" customHeight="1">
      <c r="A115" s="1" t="s">
        <v>244</v>
      </c>
      <c r="B115" s="378">
        <v>45.0</v>
      </c>
      <c r="C115" s="377" t="s">
        <v>1329</v>
      </c>
      <c r="D115" s="380" t="s">
        <v>281</v>
      </c>
      <c r="E115" s="377" t="s">
        <v>1330</v>
      </c>
      <c r="F115" s="377" t="s">
        <v>282</v>
      </c>
      <c r="G115" s="380" t="s">
        <v>41</v>
      </c>
      <c r="H115" s="377" t="s">
        <v>64</v>
      </c>
      <c r="I115" s="377" t="s">
        <v>65</v>
      </c>
      <c r="J115" s="377" t="s">
        <v>44</v>
      </c>
      <c r="K115" s="377" t="s">
        <v>966</v>
      </c>
      <c r="L115" s="377" t="s">
        <v>935</v>
      </c>
      <c r="M115" s="376"/>
      <c r="N115" s="377" t="s">
        <v>935</v>
      </c>
      <c r="O115" s="379">
        <v>2014.0</v>
      </c>
      <c r="P115" s="377" t="s">
        <v>985</v>
      </c>
      <c r="Q115" s="377" t="s">
        <v>941</v>
      </c>
      <c r="R115" s="377" t="s">
        <v>920</v>
      </c>
      <c r="S115" s="377" t="s">
        <v>1331</v>
      </c>
      <c r="T115" s="376">
        <f t="shared" si="1"/>
        <v>1984</v>
      </c>
      <c r="U115" s="381">
        <f t="shared" si="2"/>
        <v>39</v>
      </c>
    </row>
    <row r="116" ht="14.25" customHeight="1">
      <c r="A116" s="1" t="s">
        <v>244</v>
      </c>
      <c r="B116" s="378">
        <v>46.0</v>
      </c>
      <c r="C116" s="377" t="s">
        <v>1332</v>
      </c>
      <c r="D116" s="380" t="s">
        <v>283</v>
      </c>
      <c r="E116" s="379">
        <v>1106172.0</v>
      </c>
      <c r="F116" s="377" t="s">
        <v>62</v>
      </c>
      <c r="G116" s="380" t="s">
        <v>63</v>
      </c>
      <c r="H116" s="377" t="s">
        <v>64</v>
      </c>
      <c r="I116" s="377" t="s">
        <v>65</v>
      </c>
      <c r="J116" s="377" t="s">
        <v>44</v>
      </c>
      <c r="K116" s="377" t="s">
        <v>1333</v>
      </c>
      <c r="L116" s="377" t="s">
        <v>989</v>
      </c>
      <c r="M116" s="376"/>
      <c r="N116" s="377" t="s">
        <v>989</v>
      </c>
      <c r="O116" s="379">
        <v>2006.0</v>
      </c>
      <c r="P116" s="377" t="s">
        <v>985</v>
      </c>
      <c r="Q116" s="377" t="s">
        <v>923</v>
      </c>
      <c r="R116" s="377" t="s">
        <v>920</v>
      </c>
      <c r="S116" s="377" t="s">
        <v>1334</v>
      </c>
      <c r="T116" s="376">
        <f t="shared" si="1"/>
        <v>1985</v>
      </c>
      <c r="U116" s="381">
        <f t="shared" si="2"/>
        <v>38</v>
      </c>
    </row>
    <row r="117" ht="14.25" customHeight="1">
      <c r="A117" s="1" t="s">
        <v>244</v>
      </c>
      <c r="B117" s="378">
        <v>47.0</v>
      </c>
      <c r="C117" s="377" t="s">
        <v>1335</v>
      </c>
      <c r="D117" s="380" t="s">
        <v>303</v>
      </c>
      <c r="E117" s="377" t="s">
        <v>1336</v>
      </c>
      <c r="F117" s="377" t="s">
        <v>1337</v>
      </c>
      <c r="G117" s="380" t="s">
        <v>54</v>
      </c>
      <c r="H117" s="377" t="s">
        <v>64</v>
      </c>
      <c r="I117" s="377" t="s">
        <v>74</v>
      </c>
      <c r="J117" s="377" t="s">
        <v>44</v>
      </c>
      <c r="K117" s="377" t="s">
        <v>1060</v>
      </c>
      <c r="L117" s="377" t="s">
        <v>966</v>
      </c>
      <c r="M117" s="376"/>
      <c r="N117" s="377" t="s">
        <v>966</v>
      </c>
      <c r="O117" s="379">
        <v>2008.0</v>
      </c>
      <c r="P117" s="377" t="s">
        <v>946</v>
      </c>
      <c r="Q117" s="377" t="s">
        <v>941</v>
      </c>
      <c r="R117" s="377" t="s">
        <v>920</v>
      </c>
      <c r="S117" s="377" t="s">
        <v>1338</v>
      </c>
      <c r="T117" s="376">
        <f t="shared" si="1"/>
        <v>1984</v>
      </c>
      <c r="U117" s="381">
        <f t="shared" si="2"/>
        <v>39</v>
      </c>
    </row>
    <row r="118" ht="14.25" hidden="1" customHeight="1">
      <c r="A118" s="1" t="s">
        <v>244</v>
      </c>
      <c r="B118" s="378">
        <v>48.0</v>
      </c>
      <c r="C118" s="377" t="s">
        <v>1339</v>
      </c>
      <c r="D118" s="380" t="s">
        <v>287</v>
      </c>
      <c r="E118" s="379">
        <v>1106576.0</v>
      </c>
      <c r="F118" s="377" t="s">
        <v>288</v>
      </c>
      <c r="G118" s="380" t="s">
        <v>41</v>
      </c>
      <c r="H118" s="377" t="s">
        <v>64</v>
      </c>
      <c r="I118" s="377" t="s">
        <v>286</v>
      </c>
      <c r="J118" s="377" t="s">
        <v>44</v>
      </c>
      <c r="K118" s="377" t="s">
        <v>1340</v>
      </c>
      <c r="L118" s="377" t="s">
        <v>935</v>
      </c>
      <c r="M118" s="376"/>
      <c r="N118" s="377" t="s">
        <v>935</v>
      </c>
      <c r="O118" s="379">
        <v>2014.0</v>
      </c>
      <c r="P118" s="377" t="s">
        <v>946</v>
      </c>
      <c r="Q118" s="377" t="s">
        <v>941</v>
      </c>
      <c r="R118" s="377" t="s">
        <v>920</v>
      </c>
      <c r="S118" s="377" t="s">
        <v>1341</v>
      </c>
      <c r="T118" s="376">
        <f t="shared" si="1"/>
        <v>1981</v>
      </c>
      <c r="U118" s="381">
        <f t="shared" si="2"/>
        <v>42</v>
      </c>
    </row>
    <row r="119" ht="14.25" hidden="1" customHeight="1">
      <c r="A119" s="1" t="s">
        <v>244</v>
      </c>
      <c r="B119" s="378">
        <v>49.0</v>
      </c>
      <c r="C119" s="377" t="s">
        <v>1342</v>
      </c>
      <c r="D119" s="380" t="s">
        <v>290</v>
      </c>
      <c r="E119" s="377" t="s">
        <v>1343</v>
      </c>
      <c r="F119" s="377" t="s">
        <v>288</v>
      </c>
      <c r="G119" s="380" t="s">
        <v>41</v>
      </c>
      <c r="H119" s="377" t="s">
        <v>64</v>
      </c>
      <c r="I119" s="377" t="s">
        <v>286</v>
      </c>
      <c r="J119" s="377" t="s">
        <v>44</v>
      </c>
      <c r="K119" s="377" t="s">
        <v>1344</v>
      </c>
      <c r="L119" s="377" t="s">
        <v>1345</v>
      </c>
      <c r="M119" s="376"/>
      <c r="N119" s="377" t="s">
        <v>1345</v>
      </c>
      <c r="O119" s="379">
        <v>2015.0</v>
      </c>
      <c r="P119" s="377" t="s">
        <v>936</v>
      </c>
      <c r="Q119" s="377" t="s">
        <v>981</v>
      </c>
      <c r="R119" s="377" t="s">
        <v>920</v>
      </c>
      <c r="S119" s="377" t="s">
        <v>1346</v>
      </c>
      <c r="T119" s="376">
        <f t="shared" si="1"/>
        <v>1990</v>
      </c>
      <c r="U119" s="381">
        <f t="shared" si="2"/>
        <v>33</v>
      </c>
    </row>
    <row r="120" ht="14.25" hidden="1" customHeight="1">
      <c r="A120" s="1" t="s">
        <v>244</v>
      </c>
      <c r="B120" s="378">
        <v>50.0</v>
      </c>
      <c r="C120" s="377" t="s">
        <v>1347</v>
      </c>
      <c r="D120" s="380" t="s">
        <v>291</v>
      </c>
      <c r="E120" s="379">
        <v>1106566.0</v>
      </c>
      <c r="F120" s="377" t="s">
        <v>73</v>
      </c>
      <c r="G120" s="380" t="s">
        <v>41</v>
      </c>
      <c r="H120" s="377" t="s">
        <v>64</v>
      </c>
      <c r="I120" s="377" t="s">
        <v>65</v>
      </c>
      <c r="J120" s="377" t="s">
        <v>44</v>
      </c>
      <c r="K120" s="377" t="s">
        <v>1340</v>
      </c>
      <c r="L120" s="377" t="s">
        <v>935</v>
      </c>
      <c r="M120" s="376"/>
      <c r="N120" s="377" t="s">
        <v>935</v>
      </c>
      <c r="O120" s="379">
        <v>2014.0</v>
      </c>
      <c r="P120" s="377" t="s">
        <v>946</v>
      </c>
      <c r="Q120" s="377" t="s">
        <v>941</v>
      </c>
      <c r="R120" s="377" t="s">
        <v>920</v>
      </c>
      <c r="S120" s="377" t="s">
        <v>1348</v>
      </c>
      <c r="T120" s="376">
        <f t="shared" si="1"/>
        <v>1985</v>
      </c>
      <c r="U120" s="381">
        <f t="shared" si="2"/>
        <v>38</v>
      </c>
    </row>
    <row r="121" ht="14.25" hidden="1" customHeight="1">
      <c r="A121" s="1" t="s">
        <v>244</v>
      </c>
      <c r="B121" s="378">
        <v>51.0</v>
      </c>
      <c r="C121" s="377" t="s">
        <v>1349</v>
      </c>
      <c r="D121" s="380" t="s">
        <v>292</v>
      </c>
      <c r="E121" s="379">
        <v>1106106.0</v>
      </c>
      <c r="F121" s="377" t="s">
        <v>73</v>
      </c>
      <c r="G121" s="380" t="s">
        <v>41</v>
      </c>
      <c r="H121" s="377" t="s">
        <v>64</v>
      </c>
      <c r="I121" s="377" t="s">
        <v>65</v>
      </c>
      <c r="J121" s="377" t="s">
        <v>44</v>
      </c>
      <c r="K121" s="377" t="s">
        <v>1350</v>
      </c>
      <c r="L121" s="377" t="s">
        <v>989</v>
      </c>
      <c r="M121" s="376"/>
      <c r="N121" s="377" t="s">
        <v>989</v>
      </c>
      <c r="O121" s="379">
        <v>2006.0</v>
      </c>
      <c r="P121" s="377" t="s">
        <v>985</v>
      </c>
      <c r="Q121" s="377" t="s">
        <v>930</v>
      </c>
      <c r="R121" s="377" t="s">
        <v>920</v>
      </c>
      <c r="S121" s="377" t="s">
        <v>1351</v>
      </c>
      <c r="T121" s="376">
        <f t="shared" si="1"/>
        <v>1983</v>
      </c>
      <c r="U121" s="381">
        <f t="shared" si="2"/>
        <v>40</v>
      </c>
    </row>
    <row r="122" ht="14.25" hidden="1" customHeight="1">
      <c r="A122" s="1" t="s">
        <v>244</v>
      </c>
      <c r="B122" s="378">
        <v>52.0</v>
      </c>
      <c r="C122" s="379">
        <v>1001274.0</v>
      </c>
      <c r="D122" s="380" t="s">
        <v>1352</v>
      </c>
      <c r="E122" s="377" t="s">
        <v>1353</v>
      </c>
      <c r="F122" s="377" t="s">
        <v>408</v>
      </c>
      <c r="G122" s="380" t="s">
        <v>41</v>
      </c>
      <c r="H122" s="377" t="s">
        <v>64</v>
      </c>
      <c r="I122" s="377" t="s">
        <v>74</v>
      </c>
      <c r="J122" s="377" t="s">
        <v>44</v>
      </c>
      <c r="K122" s="377" t="s">
        <v>1354</v>
      </c>
      <c r="L122" s="377" t="s">
        <v>994</v>
      </c>
      <c r="M122" s="376"/>
      <c r="N122" s="377" t="s">
        <v>994</v>
      </c>
      <c r="O122" s="379">
        <v>2015.0</v>
      </c>
      <c r="P122" s="377" t="s">
        <v>946</v>
      </c>
      <c r="Q122" s="377" t="s">
        <v>981</v>
      </c>
      <c r="R122" s="377" t="s">
        <v>920</v>
      </c>
      <c r="S122" s="377" t="s">
        <v>1355</v>
      </c>
      <c r="T122" s="376">
        <f t="shared" si="1"/>
        <v>1990</v>
      </c>
      <c r="U122" s="381">
        <f t="shared" si="2"/>
        <v>33</v>
      </c>
    </row>
    <row r="123" ht="14.25" hidden="1" customHeight="1">
      <c r="A123" s="1" t="s">
        <v>244</v>
      </c>
      <c r="B123" s="378">
        <v>53.0</v>
      </c>
      <c r="C123" s="377" t="s">
        <v>1356</v>
      </c>
      <c r="D123" s="380" t="s">
        <v>293</v>
      </c>
      <c r="E123" s="377" t="s">
        <v>1357</v>
      </c>
      <c r="F123" s="377" t="s">
        <v>294</v>
      </c>
      <c r="G123" s="380" t="s">
        <v>41</v>
      </c>
      <c r="H123" s="377" t="s">
        <v>64</v>
      </c>
      <c r="I123" s="377" t="s">
        <v>65</v>
      </c>
      <c r="J123" s="377" t="s">
        <v>44</v>
      </c>
      <c r="K123" s="377" t="s">
        <v>1358</v>
      </c>
      <c r="L123" s="377" t="s">
        <v>1345</v>
      </c>
      <c r="M123" s="376"/>
      <c r="N123" s="377" t="s">
        <v>1345</v>
      </c>
      <c r="O123" s="379">
        <v>2015.0</v>
      </c>
      <c r="P123" s="377" t="s">
        <v>936</v>
      </c>
      <c r="Q123" s="377" t="s">
        <v>941</v>
      </c>
      <c r="R123" s="377" t="s">
        <v>920</v>
      </c>
      <c r="S123" s="377" t="s">
        <v>1359</v>
      </c>
      <c r="T123" s="376">
        <f t="shared" si="1"/>
        <v>1988</v>
      </c>
      <c r="U123" s="381">
        <f t="shared" si="2"/>
        <v>35</v>
      </c>
    </row>
    <row r="124" ht="14.25" hidden="1" customHeight="1">
      <c r="A124" s="1" t="s">
        <v>244</v>
      </c>
      <c r="B124" s="378">
        <v>54.0</v>
      </c>
      <c r="C124" s="377" t="s">
        <v>1360</v>
      </c>
      <c r="D124" s="380" t="s">
        <v>295</v>
      </c>
      <c r="E124" s="377" t="s">
        <v>1361</v>
      </c>
      <c r="F124" s="377" t="s">
        <v>294</v>
      </c>
      <c r="G124" s="380" t="s">
        <v>41</v>
      </c>
      <c r="H124" s="377" t="s">
        <v>64</v>
      </c>
      <c r="I124" s="377" t="s">
        <v>65</v>
      </c>
      <c r="J124" s="377" t="s">
        <v>44</v>
      </c>
      <c r="K124" s="377" t="s">
        <v>1362</v>
      </c>
      <c r="L124" s="377" t="s">
        <v>1363</v>
      </c>
      <c r="M124" s="376"/>
      <c r="N124" s="377" t="s">
        <v>1363</v>
      </c>
      <c r="O124" s="379">
        <v>2014.0</v>
      </c>
      <c r="P124" s="377" t="s">
        <v>1044</v>
      </c>
      <c r="Q124" s="377" t="s">
        <v>941</v>
      </c>
      <c r="R124" s="377" t="s">
        <v>920</v>
      </c>
      <c r="S124" s="377" t="s">
        <v>1364</v>
      </c>
      <c r="T124" s="376">
        <f t="shared" si="1"/>
        <v>1989</v>
      </c>
      <c r="U124" s="381">
        <f t="shared" si="2"/>
        <v>34</v>
      </c>
    </row>
    <row r="125" ht="14.25" hidden="1" customHeight="1">
      <c r="A125" s="1" t="s">
        <v>244</v>
      </c>
      <c r="B125" s="378">
        <v>55.0</v>
      </c>
      <c r="C125" s="379">
        <v>1000983.0</v>
      </c>
      <c r="D125" s="380" t="s">
        <v>296</v>
      </c>
      <c r="E125" s="377" t="s">
        <v>1365</v>
      </c>
      <c r="F125" s="377" t="s">
        <v>297</v>
      </c>
      <c r="G125" s="380" t="s">
        <v>41</v>
      </c>
      <c r="H125" s="377" t="s">
        <v>64</v>
      </c>
      <c r="I125" s="377" t="s">
        <v>65</v>
      </c>
      <c r="J125" s="377" t="s">
        <v>44</v>
      </c>
      <c r="K125" s="377" t="s">
        <v>1366</v>
      </c>
      <c r="L125" s="377" t="s">
        <v>1345</v>
      </c>
      <c r="M125" s="376"/>
      <c r="N125" s="377" t="s">
        <v>1345</v>
      </c>
      <c r="O125" s="379">
        <v>2015.0</v>
      </c>
      <c r="P125" s="377" t="s">
        <v>946</v>
      </c>
      <c r="Q125" s="377" t="s">
        <v>923</v>
      </c>
      <c r="R125" s="377" t="s">
        <v>920</v>
      </c>
      <c r="S125" s="377" t="s">
        <v>1367</v>
      </c>
      <c r="T125" s="376">
        <f t="shared" si="1"/>
        <v>1991</v>
      </c>
      <c r="U125" s="381">
        <f t="shared" si="2"/>
        <v>32</v>
      </c>
    </row>
    <row r="126" ht="14.25" hidden="1" customHeight="1">
      <c r="A126" s="1" t="s">
        <v>244</v>
      </c>
      <c r="B126" s="378">
        <v>56.0</v>
      </c>
      <c r="C126" s="377" t="s">
        <v>1368</v>
      </c>
      <c r="D126" s="380" t="s">
        <v>298</v>
      </c>
      <c r="E126" s="379">
        <v>1106112.0</v>
      </c>
      <c r="F126" s="377" t="s">
        <v>297</v>
      </c>
      <c r="G126" s="380" t="s">
        <v>41</v>
      </c>
      <c r="H126" s="377" t="s">
        <v>64</v>
      </c>
      <c r="I126" s="377" t="s">
        <v>65</v>
      </c>
      <c r="J126" s="377" t="s">
        <v>44</v>
      </c>
      <c r="K126" s="377" t="s">
        <v>1369</v>
      </c>
      <c r="L126" s="377" t="s">
        <v>989</v>
      </c>
      <c r="M126" s="376"/>
      <c r="N126" s="377" t="s">
        <v>989</v>
      </c>
      <c r="O126" s="379">
        <v>2006.0</v>
      </c>
      <c r="P126" s="377" t="s">
        <v>918</v>
      </c>
      <c r="Q126" s="377" t="s">
        <v>923</v>
      </c>
      <c r="R126" s="377" t="s">
        <v>920</v>
      </c>
      <c r="S126" s="377" t="s">
        <v>1370</v>
      </c>
      <c r="T126" s="376">
        <f t="shared" si="1"/>
        <v>1982</v>
      </c>
      <c r="U126" s="381">
        <f t="shared" si="2"/>
        <v>41</v>
      </c>
    </row>
    <row r="127" ht="14.25" hidden="1" customHeight="1">
      <c r="A127" s="1" t="s">
        <v>244</v>
      </c>
      <c r="B127" s="378">
        <v>57.0</v>
      </c>
      <c r="C127" s="377" t="s">
        <v>1371</v>
      </c>
      <c r="D127" s="380" t="s">
        <v>299</v>
      </c>
      <c r="E127" s="379">
        <v>1107014.0</v>
      </c>
      <c r="F127" s="377" t="s">
        <v>297</v>
      </c>
      <c r="G127" s="380" t="s">
        <v>41</v>
      </c>
      <c r="H127" s="377" t="s">
        <v>64</v>
      </c>
      <c r="I127" s="377" t="s">
        <v>65</v>
      </c>
      <c r="J127" s="377" t="s">
        <v>44</v>
      </c>
      <c r="K127" s="377" t="s">
        <v>1372</v>
      </c>
      <c r="L127" s="377" t="s">
        <v>1036</v>
      </c>
      <c r="M127" s="376"/>
      <c r="N127" s="377" t="s">
        <v>1036</v>
      </c>
      <c r="O127" s="379">
        <v>2010.0</v>
      </c>
      <c r="P127" s="377" t="s">
        <v>946</v>
      </c>
      <c r="Q127" s="377" t="s">
        <v>923</v>
      </c>
      <c r="R127" s="377" t="s">
        <v>920</v>
      </c>
      <c r="S127" s="377" t="s">
        <v>1373</v>
      </c>
      <c r="T127" s="376">
        <f t="shared" si="1"/>
        <v>1989</v>
      </c>
      <c r="U127" s="381">
        <f t="shared" si="2"/>
        <v>34</v>
      </c>
    </row>
    <row r="128" ht="14.25" hidden="1" customHeight="1">
      <c r="A128" s="1" t="s">
        <v>244</v>
      </c>
      <c r="B128" s="378">
        <v>58.0</v>
      </c>
      <c r="C128" s="379">
        <v>1000999.0</v>
      </c>
      <c r="D128" s="380" t="s">
        <v>284</v>
      </c>
      <c r="E128" s="377" t="s">
        <v>1374</v>
      </c>
      <c r="F128" s="377" t="s">
        <v>297</v>
      </c>
      <c r="G128" s="380" t="s">
        <v>41</v>
      </c>
      <c r="H128" s="377" t="s">
        <v>64</v>
      </c>
      <c r="I128" s="377" t="s">
        <v>65</v>
      </c>
      <c r="J128" s="377" t="s">
        <v>44</v>
      </c>
      <c r="K128" s="377" t="s">
        <v>1375</v>
      </c>
      <c r="L128" s="377" t="s">
        <v>1007</v>
      </c>
      <c r="M128" s="376"/>
      <c r="N128" s="377" t="s">
        <v>1007</v>
      </c>
      <c r="O128" s="379">
        <v>2013.0</v>
      </c>
      <c r="P128" s="377" t="s">
        <v>946</v>
      </c>
      <c r="Q128" s="377" t="s">
        <v>923</v>
      </c>
      <c r="R128" s="377" t="s">
        <v>920</v>
      </c>
      <c r="S128" s="377" t="s">
        <v>1376</v>
      </c>
      <c r="T128" s="376">
        <f t="shared" si="1"/>
        <v>1991</v>
      </c>
      <c r="U128" s="381">
        <f t="shared" si="2"/>
        <v>32</v>
      </c>
    </row>
    <row r="129" ht="14.25" customHeight="1">
      <c r="A129" s="1" t="s">
        <v>244</v>
      </c>
      <c r="B129" s="378">
        <v>59.0</v>
      </c>
      <c r="C129" s="377" t="s">
        <v>1377</v>
      </c>
      <c r="D129" s="380" t="s">
        <v>301</v>
      </c>
      <c r="E129" s="379">
        <v>1106144.0</v>
      </c>
      <c r="F129" s="377" t="s">
        <v>302</v>
      </c>
      <c r="G129" s="380" t="s">
        <v>54</v>
      </c>
      <c r="H129" s="377" t="s">
        <v>64</v>
      </c>
      <c r="I129" s="377" t="s">
        <v>74</v>
      </c>
      <c r="J129" s="377" t="s">
        <v>44</v>
      </c>
      <c r="K129" s="377" t="s">
        <v>1378</v>
      </c>
      <c r="L129" s="377" t="s">
        <v>1060</v>
      </c>
      <c r="M129" s="376"/>
      <c r="N129" s="377" t="s">
        <v>1060</v>
      </c>
      <c r="O129" s="379">
        <v>2005.0</v>
      </c>
      <c r="P129" s="377" t="s">
        <v>918</v>
      </c>
      <c r="Q129" s="377" t="s">
        <v>952</v>
      </c>
      <c r="R129" s="377" t="s">
        <v>920</v>
      </c>
      <c r="S129" s="377" t="s">
        <v>1379</v>
      </c>
      <c r="T129" s="376">
        <f t="shared" si="1"/>
        <v>1983</v>
      </c>
      <c r="U129" s="381">
        <f t="shared" si="2"/>
        <v>40</v>
      </c>
    </row>
    <row r="130" ht="14.25" hidden="1" customHeight="1">
      <c r="A130" s="1" t="s">
        <v>244</v>
      </c>
      <c r="B130" s="378">
        <v>60.0</v>
      </c>
      <c r="C130" s="377" t="s">
        <v>1380</v>
      </c>
      <c r="D130" s="380" t="s">
        <v>305</v>
      </c>
      <c r="E130" s="377" t="s">
        <v>1381</v>
      </c>
      <c r="F130" s="377" t="s">
        <v>83</v>
      </c>
      <c r="G130" s="380" t="s">
        <v>41</v>
      </c>
      <c r="H130" s="377" t="s">
        <v>85</v>
      </c>
      <c r="I130" s="377" t="s">
        <v>83</v>
      </c>
      <c r="J130" s="377" t="s">
        <v>44</v>
      </c>
      <c r="K130" s="377" t="s">
        <v>1382</v>
      </c>
      <c r="L130" s="377" t="s">
        <v>1187</v>
      </c>
      <c r="M130" s="376"/>
      <c r="N130" s="377" t="s">
        <v>1187</v>
      </c>
      <c r="O130" s="379">
        <v>2019.0</v>
      </c>
      <c r="P130" s="377" t="s">
        <v>1044</v>
      </c>
      <c r="Q130" s="377" t="s">
        <v>941</v>
      </c>
      <c r="R130" s="377" t="s">
        <v>920</v>
      </c>
      <c r="S130" s="377" t="s">
        <v>1383</v>
      </c>
      <c r="T130" s="376">
        <f t="shared" si="1"/>
        <v>1987</v>
      </c>
      <c r="U130" s="381">
        <f t="shared" si="2"/>
        <v>36</v>
      </c>
    </row>
    <row r="131" ht="14.25" hidden="1" customHeight="1">
      <c r="A131" s="1" t="s">
        <v>244</v>
      </c>
      <c r="B131" s="378">
        <v>61.0</v>
      </c>
      <c r="C131" s="377" t="s">
        <v>1384</v>
      </c>
      <c r="D131" s="380" t="s">
        <v>306</v>
      </c>
      <c r="E131" s="377" t="s">
        <v>1385</v>
      </c>
      <c r="F131" s="377" t="s">
        <v>83</v>
      </c>
      <c r="G131" s="380" t="s">
        <v>41</v>
      </c>
      <c r="H131" s="377" t="s">
        <v>85</v>
      </c>
      <c r="I131" s="377" t="s">
        <v>83</v>
      </c>
      <c r="J131" s="377" t="s">
        <v>44</v>
      </c>
      <c r="K131" s="377" t="s">
        <v>1386</v>
      </c>
      <c r="L131" s="377" t="s">
        <v>1187</v>
      </c>
      <c r="M131" s="376"/>
      <c r="N131" s="377" t="s">
        <v>1187</v>
      </c>
      <c r="O131" s="379">
        <v>2019.0</v>
      </c>
      <c r="P131" s="377" t="s">
        <v>985</v>
      </c>
      <c r="Q131" s="377" t="s">
        <v>941</v>
      </c>
      <c r="R131" s="377" t="s">
        <v>920</v>
      </c>
      <c r="S131" s="377" t="s">
        <v>1387</v>
      </c>
      <c r="T131" s="376">
        <f t="shared" si="1"/>
        <v>1990</v>
      </c>
      <c r="U131" s="381">
        <f t="shared" si="2"/>
        <v>33</v>
      </c>
    </row>
    <row r="132" ht="14.25" hidden="1" customHeight="1">
      <c r="A132" s="1" t="s">
        <v>244</v>
      </c>
      <c r="B132" s="378">
        <v>62.0</v>
      </c>
      <c r="C132" s="377" t="s">
        <v>1388</v>
      </c>
      <c r="D132" s="380" t="s">
        <v>307</v>
      </c>
      <c r="E132" s="379">
        <v>1106564.0</v>
      </c>
      <c r="F132" s="377" t="s">
        <v>83</v>
      </c>
      <c r="G132" s="380" t="s">
        <v>41</v>
      </c>
      <c r="H132" s="377" t="s">
        <v>85</v>
      </c>
      <c r="I132" s="377" t="s">
        <v>83</v>
      </c>
      <c r="J132" s="377" t="s">
        <v>44</v>
      </c>
      <c r="K132" s="377" t="s">
        <v>1340</v>
      </c>
      <c r="L132" s="377" t="s">
        <v>967</v>
      </c>
      <c r="M132" s="376"/>
      <c r="N132" s="377" t="s">
        <v>967</v>
      </c>
      <c r="O132" s="379">
        <v>2011.0</v>
      </c>
      <c r="P132" s="377" t="s">
        <v>946</v>
      </c>
      <c r="Q132" s="377" t="s">
        <v>941</v>
      </c>
      <c r="R132" s="377" t="s">
        <v>920</v>
      </c>
      <c r="S132" s="377" t="s">
        <v>1294</v>
      </c>
      <c r="T132" s="376">
        <f t="shared" si="1"/>
        <v>1984</v>
      </c>
      <c r="U132" s="381">
        <f t="shared" si="2"/>
        <v>39</v>
      </c>
    </row>
    <row r="133" ht="14.25" hidden="1" customHeight="1">
      <c r="A133" s="1" t="s">
        <v>244</v>
      </c>
      <c r="B133" s="378">
        <v>63.0</v>
      </c>
      <c r="C133" s="377" t="s">
        <v>1389</v>
      </c>
      <c r="D133" s="380" t="s">
        <v>308</v>
      </c>
      <c r="E133" s="377" t="s">
        <v>1390</v>
      </c>
      <c r="F133" s="377" t="s">
        <v>83</v>
      </c>
      <c r="G133" s="380" t="s">
        <v>41</v>
      </c>
      <c r="H133" s="377" t="s">
        <v>85</v>
      </c>
      <c r="I133" s="377" t="s">
        <v>83</v>
      </c>
      <c r="J133" s="377" t="s">
        <v>44</v>
      </c>
      <c r="K133" s="377" t="s">
        <v>1391</v>
      </c>
      <c r="L133" s="377" t="s">
        <v>1187</v>
      </c>
      <c r="M133" s="376"/>
      <c r="N133" s="377" t="s">
        <v>1187</v>
      </c>
      <c r="O133" s="379">
        <v>2019.0</v>
      </c>
      <c r="P133" s="377" t="s">
        <v>918</v>
      </c>
      <c r="Q133" s="377" t="s">
        <v>941</v>
      </c>
      <c r="R133" s="377" t="s">
        <v>920</v>
      </c>
      <c r="S133" s="377" t="s">
        <v>1392</v>
      </c>
      <c r="T133" s="376">
        <f t="shared" si="1"/>
        <v>1987</v>
      </c>
      <c r="U133" s="381">
        <f t="shared" si="2"/>
        <v>36</v>
      </c>
    </row>
    <row r="134" ht="14.25" hidden="1" customHeight="1">
      <c r="A134" s="1" t="s">
        <v>244</v>
      </c>
      <c r="B134" s="378">
        <v>64.0</v>
      </c>
      <c r="C134" s="377" t="s">
        <v>1393</v>
      </c>
      <c r="D134" s="380" t="s">
        <v>309</v>
      </c>
      <c r="E134" s="377" t="s">
        <v>1394</v>
      </c>
      <c r="F134" s="377" t="s">
        <v>83</v>
      </c>
      <c r="G134" s="380" t="s">
        <v>41</v>
      </c>
      <c r="H134" s="377" t="s">
        <v>85</v>
      </c>
      <c r="I134" s="377" t="s">
        <v>83</v>
      </c>
      <c r="J134" s="377" t="s">
        <v>44</v>
      </c>
      <c r="K134" s="377" t="s">
        <v>1395</v>
      </c>
      <c r="L134" s="377" t="s">
        <v>1345</v>
      </c>
      <c r="M134" s="376"/>
      <c r="N134" s="377" t="s">
        <v>1345</v>
      </c>
      <c r="O134" s="379">
        <v>2015.0</v>
      </c>
      <c r="P134" s="377" t="s">
        <v>1114</v>
      </c>
      <c r="Q134" s="377" t="s">
        <v>941</v>
      </c>
      <c r="R134" s="377" t="s">
        <v>920</v>
      </c>
      <c r="S134" s="377" t="s">
        <v>1396</v>
      </c>
      <c r="T134" s="376">
        <f t="shared" si="1"/>
        <v>1988</v>
      </c>
      <c r="U134" s="381">
        <f t="shared" si="2"/>
        <v>35</v>
      </c>
    </row>
    <row r="135" ht="14.25" hidden="1" customHeight="1">
      <c r="A135" s="1" t="s">
        <v>244</v>
      </c>
      <c r="B135" s="378">
        <v>65.0</v>
      </c>
      <c r="C135" s="377" t="s">
        <v>1397</v>
      </c>
      <c r="D135" s="380" t="s">
        <v>310</v>
      </c>
      <c r="E135" s="377" t="s">
        <v>1398</v>
      </c>
      <c r="F135" s="377" t="s">
        <v>83</v>
      </c>
      <c r="G135" s="380" t="s">
        <v>41</v>
      </c>
      <c r="H135" s="377" t="s">
        <v>85</v>
      </c>
      <c r="I135" s="377" t="s">
        <v>83</v>
      </c>
      <c r="J135" s="377" t="s">
        <v>44</v>
      </c>
      <c r="K135" s="377" t="s">
        <v>966</v>
      </c>
      <c r="L135" s="377" t="s">
        <v>1345</v>
      </c>
      <c r="M135" s="376"/>
      <c r="N135" s="377" t="s">
        <v>1345</v>
      </c>
      <c r="O135" s="379">
        <v>2015.0</v>
      </c>
      <c r="P135" s="377" t="s">
        <v>936</v>
      </c>
      <c r="Q135" s="377" t="s">
        <v>981</v>
      </c>
      <c r="R135" s="377" t="s">
        <v>920</v>
      </c>
      <c r="S135" s="377" t="s">
        <v>1399</v>
      </c>
      <c r="T135" s="376">
        <f t="shared" si="1"/>
        <v>1986</v>
      </c>
      <c r="U135" s="381">
        <f t="shared" si="2"/>
        <v>37</v>
      </c>
    </row>
    <row r="136" ht="14.25" hidden="1" customHeight="1">
      <c r="A136" s="1" t="s">
        <v>244</v>
      </c>
      <c r="B136" s="378">
        <v>66.0</v>
      </c>
      <c r="C136" s="377" t="s">
        <v>1400</v>
      </c>
      <c r="D136" s="380" t="s">
        <v>311</v>
      </c>
      <c r="E136" s="377" t="s">
        <v>1401</v>
      </c>
      <c r="F136" s="377" t="s">
        <v>83</v>
      </c>
      <c r="G136" s="380" t="s">
        <v>41</v>
      </c>
      <c r="H136" s="377" t="s">
        <v>85</v>
      </c>
      <c r="I136" s="377" t="s">
        <v>83</v>
      </c>
      <c r="J136" s="377" t="s">
        <v>44</v>
      </c>
      <c r="K136" s="377" t="s">
        <v>1402</v>
      </c>
      <c r="L136" s="377" t="s">
        <v>1040</v>
      </c>
      <c r="M136" s="376"/>
      <c r="N136" s="377" t="s">
        <v>1040</v>
      </c>
      <c r="O136" s="379">
        <v>2018.0</v>
      </c>
      <c r="P136" s="377" t="s">
        <v>946</v>
      </c>
      <c r="Q136" s="377" t="s">
        <v>941</v>
      </c>
      <c r="R136" s="377" t="s">
        <v>920</v>
      </c>
      <c r="S136" s="377" t="s">
        <v>1403</v>
      </c>
      <c r="T136" s="376">
        <f t="shared" si="1"/>
        <v>1983</v>
      </c>
      <c r="U136" s="381">
        <f t="shared" si="2"/>
        <v>40</v>
      </c>
    </row>
    <row r="137" ht="14.25" hidden="1" customHeight="1">
      <c r="A137" s="1" t="s">
        <v>244</v>
      </c>
      <c r="B137" s="378">
        <v>67.0</v>
      </c>
      <c r="C137" s="377" t="s">
        <v>1404</v>
      </c>
      <c r="D137" s="380" t="s">
        <v>312</v>
      </c>
      <c r="E137" s="377" t="s">
        <v>1405</v>
      </c>
      <c r="F137" s="377" t="s">
        <v>83</v>
      </c>
      <c r="G137" s="380" t="s">
        <v>41</v>
      </c>
      <c r="H137" s="377" t="s">
        <v>85</v>
      </c>
      <c r="I137" s="377" t="s">
        <v>83</v>
      </c>
      <c r="J137" s="377" t="s">
        <v>44</v>
      </c>
      <c r="K137" s="377" t="s">
        <v>966</v>
      </c>
      <c r="L137" s="377" t="s">
        <v>1345</v>
      </c>
      <c r="M137" s="376"/>
      <c r="N137" s="377" t="s">
        <v>1345</v>
      </c>
      <c r="O137" s="379">
        <v>2015.0</v>
      </c>
      <c r="P137" s="377" t="s">
        <v>985</v>
      </c>
      <c r="Q137" s="377" t="s">
        <v>941</v>
      </c>
      <c r="R137" s="377" t="s">
        <v>920</v>
      </c>
      <c r="S137" s="377" t="s">
        <v>1406</v>
      </c>
      <c r="T137" s="376">
        <f t="shared" si="1"/>
        <v>1989</v>
      </c>
      <c r="U137" s="381">
        <f t="shared" si="2"/>
        <v>34</v>
      </c>
    </row>
    <row r="138" ht="14.25" hidden="1" customHeight="1">
      <c r="A138" s="1" t="s">
        <v>244</v>
      </c>
      <c r="B138" s="378">
        <v>68.0</v>
      </c>
      <c r="C138" s="377" t="s">
        <v>1407</v>
      </c>
      <c r="D138" s="380" t="s">
        <v>313</v>
      </c>
      <c r="E138" s="377" t="s">
        <v>1408</v>
      </c>
      <c r="F138" s="377" t="s">
        <v>83</v>
      </c>
      <c r="G138" s="380" t="s">
        <v>41</v>
      </c>
      <c r="H138" s="377" t="s">
        <v>85</v>
      </c>
      <c r="I138" s="377" t="s">
        <v>83</v>
      </c>
      <c r="J138" s="377" t="s">
        <v>44</v>
      </c>
      <c r="K138" s="377" t="s">
        <v>1409</v>
      </c>
      <c r="L138" s="377" t="s">
        <v>1187</v>
      </c>
      <c r="M138" s="376"/>
      <c r="N138" s="377" t="s">
        <v>1187</v>
      </c>
      <c r="O138" s="379">
        <v>2019.0</v>
      </c>
      <c r="P138" s="377" t="s">
        <v>918</v>
      </c>
      <c r="Q138" s="377" t="s">
        <v>941</v>
      </c>
      <c r="R138" s="377" t="s">
        <v>920</v>
      </c>
      <c r="S138" s="377" t="s">
        <v>1410</v>
      </c>
      <c r="T138" s="376">
        <f t="shared" si="1"/>
        <v>1983</v>
      </c>
      <c r="U138" s="381">
        <f t="shared" si="2"/>
        <v>40</v>
      </c>
    </row>
    <row r="139" ht="14.25" hidden="1" customHeight="1">
      <c r="A139" s="1" t="s">
        <v>244</v>
      </c>
      <c r="B139" s="378">
        <v>69.0</v>
      </c>
      <c r="C139" s="377" t="s">
        <v>1411</v>
      </c>
      <c r="D139" s="380" t="s">
        <v>225</v>
      </c>
      <c r="E139" s="377" t="s">
        <v>1412</v>
      </c>
      <c r="F139" s="377" t="s">
        <v>83</v>
      </c>
      <c r="G139" s="380" t="s">
        <v>41</v>
      </c>
      <c r="H139" s="377" t="s">
        <v>85</v>
      </c>
      <c r="I139" s="377" t="s">
        <v>83</v>
      </c>
      <c r="J139" s="377" t="s">
        <v>44</v>
      </c>
      <c r="K139" s="377" t="s">
        <v>1413</v>
      </c>
      <c r="L139" s="377" t="s">
        <v>1363</v>
      </c>
      <c r="M139" s="376"/>
      <c r="N139" s="377" t="s">
        <v>1363</v>
      </c>
      <c r="O139" s="379">
        <v>2014.0</v>
      </c>
      <c r="P139" s="377" t="s">
        <v>1044</v>
      </c>
      <c r="Q139" s="377" t="s">
        <v>941</v>
      </c>
      <c r="R139" s="377" t="s">
        <v>920</v>
      </c>
      <c r="S139" s="377" t="s">
        <v>1414</v>
      </c>
      <c r="T139" s="376">
        <f t="shared" si="1"/>
        <v>1985</v>
      </c>
      <c r="U139" s="381">
        <f t="shared" si="2"/>
        <v>38</v>
      </c>
    </row>
    <row r="140" ht="14.25" hidden="1" customHeight="1">
      <c r="A140" s="1" t="s">
        <v>244</v>
      </c>
      <c r="B140" s="378">
        <v>70.0</v>
      </c>
      <c r="C140" s="377" t="s">
        <v>1415</v>
      </c>
      <c r="D140" s="380" t="s">
        <v>315</v>
      </c>
      <c r="E140" s="377" t="s">
        <v>1416</v>
      </c>
      <c r="F140" s="377" t="s">
        <v>83</v>
      </c>
      <c r="G140" s="380" t="s">
        <v>41</v>
      </c>
      <c r="H140" s="377" t="s">
        <v>85</v>
      </c>
      <c r="I140" s="377" t="s">
        <v>83</v>
      </c>
      <c r="J140" s="377" t="s">
        <v>44</v>
      </c>
      <c r="K140" s="377" t="s">
        <v>1417</v>
      </c>
      <c r="L140" s="377" t="s">
        <v>1187</v>
      </c>
      <c r="M140" s="376"/>
      <c r="N140" s="377" t="s">
        <v>1187</v>
      </c>
      <c r="O140" s="379">
        <v>2019.0</v>
      </c>
      <c r="P140" s="377" t="s">
        <v>1044</v>
      </c>
      <c r="Q140" s="377" t="s">
        <v>941</v>
      </c>
      <c r="R140" s="377" t="s">
        <v>920</v>
      </c>
      <c r="S140" s="377" t="s">
        <v>1418</v>
      </c>
      <c r="T140" s="376">
        <f t="shared" si="1"/>
        <v>1994</v>
      </c>
      <c r="U140" s="381">
        <f t="shared" si="2"/>
        <v>29</v>
      </c>
    </row>
    <row r="141" ht="14.25" hidden="1" customHeight="1">
      <c r="A141" s="1" t="s">
        <v>244</v>
      </c>
      <c r="B141" s="378">
        <v>71.0</v>
      </c>
      <c r="C141" s="377" t="s">
        <v>1419</v>
      </c>
      <c r="D141" s="380" t="s">
        <v>317</v>
      </c>
      <c r="E141" s="377" t="s">
        <v>1420</v>
      </c>
      <c r="F141" s="377" t="s">
        <v>83</v>
      </c>
      <c r="G141" s="380" t="s">
        <v>41</v>
      </c>
      <c r="H141" s="377" t="s">
        <v>85</v>
      </c>
      <c r="I141" s="377" t="s">
        <v>83</v>
      </c>
      <c r="J141" s="377" t="s">
        <v>44</v>
      </c>
      <c r="K141" s="377" t="s">
        <v>1421</v>
      </c>
      <c r="L141" s="377" t="s">
        <v>1187</v>
      </c>
      <c r="M141" s="376"/>
      <c r="N141" s="377" t="s">
        <v>1187</v>
      </c>
      <c r="O141" s="379">
        <v>2019.0</v>
      </c>
      <c r="P141" s="377" t="s">
        <v>918</v>
      </c>
      <c r="Q141" s="377" t="s">
        <v>941</v>
      </c>
      <c r="R141" s="377" t="s">
        <v>920</v>
      </c>
      <c r="S141" s="377" t="s">
        <v>1422</v>
      </c>
      <c r="T141" s="376">
        <f t="shared" si="1"/>
        <v>1996</v>
      </c>
      <c r="U141" s="381">
        <f t="shared" si="2"/>
        <v>27</v>
      </c>
    </row>
    <row r="142" ht="14.25" hidden="1" customHeight="1">
      <c r="A142" s="1" t="s">
        <v>244</v>
      </c>
      <c r="B142" s="378">
        <v>72.0</v>
      </c>
      <c r="C142" s="377" t="s">
        <v>1423</v>
      </c>
      <c r="D142" s="380" t="s">
        <v>318</v>
      </c>
      <c r="E142" s="377" t="s">
        <v>1424</v>
      </c>
      <c r="F142" s="377" t="s">
        <v>83</v>
      </c>
      <c r="G142" s="380" t="s">
        <v>41</v>
      </c>
      <c r="H142" s="377" t="s">
        <v>85</v>
      </c>
      <c r="I142" s="377" t="s">
        <v>83</v>
      </c>
      <c r="J142" s="377" t="s">
        <v>44</v>
      </c>
      <c r="K142" s="377" t="s">
        <v>1425</v>
      </c>
      <c r="L142" s="377" t="s">
        <v>1187</v>
      </c>
      <c r="M142" s="376"/>
      <c r="N142" s="377" t="s">
        <v>1187</v>
      </c>
      <c r="O142" s="379">
        <v>2019.0</v>
      </c>
      <c r="P142" s="377" t="s">
        <v>985</v>
      </c>
      <c r="Q142" s="377" t="s">
        <v>981</v>
      </c>
      <c r="R142" s="377" t="s">
        <v>920</v>
      </c>
      <c r="S142" s="377" t="s">
        <v>1426</v>
      </c>
      <c r="T142" s="376">
        <f t="shared" si="1"/>
        <v>1984</v>
      </c>
      <c r="U142" s="381">
        <f t="shared" si="2"/>
        <v>39</v>
      </c>
    </row>
    <row r="143" ht="14.25" hidden="1" customHeight="1">
      <c r="A143" s="1" t="s">
        <v>244</v>
      </c>
      <c r="B143" s="378">
        <v>73.0</v>
      </c>
      <c r="C143" s="377" t="s">
        <v>1427</v>
      </c>
      <c r="D143" s="380" t="s">
        <v>319</v>
      </c>
      <c r="E143" s="377" t="s">
        <v>1428</v>
      </c>
      <c r="F143" s="377" t="s">
        <v>83</v>
      </c>
      <c r="G143" s="380" t="s">
        <v>41</v>
      </c>
      <c r="H143" s="377" t="s">
        <v>85</v>
      </c>
      <c r="I143" s="377" t="s">
        <v>83</v>
      </c>
      <c r="J143" s="377" t="s">
        <v>44</v>
      </c>
      <c r="K143" s="377" t="s">
        <v>1174</v>
      </c>
      <c r="L143" s="377" t="s">
        <v>1363</v>
      </c>
      <c r="M143" s="376"/>
      <c r="N143" s="377" t="s">
        <v>1363</v>
      </c>
      <c r="O143" s="379">
        <v>2014.0</v>
      </c>
      <c r="P143" s="377" t="s">
        <v>936</v>
      </c>
      <c r="Q143" s="377" t="s">
        <v>941</v>
      </c>
      <c r="R143" s="377" t="s">
        <v>920</v>
      </c>
      <c r="S143" s="377" t="s">
        <v>1429</v>
      </c>
      <c r="T143" s="376">
        <f t="shared" si="1"/>
        <v>1985</v>
      </c>
      <c r="U143" s="381">
        <f t="shared" si="2"/>
        <v>38</v>
      </c>
    </row>
    <row r="144" ht="14.25" hidden="1" customHeight="1">
      <c r="A144" s="1" t="s">
        <v>244</v>
      </c>
      <c r="B144" s="378">
        <v>74.0</v>
      </c>
      <c r="C144" s="377" t="s">
        <v>1430</v>
      </c>
      <c r="D144" s="380" t="s">
        <v>320</v>
      </c>
      <c r="E144" s="377" t="s">
        <v>1431</v>
      </c>
      <c r="F144" s="377" t="s">
        <v>83</v>
      </c>
      <c r="G144" s="380" t="s">
        <v>41</v>
      </c>
      <c r="H144" s="377" t="s">
        <v>85</v>
      </c>
      <c r="I144" s="377" t="s">
        <v>83</v>
      </c>
      <c r="J144" s="377" t="s">
        <v>44</v>
      </c>
      <c r="K144" s="377" t="s">
        <v>1432</v>
      </c>
      <c r="L144" s="377" t="s">
        <v>1040</v>
      </c>
      <c r="M144" s="376"/>
      <c r="N144" s="377" t="s">
        <v>1040</v>
      </c>
      <c r="O144" s="379">
        <v>2018.0</v>
      </c>
      <c r="P144" s="377" t="s">
        <v>985</v>
      </c>
      <c r="Q144" s="377" t="s">
        <v>981</v>
      </c>
      <c r="R144" s="377" t="s">
        <v>920</v>
      </c>
      <c r="S144" s="377" t="s">
        <v>1433</v>
      </c>
      <c r="T144" s="376">
        <f t="shared" si="1"/>
        <v>1989</v>
      </c>
      <c r="U144" s="381">
        <f t="shared" si="2"/>
        <v>34</v>
      </c>
    </row>
    <row r="145" ht="14.25" hidden="1" customHeight="1">
      <c r="A145" s="1" t="s">
        <v>244</v>
      </c>
      <c r="B145" s="378">
        <v>75.0</v>
      </c>
      <c r="C145" s="377" t="s">
        <v>1434</v>
      </c>
      <c r="D145" s="380" t="s">
        <v>321</v>
      </c>
      <c r="E145" s="379">
        <v>1106086.0</v>
      </c>
      <c r="F145" s="377" t="s">
        <v>83</v>
      </c>
      <c r="G145" s="380" t="s">
        <v>41</v>
      </c>
      <c r="H145" s="377" t="s">
        <v>85</v>
      </c>
      <c r="I145" s="377" t="s">
        <v>83</v>
      </c>
      <c r="J145" s="377" t="s">
        <v>44</v>
      </c>
      <c r="K145" s="377" t="s">
        <v>1435</v>
      </c>
      <c r="L145" s="377" t="s">
        <v>1154</v>
      </c>
      <c r="M145" s="376"/>
      <c r="N145" s="377" t="s">
        <v>1154</v>
      </c>
      <c r="O145" s="379">
        <v>2003.0</v>
      </c>
      <c r="P145" s="377" t="s">
        <v>1114</v>
      </c>
      <c r="Q145" s="377" t="s">
        <v>923</v>
      </c>
      <c r="R145" s="377" t="s">
        <v>920</v>
      </c>
      <c r="S145" s="377" t="s">
        <v>1436</v>
      </c>
      <c r="T145" s="376">
        <f t="shared" si="1"/>
        <v>1981</v>
      </c>
      <c r="U145" s="381">
        <f t="shared" si="2"/>
        <v>42</v>
      </c>
    </row>
    <row r="146" ht="14.25" customHeight="1">
      <c r="A146" s="1" t="s">
        <v>244</v>
      </c>
      <c r="B146" s="378">
        <v>76.0</v>
      </c>
      <c r="C146" s="377" t="s">
        <v>1437</v>
      </c>
      <c r="D146" s="380" t="s">
        <v>322</v>
      </c>
      <c r="E146" s="379">
        <v>1106075.0</v>
      </c>
      <c r="F146" s="377" t="s">
        <v>196</v>
      </c>
      <c r="G146" s="380" t="s">
        <v>54</v>
      </c>
      <c r="H146" s="377" t="s">
        <v>85</v>
      </c>
      <c r="I146" s="377" t="s">
        <v>91</v>
      </c>
      <c r="J146" s="377" t="s">
        <v>44</v>
      </c>
      <c r="K146" s="377" t="s">
        <v>1438</v>
      </c>
      <c r="L146" s="377" t="s">
        <v>961</v>
      </c>
      <c r="M146" s="376"/>
      <c r="N146" s="377" t="s">
        <v>961</v>
      </c>
      <c r="O146" s="379">
        <v>2007.0</v>
      </c>
      <c r="P146" s="377" t="s">
        <v>946</v>
      </c>
      <c r="Q146" s="377" t="s">
        <v>923</v>
      </c>
      <c r="R146" s="377" t="s">
        <v>920</v>
      </c>
      <c r="S146" s="377" t="s">
        <v>1439</v>
      </c>
      <c r="T146" s="376">
        <f t="shared" si="1"/>
        <v>1986</v>
      </c>
      <c r="U146" s="381">
        <f t="shared" si="2"/>
        <v>37</v>
      </c>
    </row>
    <row r="147" ht="14.25" customHeight="1">
      <c r="A147" s="1" t="s">
        <v>244</v>
      </c>
      <c r="B147" s="378">
        <v>77.0</v>
      </c>
      <c r="C147" s="377" t="s">
        <v>1440</v>
      </c>
      <c r="D147" s="380" t="s">
        <v>323</v>
      </c>
      <c r="E147" s="379">
        <v>1106540.0</v>
      </c>
      <c r="F147" s="377" t="s">
        <v>156</v>
      </c>
      <c r="G147" s="380" t="s">
        <v>54</v>
      </c>
      <c r="H147" s="377" t="s">
        <v>85</v>
      </c>
      <c r="I147" s="377" t="s">
        <v>83</v>
      </c>
      <c r="J147" s="377" t="s">
        <v>44</v>
      </c>
      <c r="K147" s="377" t="s">
        <v>1441</v>
      </c>
      <c r="L147" s="377" t="s">
        <v>1119</v>
      </c>
      <c r="M147" s="376"/>
      <c r="N147" s="377" t="s">
        <v>1119</v>
      </c>
      <c r="O147" s="379">
        <v>2009.0</v>
      </c>
      <c r="P147" s="377" t="s">
        <v>946</v>
      </c>
      <c r="Q147" s="377" t="s">
        <v>941</v>
      </c>
      <c r="R147" s="377" t="s">
        <v>920</v>
      </c>
      <c r="S147" s="377" t="s">
        <v>1442</v>
      </c>
      <c r="T147" s="376">
        <f t="shared" si="1"/>
        <v>1984</v>
      </c>
      <c r="U147" s="381">
        <f t="shared" si="2"/>
        <v>39</v>
      </c>
    </row>
    <row r="148" ht="14.25" customHeight="1">
      <c r="A148" s="1" t="s">
        <v>244</v>
      </c>
      <c r="B148" s="378">
        <v>78.0</v>
      </c>
      <c r="C148" s="379">
        <v>1000963.0</v>
      </c>
      <c r="D148" s="380" t="s">
        <v>324</v>
      </c>
      <c r="E148" s="377" t="s">
        <v>1443</v>
      </c>
      <c r="F148" s="377" t="s">
        <v>93</v>
      </c>
      <c r="G148" s="380" t="s">
        <v>54</v>
      </c>
      <c r="H148" s="377" t="s">
        <v>85</v>
      </c>
      <c r="I148" s="377" t="s">
        <v>95</v>
      </c>
      <c r="J148" s="377" t="s">
        <v>44</v>
      </c>
      <c r="K148" s="377" t="s">
        <v>1444</v>
      </c>
      <c r="L148" s="377" t="s">
        <v>935</v>
      </c>
      <c r="M148" s="376"/>
      <c r="N148" s="377" t="s">
        <v>935</v>
      </c>
      <c r="O148" s="379">
        <v>2014.0</v>
      </c>
      <c r="P148" s="377" t="s">
        <v>946</v>
      </c>
      <c r="Q148" s="377" t="s">
        <v>981</v>
      </c>
      <c r="R148" s="377" t="s">
        <v>920</v>
      </c>
      <c r="S148" s="377" t="s">
        <v>1445</v>
      </c>
      <c r="T148" s="376">
        <f t="shared" si="1"/>
        <v>1987</v>
      </c>
      <c r="U148" s="381">
        <f t="shared" si="2"/>
        <v>36</v>
      </c>
    </row>
    <row r="149" ht="14.25" customHeight="1">
      <c r="A149" s="1" t="s">
        <v>244</v>
      </c>
      <c r="B149" s="378">
        <v>79.0</v>
      </c>
      <c r="C149" s="377" t="s">
        <v>1446</v>
      </c>
      <c r="D149" s="380" t="s">
        <v>325</v>
      </c>
      <c r="E149" s="379">
        <v>1106174.0</v>
      </c>
      <c r="F149" s="377" t="s">
        <v>326</v>
      </c>
      <c r="G149" s="380" t="s">
        <v>54</v>
      </c>
      <c r="H149" s="377" t="s">
        <v>85</v>
      </c>
      <c r="I149" s="377" t="s">
        <v>99</v>
      </c>
      <c r="J149" s="377" t="s">
        <v>44</v>
      </c>
      <c r="K149" s="377" t="s">
        <v>1438</v>
      </c>
      <c r="L149" s="377" t="s">
        <v>961</v>
      </c>
      <c r="M149" s="376"/>
      <c r="N149" s="377" t="s">
        <v>961</v>
      </c>
      <c r="O149" s="379">
        <v>2007.0</v>
      </c>
      <c r="P149" s="377" t="s">
        <v>946</v>
      </c>
      <c r="Q149" s="377" t="s">
        <v>923</v>
      </c>
      <c r="R149" s="377" t="s">
        <v>920</v>
      </c>
      <c r="S149" s="377" t="s">
        <v>1447</v>
      </c>
      <c r="T149" s="376">
        <f t="shared" si="1"/>
        <v>1985</v>
      </c>
      <c r="U149" s="381">
        <f t="shared" si="2"/>
        <v>38</v>
      </c>
    </row>
    <row r="150" ht="14.25" hidden="1" customHeight="1">
      <c r="A150" s="1" t="s">
        <v>244</v>
      </c>
      <c r="B150" s="378">
        <v>80.0</v>
      </c>
      <c r="C150" s="377" t="s">
        <v>1448</v>
      </c>
      <c r="D150" s="380" t="s">
        <v>336</v>
      </c>
      <c r="E150" s="379">
        <v>1106128.0</v>
      </c>
      <c r="F150" s="377" t="s">
        <v>98</v>
      </c>
      <c r="G150" s="380" t="s">
        <v>41</v>
      </c>
      <c r="H150" s="377" t="s">
        <v>85</v>
      </c>
      <c r="I150" s="377" t="s">
        <v>99</v>
      </c>
      <c r="J150" s="377" t="s">
        <v>44</v>
      </c>
      <c r="K150" s="377" t="s">
        <v>1449</v>
      </c>
      <c r="L150" s="377" t="s">
        <v>966</v>
      </c>
      <c r="M150" s="376"/>
      <c r="N150" s="377" t="s">
        <v>966</v>
      </c>
      <c r="O150" s="379">
        <v>2008.0</v>
      </c>
      <c r="P150" s="377" t="s">
        <v>946</v>
      </c>
      <c r="Q150" s="377" t="s">
        <v>923</v>
      </c>
      <c r="R150" s="377" t="s">
        <v>920</v>
      </c>
      <c r="S150" s="377" t="s">
        <v>1450</v>
      </c>
      <c r="T150" s="376">
        <f t="shared" si="1"/>
        <v>1984</v>
      </c>
      <c r="U150" s="381">
        <f t="shared" si="2"/>
        <v>39</v>
      </c>
    </row>
    <row r="151" ht="14.25" hidden="1" customHeight="1">
      <c r="A151" s="1" t="s">
        <v>244</v>
      </c>
      <c r="B151" s="378">
        <v>81.0</v>
      </c>
      <c r="C151" s="377" t="s">
        <v>1451</v>
      </c>
      <c r="D151" s="380" t="s">
        <v>327</v>
      </c>
      <c r="E151" s="379">
        <v>1207004.0</v>
      </c>
      <c r="F151" s="377" t="s">
        <v>98</v>
      </c>
      <c r="G151" s="380" t="s">
        <v>41</v>
      </c>
      <c r="H151" s="377" t="s">
        <v>85</v>
      </c>
      <c r="I151" s="377" t="s">
        <v>99</v>
      </c>
      <c r="J151" s="377" t="s">
        <v>44</v>
      </c>
      <c r="K151" s="377" t="s">
        <v>1452</v>
      </c>
      <c r="L151" s="377" t="s">
        <v>1036</v>
      </c>
      <c r="M151" s="376"/>
      <c r="N151" s="377" t="s">
        <v>1036</v>
      </c>
      <c r="O151" s="379">
        <v>2010.0</v>
      </c>
      <c r="P151" s="377" t="s">
        <v>985</v>
      </c>
      <c r="Q151" s="377" t="s">
        <v>923</v>
      </c>
      <c r="R151" s="377" t="s">
        <v>920</v>
      </c>
      <c r="S151" s="377" t="s">
        <v>1453</v>
      </c>
      <c r="T151" s="376">
        <f t="shared" si="1"/>
        <v>1989</v>
      </c>
      <c r="U151" s="381">
        <f t="shared" si="2"/>
        <v>34</v>
      </c>
    </row>
    <row r="152" ht="14.25" hidden="1" customHeight="1">
      <c r="A152" s="1" t="s">
        <v>244</v>
      </c>
      <c r="B152" s="378">
        <v>82.0</v>
      </c>
      <c r="C152" s="377" t="s">
        <v>1454</v>
      </c>
      <c r="D152" s="380" t="s">
        <v>328</v>
      </c>
      <c r="E152" s="377" t="s">
        <v>1455</v>
      </c>
      <c r="F152" s="377" t="s">
        <v>98</v>
      </c>
      <c r="G152" s="380" t="s">
        <v>41</v>
      </c>
      <c r="H152" s="377" t="s">
        <v>85</v>
      </c>
      <c r="I152" s="377" t="s">
        <v>99</v>
      </c>
      <c r="J152" s="377" t="s">
        <v>44</v>
      </c>
      <c r="K152" s="377" t="s">
        <v>1456</v>
      </c>
      <c r="L152" s="377" t="s">
        <v>1119</v>
      </c>
      <c r="M152" s="376"/>
      <c r="N152" s="377" t="s">
        <v>1119</v>
      </c>
      <c r="O152" s="379">
        <v>2009.0</v>
      </c>
      <c r="P152" s="377" t="s">
        <v>946</v>
      </c>
      <c r="Q152" s="377" t="s">
        <v>923</v>
      </c>
      <c r="R152" s="377" t="s">
        <v>920</v>
      </c>
      <c r="S152" s="377" t="s">
        <v>1457</v>
      </c>
      <c r="T152" s="376">
        <f t="shared" si="1"/>
        <v>1985</v>
      </c>
      <c r="U152" s="381">
        <f t="shared" si="2"/>
        <v>38</v>
      </c>
    </row>
    <row r="153" ht="14.25" hidden="1" customHeight="1">
      <c r="A153" s="1" t="s">
        <v>244</v>
      </c>
      <c r="B153" s="378">
        <v>83.0</v>
      </c>
      <c r="C153" s="377" t="s">
        <v>1458</v>
      </c>
      <c r="D153" s="380" t="s">
        <v>329</v>
      </c>
      <c r="E153" s="377" t="s">
        <v>1459</v>
      </c>
      <c r="F153" s="377" t="s">
        <v>98</v>
      </c>
      <c r="G153" s="380" t="s">
        <v>41</v>
      </c>
      <c r="H153" s="377" t="s">
        <v>85</v>
      </c>
      <c r="I153" s="377" t="s">
        <v>99</v>
      </c>
      <c r="J153" s="377" t="s">
        <v>44</v>
      </c>
      <c r="K153" s="377" t="s">
        <v>1456</v>
      </c>
      <c r="L153" s="377" t="s">
        <v>1119</v>
      </c>
      <c r="M153" s="376"/>
      <c r="N153" s="377" t="s">
        <v>1119</v>
      </c>
      <c r="O153" s="379">
        <v>2009.0</v>
      </c>
      <c r="P153" s="377" t="s">
        <v>946</v>
      </c>
      <c r="Q153" s="377" t="s">
        <v>923</v>
      </c>
      <c r="R153" s="377" t="s">
        <v>920</v>
      </c>
      <c r="S153" s="377" t="s">
        <v>1460</v>
      </c>
      <c r="T153" s="376">
        <f t="shared" si="1"/>
        <v>1988</v>
      </c>
      <c r="U153" s="381">
        <f t="shared" si="2"/>
        <v>35</v>
      </c>
    </row>
    <row r="154" ht="14.25" hidden="1" customHeight="1">
      <c r="A154" s="1" t="s">
        <v>244</v>
      </c>
      <c r="B154" s="378">
        <v>84.0</v>
      </c>
      <c r="C154" s="377" t="s">
        <v>1461</v>
      </c>
      <c r="D154" s="380" t="s">
        <v>330</v>
      </c>
      <c r="E154" s="379">
        <v>1106088.0</v>
      </c>
      <c r="F154" s="377" t="s">
        <v>98</v>
      </c>
      <c r="G154" s="380" t="s">
        <v>41</v>
      </c>
      <c r="H154" s="377" t="s">
        <v>85</v>
      </c>
      <c r="I154" s="377" t="s">
        <v>99</v>
      </c>
      <c r="J154" s="377" t="s">
        <v>44</v>
      </c>
      <c r="K154" s="377" t="s">
        <v>1462</v>
      </c>
      <c r="L154" s="377" t="s">
        <v>989</v>
      </c>
      <c r="M154" s="376"/>
      <c r="N154" s="377" t="s">
        <v>989</v>
      </c>
      <c r="O154" s="379">
        <v>2006.0</v>
      </c>
      <c r="P154" s="377" t="s">
        <v>1114</v>
      </c>
      <c r="Q154" s="377" t="s">
        <v>923</v>
      </c>
      <c r="R154" s="377" t="s">
        <v>920</v>
      </c>
      <c r="S154" s="377" t="s">
        <v>1463</v>
      </c>
      <c r="T154" s="376">
        <f t="shared" si="1"/>
        <v>1985</v>
      </c>
      <c r="U154" s="381">
        <f t="shared" si="2"/>
        <v>38</v>
      </c>
    </row>
    <row r="155" ht="14.25" hidden="1" customHeight="1">
      <c r="A155" s="1" t="s">
        <v>244</v>
      </c>
      <c r="B155" s="378">
        <v>85.0</v>
      </c>
      <c r="C155" s="377" t="s">
        <v>1464</v>
      </c>
      <c r="D155" s="380" t="s">
        <v>332</v>
      </c>
      <c r="E155" s="377" t="s">
        <v>1465</v>
      </c>
      <c r="F155" s="377" t="s">
        <v>98</v>
      </c>
      <c r="G155" s="380" t="s">
        <v>41</v>
      </c>
      <c r="H155" s="377" t="s">
        <v>85</v>
      </c>
      <c r="I155" s="377" t="s">
        <v>99</v>
      </c>
      <c r="J155" s="377" t="s">
        <v>44</v>
      </c>
      <c r="K155" s="377" t="s">
        <v>1466</v>
      </c>
      <c r="L155" s="377" t="s">
        <v>1187</v>
      </c>
      <c r="M155" s="376"/>
      <c r="N155" s="377" t="s">
        <v>1187</v>
      </c>
      <c r="O155" s="379">
        <v>2019.0</v>
      </c>
      <c r="P155" s="377" t="s">
        <v>985</v>
      </c>
      <c r="Q155" s="377" t="s">
        <v>941</v>
      </c>
      <c r="R155" s="377" t="s">
        <v>920</v>
      </c>
      <c r="S155" s="377" t="s">
        <v>1467</v>
      </c>
      <c r="T155" s="376">
        <f t="shared" si="1"/>
        <v>1993</v>
      </c>
      <c r="U155" s="381">
        <f t="shared" si="2"/>
        <v>30</v>
      </c>
    </row>
    <row r="156" ht="14.25" hidden="1" customHeight="1">
      <c r="A156" s="1" t="s">
        <v>244</v>
      </c>
      <c r="B156" s="378">
        <v>86.0</v>
      </c>
      <c r="C156" s="377" t="s">
        <v>1468</v>
      </c>
      <c r="D156" s="380" t="s">
        <v>333</v>
      </c>
      <c r="E156" s="377" t="s">
        <v>1469</v>
      </c>
      <c r="F156" s="377" t="s">
        <v>98</v>
      </c>
      <c r="G156" s="380" t="s">
        <v>41</v>
      </c>
      <c r="H156" s="377" t="s">
        <v>85</v>
      </c>
      <c r="I156" s="377" t="s">
        <v>99</v>
      </c>
      <c r="J156" s="377" t="s">
        <v>44</v>
      </c>
      <c r="K156" s="377" t="s">
        <v>1470</v>
      </c>
      <c r="L156" s="377" t="s">
        <v>1345</v>
      </c>
      <c r="M156" s="376"/>
      <c r="N156" s="377" t="s">
        <v>1345</v>
      </c>
      <c r="O156" s="379">
        <v>2015.0</v>
      </c>
      <c r="P156" s="377" t="s">
        <v>1044</v>
      </c>
      <c r="Q156" s="377" t="s">
        <v>941</v>
      </c>
      <c r="R156" s="377" t="s">
        <v>920</v>
      </c>
      <c r="S156" s="377" t="s">
        <v>1471</v>
      </c>
      <c r="T156" s="376">
        <f t="shared" si="1"/>
        <v>1987</v>
      </c>
      <c r="U156" s="381">
        <f t="shared" si="2"/>
        <v>36</v>
      </c>
    </row>
    <row r="157" ht="14.25" hidden="1" customHeight="1">
      <c r="A157" s="1" t="s">
        <v>244</v>
      </c>
      <c r="B157" s="378">
        <v>87.0</v>
      </c>
      <c r="C157" s="377" t="s">
        <v>1472</v>
      </c>
      <c r="D157" s="380" t="s">
        <v>334</v>
      </c>
      <c r="E157" s="377" t="s">
        <v>1473</v>
      </c>
      <c r="F157" s="377" t="s">
        <v>98</v>
      </c>
      <c r="G157" s="380" t="s">
        <v>41</v>
      </c>
      <c r="H157" s="377" t="s">
        <v>85</v>
      </c>
      <c r="I157" s="377" t="s">
        <v>99</v>
      </c>
      <c r="J157" s="377" t="s">
        <v>44</v>
      </c>
      <c r="K157" s="377" t="s">
        <v>1474</v>
      </c>
      <c r="L157" s="377" t="s">
        <v>1345</v>
      </c>
      <c r="M157" s="376"/>
      <c r="N157" s="377" t="s">
        <v>1345</v>
      </c>
      <c r="O157" s="379">
        <v>2015.0</v>
      </c>
      <c r="P157" s="377" t="s">
        <v>946</v>
      </c>
      <c r="Q157" s="377" t="s">
        <v>941</v>
      </c>
      <c r="R157" s="377" t="s">
        <v>920</v>
      </c>
      <c r="S157" s="377" t="s">
        <v>1359</v>
      </c>
      <c r="T157" s="376">
        <f t="shared" si="1"/>
        <v>1988</v>
      </c>
      <c r="U157" s="381">
        <f t="shared" si="2"/>
        <v>35</v>
      </c>
    </row>
    <row r="158" ht="14.25" hidden="1" customHeight="1">
      <c r="A158" s="1" t="s">
        <v>244</v>
      </c>
      <c r="B158" s="378">
        <v>88.0</v>
      </c>
      <c r="C158" s="377" t="s">
        <v>1475</v>
      </c>
      <c r="D158" s="380" t="s">
        <v>335</v>
      </c>
      <c r="E158" s="379">
        <v>1106109.0</v>
      </c>
      <c r="F158" s="377" t="s">
        <v>106</v>
      </c>
      <c r="G158" s="380" t="s">
        <v>41</v>
      </c>
      <c r="H158" s="377" t="s">
        <v>85</v>
      </c>
      <c r="I158" s="377" t="s">
        <v>91</v>
      </c>
      <c r="J158" s="377" t="s">
        <v>44</v>
      </c>
      <c r="K158" s="377" t="s">
        <v>1476</v>
      </c>
      <c r="L158" s="377" t="s">
        <v>1060</v>
      </c>
      <c r="M158" s="376"/>
      <c r="N158" s="377" t="s">
        <v>1060</v>
      </c>
      <c r="O158" s="379">
        <v>2005.0</v>
      </c>
      <c r="P158" s="377" t="s">
        <v>985</v>
      </c>
      <c r="Q158" s="377" t="s">
        <v>923</v>
      </c>
      <c r="R158" s="377" t="s">
        <v>920</v>
      </c>
      <c r="S158" s="377" t="s">
        <v>1477</v>
      </c>
      <c r="T158" s="376">
        <f t="shared" si="1"/>
        <v>1984</v>
      </c>
      <c r="U158" s="381">
        <f t="shared" si="2"/>
        <v>39</v>
      </c>
    </row>
    <row r="159" ht="14.25" hidden="1" customHeight="1">
      <c r="A159" s="1" t="s">
        <v>244</v>
      </c>
      <c r="B159" s="378">
        <v>89.0</v>
      </c>
      <c r="C159" s="377" t="s">
        <v>1478</v>
      </c>
      <c r="D159" s="380" t="s">
        <v>337</v>
      </c>
      <c r="E159" s="379">
        <v>1207015.0</v>
      </c>
      <c r="F159" s="377" t="s">
        <v>106</v>
      </c>
      <c r="G159" s="380" t="s">
        <v>41</v>
      </c>
      <c r="H159" s="377" t="s">
        <v>85</v>
      </c>
      <c r="I159" s="377" t="s">
        <v>91</v>
      </c>
      <c r="J159" s="377" t="s">
        <v>44</v>
      </c>
      <c r="K159" s="377" t="s">
        <v>1479</v>
      </c>
      <c r="L159" s="377" t="s">
        <v>967</v>
      </c>
      <c r="M159" s="376"/>
      <c r="N159" s="377" t="s">
        <v>967</v>
      </c>
      <c r="O159" s="379">
        <v>2011.0</v>
      </c>
      <c r="P159" s="377" t="s">
        <v>946</v>
      </c>
      <c r="Q159" s="377" t="s">
        <v>923</v>
      </c>
      <c r="R159" s="377" t="s">
        <v>920</v>
      </c>
      <c r="S159" s="377" t="s">
        <v>1480</v>
      </c>
      <c r="T159" s="376">
        <f t="shared" si="1"/>
        <v>1983</v>
      </c>
      <c r="U159" s="381">
        <f t="shared" si="2"/>
        <v>40</v>
      </c>
    </row>
    <row r="160" ht="14.25" hidden="1" customHeight="1">
      <c r="A160" s="1" t="s">
        <v>244</v>
      </c>
      <c r="B160" s="378">
        <v>90.0</v>
      </c>
      <c r="C160" s="377" t="s">
        <v>1481</v>
      </c>
      <c r="D160" s="380" t="s">
        <v>338</v>
      </c>
      <c r="E160" s="379">
        <v>1106131.0</v>
      </c>
      <c r="F160" s="377" t="s">
        <v>106</v>
      </c>
      <c r="G160" s="380" t="s">
        <v>41</v>
      </c>
      <c r="H160" s="377" t="s">
        <v>85</v>
      </c>
      <c r="I160" s="377" t="s">
        <v>91</v>
      </c>
      <c r="J160" s="377" t="s">
        <v>44</v>
      </c>
      <c r="K160" s="377" t="s">
        <v>1482</v>
      </c>
      <c r="L160" s="377" t="s">
        <v>1060</v>
      </c>
      <c r="M160" s="376"/>
      <c r="N160" s="377" t="s">
        <v>1060</v>
      </c>
      <c r="O160" s="379">
        <v>2005.0</v>
      </c>
      <c r="P160" s="377" t="s">
        <v>985</v>
      </c>
      <c r="Q160" s="377" t="s">
        <v>923</v>
      </c>
      <c r="R160" s="377" t="s">
        <v>920</v>
      </c>
      <c r="S160" s="377" t="s">
        <v>1483</v>
      </c>
      <c r="T160" s="376">
        <f t="shared" si="1"/>
        <v>1983</v>
      </c>
      <c r="U160" s="381">
        <f t="shared" si="2"/>
        <v>40</v>
      </c>
    </row>
    <row r="161" ht="14.25" hidden="1" customHeight="1">
      <c r="A161" s="1" t="s">
        <v>244</v>
      </c>
      <c r="B161" s="378">
        <v>91.0</v>
      </c>
      <c r="C161" s="377" t="s">
        <v>1484</v>
      </c>
      <c r="D161" s="380" t="s">
        <v>339</v>
      </c>
      <c r="E161" s="379">
        <v>1207013.0</v>
      </c>
      <c r="F161" s="377" t="s">
        <v>106</v>
      </c>
      <c r="G161" s="380" t="s">
        <v>41</v>
      </c>
      <c r="H161" s="377" t="s">
        <v>85</v>
      </c>
      <c r="I161" s="377" t="s">
        <v>91</v>
      </c>
      <c r="J161" s="377" t="s">
        <v>44</v>
      </c>
      <c r="K161" s="377" t="s">
        <v>1452</v>
      </c>
      <c r="L161" s="377" t="s">
        <v>967</v>
      </c>
      <c r="M161" s="376"/>
      <c r="N161" s="377" t="s">
        <v>967</v>
      </c>
      <c r="O161" s="379">
        <v>2011.0</v>
      </c>
      <c r="P161" s="377" t="s">
        <v>985</v>
      </c>
      <c r="Q161" s="377" t="s">
        <v>923</v>
      </c>
      <c r="R161" s="377" t="s">
        <v>920</v>
      </c>
      <c r="S161" s="377" t="s">
        <v>1485</v>
      </c>
      <c r="T161" s="376">
        <f t="shared" si="1"/>
        <v>1988</v>
      </c>
      <c r="U161" s="381">
        <f t="shared" si="2"/>
        <v>35</v>
      </c>
    </row>
    <row r="162" ht="14.25" hidden="1" customHeight="1">
      <c r="A162" s="1" t="s">
        <v>244</v>
      </c>
      <c r="B162" s="378">
        <v>92.0</v>
      </c>
      <c r="C162" s="377" t="s">
        <v>1486</v>
      </c>
      <c r="D162" s="380" t="s">
        <v>340</v>
      </c>
      <c r="E162" s="377" t="s">
        <v>1487</v>
      </c>
      <c r="F162" s="377" t="s">
        <v>106</v>
      </c>
      <c r="G162" s="380" t="s">
        <v>41</v>
      </c>
      <c r="H162" s="377" t="s">
        <v>85</v>
      </c>
      <c r="I162" s="377" t="s">
        <v>91</v>
      </c>
      <c r="J162" s="377" t="s">
        <v>44</v>
      </c>
      <c r="K162" s="377" t="s">
        <v>1362</v>
      </c>
      <c r="L162" s="377" t="s">
        <v>935</v>
      </c>
      <c r="M162" s="376"/>
      <c r="N162" s="377" t="s">
        <v>935</v>
      </c>
      <c r="O162" s="379">
        <v>2014.0</v>
      </c>
      <c r="P162" s="377" t="s">
        <v>918</v>
      </c>
      <c r="Q162" s="377" t="s">
        <v>1011</v>
      </c>
      <c r="R162" s="377" t="s">
        <v>920</v>
      </c>
      <c r="S162" s="377" t="s">
        <v>1488</v>
      </c>
      <c r="T162" s="376">
        <f t="shared" si="1"/>
        <v>1985</v>
      </c>
      <c r="U162" s="381">
        <f t="shared" si="2"/>
        <v>38</v>
      </c>
    </row>
    <row r="163" ht="14.25" hidden="1" customHeight="1">
      <c r="A163" s="1" t="s">
        <v>244</v>
      </c>
      <c r="B163" s="378">
        <v>93.0</v>
      </c>
      <c r="C163" s="377" t="s">
        <v>1489</v>
      </c>
      <c r="D163" s="380" t="s">
        <v>342</v>
      </c>
      <c r="E163" s="379">
        <v>1106076.0</v>
      </c>
      <c r="F163" s="377" t="s">
        <v>106</v>
      </c>
      <c r="G163" s="380" t="s">
        <v>41</v>
      </c>
      <c r="H163" s="377" t="s">
        <v>85</v>
      </c>
      <c r="I163" s="377" t="s">
        <v>91</v>
      </c>
      <c r="J163" s="377" t="s">
        <v>44</v>
      </c>
      <c r="K163" s="377" t="s">
        <v>1438</v>
      </c>
      <c r="L163" s="377" t="s">
        <v>961</v>
      </c>
      <c r="M163" s="376"/>
      <c r="N163" s="377" t="s">
        <v>961</v>
      </c>
      <c r="O163" s="379">
        <v>2007.0</v>
      </c>
      <c r="P163" s="377" t="s">
        <v>985</v>
      </c>
      <c r="Q163" s="377" t="s">
        <v>923</v>
      </c>
      <c r="R163" s="377" t="s">
        <v>920</v>
      </c>
      <c r="S163" s="377" t="s">
        <v>1490</v>
      </c>
      <c r="T163" s="376">
        <f t="shared" si="1"/>
        <v>1985</v>
      </c>
      <c r="U163" s="381">
        <f t="shared" si="2"/>
        <v>38</v>
      </c>
    </row>
    <row r="164" ht="14.25" hidden="1" customHeight="1">
      <c r="A164" s="1" t="s">
        <v>244</v>
      </c>
      <c r="B164" s="378">
        <v>94.0</v>
      </c>
      <c r="C164" s="377" t="s">
        <v>1491</v>
      </c>
      <c r="D164" s="380" t="s">
        <v>343</v>
      </c>
      <c r="E164" s="379">
        <v>1106079.0</v>
      </c>
      <c r="F164" s="377" t="s">
        <v>106</v>
      </c>
      <c r="G164" s="380" t="s">
        <v>41</v>
      </c>
      <c r="H164" s="377" t="s">
        <v>85</v>
      </c>
      <c r="I164" s="377" t="s">
        <v>91</v>
      </c>
      <c r="J164" s="377" t="s">
        <v>44</v>
      </c>
      <c r="K164" s="377" t="s">
        <v>1492</v>
      </c>
      <c r="L164" s="377" t="s">
        <v>966</v>
      </c>
      <c r="M164" s="376"/>
      <c r="N164" s="377" t="s">
        <v>966</v>
      </c>
      <c r="O164" s="379">
        <v>2008.0</v>
      </c>
      <c r="P164" s="377" t="s">
        <v>985</v>
      </c>
      <c r="Q164" s="377" t="s">
        <v>923</v>
      </c>
      <c r="R164" s="377" t="s">
        <v>920</v>
      </c>
      <c r="S164" s="377" t="s">
        <v>1493</v>
      </c>
      <c r="T164" s="376">
        <f t="shared" si="1"/>
        <v>1986</v>
      </c>
      <c r="U164" s="381">
        <f t="shared" si="2"/>
        <v>37</v>
      </c>
    </row>
    <row r="165" ht="14.25" hidden="1" customHeight="1">
      <c r="A165" s="1" t="s">
        <v>244</v>
      </c>
      <c r="B165" s="378">
        <v>95.0</v>
      </c>
      <c r="C165" s="377" t="s">
        <v>1494</v>
      </c>
      <c r="D165" s="380" t="s">
        <v>344</v>
      </c>
      <c r="E165" s="377" t="s">
        <v>1495</v>
      </c>
      <c r="F165" s="377" t="s">
        <v>106</v>
      </c>
      <c r="G165" s="380" t="s">
        <v>41</v>
      </c>
      <c r="H165" s="377" t="s">
        <v>85</v>
      </c>
      <c r="I165" s="377" t="s">
        <v>91</v>
      </c>
      <c r="J165" s="377" t="s">
        <v>44</v>
      </c>
      <c r="K165" s="377" t="s">
        <v>1496</v>
      </c>
      <c r="L165" s="377" t="s">
        <v>1119</v>
      </c>
      <c r="M165" s="376"/>
      <c r="N165" s="377" t="s">
        <v>1119</v>
      </c>
      <c r="O165" s="379">
        <v>2009.0</v>
      </c>
      <c r="P165" s="377" t="s">
        <v>946</v>
      </c>
      <c r="Q165" s="377" t="s">
        <v>923</v>
      </c>
      <c r="R165" s="377" t="s">
        <v>920</v>
      </c>
      <c r="S165" s="377" t="s">
        <v>1497</v>
      </c>
      <c r="T165" s="376">
        <f t="shared" si="1"/>
        <v>1987</v>
      </c>
      <c r="U165" s="381">
        <f t="shared" si="2"/>
        <v>36</v>
      </c>
    </row>
    <row r="166" ht="14.25" hidden="1" customHeight="1">
      <c r="A166" s="1" t="s">
        <v>244</v>
      </c>
      <c r="B166" s="378">
        <v>96.0</v>
      </c>
      <c r="C166" s="377" t="s">
        <v>1498</v>
      </c>
      <c r="D166" s="380" t="s">
        <v>345</v>
      </c>
      <c r="E166" s="379">
        <v>1106074.0</v>
      </c>
      <c r="F166" s="377" t="s">
        <v>106</v>
      </c>
      <c r="G166" s="380" t="s">
        <v>41</v>
      </c>
      <c r="H166" s="377" t="s">
        <v>85</v>
      </c>
      <c r="I166" s="377" t="s">
        <v>91</v>
      </c>
      <c r="J166" s="377" t="s">
        <v>44</v>
      </c>
      <c r="K166" s="377" t="s">
        <v>1190</v>
      </c>
      <c r="L166" s="377" t="s">
        <v>989</v>
      </c>
      <c r="M166" s="376"/>
      <c r="N166" s="377" t="s">
        <v>989</v>
      </c>
      <c r="O166" s="379">
        <v>2006.0</v>
      </c>
      <c r="P166" s="377" t="s">
        <v>946</v>
      </c>
      <c r="Q166" s="377" t="s">
        <v>923</v>
      </c>
      <c r="R166" s="377" t="s">
        <v>920</v>
      </c>
      <c r="S166" s="377" t="s">
        <v>1499</v>
      </c>
      <c r="T166" s="376">
        <f t="shared" si="1"/>
        <v>1982</v>
      </c>
      <c r="U166" s="381">
        <f t="shared" si="2"/>
        <v>41</v>
      </c>
    </row>
    <row r="167" ht="14.25" hidden="1" customHeight="1">
      <c r="A167" s="1" t="s">
        <v>244</v>
      </c>
      <c r="B167" s="378">
        <v>97.0</v>
      </c>
      <c r="C167" s="377" t="s">
        <v>1500</v>
      </c>
      <c r="D167" s="380" t="s">
        <v>346</v>
      </c>
      <c r="E167" s="379">
        <v>1106078.0</v>
      </c>
      <c r="F167" s="377" t="s">
        <v>106</v>
      </c>
      <c r="G167" s="380" t="s">
        <v>41</v>
      </c>
      <c r="H167" s="377" t="s">
        <v>85</v>
      </c>
      <c r="I167" s="377" t="s">
        <v>91</v>
      </c>
      <c r="J167" s="377" t="s">
        <v>44</v>
      </c>
      <c r="K167" s="377" t="s">
        <v>1492</v>
      </c>
      <c r="L167" s="377" t="s">
        <v>966</v>
      </c>
      <c r="M167" s="376"/>
      <c r="N167" s="377" t="s">
        <v>966</v>
      </c>
      <c r="O167" s="379">
        <v>2008.0</v>
      </c>
      <c r="P167" s="377" t="s">
        <v>962</v>
      </c>
      <c r="Q167" s="377" t="s">
        <v>923</v>
      </c>
      <c r="R167" s="377" t="s">
        <v>920</v>
      </c>
      <c r="S167" s="377" t="s">
        <v>1501</v>
      </c>
      <c r="T167" s="376">
        <f t="shared" si="1"/>
        <v>1986</v>
      </c>
      <c r="U167" s="381">
        <f t="shared" si="2"/>
        <v>37</v>
      </c>
    </row>
    <row r="168" ht="14.25" hidden="1" customHeight="1">
      <c r="A168" s="1" t="s">
        <v>244</v>
      </c>
      <c r="B168" s="378">
        <v>98.0</v>
      </c>
      <c r="C168" s="377" t="s">
        <v>1502</v>
      </c>
      <c r="D168" s="380" t="s">
        <v>347</v>
      </c>
      <c r="E168" s="379">
        <v>1106052.0</v>
      </c>
      <c r="F168" s="377" t="s">
        <v>106</v>
      </c>
      <c r="G168" s="380" t="s">
        <v>41</v>
      </c>
      <c r="H168" s="377" t="s">
        <v>85</v>
      </c>
      <c r="I168" s="377" t="s">
        <v>91</v>
      </c>
      <c r="J168" s="377" t="s">
        <v>44</v>
      </c>
      <c r="K168" s="377" t="s">
        <v>1503</v>
      </c>
      <c r="L168" s="377" t="s">
        <v>989</v>
      </c>
      <c r="M168" s="376"/>
      <c r="N168" s="377" t="s">
        <v>989</v>
      </c>
      <c r="O168" s="379">
        <v>2006.0</v>
      </c>
      <c r="P168" s="377" t="s">
        <v>946</v>
      </c>
      <c r="Q168" s="377" t="s">
        <v>923</v>
      </c>
      <c r="R168" s="377" t="s">
        <v>920</v>
      </c>
      <c r="S168" s="377" t="s">
        <v>1504</v>
      </c>
      <c r="T168" s="376">
        <f t="shared" si="1"/>
        <v>1985</v>
      </c>
      <c r="U168" s="381">
        <f t="shared" si="2"/>
        <v>38</v>
      </c>
    </row>
    <row r="169" ht="14.25" hidden="1" customHeight="1">
      <c r="A169" s="1" t="s">
        <v>244</v>
      </c>
      <c r="B169" s="378">
        <v>99.0</v>
      </c>
      <c r="C169" s="377" t="s">
        <v>1505</v>
      </c>
      <c r="D169" s="380" t="s">
        <v>348</v>
      </c>
      <c r="E169" s="377" t="s">
        <v>1506</v>
      </c>
      <c r="F169" s="377" t="s">
        <v>180</v>
      </c>
      <c r="G169" s="380" t="s">
        <v>41</v>
      </c>
      <c r="H169" s="377" t="s">
        <v>85</v>
      </c>
      <c r="I169" s="377" t="s">
        <v>91</v>
      </c>
      <c r="J169" s="377" t="s">
        <v>44</v>
      </c>
      <c r="K169" s="377" t="s">
        <v>1507</v>
      </c>
      <c r="L169" s="377" t="s">
        <v>1036</v>
      </c>
      <c r="M169" s="376"/>
      <c r="N169" s="377" t="s">
        <v>1036</v>
      </c>
      <c r="O169" s="379">
        <v>2010.0</v>
      </c>
      <c r="P169" s="377" t="s">
        <v>946</v>
      </c>
      <c r="Q169" s="377" t="s">
        <v>923</v>
      </c>
      <c r="R169" s="377" t="s">
        <v>920</v>
      </c>
      <c r="S169" s="377" t="s">
        <v>1508</v>
      </c>
      <c r="T169" s="376">
        <f t="shared" si="1"/>
        <v>1987</v>
      </c>
      <c r="U169" s="381">
        <f t="shared" si="2"/>
        <v>36</v>
      </c>
    </row>
    <row r="170" ht="14.25" hidden="1" customHeight="1">
      <c r="A170" s="1" t="s">
        <v>244</v>
      </c>
      <c r="B170" s="378">
        <v>100.0</v>
      </c>
      <c r="C170" s="377" t="s">
        <v>1509</v>
      </c>
      <c r="D170" s="380" t="s">
        <v>350</v>
      </c>
      <c r="E170" s="379">
        <v>1207012.0</v>
      </c>
      <c r="F170" s="377" t="s">
        <v>180</v>
      </c>
      <c r="G170" s="380" t="s">
        <v>41</v>
      </c>
      <c r="H170" s="377" t="s">
        <v>85</v>
      </c>
      <c r="I170" s="377" t="s">
        <v>91</v>
      </c>
      <c r="J170" s="377" t="s">
        <v>44</v>
      </c>
      <c r="K170" s="377" t="s">
        <v>1452</v>
      </c>
      <c r="L170" s="377" t="s">
        <v>967</v>
      </c>
      <c r="M170" s="376"/>
      <c r="N170" s="377" t="s">
        <v>967</v>
      </c>
      <c r="O170" s="379">
        <v>2011.0</v>
      </c>
      <c r="P170" s="377" t="s">
        <v>946</v>
      </c>
      <c r="Q170" s="377" t="s">
        <v>923</v>
      </c>
      <c r="R170" s="377" t="s">
        <v>920</v>
      </c>
      <c r="S170" s="377" t="s">
        <v>1510</v>
      </c>
      <c r="T170" s="376">
        <f t="shared" si="1"/>
        <v>1989</v>
      </c>
      <c r="U170" s="381">
        <f t="shared" si="2"/>
        <v>34</v>
      </c>
    </row>
    <row r="171" ht="14.25" hidden="1" customHeight="1">
      <c r="A171" s="1" t="s">
        <v>244</v>
      </c>
      <c r="B171" s="378">
        <v>101.0</v>
      </c>
      <c r="C171" s="377" t="s">
        <v>1511</v>
      </c>
      <c r="D171" s="380" t="s">
        <v>351</v>
      </c>
      <c r="E171" s="377" t="s">
        <v>1512</v>
      </c>
      <c r="F171" s="377" t="s">
        <v>180</v>
      </c>
      <c r="G171" s="380" t="s">
        <v>41</v>
      </c>
      <c r="H171" s="377" t="s">
        <v>85</v>
      </c>
      <c r="I171" s="377" t="s">
        <v>91</v>
      </c>
      <c r="J171" s="377" t="s">
        <v>44</v>
      </c>
      <c r="K171" s="377" t="s">
        <v>1362</v>
      </c>
      <c r="L171" s="377" t="s">
        <v>935</v>
      </c>
      <c r="M171" s="376"/>
      <c r="N171" s="377" t="s">
        <v>935</v>
      </c>
      <c r="O171" s="379">
        <v>2014.0</v>
      </c>
      <c r="P171" s="377" t="s">
        <v>985</v>
      </c>
      <c r="Q171" s="377" t="s">
        <v>941</v>
      </c>
      <c r="R171" s="377" t="s">
        <v>920</v>
      </c>
      <c r="S171" s="377" t="s">
        <v>1513</v>
      </c>
      <c r="T171" s="376">
        <f t="shared" si="1"/>
        <v>1986</v>
      </c>
      <c r="U171" s="381">
        <f t="shared" si="2"/>
        <v>37</v>
      </c>
    </row>
    <row r="172" ht="14.25" hidden="1" customHeight="1">
      <c r="A172" s="1" t="s">
        <v>244</v>
      </c>
      <c r="B172" s="378">
        <v>102.0</v>
      </c>
      <c r="C172" s="377" t="s">
        <v>1514</v>
      </c>
      <c r="D172" s="380" t="s">
        <v>352</v>
      </c>
      <c r="E172" s="379">
        <v>1106058.0</v>
      </c>
      <c r="F172" s="377" t="s">
        <v>180</v>
      </c>
      <c r="G172" s="380" t="s">
        <v>41</v>
      </c>
      <c r="H172" s="377" t="s">
        <v>85</v>
      </c>
      <c r="I172" s="377" t="s">
        <v>91</v>
      </c>
      <c r="J172" s="377" t="s">
        <v>44</v>
      </c>
      <c r="K172" s="377" t="s">
        <v>1515</v>
      </c>
      <c r="L172" s="377" t="s">
        <v>989</v>
      </c>
      <c r="M172" s="376"/>
      <c r="N172" s="377" t="s">
        <v>989</v>
      </c>
      <c r="O172" s="379">
        <v>2006.0</v>
      </c>
      <c r="P172" s="377" t="s">
        <v>1114</v>
      </c>
      <c r="Q172" s="377" t="s">
        <v>923</v>
      </c>
      <c r="R172" s="377" t="s">
        <v>920</v>
      </c>
      <c r="S172" s="377" t="s">
        <v>1516</v>
      </c>
      <c r="T172" s="376">
        <f t="shared" si="1"/>
        <v>1985</v>
      </c>
      <c r="U172" s="381">
        <f t="shared" si="2"/>
        <v>38</v>
      </c>
    </row>
    <row r="173" ht="14.25" hidden="1" customHeight="1">
      <c r="A173" s="1" t="s">
        <v>244</v>
      </c>
      <c r="B173" s="378">
        <v>103.0</v>
      </c>
      <c r="C173" s="377" t="s">
        <v>1517</v>
      </c>
      <c r="D173" s="380" t="s">
        <v>353</v>
      </c>
      <c r="E173" s="379">
        <v>1207016.0</v>
      </c>
      <c r="F173" s="377" t="s">
        <v>113</v>
      </c>
      <c r="G173" s="380" t="s">
        <v>41</v>
      </c>
      <c r="H173" s="377" t="s">
        <v>85</v>
      </c>
      <c r="I173" s="377" t="s">
        <v>95</v>
      </c>
      <c r="J173" s="377" t="s">
        <v>44</v>
      </c>
      <c r="K173" s="377" t="s">
        <v>1452</v>
      </c>
      <c r="L173" s="377" t="s">
        <v>967</v>
      </c>
      <c r="M173" s="376"/>
      <c r="N173" s="377" t="s">
        <v>967</v>
      </c>
      <c r="O173" s="379">
        <v>2011.0</v>
      </c>
      <c r="P173" s="377" t="s">
        <v>946</v>
      </c>
      <c r="Q173" s="377" t="s">
        <v>923</v>
      </c>
      <c r="R173" s="377" t="s">
        <v>920</v>
      </c>
      <c r="S173" s="377" t="s">
        <v>1518</v>
      </c>
      <c r="T173" s="376">
        <f t="shared" si="1"/>
        <v>1989</v>
      </c>
      <c r="U173" s="381">
        <f t="shared" si="2"/>
        <v>34</v>
      </c>
    </row>
    <row r="174" ht="14.25" hidden="1" customHeight="1">
      <c r="A174" s="1" t="s">
        <v>244</v>
      </c>
      <c r="B174" s="378">
        <v>104.0</v>
      </c>
      <c r="C174" s="377" t="s">
        <v>1519</v>
      </c>
      <c r="D174" s="380" t="s">
        <v>354</v>
      </c>
      <c r="E174" s="377" t="s">
        <v>1520</v>
      </c>
      <c r="F174" s="377" t="s">
        <v>113</v>
      </c>
      <c r="G174" s="380" t="s">
        <v>41</v>
      </c>
      <c r="H174" s="377" t="s">
        <v>85</v>
      </c>
      <c r="I174" s="377" t="s">
        <v>95</v>
      </c>
      <c r="J174" s="377" t="s">
        <v>44</v>
      </c>
      <c r="K174" s="377" t="s">
        <v>1521</v>
      </c>
      <c r="L174" s="377" t="s">
        <v>1187</v>
      </c>
      <c r="M174" s="376"/>
      <c r="N174" s="377" t="s">
        <v>1187</v>
      </c>
      <c r="O174" s="379">
        <v>2019.0</v>
      </c>
      <c r="P174" s="377" t="s">
        <v>985</v>
      </c>
      <c r="Q174" s="377" t="s">
        <v>941</v>
      </c>
      <c r="R174" s="377" t="s">
        <v>920</v>
      </c>
      <c r="S174" s="377" t="s">
        <v>1522</v>
      </c>
      <c r="T174" s="376">
        <f t="shared" si="1"/>
        <v>1995</v>
      </c>
      <c r="U174" s="381">
        <f t="shared" si="2"/>
        <v>28</v>
      </c>
    </row>
    <row r="175" ht="14.25" hidden="1" customHeight="1">
      <c r="A175" s="1" t="s">
        <v>244</v>
      </c>
      <c r="B175" s="378">
        <v>105.0</v>
      </c>
      <c r="C175" s="377" t="s">
        <v>1523</v>
      </c>
      <c r="D175" s="380" t="s">
        <v>355</v>
      </c>
      <c r="E175" s="379">
        <v>1106089.0</v>
      </c>
      <c r="F175" s="377" t="s">
        <v>356</v>
      </c>
      <c r="G175" s="380" t="s">
        <v>41</v>
      </c>
      <c r="H175" s="377" t="s">
        <v>85</v>
      </c>
      <c r="I175" s="377" t="s">
        <v>95</v>
      </c>
      <c r="J175" s="377" t="s">
        <v>44</v>
      </c>
      <c r="K175" s="377" t="s">
        <v>1524</v>
      </c>
      <c r="L175" s="377" t="s">
        <v>961</v>
      </c>
      <c r="M175" s="376"/>
      <c r="N175" s="377" t="s">
        <v>961</v>
      </c>
      <c r="O175" s="379">
        <v>2007.0</v>
      </c>
      <c r="P175" s="377" t="s">
        <v>946</v>
      </c>
      <c r="Q175" s="377" t="s">
        <v>923</v>
      </c>
      <c r="R175" s="377" t="s">
        <v>920</v>
      </c>
      <c r="S175" s="377" t="s">
        <v>1525</v>
      </c>
      <c r="T175" s="376">
        <f t="shared" si="1"/>
        <v>1985</v>
      </c>
      <c r="U175" s="381">
        <f t="shared" si="2"/>
        <v>38</v>
      </c>
    </row>
    <row r="176" ht="14.25" hidden="1" customHeight="1">
      <c r="A176" s="1" t="s">
        <v>244</v>
      </c>
      <c r="B176" s="378">
        <v>106.0</v>
      </c>
      <c r="C176" s="377" t="s">
        <v>1526</v>
      </c>
      <c r="D176" s="380" t="s">
        <v>357</v>
      </c>
      <c r="E176" s="377" t="s">
        <v>1527</v>
      </c>
      <c r="F176" s="377" t="s">
        <v>356</v>
      </c>
      <c r="G176" s="380" t="s">
        <v>41</v>
      </c>
      <c r="H176" s="377" t="s">
        <v>85</v>
      </c>
      <c r="I176" s="377" t="s">
        <v>95</v>
      </c>
      <c r="J176" s="377" t="s">
        <v>44</v>
      </c>
      <c r="K176" s="377" t="s">
        <v>1528</v>
      </c>
      <c r="L176" s="377" t="s">
        <v>1040</v>
      </c>
      <c r="M176" s="376"/>
      <c r="N176" s="377" t="s">
        <v>1040</v>
      </c>
      <c r="O176" s="379">
        <v>2018.0</v>
      </c>
      <c r="P176" s="377" t="s">
        <v>985</v>
      </c>
      <c r="Q176" s="377" t="s">
        <v>1293</v>
      </c>
      <c r="R176" s="377" t="s">
        <v>920</v>
      </c>
      <c r="S176" s="377" t="s">
        <v>1529</v>
      </c>
      <c r="T176" s="376">
        <f t="shared" si="1"/>
        <v>1993</v>
      </c>
      <c r="U176" s="381">
        <f t="shared" si="2"/>
        <v>30</v>
      </c>
    </row>
    <row r="177" ht="14.25" customHeight="1">
      <c r="A177" s="1" t="s">
        <v>244</v>
      </c>
      <c r="B177" s="378">
        <v>107.0</v>
      </c>
      <c r="C177" s="377" t="s">
        <v>1530</v>
      </c>
      <c r="D177" s="380" t="s">
        <v>358</v>
      </c>
      <c r="E177" s="379">
        <v>1106064.0</v>
      </c>
      <c r="F177" s="377" t="s">
        <v>359</v>
      </c>
      <c r="G177" s="380" t="s">
        <v>54</v>
      </c>
      <c r="H177" s="377" t="s">
        <v>85</v>
      </c>
      <c r="I177" s="377" t="s">
        <v>91</v>
      </c>
      <c r="J177" s="377" t="s">
        <v>44</v>
      </c>
      <c r="K177" s="377" t="s">
        <v>1531</v>
      </c>
      <c r="L177" s="377" t="s">
        <v>1060</v>
      </c>
      <c r="M177" s="376"/>
      <c r="N177" s="377" t="s">
        <v>1060</v>
      </c>
      <c r="O177" s="379">
        <v>2005.0</v>
      </c>
      <c r="P177" s="377" t="s">
        <v>1114</v>
      </c>
      <c r="Q177" s="377" t="s">
        <v>923</v>
      </c>
      <c r="R177" s="377" t="s">
        <v>920</v>
      </c>
      <c r="S177" s="377" t="s">
        <v>1532</v>
      </c>
      <c r="T177" s="376">
        <f t="shared" si="1"/>
        <v>1983</v>
      </c>
      <c r="U177" s="381">
        <f t="shared" si="2"/>
        <v>40</v>
      </c>
    </row>
    <row r="178" ht="14.25" customHeight="1">
      <c r="A178" s="1" t="s">
        <v>244</v>
      </c>
      <c r="B178" s="378">
        <v>108.0</v>
      </c>
      <c r="C178" s="377" t="s">
        <v>1533</v>
      </c>
      <c r="D178" s="380" t="s">
        <v>361</v>
      </c>
      <c r="E178" s="379">
        <v>1106180.0</v>
      </c>
      <c r="F178" s="377" t="s">
        <v>362</v>
      </c>
      <c r="G178" s="380" t="s">
        <v>54</v>
      </c>
      <c r="H178" s="377" t="s">
        <v>85</v>
      </c>
      <c r="I178" s="377" t="s">
        <v>95</v>
      </c>
      <c r="J178" s="377" t="s">
        <v>44</v>
      </c>
      <c r="K178" s="377" t="s">
        <v>1534</v>
      </c>
      <c r="L178" s="377" t="s">
        <v>989</v>
      </c>
      <c r="M178" s="376"/>
      <c r="N178" s="377" t="s">
        <v>989</v>
      </c>
      <c r="O178" s="379">
        <v>2006.0</v>
      </c>
      <c r="P178" s="377" t="s">
        <v>946</v>
      </c>
      <c r="Q178" s="377" t="s">
        <v>930</v>
      </c>
      <c r="R178" s="377" t="s">
        <v>920</v>
      </c>
      <c r="S178" s="377" t="s">
        <v>1535</v>
      </c>
      <c r="T178" s="376">
        <f t="shared" si="1"/>
        <v>1985</v>
      </c>
      <c r="U178" s="381">
        <f t="shared" si="2"/>
        <v>38</v>
      </c>
    </row>
    <row r="179" ht="14.25" customHeight="1">
      <c r="A179" s="1" t="s">
        <v>244</v>
      </c>
      <c r="B179" s="378">
        <v>109.0</v>
      </c>
      <c r="C179" s="377" t="s">
        <v>1536</v>
      </c>
      <c r="D179" s="380" t="s">
        <v>363</v>
      </c>
      <c r="E179" s="379">
        <v>1106161.0</v>
      </c>
      <c r="F179" s="377" t="s">
        <v>364</v>
      </c>
      <c r="G179" s="380" t="s">
        <v>54</v>
      </c>
      <c r="H179" s="377" t="s">
        <v>85</v>
      </c>
      <c r="I179" s="377" t="s">
        <v>99</v>
      </c>
      <c r="J179" s="377" t="s">
        <v>44</v>
      </c>
      <c r="K179" s="377" t="s">
        <v>1537</v>
      </c>
      <c r="L179" s="377" t="s">
        <v>1060</v>
      </c>
      <c r="M179" s="376"/>
      <c r="N179" s="377" t="s">
        <v>1060</v>
      </c>
      <c r="O179" s="379">
        <v>2005.0</v>
      </c>
      <c r="P179" s="377" t="s">
        <v>946</v>
      </c>
      <c r="Q179" s="377" t="s">
        <v>923</v>
      </c>
      <c r="R179" s="377" t="s">
        <v>920</v>
      </c>
      <c r="S179" s="377" t="s">
        <v>1538</v>
      </c>
      <c r="T179" s="376">
        <f t="shared" si="1"/>
        <v>1983</v>
      </c>
      <c r="U179" s="381">
        <f t="shared" si="2"/>
        <v>40</v>
      </c>
    </row>
    <row r="180" ht="14.25" hidden="1" customHeight="1">
      <c r="A180" s="1" t="s">
        <v>244</v>
      </c>
      <c r="B180" s="378">
        <v>110.0</v>
      </c>
      <c r="C180" s="377" t="s">
        <v>1539</v>
      </c>
      <c r="D180" s="380" t="s">
        <v>365</v>
      </c>
      <c r="E180" s="379">
        <v>1106372.0</v>
      </c>
      <c r="F180" s="377" t="s">
        <v>366</v>
      </c>
      <c r="G180" s="380" t="s">
        <v>41</v>
      </c>
      <c r="H180" s="377" t="s">
        <v>367</v>
      </c>
      <c r="I180" s="377" t="s">
        <v>368</v>
      </c>
      <c r="J180" s="377" t="s">
        <v>44</v>
      </c>
      <c r="K180" s="377" t="s">
        <v>1540</v>
      </c>
      <c r="L180" s="377" t="s">
        <v>1060</v>
      </c>
      <c r="M180" s="376"/>
      <c r="N180" s="377" t="s">
        <v>1060</v>
      </c>
      <c r="O180" s="379">
        <v>2005.0</v>
      </c>
      <c r="P180" s="377" t="s">
        <v>946</v>
      </c>
      <c r="Q180" s="377" t="s">
        <v>1293</v>
      </c>
      <c r="R180" s="377" t="s">
        <v>920</v>
      </c>
      <c r="S180" s="377" t="s">
        <v>1541</v>
      </c>
      <c r="T180" s="376">
        <f t="shared" si="1"/>
        <v>1983</v>
      </c>
      <c r="U180" s="381">
        <f t="shared" si="2"/>
        <v>40</v>
      </c>
    </row>
    <row r="181" ht="14.25" hidden="1" customHeight="1">
      <c r="A181" s="1" t="s">
        <v>244</v>
      </c>
      <c r="B181" s="378">
        <v>111.0</v>
      </c>
      <c r="C181" s="377" t="s">
        <v>1542</v>
      </c>
      <c r="D181" s="380" t="s">
        <v>369</v>
      </c>
      <c r="E181" s="379">
        <v>1106603.0</v>
      </c>
      <c r="F181" s="377" t="s">
        <v>370</v>
      </c>
      <c r="G181" s="380" t="s">
        <v>41</v>
      </c>
      <c r="H181" s="377" t="s">
        <v>119</v>
      </c>
      <c r="I181" s="377" t="s">
        <v>120</v>
      </c>
      <c r="J181" s="377" t="s">
        <v>44</v>
      </c>
      <c r="K181" s="377" t="s">
        <v>1543</v>
      </c>
      <c r="L181" s="377" t="s">
        <v>1143</v>
      </c>
      <c r="M181" s="376"/>
      <c r="N181" s="377" t="s">
        <v>1143</v>
      </c>
      <c r="O181" s="379">
        <v>2008.0</v>
      </c>
      <c r="P181" s="377" t="s">
        <v>946</v>
      </c>
      <c r="Q181" s="377" t="s">
        <v>941</v>
      </c>
      <c r="R181" s="377" t="s">
        <v>920</v>
      </c>
      <c r="S181" s="377" t="s">
        <v>1544</v>
      </c>
      <c r="T181" s="376">
        <f t="shared" si="1"/>
        <v>1980</v>
      </c>
      <c r="U181" s="381">
        <f t="shared" si="2"/>
        <v>43</v>
      </c>
    </row>
    <row r="182" ht="14.25" hidden="1" customHeight="1">
      <c r="A182" s="1" t="s">
        <v>244</v>
      </c>
      <c r="B182" s="378">
        <v>112.0</v>
      </c>
      <c r="C182" s="377" t="s">
        <v>1545</v>
      </c>
      <c r="D182" s="380" t="s">
        <v>371</v>
      </c>
      <c r="E182" s="377" t="s">
        <v>1546</v>
      </c>
      <c r="F182" s="377" t="s">
        <v>370</v>
      </c>
      <c r="G182" s="380" t="s">
        <v>41</v>
      </c>
      <c r="H182" s="377" t="s">
        <v>119</v>
      </c>
      <c r="I182" s="377" t="s">
        <v>120</v>
      </c>
      <c r="J182" s="377" t="s">
        <v>44</v>
      </c>
      <c r="K182" s="377" t="s">
        <v>1547</v>
      </c>
      <c r="L182" s="377" t="s">
        <v>1345</v>
      </c>
      <c r="M182" s="376"/>
      <c r="N182" s="377" t="s">
        <v>1345</v>
      </c>
      <c r="O182" s="379">
        <v>2015.0</v>
      </c>
      <c r="P182" s="377" t="s">
        <v>918</v>
      </c>
      <c r="Q182" s="377" t="s">
        <v>941</v>
      </c>
      <c r="R182" s="377" t="s">
        <v>920</v>
      </c>
      <c r="S182" s="377" t="s">
        <v>1548</v>
      </c>
      <c r="T182" s="376">
        <f t="shared" si="1"/>
        <v>1991</v>
      </c>
      <c r="U182" s="381">
        <f t="shared" si="2"/>
        <v>32</v>
      </c>
    </row>
    <row r="183" ht="14.25" hidden="1" customHeight="1">
      <c r="A183" s="1" t="s">
        <v>244</v>
      </c>
      <c r="B183" s="378">
        <v>113.0</v>
      </c>
      <c r="C183" s="377" t="s">
        <v>1549</v>
      </c>
      <c r="D183" s="380" t="s">
        <v>372</v>
      </c>
      <c r="E183" s="377" t="s">
        <v>1550</v>
      </c>
      <c r="F183" s="377" t="s">
        <v>373</v>
      </c>
      <c r="G183" s="380" t="s">
        <v>41</v>
      </c>
      <c r="H183" s="377" t="s">
        <v>119</v>
      </c>
      <c r="I183" s="377" t="s">
        <v>120</v>
      </c>
      <c r="J183" s="377" t="s">
        <v>44</v>
      </c>
      <c r="K183" s="377" t="s">
        <v>1551</v>
      </c>
      <c r="L183" s="377" t="s">
        <v>1040</v>
      </c>
      <c r="M183" s="376"/>
      <c r="N183" s="377" t="s">
        <v>1040</v>
      </c>
      <c r="O183" s="379">
        <v>2018.0</v>
      </c>
      <c r="P183" s="377" t="s">
        <v>985</v>
      </c>
      <c r="Q183" s="377" t="s">
        <v>1011</v>
      </c>
      <c r="R183" s="377" t="s">
        <v>920</v>
      </c>
      <c r="S183" s="377" t="s">
        <v>1552</v>
      </c>
      <c r="T183" s="376">
        <f t="shared" si="1"/>
        <v>1981</v>
      </c>
      <c r="U183" s="381">
        <f t="shared" si="2"/>
        <v>42</v>
      </c>
    </row>
    <row r="184" ht="14.25" hidden="1" customHeight="1">
      <c r="A184" s="1" t="s">
        <v>244</v>
      </c>
      <c r="B184" s="378">
        <v>114.0</v>
      </c>
      <c r="C184" s="379">
        <v>1001150.0</v>
      </c>
      <c r="D184" s="380" t="s">
        <v>374</v>
      </c>
      <c r="E184" s="377" t="s">
        <v>1553</v>
      </c>
      <c r="F184" s="377" t="s">
        <v>373</v>
      </c>
      <c r="G184" s="380" t="s">
        <v>41</v>
      </c>
      <c r="H184" s="377" t="s">
        <v>119</v>
      </c>
      <c r="I184" s="377" t="s">
        <v>120</v>
      </c>
      <c r="J184" s="377" t="s">
        <v>44</v>
      </c>
      <c r="K184" s="377" t="s">
        <v>1554</v>
      </c>
      <c r="L184" s="377" t="s">
        <v>1345</v>
      </c>
      <c r="M184" s="376"/>
      <c r="N184" s="377" t="s">
        <v>1345</v>
      </c>
      <c r="O184" s="379">
        <v>2015.0</v>
      </c>
      <c r="P184" s="377" t="s">
        <v>1114</v>
      </c>
      <c r="Q184" s="377" t="s">
        <v>941</v>
      </c>
      <c r="R184" s="377" t="s">
        <v>920</v>
      </c>
      <c r="S184" s="377" t="s">
        <v>1555</v>
      </c>
      <c r="T184" s="376">
        <f t="shared" si="1"/>
        <v>1989</v>
      </c>
      <c r="U184" s="381">
        <f t="shared" si="2"/>
        <v>34</v>
      </c>
    </row>
    <row r="185" ht="14.25" hidden="1" customHeight="1">
      <c r="A185" s="1" t="s">
        <v>244</v>
      </c>
      <c r="B185" s="378">
        <v>115.0</v>
      </c>
      <c r="C185" s="377" t="s">
        <v>1556</v>
      </c>
      <c r="D185" s="380" t="s">
        <v>376</v>
      </c>
      <c r="E185" s="377" t="s">
        <v>1557</v>
      </c>
      <c r="F185" s="377" t="s">
        <v>373</v>
      </c>
      <c r="G185" s="380" t="s">
        <v>41</v>
      </c>
      <c r="H185" s="377" t="s">
        <v>119</v>
      </c>
      <c r="I185" s="377" t="s">
        <v>120</v>
      </c>
      <c r="J185" s="377" t="s">
        <v>44</v>
      </c>
      <c r="K185" s="377" t="s">
        <v>1558</v>
      </c>
      <c r="L185" s="377" t="s">
        <v>951</v>
      </c>
      <c r="M185" s="376"/>
      <c r="N185" s="377" t="s">
        <v>951</v>
      </c>
      <c r="O185" s="379">
        <v>2012.0</v>
      </c>
      <c r="P185" s="377" t="s">
        <v>985</v>
      </c>
      <c r="Q185" s="377" t="s">
        <v>941</v>
      </c>
      <c r="R185" s="377" t="s">
        <v>920</v>
      </c>
      <c r="S185" s="377" t="s">
        <v>1559</v>
      </c>
      <c r="T185" s="376">
        <f t="shared" si="1"/>
        <v>1988</v>
      </c>
      <c r="U185" s="381">
        <f t="shared" si="2"/>
        <v>35</v>
      </c>
    </row>
    <row r="186" ht="14.25" customHeight="1">
      <c r="A186" s="1" t="s">
        <v>244</v>
      </c>
      <c r="B186" s="378">
        <v>116.0</v>
      </c>
      <c r="C186" s="379">
        <v>2114604.0</v>
      </c>
      <c r="D186" s="380" t="s">
        <v>378</v>
      </c>
      <c r="E186" s="377" t="s">
        <v>1560</v>
      </c>
      <c r="F186" s="377" t="s">
        <v>379</v>
      </c>
      <c r="G186" s="380" t="s">
        <v>63</v>
      </c>
      <c r="H186" s="377" t="s">
        <v>119</v>
      </c>
      <c r="I186" s="377" t="s">
        <v>124</v>
      </c>
      <c r="J186" s="377" t="s">
        <v>44</v>
      </c>
      <c r="K186" s="377" t="s">
        <v>1030</v>
      </c>
      <c r="L186" s="377" t="s">
        <v>1031</v>
      </c>
      <c r="M186" s="376"/>
      <c r="N186" s="377" t="s">
        <v>1031</v>
      </c>
      <c r="O186" s="379">
        <v>2023.0</v>
      </c>
      <c r="P186" s="377" t="s">
        <v>946</v>
      </c>
      <c r="Q186" s="377" t="s">
        <v>919</v>
      </c>
      <c r="R186" s="377" t="s">
        <v>920</v>
      </c>
      <c r="S186" s="377" t="s">
        <v>1561</v>
      </c>
      <c r="T186" s="376">
        <f t="shared" si="1"/>
        <v>1979</v>
      </c>
      <c r="U186" s="381">
        <f t="shared" si="2"/>
        <v>44</v>
      </c>
    </row>
    <row r="187" ht="14.25" hidden="1" customHeight="1">
      <c r="A187" s="1" t="s">
        <v>244</v>
      </c>
      <c r="B187" s="378">
        <v>117.0</v>
      </c>
      <c r="C187" s="377" t="s">
        <v>1562</v>
      </c>
      <c r="D187" s="380" t="s">
        <v>381</v>
      </c>
      <c r="E187" s="377" t="s">
        <v>1563</v>
      </c>
      <c r="F187" s="377" t="s">
        <v>382</v>
      </c>
      <c r="G187" s="380" t="s">
        <v>41</v>
      </c>
      <c r="H187" s="377" t="s">
        <v>119</v>
      </c>
      <c r="I187" s="377" t="s">
        <v>124</v>
      </c>
      <c r="J187" s="377" t="s">
        <v>44</v>
      </c>
      <c r="K187" s="377" t="s">
        <v>1564</v>
      </c>
      <c r="L187" s="377" t="s">
        <v>951</v>
      </c>
      <c r="M187" s="376"/>
      <c r="N187" s="377" t="s">
        <v>951</v>
      </c>
      <c r="O187" s="379">
        <v>2012.0</v>
      </c>
      <c r="P187" s="377" t="s">
        <v>962</v>
      </c>
      <c r="Q187" s="377" t="s">
        <v>941</v>
      </c>
      <c r="R187" s="377" t="s">
        <v>920</v>
      </c>
      <c r="S187" s="377" t="s">
        <v>1565</v>
      </c>
      <c r="T187" s="376">
        <f t="shared" si="1"/>
        <v>1987</v>
      </c>
      <c r="U187" s="381">
        <f t="shared" si="2"/>
        <v>36</v>
      </c>
    </row>
    <row r="188" ht="14.25" hidden="1" customHeight="1">
      <c r="A188" s="1" t="s">
        <v>244</v>
      </c>
      <c r="B188" s="378">
        <v>118.0</v>
      </c>
      <c r="C188" s="377" t="s">
        <v>1566</v>
      </c>
      <c r="D188" s="380" t="s">
        <v>383</v>
      </c>
      <c r="E188" s="377" t="s">
        <v>1567</v>
      </c>
      <c r="F188" s="377" t="s">
        <v>382</v>
      </c>
      <c r="G188" s="380" t="s">
        <v>41</v>
      </c>
      <c r="H188" s="377" t="s">
        <v>119</v>
      </c>
      <c r="I188" s="377" t="s">
        <v>124</v>
      </c>
      <c r="J188" s="377" t="s">
        <v>44</v>
      </c>
      <c r="K188" s="377" t="s">
        <v>1051</v>
      </c>
      <c r="L188" s="377" t="s">
        <v>1036</v>
      </c>
      <c r="M188" s="376"/>
      <c r="N188" s="377" t="s">
        <v>1036</v>
      </c>
      <c r="O188" s="379">
        <v>2010.0</v>
      </c>
      <c r="P188" s="377" t="s">
        <v>985</v>
      </c>
      <c r="Q188" s="377" t="s">
        <v>919</v>
      </c>
      <c r="R188" s="377" t="s">
        <v>920</v>
      </c>
      <c r="S188" s="377" t="s">
        <v>1568</v>
      </c>
      <c r="T188" s="376">
        <f t="shared" si="1"/>
        <v>1985</v>
      </c>
      <c r="U188" s="381">
        <f t="shared" si="2"/>
        <v>38</v>
      </c>
    </row>
    <row r="189" ht="14.25" hidden="1" customHeight="1">
      <c r="A189" s="1" t="s">
        <v>244</v>
      </c>
      <c r="B189" s="378">
        <v>119.0</v>
      </c>
      <c r="C189" s="377" t="s">
        <v>1569</v>
      </c>
      <c r="D189" s="380" t="s">
        <v>248</v>
      </c>
      <c r="E189" s="377" t="s">
        <v>1570</v>
      </c>
      <c r="F189" s="377" t="s">
        <v>382</v>
      </c>
      <c r="G189" s="380" t="s">
        <v>41</v>
      </c>
      <c r="H189" s="377" t="s">
        <v>119</v>
      </c>
      <c r="I189" s="377" t="s">
        <v>124</v>
      </c>
      <c r="J189" s="377" t="s">
        <v>44</v>
      </c>
      <c r="K189" s="377" t="s">
        <v>1571</v>
      </c>
      <c r="L189" s="377" t="s">
        <v>967</v>
      </c>
      <c r="M189" s="376"/>
      <c r="N189" s="377" t="s">
        <v>967</v>
      </c>
      <c r="O189" s="379">
        <v>2011.0</v>
      </c>
      <c r="P189" s="377" t="s">
        <v>946</v>
      </c>
      <c r="Q189" s="377" t="s">
        <v>930</v>
      </c>
      <c r="R189" s="377" t="s">
        <v>920</v>
      </c>
      <c r="S189" s="377" t="s">
        <v>1572</v>
      </c>
      <c r="T189" s="376">
        <f t="shared" si="1"/>
        <v>1982</v>
      </c>
      <c r="U189" s="381">
        <f t="shared" si="2"/>
        <v>41</v>
      </c>
    </row>
    <row r="190" ht="14.25" hidden="1" customHeight="1">
      <c r="A190" s="1" t="s">
        <v>244</v>
      </c>
      <c r="B190" s="378">
        <v>120.0</v>
      </c>
      <c r="C190" s="377" t="s">
        <v>1573</v>
      </c>
      <c r="D190" s="380" t="s">
        <v>384</v>
      </c>
      <c r="E190" s="377" t="s">
        <v>1574</v>
      </c>
      <c r="F190" s="377" t="s">
        <v>382</v>
      </c>
      <c r="G190" s="380" t="s">
        <v>41</v>
      </c>
      <c r="H190" s="377" t="s">
        <v>119</v>
      </c>
      <c r="I190" s="377" t="s">
        <v>124</v>
      </c>
      <c r="J190" s="377" t="s">
        <v>44</v>
      </c>
      <c r="K190" s="377" t="s">
        <v>1113</v>
      </c>
      <c r="L190" s="377" t="s">
        <v>967</v>
      </c>
      <c r="M190" s="376"/>
      <c r="N190" s="377" t="s">
        <v>967</v>
      </c>
      <c r="O190" s="379">
        <v>2011.0</v>
      </c>
      <c r="P190" s="377" t="s">
        <v>946</v>
      </c>
      <c r="Q190" s="377" t="s">
        <v>941</v>
      </c>
      <c r="R190" s="377" t="s">
        <v>920</v>
      </c>
      <c r="S190" s="377" t="s">
        <v>1575</v>
      </c>
      <c r="T190" s="376">
        <f t="shared" si="1"/>
        <v>1988</v>
      </c>
      <c r="U190" s="381">
        <f t="shared" si="2"/>
        <v>35</v>
      </c>
    </row>
    <row r="191" ht="14.25" hidden="1" customHeight="1">
      <c r="A191" s="1" t="s">
        <v>244</v>
      </c>
      <c r="B191" s="378">
        <v>121.0</v>
      </c>
      <c r="C191" s="377" t="s">
        <v>1576</v>
      </c>
      <c r="D191" s="380" t="s">
        <v>385</v>
      </c>
      <c r="E191" s="379">
        <v>1106011.0</v>
      </c>
      <c r="F191" s="377" t="s">
        <v>382</v>
      </c>
      <c r="G191" s="380" t="s">
        <v>41</v>
      </c>
      <c r="H191" s="377" t="s">
        <v>119</v>
      </c>
      <c r="I191" s="377" t="s">
        <v>124</v>
      </c>
      <c r="J191" s="377" t="s">
        <v>44</v>
      </c>
      <c r="K191" s="377" t="s">
        <v>1132</v>
      </c>
      <c r="L191" s="377" t="s">
        <v>1060</v>
      </c>
      <c r="M191" s="376"/>
      <c r="N191" s="377" t="s">
        <v>1060</v>
      </c>
      <c r="O191" s="379">
        <v>2005.0</v>
      </c>
      <c r="P191" s="377" t="s">
        <v>946</v>
      </c>
      <c r="Q191" s="377" t="s">
        <v>952</v>
      </c>
      <c r="R191" s="377" t="s">
        <v>920</v>
      </c>
      <c r="S191" s="377" t="s">
        <v>1541</v>
      </c>
      <c r="T191" s="376">
        <f t="shared" si="1"/>
        <v>1983</v>
      </c>
      <c r="U191" s="381">
        <f t="shared" si="2"/>
        <v>40</v>
      </c>
    </row>
    <row r="192" ht="14.25" hidden="1" customHeight="1">
      <c r="A192" s="1" t="s">
        <v>244</v>
      </c>
      <c r="B192" s="378">
        <v>122.0</v>
      </c>
      <c r="C192" s="377" t="s">
        <v>1577</v>
      </c>
      <c r="D192" s="380" t="s">
        <v>386</v>
      </c>
      <c r="E192" s="379">
        <v>1106016.0</v>
      </c>
      <c r="F192" s="377" t="s">
        <v>382</v>
      </c>
      <c r="G192" s="380" t="s">
        <v>41</v>
      </c>
      <c r="H192" s="377" t="s">
        <v>119</v>
      </c>
      <c r="I192" s="377" t="s">
        <v>124</v>
      </c>
      <c r="J192" s="377" t="s">
        <v>44</v>
      </c>
      <c r="K192" s="377" t="s">
        <v>1350</v>
      </c>
      <c r="L192" s="377" t="s">
        <v>989</v>
      </c>
      <c r="M192" s="376"/>
      <c r="N192" s="377" t="s">
        <v>989</v>
      </c>
      <c r="O192" s="379">
        <v>2006.0</v>
      </c>
      <c r="P192" s="377" t="s">
        <v>1114</v>
      </c>
      <c r="Q192" s="377" t="s">
        <v>952</v>
      </c>
      <c r="R192" s="377" t="s">
        <v>920</v>
      </c>
      <c r="S192" s="377" t="s">
        <v>1578</v>
      </c>
      <c r="T192" s="376">
        <f t="shared" si="1"/>
        <v>1982</v>
      </c>
      <c r="U192" s="381">
        <f t="shared" si="2"/>
        <v>41</v>
      </c>
    </row>
    <row r="193" ht="14.25" hidden="1" customHeight="1">
      <c r="A193" s="1" t="s">
        <v>244</v>
      </c>
      <c r="B193" s="378">
        <v>123.0</v>
      </c>
      <c r="C193" s="377" t="s">
        <v>1579</v>
      </c>
      <c r="D193" s="380" t="s">
        <v>388</v>
      </c>
      <c r="E193" s="379">
        <v>1106015.0</v>
      </c>
      <c r="F193" s="377" t="s">
        <v>382</v>
      </c>
      <c r="G193" s="380" t="s">
        <v>41</v>
      </c>
      <c r="H193" s="377" t="s">
        <v>119</v>
      </c>
      <c r="I193" s="377" t="s">
        <v>124</v>
      </c>
      <c r="J193" s="377" t="s">
        <v>44</v>
      </c>
      <c r="K193" s="377" t="s">
        <v>1350</v>
      </c>
      <c r="L193" s="377" t="s">
        <v>989</v>
      </c>
      <c r="M193" s="376"/>
      <c r="N193" s="377" t="s">
        <v>989</v>
      </c>
      <c r="O193" s="379">
        <v>2006.0</v>
      </c>
      <c r="P193" s="377" t="s">
        <v>1114</v>
      </c>
      <c r="Q193" s="377" t="s">
        <v>952</v>
      </c>
      <c r="R193" s="377" t="s">
        <v>920</v>
      </c>
      <c r="S193" s="377" t="s">
        <v>1580</v>
      </c>
      <c r="T193" s="376">
        <f t="shared" si="1"/>
        <v>1983</v>
      </c>
      <c r="U193" s="381">
        <f t="shared" si="2"/>
        <v>40</v>
      </c>
    </row>
    <row r="194" ht="14.25" hidden="1" customHeight="1">
      <c r="A194" s="1" t="s">
        <v>244</v>
      </c>
      <c r="B194" s="378">
        <v>124.0</v>
      </c>
      <c r="C194" s="377" t="s">
        <v>1581</v>
      </c>
      <c r="D194" s="380" t="s">
        <v>389</v>
      </c>
      <c r="E194" s="377" t="s">
        <v>1582</v>
      </c>
      <c r="F194" s="377" t="s">
        <v>382</v>
      </c>
      <c r="G194" s="380" t="s">
        <v>41</v>
      </c>
      <c r="H194" s="377" t="s">
        <v>119</v>
      </c>
      <c r="I194" s="377" t="s">
        <v>124</v>
      </c>
      <c r="J194" s="377" t="s">
        <v>44</v>
      </c>
      <c r="K194" s="377" t="s">
        <v>1583</v>
      </c>
      <c r="L194" s="377" t="s">
        <v>951</v>
      </c>
      <c r="M194" s="376"/>
      <c r="N194" s="377" t="s">
        <v>951</v>
      </c>
      <c r="O194" s="379">
        <v>2012.0</v>
      </c>
      <c r="P194" s="377" t="s">
        <v>985</v>
      </c>
      <c r="Q194" s="377" t="s">
        <v>1293</v>
      </c>
      <c r="R194" s="377" t="s">
        <v>920</v>
      </c>
      <c r="S194" s="377" t="s">
        <v>1584</v>
      </c>
      <c r="T194" s="376">
        <f t="shared" si="1"/>
        <v>1984</v>
      </c>
      <c r="U194" s="381">
        <f t="shared" si="2"/>
        <v>39</v>
      </c>
    </row>
    <row r="195" ht="14.25" customHeight="1">
      <c r="A195" s="1" t="s">
        <v>244</v>
      </c>
      <c r="B195" s="378">
        <v>125.0</v>
      </c>
      <c r="C195" s="377" t="s">
        <v>1585</v>
      </c>
      <c r="D195" s="380" t="s">
        <v>390</v>
      </c>
      <c r="E195" s="377" t="s">
        <v>1586</v>
      </c>
      <c r="F195" s="377" t="s">
        <v>131</v>
      </c>
      <c r="G195" s="380" t="s">
        <v>63</v>
      </c>
      <c r="H195" s="377" t="s">
        <v>119</v>
      </c>
      <c r="I195" s="377" t="s">
        <v>120</v>
      </c>
      <c r="J195" s="377" t="s">
        <v>44</v>
      </c>
      <c r="K195" s="377" t="s">
        <v>1587</v>
      </c>
      <c r="L195" s="377" t="s">
        <v>1119</v>
      </c>
      <c r="M195" s="376"/>
      <c r="N195" s="377" t="s">
        <v>1119</v>
      </c>
      <c r="O195" s="379">
        <v>2009.0</v>
      </c>
      <c r="P195" s="377" t="s">
        <v>985</v>
      </c>
      <c r="Q195" s="377" t="s">
        <v>919</v>
      </c>
      <c r="R195" s="377" t="s">
        <v>920</v>
      </c>
      <c r="S195" s="377" t="s">
        <v>1588</v>
      </c>
      <c r="T195" s="376">
        <f t="shared" si="1"/>
        <v>1981</v>
      </c>
      <c r="U195" s="381">
        <f t="shared" si="2"/>
        <v>42</v>
      </c>
    </row>
    <row r="196" ht="14.25" customHeight="1">
      <c r="A196" s="1" t="s">
        <v>244</v>
      </c>
      <c r="B196" s="378">
        <v>1.0</v>
      </c>
      <c r="C196" s="379">
        <v>2114647.0</v>
      </c>
      <c r="D196" s="380" t="s">
        <v>391</v>
      </c>
      <c r="E196" s="377" t="s">
        <v>1589</v>
      </c>
      <c r="F196" s="377" t="s">
        <v>392</v>
      </c>
      <c r="G196" s="380" t="s">
        <v>63</v>
      </c>
      <c r="H196" s="377" t="s">
        <v>42</v>
      </c>
      <c r="I196" s="377" t="s">
        <v>43</v>
      </c>
      <c r="J196" s="377" t="s">
        <v>135</v>
      </c>
      <c r="K196" s="376"/>
      <c r="L196" s="377" t="s">
        <v>945</v>
      </c>
      <c r="M196" s="377" t="s">
        <v>1071</v>
      </c>
      <c r="N196" s="376"/>
      <c r="O196" s="376"/>
      <c r="P196" s="377" t="s">
        <v>1114</v>
      </c>
      <c r="Q196" s="377" t="s">
        <v>930</v>
      </c>
      <c r="R196" s="377" t="s">
        <v>920</v>
      </c>
      <c r="S196" s="377" t="s">
        <v>1590</v>
      </c>
      <c r="T196" s="376">
        <f t="shared" si="1"/>
        <v>1973</v>
      </c>
      <c r="U196" s="381">
        <f t="shared" si="2"/>
        <v>50</v>
      </c>
    </row>
    <row r="197" ht="14.25" hidden="1" customHeight="1">
      <c r="A197" s="1" t="s">
        <v>244</v>
      </c>
      <c r="B197" s="378">
        <v>2.0</v>
      </c>
      <c r="C197" s="379">
        <v>2214768.0</v>
      </c>
      <c r="D197" s="380" t="s">
        <v>395</v>
      </c>
      <c r="E197" s="377" t="s">
        <v>1591</v>
      </c>
      <c r="F197" s="377" t="s">
        <v>48</v>
      </c>
      <c r="G197" s="380" t="s">
        <v>41</v>
      </c>
      <c r="H197" s="377" t="s">
        <v>42</v>
      </c>
      <c r="I197" s="377" t="s">
        <v>48</v>
      </c>
      <c r="J197" s="377" t="s">
        <v>148</v>
      </c>
      <c r="K197" s="377" t="s">
        <v>1592</v>
      </c>
      <c r="L197" s="377" t="s">
        <v>945</v>
      </c>
      <c r="M197" s="377" t="s">
        <v>1071</v>
      </c>
      <c r="N197" s="376"/>
      <c r="O197" s="376"/>
      <c r="P197" s="377" t="s">
        <v>918</v>
      </c>
      <c r="Q197" s="377" t="s">
        <v>930</v>
      </c>
      <c r="R197" s="377" t="s">
        <v>931</v>
      </c>
      <c r="S197" s="377" t="s">
        <v>1593</v>
      </c>
      <c r="T197" s="376">
        <f t="shared" si="1"/>
        <v>1992</v>
      </c>
      <c r="U197" s="381">
        <f t="shared" si="2"/>
        <v>31</v>
      </c>
    </row>
    <row r="198" ht="14.25" hidden="1" customHeight="1">
      <c r="A198" s="1" t="s">
        <v>244</v>
      </c>
      <c r="B198" s="378">
        <v>3.0</v>
      </c>
      <c r="C198" s="377" t="s">
        <v>1594</v>
      </c>
      <c r="D198" s="380" t="s">
        <v>396</v>
      </c>
      <c r="E198" s="377" t="s">
        <v>1595</v>
      </c>
      <c r="F198" s="377" t="s">
        <v>397</v>
      </c>
      <c r="G198" s="380" t="s">
        <v>41</v>
      </c>
      <c r="H198" s="377" t="s">
        <v>42</v>
      </c>
      <c r="I198" s="377" t="s">
        <v>43</v>
      </c>
      <c r="J198" s="377" t="s">
        <v>153</v>
      </c>
      <c r="K198" s="377" t="s">
        <v>1596</v>
      </c>
      <c r="L198" s="377" t="s">
        <v>1597</v>
      </c>
      <c r="M198" s="377" t="s">
        <v>1598</v>
      </c>
      <c r="N198" s="376"/>
      <c r="O198" s="376"/>
      <c r="P198" s="377" t="s">
        <v>1044</v>
      </c>
      <c r="Q198" s="377" t="s">
        <v>930</v>
      </c>
      <c r="R198" s="377" t="s">
        <v>920</v>
      </c>
      <c r="S198" s="377" t="s">
        <v>1599</v>
      </c>
      <c r="T198" s="376">
        <f t="shared" si="1"/>
        <v>1993</v>
      </c>
      <c r="U198" s="381">
        <f t="shared" si="2"/>
        <v>30</v>
      </c>
    </row>
    <row r="199" ht="14.25" hidden="1" customHeight="1">
      <c r="A199" s="1" t="s">
        <v>244</v>
      </c>
      <c r="B199" s="378">
        <v>4.0</v>
      </c>
      <c r="C199" s="379">
        <v>2214705.0</v>
      </c>
      <c r="D199" s="380" t="s">
        <v>398</v>
      </c>
      <c r="E199" s="377" t="s">
        <v>1600</v>
      </c>
      <c r="F199" s="377" t="s">
        <v>397</v>
      </c>
      <c r="G199" s="380" t="s">
        <v>41</v>
      </c>
      <c r="H199" s="377" t="s">
        <v>42</v>
      </c>
      <c r="I199" s="377" t="s">
        <v>43</v>
      </c>
      <c r="J199" s="377" t="s">
        <v>148</v>
      </c>
      <c r="K199" s="377" t="s">
        <v>1601</v>
      </c>
      <c r="L199" s="377" t="s">
        <v>945</v>
      </c>
      <c r="M199" s="377" t="s">
        <v>1071</v>
      </c>
      <c r="N199" s="376"/>
      <c r="O199" s="376"/>
      <c r="P199" s="377" t="s">
        <v>918</v>
      </c>
      <c r="Q199" s="377" t="s">
        <v>930</v>
      </c>
      <c r="R199" s="377" t="s">
        <v>931</v>
      </c>
      <c r="S199" s="377" t="s">
        <v>1602</v>
      </c>
      <c r="T199" s="376">
        <f t="shared" si="1"/>
        <v>1996</v>
      </c>
      <c r="U199" s="381">
        <f t="shared" si="2"/>
        <v>27</v>
      </c>
    </row>
    <row r="200" ht="14.25" hidden="1" customHeight="1">
      <c r="A200" s="1" t="s">
        <v>244</v>
      </c>
      <c r="B200" s="378">
        <v>6.0</v>
      </c>
      <c r="C200" s="379">
        <v>2214743.0</v>
      </c>
      <c r="D200" s="380" t="s">
        <v>250</v>
      </c>
      <c r="E200" s="377" t="s">
        <v>1603</v>
      </c>
      <c r="F200" s="377" t="s">
        <v>251</v>
      </c>
      <c r="G200" s="380" t="s">
        <v>41</v>
      </c>
      <c r="H200" s="377" t="s">
        <v>55</v>
      </c>
      <c r="I200" s="377" t="s">
        <v>56</v>
      </c>
      <c r="J200" s="377" t="s">
        <v>148</v>
      </c>
      <c r="K200" s="377" t="s">
        <v>1604</v>
      </c>
      <c r="L200" s="377" t="s">
        <v>945</v>
      </c>
      <c r="M200" s="377" t="s">
        <v>1071</v>
      </c>
      <c r="N200" s="376"/>
      <c r="O200" s="376"/>
      <c r="P200" s="377" t="s">
        <v>918</v>
      </c>
      <c r="Q200" s="377" t="s">
        <v>930</v>
      </c>
      <c r="R200" s="377" t="s">
        <v>931</v>
      </c>
      <c r="S200" s="377" t="s">
        <v>1605</v>
      </c>
      <c r="T200" s="376">
        <f t="shared" si="1"/>
        <v>1998</v>
      </c>
      <c r="U200" s="381">
        <f t="shared" si="2"/>
        <v>25</v>
      </c>
    </row>
    <row r="201" ht="14.25" hidden="1" customHeight="1">
      <c r="A201" s="1" t="s">
        <v>244</v>
      </c>
      <c r="B201" s="378">
        <v>7.0</v>
      </c>
      <c r="C201" s="379">
        <v>2114626.0</v>
      </c>
      <c r="D201" s="380" t="s">
        <v>399</v>
      </c>
      <c r="E201" s="377" t="s">
        <v>1606</v>
      </c>
      <c r="F201" s="377" t="s">
        <v>60</v>
      </c>
      <c r="G201" s="380" t="s">
        <v>41</v>
      </c>
      <c r="H201" s="377" t="s">
        <v>55</v>
      </c>
      <c r="I201" s="377" t="s">
        <v>60</v>
      </c>
      <c r="J201" s="377" t="s">
        <v>135</v>
      </c>
      <c r="K201" s="377" t="s">
        <v>1030</v>
      </c>
      <c r="L201" s="377" t="s">
        <v>945</v>
      </c>
      <c r="M201" s="377" t="s">
        <v>1071</v>
      </c>
      <c r="N201" s="376"/>
      <c r="O201" s="376"/>
      <c r="P201" s="377" t="s">
        <v>946</v>
      </c>
      <c r="Q201" s="377" t="s">
        <v>941</v>
      </c>
      <c r="R201" s="377" t="s">
        <v>920</v>
      </c>
      <c r="S201" s="377" t="s">
        <v>1607</v>
      </c>
      <c r="T201" s="376">
        <f t="shared" si="1"/>
        <v>1977</v>
      </c>
      <c r="U201" s="381">
        <f t="shared" si="2"/>
        <v>46</v>
      </c>
    </row>
    <row r="202" ht="14.25" hidden="1" customHeight="1">
      <c r="A202" s="1" t="s">
        <v>244</v>
      </c>
      <c r="B202" s="378">
        <v>8.0</v>
      </c>
      <c r="C202" s="379">
        <v>2114628.0</v>
      </c>
      <c r="D202" s="380" t="s">
        <v>400</v>
      </c>
      <c r="E202" s="377" t="s">
        <v>1608</v>
      </c>
      <c r="F202" s="377" t="s">
        <v>60</v>
      </c>
      <c r="G202" s="380" t="s">
        <v>41</v>
      </c>
      <c r="H202" s="377" t="s">
        <v>55</v>
      </c>
      <c r="I202" s="377" t="s">
        <v>60</v>
      </c>
      <c r="J202" s="377" t="s">
        <v>135</v>
      </c>
      <c r="K202" s="377" t="s">
        <v>1030</v>
      </c>
      <c r="L202" s="377" t="s">
        <v>945</v>
      </c>
      <c r="M202" s="377" t="s">
        <v>1071</v>
      </c>
      <c r="N202" s="376"/>
      <c r="O202" s="376"/>
      <c r="P202" s="377" t="s">
        <v>946</v>
      </c>
      <c r="Q202" s="377" t="s">
        <v>957</v>
      </c>
      <c r="R202" s="377" t="s">
        <v>920</v>
      </c>
      <c r="S202" s="377" t="s">
        <v>1609</v>
      </c>
      <c r="T202" s="376">
        <f t="shared" si="1"/>
        <v>1978</v>
      </c>
      <c r="U202" s="381">
        <f t="shared" si="2"/>
        <v>45</v>
      </c>
    </row>
    <row r="203" ht="14.25" hidden="1" customHeight="1">
      <c r="A203" s="1" t="s">
        <v>244</v>
      </c>
      <c r="B203" s="378">
        <v>21.0</v>
      </c>
      <c r="C203" s="379">
        <v>2114640.0</v>
      </c>
      <c r="D203" s="380" t="s">
        <v>401</v>
      </c>
      <c r="E203" s="377" t="s">
        <v>1610</v>
      </c>
      <c r="F203" s="377" t="s">
        <v>137</v>
      </c>
      <c r="G203" s="380" t="s">
        <v>138</v>
      </c>
      <c r="H203" s="377" t="s">
        <v>139</v>
      </c>
      <c r="I203" s="377" t="s">
        <v>402</v>
      </c>
      <c r="J203" s="377" t="s">
        <v>135</v>
      </c>
      <c r="K203" s="377" t="s">
        <v>1030</v>
      </c>
      <c r="L203" s="377" t="s">
        <v>945</v>
      </c>
      <c r="M203" s="377" t="s">
        <v>1071</v>
      </c>
      <c r="N203" s="376"/>
      <c r="O203" s="376"/>
      <c r="P203" s="377" t="s">
        <v>946</v>
      </c>
      <c r="Q203" s="377" t="s">
        <v>923</v>
      </c>
      <c r="R203" s="377" t="s">
        <v>920</v>
      </c>
      <c r="S203" s="377" t="s">
        <v>1611</v>
      </c>
      <c r="T203" s="376">
        <f t="shared" si="1"/>
        <v>1978</v>
      </c>
      <c r="U203" s="381">
        <f t="shared" si="2"/>
        <v>45</v>
      </c>
    </row>
    <row r="204" ht="14.25" customHeight="1">
      <c r="A204" s="1" t="s">
        <v>244</v>
      </c>
      <c r="B204" s="378">
        <v>22.0</v>
      </c>
      <c r="C204" s="379">
        <v>2114627.0</v>
      </c>
      <c r="D204" s="380" t="s">
        <v>403</v>
      </c>
      <c r="E204" s="377" t="s">
        <v>1612</v>
      </c>
      <c r="F204" s="377" t="s">
        <v>269</v>
      </c>
      <c r="G204" s="380" t="s">
        <v>63</v>
      </c>
      <c r="H204" s="377" t="s">
        <v>147</v>
      </c>
      <c r="I204" s="377" t="s">
        <v>147</v>
      </c>
      <c r="J204" s="377" t="s">
        <v>135</v>
      </c>
      <c r="K204" s="377" t="s">
        <v>1030</v>
      </c>
      <c r="L204" s="377" t="s">
        <v>945</v>
      </c>
      <c r="M204" s="377" t="s">
        <v>1071</v>
      </c>
      <c r="N204" s="376"/>
      <c r="O204" s="376"/>
      <c r="P204" s="377" t="s">
        <v>918</v>
      </c>
      <c r="Q204" s="377" t="s">
        <v>1124</v>
      </c>
      <c r="R204" s="377" t="s">
        <v>931</v>
      </c>
      <c r="S204" s="377" t="s">
        <v>1613</v>
      </c>
      <c r="T204" s="376">
        <f t="shared" si="1"/>
        <v>1977</v>
      </c>
      <c r="U204" s="381">
        <f t="shared" si="2"/>
        <v>46</v>
      </c>
    </row>
    <row r="205" ht="14.25" hidden="1" customHeight="1">
      <c r="A205" s="1" t="s">
        <v>244</v>
      </c>
      <c r="B205" s="378">
        <v>23.0</v>
      </c>
      <c r="C205" s="379">
        <v>2114611.0</v>
      </c>
      <c r="D205" s="380" t="s">
        <v>1614</v>
      </c>
      <c r="E205" s="377" t="s">
        <v>1615</v>
      </c>
      <c r="F205" s="377" t="s">
        <v>146</v>
      </c>
      <c r="G205" s="380" t="s">
        <v>41</v>
      </c>
      <c r="H205" s="377" t="s">
        <v>147</v>
      </c>
      <c r="I205" s="377" t="s">
        <v>147</v>
      </c>
      <c r="J205" s="377" t="s">
        <v>135</v>
      </c>
      <c r="K205" s="377" t="s">
        <v>1030</v>
      </c>
      <c r="L205" s="377" t="s">
        <v>945</v>
      </c>
      <c r="M205" s="377" t="s">
        <v>1067</v>
      </c>
      <c r="N205" s="376"/>
      <c r="O205" s="376"/>
      <c r="P205" s="377" t="s">
        <v>946</v>
      </c>
      <c r="Q205" s="377" t="s">
        <v>930</v>
      </c>
      <c r="R205" s="377" t="s">
        <v>920</v>
      </c>
      <c r="S205" s="377" t="s">
        <v>1616</v>
      </c>
      <c r="T205" s="376">
        <f t="shared" si="1"/>
        <v>1979</v>
      </c>
      <c r="U205" s="381">
        <f t="shared" si="2"/>
        <v>44</v>
      </c>
    </row>
    <row r="206" ht="14.25" hidden="1" customHeight="1">
      <c r="A206" s="1" t="s">
        <v>244</v>
      </c>
      <c r="B206" s="378">
        <v>24.0</v>
      </c>
      <c r="C206" s="379">
        <v>2114645.0</v>
      </c>
      <c r="D206" s="380" t="s">
        <v>404</v>
      </c>
      <c r="E206" s="377" t="s">
        <v>1617</v>
      </c>
      <c r="F206" s="377" t="s">
        <v>146</v>
      </c>
      <c r="G206" s="380" t="s">
        <v>41</v>
      </c>
      <c r="H206" s="377" t="s">
        <v>147</v>
      </c>
      <c r="I206" s="377" t="s">
        <v>147</v>
      </c>
      <c r="J206" s="377" t="s">
        <v>135</v>
      </c>
      <c r="K206" s="377" t="s">
        <v>1030</v>
      </c>
      <c r="L206" s="377" t="s">
        <v>945</v>
      </c>
      <c r="M206" s="377" t="s">
        <v>1071</v>
      </c>
      <c r="N206" s="376"/>
      <c r="O206" s="376"/>
      <c r="P206" s="377" t="s">
        <v>985</v>
      </c>
      <c r="Q206" s="377" t="s">
        <v>923</v>
      </c>
      <c r="R206" s="377" t="s">
        <v>920</v>
      </c>
      <c r="S206" s="377" t="s">
        <v>1618</v>
      </c>
      <c r="T206" s="376">
        <f t="shared" si="1"/>
        <v>1979</v>
      </c>
      <c r="U206" s="381">
        <f t="shared" si="2"/>
        <v>44</v>
      </c>
    </row>
    <row r="207" ht="14.25" hidden="1" customHeight="1">
      <c r="A207" s="1" t="s">
        <v>244</v>
      </c>
      <c r="B207" s="378">
        <v>25.0</v>
      </c>
      <c r="C207" s="379">
        <v>2114665.0</v>
      </c>
      <c r="D207" s="380" t="s">
        <v>406</v>
      </c>
      <c r="E207" s="377" t="s">
        <v>1619</v>
      </c>
      <c r="F207" s="377" t="s">
        <v>146</v>
      </c>
      <c r="G207" s="380" t="s">
        <v>41</v>
      </c>
      <c r="H207" s="377" t="s">
        <v>147</v>
      </c>
      <c r="I207" s="377" t="s">
        <v>147</v>
      </c>
      <c r="J207" s="377" t="s">
        <v>135</v>
      </c>
      <c r="K207" s="377" t="s">
        <v>1030</v>
      </c>
      <c r="L207" s="377" t="s">
        <v>945</v>
      </c>
      <c r="M207" s="377" t="s">
        <v>1071</v>
      </c>
      <c r="N207" s="376"/>
      <c r="O207" s="376"/>
      <c r="P207" s="377" t="s">
        <v>946</v>
      </c>
      <c r="Q207" s="377" t="s">
        <v>923</v>
      </c>
      <c r="R207" s="377" t="s">
        <v>920</v>
      </c>
      <c r="S207" s="377" t="s">
        <v>1620</v>
      </c>
      <c r="T207" s="376">
        <f t="shared" si="1"/>
        <v>1980</v>
      </c>
      <c r="U207" s="381">
        <f t="shared" si="2"/>
        <v>43</v>
      </c>
    </row>
    <row r="208" ht="14.25" hidden="1" customHeight="1">
      <c r="A208" s="385" t="s">
        <v>244</v>
      </c>
      <c r="B208" s="386">
        <v>26.0</v>
      </c>
      <c r="C208" s="387">
        <v>2214690.0</v>
      </c>
      <c r="D208" s="388" t="s">
        <v>1621</v>
      </c>
      <c r="E208" s="389" t="s">
        <v>1622</v>
      </c>
      <c r="F208" s="389" t="s">
        <v>279</v>
      </c>
      <c r="G208" s="388" t="s">
        <v>41</v>
      </c>
      <c r="H208" s="389" t="s">
        <v>151</v>
      </c>
      <c r="I208" s="389" t="s">
        <v>151</v>
      </c>
      <c r="J208" s="389" t="s">
        <v>148</v>
      </c>
      <c r="K208" s="389" t="s">
        <v>1269</v>
      </c>
      <c r="L208" s="377" t="s">
        <v>945</v>
      </c>
      <c r="M208" s="377" t="s">
        <v>1071</v>
      </c>
      <c r="N208" s="376"/>
      <c r="O208" s="376"/>
      <c r="P208" s="377" t="s">
        <v>918</v>
      </c>
      <c r="Q208" s="389" t="s">
        <v>930</v>
      </c>
      <c r="R208" s="389" t="s">
        <v>931</v>
      </c>
      <c r="S208" s="389" t="s">
        <v>1623</v>
      </c>
      <c r="T208" s="390">
        <f t="shared" si="1"/>
        <v>1998</v>
      </c>
      <c r="U208" s="391">
        <f t="shared" si="2"/>
        <v>25</v>
      </c>
    </row>
    <row r="209" ht="14.25" hidden="1" customHeight="1">
      <c r="A209" s="1" t="s">
        <v>244</v>
      </c>
      <c r="B209" s="378">
        <v>27.0</v>
      </c>
      <c r="C209" s="379">
        <v>2114528.0</v>
      </c>
      <c r="D209" s="380" t="s">
        <v>407</v>
      </c>
      <c r="E209" s="377" t="s">
        <v>1624</v>
      </c>
      <c r="F209" s="377" t="s">
        <v>408</v>
      </c>
      <c r="G209" s="380" t="s">
        <v>41</v>
      </c>
      <c r="H209" s="377" t="s">
        <v>64</v>
      </c>
      <c r="I209" s="377" t="s">
        <v>74</v>
      </c>
      <c r="J209" s="377" t="s">
        <v>210</v>
      </c>
      <c r="K209" s="377" t="s">
        <v>1193</v>
      </c>
      <c r="L209" s="377" t="s">
        <v>945</v>
      </c>
      <c r="M209" s="377" t="s">
        <v>1071</v>
      </c>
      <c r="N209" s="376"/>
      <c r="O209" s="376"/>
      <c r="P209" s="377" t="s">
        <v>918</v>
      </c>
      <c r="Q209" s="377" t="s">
        <v>919</v>
      </c>
      <c r="R209" s="377" t="s">
        <v>920</v>
      </c>
      <c r="S209" s="377" t="s">
        <v>1625</v>
      </c>
      <c r="T209" s="376">
        <f t="shared" si="1"/>
        <v>1994</v>
      </c>
      <c r="U209" s="381">
        <f t="shared" si="2"/>
        <v>29</v>
      </c>
    </row>
    <row r="210" ht="14.25" customHeight="1">
      <c r="A210" s="1" t="s">
        <v>244</v>
      </c>
      <c r="B210" s="378">
        <v>28.0</v>
      </c>
      <c r="C210" s="379">
        <v>2114613.0</v>
      </c>
      <c r="D210" s="380" t="s">
        <v>409</v>
      </c>
      <c r="E210" s="377" t="s">
        <v>1626</v>
      </c>
      <c r="F210" s="377" t="s">
        <v>236</v>
      </c>
      <c r="G210" s="380" t="s">
        <v>63</v>
      </c>
      <c r="H210" s="377" t="s">
        <v>85</v>
      </c>
      <c r="I210" s="377" t="s">
        <v>91</v>
      </c>
      <c r="J210" s="377" t="s">
        <v>135</v>
      </c>
      <c r="K210" s="377" t="s">
        <v>1030</v>
      </c>
      <c r="L210" s="377" t="s">
        <v>945</v>
      </c>
      <c r="M210" s="377" t="s">
        <v>1071</v>
      </c>
      <c r="N210" s="376"/>
      <c r="O210" s="376"/>
      <c r="P210" s="377" t="s">
        <v>1114</v>
      </c>
      <c r="Q210" s="377" t="s">
        <v>923</v>
      </c>
      <c r="R210" s="377" t="s">
        <v>920</v>
      </c>
      <c r="S210" s="377" t="s">
        <v>1627</v>
      </c>
      <c r="T210" s="376">
        <f t="shared" si="1"/>
        <v>1976</v>
      </c>
      <c r="U210" s="381">
        <f t="shared" si="2"/>
        <v>47</v>
      </c>
    </row>
    <row r="211" ht="14.25" customHeight="1">
      <c r="A211" s="1" t="s">
        <v>244</v>
      </c>
      <c r="B211" s="378">
        <v>29.0</v>
      </c>
      <c r="C211" s="379">
        <v>2114623.0</v>
      </c>
      <c r="D211" s="380" t="s">
        <v>410</v>
      </c>
      <c r="E211" s="377" t="s">
        <v>1628</v>
      </c>
      <c r="F211" s="377" t="s">
        <v>217</v>
      </c>
      <c r="G211" s="380" t="s">
        <v>54</v>
      </c>
      <c r="H211" s="377" t="s">
        <v>85</v>
      </c>
      <c r="I211" s="377" t="s">
        <v>91</v>
      </c>
      <c r="J211" s="377" t="s">
        <v>135</v>
      </c>
      <c r="K211" s="377" t="s">
        <v>1030</v>
      </c>
      <c r="L211" s="377" t="s">
        <v>945</v>
      </c>
      <c r="M211" s="377" t="s">
        <v>1071</v>
      </c>
      <c r="N211" s="376"/>
      <c r="O211" s="376"/>
      <c r="P211" s="377" t="s">
        <v>1114</v>
      </c>
      <c r="Q211" s="377" t="s">
        <v>923</v>
      </c>
      <c r="R211" s="377" t="s">
        <v>920</v>
      </c>
      <c r="S211" s="377" t="s">
        <v>1629</v>
      </c>
      <c r="T211" s="376">
        <f t="shared" si="1"/>
        <v>1981</v>
      </c>
      <c r="U211" s="381">
        <f t="shared" si="2"/>
        <v>42</v>
      </c>
    </row>
    <row r="212" ht="14.25" hidden="1" customHeight="1">
      <c r="A212" s="1" t="s">
        <v>244</v>
      </c>
      <c r="B212" s="378">
        <v>30.0</v>
      </c>
      <c r="C212" s="379">
        <v>2114619.0</v>
      </c>
      <c r="D212" s="380" t="s">
        <v>411</v>
      </c>
      <c r="E212" s="377" t="s">
        <v>1630</v>
      </c>
      <c r="F212" s="377" t="s">
        <v>98</v>
      </c>
      <c r="G212" s="380" t="s">
        <v>41</v>
      </c>
      <c r="H212" s="377" t="s">
        <v>85</v>
      </c>
      <c r="I212" s="377" t="s">
        <v>99</v>
      </c>
      <c r="J212" s="377" t="s">
        <v>135</v>
      </c>
      <c r="K212" s="377" t="s">
        <v>1030</v>
      </c>
      <c r="L212" s="377" t="s">
        <v>945</v>
      </c>
      <c r="M212" s="377" t="s">
        <v>1071</v>
      </c>
      <c r="N212" s="376"/>
      <c r="O212" s="376"/>
      <c r="P212" s="377" t="s">
        <v>946</v>
      </c>
      <c r="Q212" s="377" t="s">
        <v>858</v>
      </c>
      <c r="R212" s="377" t="s">
        <v>920</v>
      </c>
      <c r="S212" s="377" t="s">
        <v>1631</v>
      </c>
      <c r="T212" s="376">
        <f t="shared" si="1"/>
        <v>1980</v>
      </c>
      <c r="U212" s="381">
        <f t="shared" si="2"/>
        <v>43</v>
      </c>
    </row>
    <row r="213" ht="14.25" hidden="1" customHeight="1">
      <c r="A213" s="1" t="s">
        <v>244</v>
      </c>
      <c r="B213" s="378">
        <v>31.0</v>
      </c>
      <c r="C213" s="379">
        <v>2114616.0</v>
      </c>
      <c r="D213" s="380" t="s">
        <v>412</v>
      </c>
      <c r="E213" s="377" t="s">
        <v>1632</v>
      </c>
      <c r="F213" s="377" t="s">
        <v>106</v>
      </c>
      <c r="G213" s="380" t="s">
        <v>41</v>
      </c>
      <c r="H213" s="377" t="s">
        <v>85</v>
      </c>
      <c r="I213" s="377" t="s">
        <v>91</v>
      </c>
      <c r="J213" s="377" t="s">
        <v>135</v>
      </c>
      <c r="K213" s="377" t="s">
        <v>1030</v>
      </c>
      <c r="L213" s="377" t="s">
        <v>945</v>
      </c>
      <c r="M213" s="377" t="s">
        <v>1071</v>
      </c>
      <c r="N213" s="376"/>
      <c r="O213" s="376"/>
      <c r="P213" s="377" t="s">
        <v>946</v>
      </c>
      <c r="Q213" s="377" t="s">
        <v>923</v>
      </c>
      <c r="R213" s="377" t="s">
        <v>920</v>
      </c>
      <c r="S213" s="377" t="s">
        <v>1633</v>
      </c>
      <c r="T213" s="376">
        <f t="shared" si="1"/>
        <v>1980</v>
      </c>
      <c r="U213" s="381">
        <f t="shared" si="2"/>
        <v>43</v>
      </c>
    </row>
    <row r="214" ht="14.25" hidden="1" customHeight="1">
      <c r="A214" s="1" t="s">
        <v>244</v>
      </c>
      <c r="B214" s="378">
        <v>32.0</v>
      </c>
      <c r="C214" s="379">
        <v>2114625.0</v>
      </c>
      <c r="D214" s="380" t="s">
        <v>414</v>
      </c>
      <c r="E214" s="377" t="s">
        <v>1634</v>
      </c>
      <c r="F214" s="377" t="s">
        <v>106</v>
      </c>
      <c r="G214" s="380" t="s">
        <v>41</v>
      </c>
      <c r="H214" s="377" t="s">
        <v>85</v>
      </c>
      <c r="I214" s="377" t="s">
        <v>91</v>
      </c>
      <c r="J214" s="377" t="s">
        <v>135</v>
      </c>
      <c r="K214" s="377" t="s">
        <v>1030</v>
      </c>
      <c r="L214" s="377" t="s">
        <v>945</v>
      </c>
      <c r="M214" s="377" t="s">
        <v>1071</v>
      </c>
      <c r="N214" s="376"/>
      <c r="O214" s="376"/>
      <c r="P214" s="377" t="s">
        <v>946</v>
      </c>
      <c r="Q214" s="377" t="s">
        <v>923</v>
      </c>
      <c r="R214" s="377" t="s">
        <v>920</v>
      </c>
      <c r="S214" s="377" t="s">
        <v>1635</v>
      </c>
      <c r="T214" s="376">
        <f t="shared" si="1"/>
        <v>1981</v>
      </c>
      <c r="U214" s="381">
        <f t="shared" si="2"/>
        <v>42</v>
      </c>
    </row>
    <row r="215" ht="14.25" hidden="1" customHeight="1">
      <c r="A215" s="1" t="s">
        <v>244</v>
      </c>
      <c r="B215" s="378">
        <v>33.0</v>
      </c>
      <c r="C215" s="379">
        <v>2214708.0</v>
      </c>
      <c r="D215" s="380" t="s">
        <v>415</v>
      </c>
      <c r="E215" s="377" t="s">
        <v>1636</v>
      </c>
      <c r="F215" s="377" t="s">
        <v>113</v>
      </c>
      <c r="G215" s="380" t="s">
        <v>41</v>
      </c>
      <c r="H215" s="377" t="s">
        <v>85</v>
      </c>
      <c r="I215" s="377" t="s">
        <v>95</v>
      </c>
      <c r="J215" s="377" t="s">
        <v>210</v>
      </c>
      <c r="K215" s="377" t="s">
        <v>1637</v>
      </c>
      <c r="L215" s="377" t="s">
        <v>945</v>
      </c>
      <c r="M215" s="377" t="s">
        <v>1071</v>
      </c>
      <c r="N215" s="376"/>
      <c r="O215" s="376"/>
      <c r="P215" s="377" t="s">
        <v>936</v>
      </c>
      <c r="Q215" s="377" t="s">
        <v>919</v>
      </c>
      <c r="R215" s="377" t="s">
        <v>920</v>
      </c>
      <c r="S215" s="377" t="s">
        <v>1638</v>
      </c>
      <c r="T215" s="376">
        <f t="shared" si="1"/>
        <v>1989</v>
      </c>
      <c r="U215" s="381">
        <f t="shared" si="2"/>
        <v>34</v>
      </c>
    </row>
    <row r="216" ht="14.25" customHeight="1">
      <c r="A216" s="1" t="s">
        <v>244</v>
      </c>
      <c r="B216" s="378">
        <v>34.0</v>
      </c>
      <c r="C216" s="379">
        <v>2114624.0</v>
      </c>
      <c r="D216" s="380" t="s">
        <v>416</v>
      </c>
      <c r="E216" s="377" t="s">
        <v>1639</v>
      </c>
      <c r="F216" s="377" t="s">
        <v>417</v>
      </c>
      <c r="G216" s="380" t="s">
        <v>63</v>
      </c>
      <c r="H216" s="377" t="s">
        <v>85</v>
      </c>
      <c r="I216" s="377" t="s">
        <v>91</v>
      </c>
      <c r="J216" s="377" t="s">
        <v>135</v>
      </c>
      <c r="K216" s="377" t="s">
        <v>1030</v>
      </c>
      <c r="L216" s="377" t="s">
        <v>945</v>
      </c>
      <c r="M216" s="377" t="s">
        <v>1071</v>
      </c>
      <c r="N216" s="376"/>
      <c r="O216" s="376"/>
      <c r="P216" s="377" t="s">
        <v>936</v>
      </c>
      <c r="Q216" s="377" t="s">
        <v>923</v>
      </c>
      <c r="R216" s="377" t="s">
        <v>920</v>
      </c>
      <c r="S216" s="377" t="s">
        <v>1640</v>
      </c>
      <c r="T216" s="376">
        <f t="shared" si="1"/>
        <v>1973</v>
      </c>
      <c r="U216" s="381">
        <f t="shared" si="2"/>
        <v>50</v>
      </c>
    </row>
    <row r="217" ht="14.25" hidden="1" customHeight="1">
      <c r="A217" s="1" t="s">
        <v>244</v>
      </c>
      <c r="B217" s="378">
        <v>35.0</v>
      </c>
      <c r="C217" s="379">
        <v>2114612.0</v>
      </c>
      <c r="D217" s="380" t="s">
        <v>418</v>
      </c>
      <c r="E217" s="377" t="s">
        <v>1641</v>
      </c>
      <c r="F217" s="377" t="s">
        <v>420</v>
      </c>
      <c r="G217" s="380" t="s">
        <v>41</v>
      </c>
      <c r="H217" s="377" t="s">
        <v>367</v>
      </c>
      <c r="I217" s="377" t="s">
        <v>368</v>
      </c>
      <c r="J217" s="377" t="s">
        <v>135</v>
      </c>
      <c r="K217" s="377" t="s">
        <v>1030</v>
      </c>
      <c r="L217" s="377" t="s">
        <v>945</v>
      </c>
      <c r="M217" s="377" t="s">
        <v>1071</v>
      </c>
      <c r="N217" s="376"/>
      <c r="O217" s="376"/>
      <c r="P217" s="377" t="s">
        <v>946</v>
      </c>
      <c r="Q217" s="377" t="s">
        <v>923</v>
      </c>
      <c r="R217" s="377" t="s">
        <v>920</v>
      </c>
      <c r="S217" s="377" t="s">
        <v>1642</v>
      </c>
      <c r="T217" s="376">
        <f t="shared" si="1"/>
        <v>1981</v>
      </c>
      <c r="U217" s="381">
        <f t="shared" si="2"/>
        <v>42</v>
      </c>
    </row>
    <row r="218" ht="14.25" customHeight="1">
      <c r="A218" s="1" t="s">
        <v>244</v>
      </c>
      <c r="B218" s="378">
        <v>36.0</v>
      </c>
      <c r="C218" s="379">
        <v>2114614.0</v>
      </c>
      <c r="D218" s="380" t="s">
        <v>421</v>
      </c>
      <c r="E218" s="377" t="s">
        <v>1643</v>
      </c>
      <c r="F218" s="377" t="s">
        <v>422</v>
      </c>
      <c r="G218" s="380" t="s">
        <v>63</v>
      </c>
      <c r="H218" s="377" t="s">
        <v>367</v>
      </c>
      <c r="I218" s="377" t="s">
        <v>368</v>
      </c>
      <c r="J218" s="377" t="s">
        <v>135</v>
      </c>
      <c r="K218" s="377" t="s">
        <v>1030</v>
      </c>
      <c r="L218" s="377" t="s">
        <v>945</v>
      </c>
      <c r="M218" s="377" t="s">
        <v>1071</v>
      </c>
      <c r="N218" s="376"/>
      <c r="O218" s="376"/>
      <c r="P218" s="377" t="s">
        <v>946</v>
      </c>
      <c r="Q218" s="377" t="s">
        <v>923</v>
      </c>
      <c r="R218" s="377" t="s">
        <v>920</v>
      </c>
      <c r="S218" s="377" t="s">
        <v>1644</v>
      </c>
      <c r="T218" s="376">
        <f t="shared" si="1"/>
        <v>1973</v>
      </c>
      <c r="U218" s="381">
        <f t="shared" si="2"/>
        <v>50</v>
      </c>
    </row>
    <row r="219" ht="14.25" hidden="1" customHeight="1">
      <c r="A219" s="1" t="s">
        <v>244</v>
      </c>
      <c r="B219" s="378">
        <v>37.0</v>
      </c>
      <c r="C219" s="379">
        <v>2314775.0</v>
      </c>
      <c r="D219" s="380" t="s">
        <v>1645</v>
      </c>
      <c r="E219" s="377" t="s">
        <v>1646</v>
      </c>
      <c r="F219" s="377" t="s">
        <v>373</v>
      </c>
      <c r="G219" s="380" t="s">
        <v>41</v>
      </c>
      <c r="H219" s="377" t="s">
        <v>119</v>
      </c>
      <c r="I219" s="377" t="s">
        <v>120</v>
      </c>
      <c r="J219" s="377" t="s">
        <v>158</v>
      </c>
      <c r="K219" s="377" t="s">
        <v>1031</v>
      </c>
      <c r="L219" s="377" t="s">
        <v>945</v>
      </c>
      <c r="M219" s="377" t="s">
        <v>1071</v>
      </c>
      <c r="N219" s="376"/>
      <c r="O219" s="376"/>
      <c r="P219" s="377" t="s">
        <v>918</v>
      </c>
      <c r="Q219" s="377" t="s">
        <v>930</v>
      </c>
      <c r="R219" s="377" t="s">
        <v>920</v>
      </c>
      <c r="S219" s="377" t="s">
        <v>1647</v>
      </c>
      <c r="T219" s="376">
        <f t="shared" si="1"/>
        <v>1997</v>
      </c>
      <c r="U219" s="381">
        <f t="shared" si="2"/>
        <v>26</v>
      </c>
    </row>
    <row r="220" ht="14.25" customHeight="1">
      <c r="A220" s="1" t="s">
        <v>244</v>
      </c>
      <c r="B220" s="378">
        <v>38.0</v>
      </c>
      <c r="C220" s="379">
        <v>2114605.0</v>
      </c>
      <c r="D220" s="380" t="s">
        <v>423</v>
      </c>
      <c r="E220" s="377" t="s">
        <v>1648</v>
      </c>
      <c r="F220" s="377" t="s">
        <v>424</v>
      </c>
      <c r="G220" s="380" t="s">
        <v>54</v>
      </c>
      <c r="H220" s="377" t="s">
        <v>119</v>
      </c>
      <c r="I220" s="377" t="s">
        <v>124</v>
      </c>
      <c r="J220" s="377" t="s">
        <v>135</v>
      </c>
      <c r="K220" s="377" t="s">
        <v>1030</v>
      </c>
      <c r="L220" s="377" t="s">
        <v>945</v>
      </c>
      <c r="M220" s="377" t="s">
        <v>1071</v>
      </c>
      <c r="N220" s="376"/>
      <c r="O220" s="376"/>
      <c r="P220" s="377" t="s">
        <v>985</v>
      </c>
      <c r="Q220" s="377" t="s">
        <v>941</v>
      </c>
      <c r="R220" s="377" t="s">
        <v>920</v>
      </c>
      <c r="S220" s="377" t="s">
        <v>1649</v>
      </c>
      <c r="T220" s="376">
        <f t="shared" si="1"/>
        <v>1977</v>
      </c>
      <c r="U220" s="381">
        <f t="shared" si="2"/>
        <v>46</v>
      </c>
    </row>
    <row r="221" ht="14.25" customHeight="1">
      <c r="A221" s="1" t="s">
        <v>244</v>
      </c>
      <c r="B221" s="378">
        <v>39.0</v>
      </c>
      <c r="C221" s="379">
        <v>2114629.0</v>
      </c>
      <c r="D221" s="380" t="s">
        <v>425</v>
      </c>
      <c r="E221" s="377" t="s">
        <v>1650</v>
      </c>
      <c r="F221" s="377" t="s">
        <v>426</v>
      </c>
      <c r="G221" s="380" t="s">
        <v>54</v>
      </c>
      <c r="H221" s="377" t="s">
        <v>119</v>
      </c>
      <c r="I221" s="377" t="s">
        <v>124</v>
      </c>
      <c r="J221" s="377" t="s">
        <v>135</v>
      </c>
      <c r="K221" s="377" t="s">
        <v>1030</v>
      </c>
      <c r="L221" s="377" t="s">
        <v>945</v>
      </c>
      <c r="M221" s="377" t="s">
        <v>1071</v>
      </c>
      <c r="N221" s="376"/>
      <c r="O221" s="376"/>
      <c r="P221" s="377" t="s">
        <v>946</v>
      </c>
      <c r="Q221" s="377" t="s">
        <v>919</v>
      </c>
      <c r="R221" s="377" t="s">
        <v>920</v>
      </c>
      <c r="S221" s="377" t="s">
        <v>1651</v>
      </c>
      <c r="T221" s="376">
        <f t="shared" si="1"/>
        <v>1980</v>
      </c>
      <c r="U221" s="381">
        <f t="shared" si="2"/>
        <v>43</v>
      </c>
    </row>
    <row r="222" ht="14.25" hidden="1" customHeight="1">
      <c r="A222" s="1" t="s">
        <v>244</v>
      </c>
      <c r="B222" s="378">
        <v>1.0</v>
      </c>
      <c r="C222" s="377" t="s">
        <v>1652</v>
      </c>
      <c r="D222" s="380" t="s">
        <v>245</v>
      </c>
      <c r="E222" s="377" t="s">
        <v>1653</v>
      </c>
      <c r="F222" s="377" t="s">
        <v>246</v>
      </c>
      <c r="G222" s="380" t="s">
        <v>41</v>
      </c>
      <c r="H222" s="377" t="s">
        <v>42</v>
      </c>
      <c r="I222" s="377" t="s">
        <v>246</v>
      </c>
      <c r="J222" s="377" t="s">
        <v>44</v>
      </c>
      <c r="K222" s="377" t="s">
        <v>1654</v>
      </c>
      <c r="L222" s="377" t="s">
        <v>1187</v>
      </c>
      <c r="M222" s="376"/>
      <c r="N222" s="377" t="s">
        <v>1187</v>
      </c>
      <c r="O222" s="379">
        <v>2019.0</v>
      </c>
      <c r="P222" s="377" t="s">
        <v>946</v>
      </c>
      <c r="Q222" s="377" t="s">
        <v>952</v>
      </c>
      <c r="R222" s="377" t="s">
        <v>920</v>
      </c>
      <c r="S222" s="377" t="s">
        <v>1655</v>
      </c>
      <c r="T222" s="376">
        <f t="shared" si="1"/>
        <v>1977</v>
      </c>
      <c r="U222" s="381">
        <f t="shared" si="2"/>
        <v>46</v>
      </c>
    </row>
    <row r="223" ht="14.25" hidden="1" customHeight="1">
      <c r="A223" s="1" t="s">
        <v>244</v>
      </c>
      <c r="B223" s="378">
        <v>2.0</v>
      </c>
      <c r="C223" s="377" t="s">
        <v>1656</v>
      </c>
      <c r="D223" s="380" t="s">
        <v>247</v>
      </c>
      <c r="E223" s="377" t="s">
        <v>1657</v>
      </c>
      <c r="F223" s="377" t="s">
        <v>48</v>
      </c>
      <c r="G223" s="380" t="s">
        <v>41</v>
      </c>
      <c r="H223" s="377" t="s">
        <v>42</v>
      </c>
      <c r="I223" s="377" t="s">
        <v>48</v>
      </c>
      <c r="J223" s="377" t="s">
        <v>44</v>
      </c>
      <c r="K223" s="377" t="s">
        <v>1119</v>
      </c>
      <c r="L223" s="377" t="s">
        <v>967</v>
      </c>
      <c r="M223" s="376"/>
      <c r="N223" s="377" t="s">
        <v>967</v>
      </c>
      <c r="O223" s="379">
        <v>2011.0</v>
      </c>
      <c r="P223" s="377" t="s">
        <v>918</v>
      </c>
      <c r="Q223" s="377" t="s">
        <v>930</v>
      </c>
      <c r="R223" s="377" t="s">
        <v>931</v>
      </c>
      <c r="S223" s="377" t="s">
        <v>1658</v>
      </c>
      <c r="T223" s="376">
        <f t="shared" si="1"/>
        <v>1988</v>
      </c>
      <c r="U223" s="381">
        <f t="shared" si="2"/>
        <v>35</v>
      </c>
    </row>
    <row r="224" ht="14.25" hidden="1" customHeight="1">
      <c r="A224" s="1" t="s">
        <v>244</v>
      </c>
      <c r="B224" s="378">
        <v>3.0</v>
      </c>
      <c r="C224" s="377" t="s">
        <v>1659</v>
      </c>
      <c r="D224" s="380" t="s">
        <v>252</v>
      </c>
      <c r="E224" s="377" t="s">
        <v>1660</v>
      </c>
      <c r="F224" s="377" t="s">
        <v>60</v>
      </c>
      <c r="G224" s="380" t="s">
        <v>41</v>
      </c>
      <c r="H224" s="377" t="s">
        <v>55</v>
      </c>
      <c r="I224" s="377" t="s">
        <v>60</v>
      </c>
      <c r="J224" s="377" t="s">
        <v>44</v>
      </c>
      <c r="K224" s="377" t="s">
        <v>1661</v>
      </c>
      <c r="L224" s="377" t="s">
        <v>935</v>
      </c>
      <c r="M224" s="376"/>
      <c r="N224" s="377" t="s">
        <v>935</v>
      </c>
      <c r="O224" s="379">
        <v>2014.0</v>
      </c>
      <c r="P224" s="377" t="s">
        <v>936</v>
      </c>
      <c r="Q224" s="377" t="s">
        <v>930</v>
      </c>
      <c r="R224" s="377" t="s">
        <v>931</v>
      </c>
      <c r="S224" s="377" t="s">
        <v>1662</v>
      </c>
      <c r="T224" s="376">
        <f t="shared" si="1"/>
        <v>1983</v>
      </c>
      <c r="U224" s="381">
        <f t="shared" si="2"/>
        <v>40</v>
      </c>
    </row>
    <row r="225" ht="14.25" hidden="1" customHeight="1">
      <c r="A225" s="1" t="s">
        <v>244</v>
      </c>
      <c r="B225" s="378">
        <v>4.0</v>
      </c>
      <c r="C225" s="377" t="s">
        <v>1663</v>
      </c>
      <c r="D225" s="380" t="s">
        <v>253</v>
      </c>
      <c r="E225" s="379">
        <v>1106255.0</v>
      </c>
      <c r="F225" s="377" t="s">
        <v>60</v>
      </c>
      <c r="G225" s="380" t="s">
        <v>41</v>
      </c>
      <c r="H225" s="377" t="s">
        <v>55</v>
      </c>
      <c r="I225" s="377" t="s">
        <v>60</v>
      </c>
      <c r="J225" s="377" t="s">
        <v>44</v>
      </c>
      <c r="K225" s="377" t="s">
        <v>1664</v>
      </c>
      <c r="L225" s="377" t="s">
        <v>1002</v>
      </c>
      <c r="M225" s="376"/>
      <c r="N225" s="377" t="s">
        <v>1002</v>
      </c>
      <c r="O225" s="379">
        <v>2004.0</v>
      </c>
      <c r="P225" s="377" t="s">
        <v>946</v>
      </c>
      <c r="Q225" s="377" t="s">
        <v>941</v>
      </c>
      <c r="R225" s="377" t="s">
        <v>920</v>
      </c>
      <c r="S225" s="377" t="s">
        <v>1665</v>
      </c>
      <c r="T225" s="376">
        <f t="shared" si="1"/>
        <v>1983</v>
      </c>
      <c r="U225" s="381">
        <f t="shared" si="2"/>
        <v>40</v>
      </c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4.25" customHeight="1">
      <c r="A227" s="1" t="s">
        <v>553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U$225">
    <filterColumn colId="6">
      <filters>
        <filter val="Karu/Wakaru"/>
        <filter val="Kasi/Wakasi/Kadiv/W akadiv/Koordinator"/>
      </filters>
    </filterColumn>
    <filterColumn colId="0">
      <filters>
        <filter val="SBY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17.43"/>
    <col customWidth="1" min="3" max="3" width="13.86"/>
    <col customWidth="1" min="4" max="4" width="15.86"/>
    <col customWidth="1" min="5" max="6" width="8.71"/>
  </cols>
  <sheetData>
    <row r="1" ht="14.25" customHeight="1"/>
    <row r="2" ht="14.25" customHeight="1">
      <c r="A2" s="127" t="s">
        <v>846</v>
      </c>
      <c r="B2" s="127" t="s">
        <v>898</v>
      </c>
      <c r="C2" s="127" t="s">
        <v>899</v>
      </c>
      <c r="D2" s="127" t="s">
        <v>900</v>
      </c>
      <c r="E2" s="127" t="s">
        <v>207</v>
      </c>
    </row>
    <row r="3" ht="14.25" customHeight="1">
      <c r="B3" s="127" t="s">
        <v>870</v>
      </c>
      <c r="C3" s="127">
        <v>2.0</v>
      </c>
      <c r="D3" s="127">
        <v>0.0</v>
      </c>
      <c r="E3" s="127">
        <f>SUM(C3:D3)</f>
        <v>2</v>
      </c>
    </row>
    <row r="4" ht="14.25" customHeight="1">
      <c r="B4" s="127" t="s">
        <v>871</v>
      </c>
    </row>
    <row r="5" ht="14.25" customHeight="1">
      <c r="B5" s="127" t="s">
        <v>872</v>
      </c>
    </row>
    <row r="6" ht="14.25" customHeight="1">
      <c r="B6" s="127" t="s">
        <v>257</v>
      </c>
      <c r="C6" s="127">
        <v>2.0</v>
      </c>
      <c r="D6" s="127">
        <v>0.0</v>
      </c>
    </row>
    <row r="7" ht="14.25" customHeight="1">
      <c r="B7" s="127" t="s">
        <v>147</v>
      </c>
    </row>
    <row r="8" ht="14.25" customHeight="1">
      <c r="B8" s="127" t="s">
        <v>151</v>
      </c>
    </row>
    <row r="9" ht="14.25" customHeight="1">
      <c r="B9" s="127" t="s">
        <v>65</v>
      </c>
    </row>
    <row r="10" ht="14.25" customHeight="1">
      <c r="B10" s="127" t="s">
        <v>85</v>
      </c>
    </row>
    <row r="11" ht="14.25" customHeight="1">
      <c r="B11" s="127" t="s">
        <v>876</v>
      </c>
    </row>
    <row r="12" ht="14.25" customHeight="1">
      <c r="B12" s="127" t="s">
        <v>877</v>
      </c>
    </row>
    <row r="13" ht="14.25" customHeight="1">
      <c r="B13" s="127" t="s">
        <v>878</v>
      </c>
    </row>
    <row r="14" ht="14.25" customHeight="1">
      <c r="B14" s="127" t="s">
        <v>879</v>
      </c>
    </row>
    <row r="15" ht="14.25" customHeight="1">
      <c r="B15" s="127" t="s">
        <v>880</v>
      </c>
    </row>
    <row r="16" ht="14.25" customHeight="1">
      <c r="B16" s="127" t="s">
        <v>119</v>
      </c>
    </row>
    <row r="17" ht="14.25" customHeight="1">
      <c r="B17" s="127" t="s">
        <v>883</v>
      </c>
    </row>
    <row r="18" ht="14.25" customHeight="1">
      <c r="B18" s="127" t="s">
        <v>884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13.43"/>
    <col customWidth="1" min="3" max="3" width="10.43"/>
    <col customWidth="1" min="4" max="4" width="7.86"/>
    <col customWidth="1" min="5" max="9" width="13.43"/>
    <col customWidth="1" min="10" max="11" width="8.71"/>
    <col customWidth="1" min="12" max="12" width="21.43"/>
    <col customWidth="1" min="13" max="13" width="11.43"/>
  </cols>
  <sheetData>
    <row r="1" ht="14.25" customHeight="1">
      <c r="B1" s="24" t="s">
        <v>1015</v>
      </c>
      <c r="K1" s="24" t="s">
        <v>1016</v>
      </c>
    </row>
    <row r="2" ht="14.25" customHeight="1">
      <c r="B2" s="382" t="s">
        <v>18</v>
      </c>
      <c r="C2" s="382" t="s">
        <v>1019</v>
      </c>
      <c r="D2" s="382" t="s">
        <v>1021</v>
      </c>
      <c r="E2" s="382" t="s">
        <v>1022</v>
      </c>
      <c r="F2" s="382" t="s">
        <v>1023</v>
      </c>
      <c r="G2" s="382" t="s">
        <v>1024</v>
      </c>
      <c r="H2" s="382" t="s">
        <v>1025</v>
      </c>
      <c r="I2" s="382" t="s">
        <v>1026</v>
      </c>
      <c r="K2" s="382" t="s">
        <v>1027</v>
      </c>
      <c r="L2" s="382" t="s">
        <v>105</v>
      </c>
      <c r="M2" s="382" t="s">
        <v>1029</v>
      </c>
    </row>
    <row r="3" ht="14.25" customHeight="1">
      <c r="B3" s="127" t="s">
        <v>846</v>
      </c>
      <c r="C3" s="245">
        <v>25000.0</v>
      </c>
      <c r="D3" s="245">
        <f t="shared" ref="D3:D6" si="1">224/16/2</f>
        <v>7</v>
      </c>
      <c r="E3" s="245">
        <f t="shared" ref="E3:E6" si="2">C3*D3</f>
        <v>175000</v>
      </c>
      <c r="F3" s="245">
        <f t="shared" ref="F3:F6" si="3">E3/7</f>
        <v>25000</v>
      </c>
      <c r="G3" s="245">
        <f t="shared" ref="G3:G6" si="4">F3*25</f>
        <v>625000</v>
      </c>
      <c r="H3" s="127">
        <v>10000.0</v>
      </c>
      <c r="I3" s="127">
        <f t="shared" ref="I3:I6" si="5">H3*14*25</f>
        <v>3500000</v>
      </c>
      <c r="K3" s="127" t="s">
        <v>1047</v>
      </c>
      <c r="L3" s="127" t="s">
        <v>1049</v>
      </c>
      <c r="M3" s="127" t="s">
        <v>1050</v>
      </c>
    </row>
    <row r="4" ht="14.25" customHeight="1">
      <c r="B4" s="127" t="s">
        <v>1052</v>
      </c>
      <c r="C4" s="245">
        <v>20000.0</v>
      </c>
      <c r="D4" s="245">
        <f t="shared" si="1"/>
        <v>7</v>
      </c>
      <c r="E4" s="245">
        <f t="shared" si="2"/>
        <v>140000</v>
      </c>
      <c r="F4" s="245">
        <f t="shared" si="3"/>
        <v>20000</v>
      </c>
      <c r="G4" s="245">
        <f t="shared" si="4"/>
        <v>500000</v>
      </c>
      <c r="H4" s="127">
        <v>4000.0</v>
      </c>
      <c r="I4" s="127">
        <f t="shared" si="5"/>
        <v>1400000</v>
      </c>
      <c r="L4" s="127" t="s">
        <v>451</v>
      </c>
      <c r="M4" s="127" t="s">
        <v>1056</v>
      </c>
    </row>
    <row r="5" ht="14.25" customHeight="1">
      <c r="B5" s="127" t="s">
        <v>855</v>
      </c>
      <c r="C5" s="245">
        <v>25000.0</v>
      </c>
      <c r="D5" s="245">
        <f t="shared" si="1"/>
        <v>7</v>
      </c>
      <c r="E5" s="245">
        <f t="shared" si="2"/>
        <v>175000</v>
      </c>
      <c r="F5" s="245">
        <f t="shared" si="3"/>
        <v>25000</v>
      </c>
      <c r="G5" s="245">
        <f t="shared" si="4"/>
        <v>625000</v>
      </c>
      <c r="H5" s="127">
        <v>4000.0</v>
      </c>
      <c r="I5" s="127">
        <f t="shared" si="5"/>
        <v>1400000</v>
      </c>
      <c r="L5" s="127" t="s">
        <v>1061</v>
      </c>
      <c r="M5" s="127" t="s">
        <v>1062</v>
      </c>
    </row>
    <row r="6" ht="14.25" customHeight="1">
      <c r="B6" s="127" t="s">
        <v>866</v>
      </c>
      <c r="C6" s="245">
        <v>15000.0</v>
      </c>
      <c r="D6" s="245">
        <f t="shared" si="1"/>
        <v>7</v>
      </c>
      <c r="E6" s="245">
        <f t="shared" si="2"/>
        <v>105000</v>
      </c>
      <c r="F6" s="245">
        <f t="shared" si="3"/>
        <v>15000</v>
      </c>
      <c r="G6" s="245">
        <f t="shared" si="4"/>
        <v>375000</v>
      </c>
      <c r="H6" s="127">
        <v>4000.0</v>
      </c>
      <c r="I6" s="127">
        <f t="shared" si="5"/>
        <v>1400000</v>
      </c>
      <c r="L6" s="127" t="s">
        <v>65</v>
      </c>
      <c r="M6" s="127" t="s">
        <v>1068</v>
      </c>
    </row>
    <row r="7" ht="14.25" customHeight="1">
      <c r="C7" s="245"/>
      <c r="D7" s="245"/>
      <c r="E7" s="245"/>
      <c r="F7" s="245"/>
      <c r="G7" s="383">
        <f t="shared" ref="G7:I7" si="6">SUM(G3:G6)</f>
        <v>2125000</v>
      </c>
      <c r="H7" s="245">
        <f t="shared" si="6"/>
        <v>22000</v>
      </c>
      <c r="I7" s="383">
        <f t="shared" si="6"/>
        <v>7700000</v>
      </c>
    </row>
    <row r="8" ht="14.25" customHeight="1">
      <c r="K8" s="127" t="s">
        <v>1083</v>
      </c>
      <c r="L8" s="127" t="s">
        <v>314</v>
      </c>
      <c r="M8" s="127" t="s">
        <v>1050</v>
      </c>
    </row>
    <row r="9" ht="14.25" customHeight="1">
      <c r="L9" s="127" t="s">
        <v>1086</v>
      </c>
      <c r="M9" s="127" t="s">
        <v>1056</v>
      </c>
    </row>
    <row r="10" ht="14.25" customHeight="1">
      <c r="L10" s="127" t="s">
        <v>375</v>
      </c>
      <c r="M10" s="127" t="s">
        <v>1062</v>
      </c>
    </row>
    <row r="11" ht="14.25" customHeight="1">
      <c r="L11" s="127" t="s">
        <v>405</v>
      </c>
      <c r="M11" s="127" t="s">
        <v>1088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